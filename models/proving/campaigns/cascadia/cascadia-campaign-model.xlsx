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6911d1b15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53739cfaabc43bf"/>
    <x:sheet xmlns:r="http://schemas.openxmlformats.org/officeDocument/2006/relationships" name="Controls" sheetId="2" r:id="R55bb87abbe42496c"/>
    <x:sheet xmlns:r="http://schemas.openxmlformats.org/officeDocument/2006/relationships" name="Scenario" sheetId="3" r:id="Rd0cccc262b5c4c6c"/>
    <x:sheet xmlns:r="http://schemas.openxmlformats.org/officeDocument/2006/relationships" name="Service Demand" sheetId="4" r:id="R97d914246e564d3b"/>
    <x:sheet xmlns:r="http://schemas.openxmlformats.org/officeDocument/2006/relationships" name="Zones" sheetId="5" r:id="R73f4d32cf6694946"/>
    <x:sheet xmlns:r="http://schemas.openxmlformats.org/officeDocument/2006/relationships" name="Origin Hubs" sheetId="6" r:id="Ra6b80f43e9f14137"/>
    <x:sheet xmlns:r="http://schemas.openxmlformats.org/officeDocument/2006/relationships" name="Entry Nodes" sheetId="7" r:id="Rebd1da0ec0eb41c9"/>
    <x:sheet xmlns:r="http://schemas.openxmlformats.org/officeDocument/2006/relationships" name="Paths" sheetId="8" r:id="R904a20518b6d4f9a"/>
    <x:sheet xmlns:r="http://schemas.openxmlformats.org/officeDocument/2006/relationships" name="Path Daily" sheetId="9" r:id="Rd849c588a4cd40b1"/>
    <x:sheet xmlns:r="http://schemas.openxmlformats.org/officeDocument/2006/relationships" name="Cargo Records" sheetId="10" r:id="R81b7218b5d364360"/>
    <x:sheet xmlns:r="http://schemas.openxmlformats.org/officeDocument/2006/relationships" name="Cargo Clearance" sheetId="11" r:id="R461496df69bd4862"/>
    <x:sheet xmlns:r="http://schemas.openxmlformats.org/officeDocument/2006/relationships" name="Deployment Queue" sheetId="12" r:id="R3633dd396dc74caf"/>
    <x:sheet xmlns:r="http://schemas.openxmlformats.org/officeDocument/2006/relationships" name="Wave Closure" sheetId="13" r:id="R9d9fe679419d4f26"/>
    <x:sheet xmlns:r="http://schemas.openxmlformats.org/officeDocument/2006/relationships" name="Zone Path Matrix" sheetId="14" r:id="Ref97598540e148cc"/>
    <x:sheet xmlns:r="http://schemas.openxmlformats.org/officeDocument/2006/relationships" name="Path Independence" sheetId="15" r:id="Rdf096ad60ae74b9d"/>
    <x:sheet xmlns:r="http://schemas.openxmlformats.org/officeDocument/2006/relationships" name="Responder Bases" sheetId="16" r:id="Rb874df93ef624544"/>
    <x:sheet xmlns:r="http://schemas.openxmlformats.org/officeDocument/2006/relationships" name="Sustainment Demand" sheetId="17" r:id="R4ea47c750f52402b"/>
    <x:sheet xmlns:r="http://schemas.openxmlformats.org/officeDocument/2006/relationships" name="Sustainment Capacity" sheetId="18" r:id="R0b56f30f350a4b44"/>
    <x:sheet xmlns:r="http://schemas.openxmlformats.org/officeDocument/2006/relationships" name="Service Closure" sheetId="19" r:id="R9411d1c4f7a14597"/>
    <x:sheet xmlns:r="http://schemas.openxmlformats.org/officeDocument/2006/relationships" name="Campaign Closure" sheetId="20" r:id="R69e292d23d5349fe"/>
    <x:sheet xmlns:r="http://schemas.openxmlformats.org/officeDocument/2006/relationships" name="Reverse Flow" sheetId="21" r:id="Reaffb6f84a70448e"/>
    <x:sheet xmlns:r="http://schemas.openxmlformats.org/officeDocument/2006/relationships" name="Staff Flow" sheetId="22" r:id="R5bb40a74fc244f10"/>
    <x:sheet xmlns:r="http://schemas.openxmlformats.org/officeDocument/2006/relationships" name="Reconstitution" sheetId="23" r:id="R3490693f3e18445c"/>
    <x:sheet xmlns:r="http://schemas.openxmlformats.org/officeDocument/2006/relationships" name="Innovation Requirements" sheetId="24" r:id="Rf574654a564344fd"/>
    <x:sheet xmlns:r="http://schemas.openxmlformats.org/officeDocument/2006/relationships" name="Capital Build" sheetId="25" r:id="Rafba417203bf4627"/>
    <x:sheet xmlns:r="http://schemas.openxmlformats.org/officeDocument/2006/relationships" name="Annual Funding" sheetId="26" r:id="Rfc59e1efc43c4e72"/>
    <x:sheet xmlns:r="http://schemas.openxmlformats.org/officeDocument/2006/relationships" name="Operating Cost" sheetId="27" r:id="Reebe6f7bec854fb9"/>
    <x:sheet xmlns:r="http://schemas.openxmlformats.org/officeDocument/2006/relationships" name="Authority Gates" sheetId="28" r:id="R1d4f423c7019428a"/>
    <x:sheet xmlns:r="http://schemas.openxmlformats.org/officeDocument/2006/relationships" name="Failure Modes" sheetId="29" r:id="Rc1fb59d397354ba4"/>
    <x:sheet xmlns:r="http://schemas.openxmlformats.org/officeDocument/2006/relationships" name="Evidence Gates" sheetId="30" r:id="Rc9ff90f4708c4ab8"/>
    <x:sheet xmlns:r="http://schemas.openxmlformats.org/officeDocument/2006/relationships" name="Sources" sheetId="31" r:id="Rd753d7f853a74b6c"/>
    <x:sheet xmlns:r="http://schemas.openxmlformats.org/officeDocument/2006/relationships" name="Checks" sheetId="32" r:id="R0ba5376edbdd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x"/>
    <x:numFmt numFmtId="201" formatCode="0.0%"/>
    <x:numFmt numFmtId="202" formatCode="#,##0"/>
    <x:numFmt numFmtId="203" formatCode="0.0"/>
    <x:numFmt numFmtId="204" formatCode="#,##0.0"/>
    <x:numFmt numFmtId="205" formatCode="0.000x"/>
    <x:numFmt numFmtId="206" formatCode="$0.0&quot;B&quot;"/>
  </x:numFmts>
  <x:fonts count="10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F"/>
      </x:patternFill>
    </x:fill>
    <x:fill>
      <x:patternFill patternType="solid">
        <x:fgColor rgb="FFD9E5F0"/>
      </x:patternFill>
    </x:fill>
    <x:fill>
      <x:patternFill patternType="solid">
        <x:fgColor rgb="FFFFF2CC"/>
      </x:patternFill>
    </x:fill>
  </x:fills>
  <x:borders count="9">
    <x:border/>
    <x:border>
      <x:bottom style="thin">
        <x:color rgb="FF7F8C8D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double">
        <x:color rgb="FF7F8C8D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6" fontId="6" fillId="4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206" fontId="0" fillId="0" borderId="0" xfId="0" applyNumberFormat="1" applyFont="1" applyFill="1" applyBorder="1"/>
    <x:xf numFmtId="206" fontId="5" fillId="0" borderId="8" xfId="0" applyNumberFormat="1" applyFont="1" applyFill="1" applyBorder="1"/>
    <x:xf numFmtId="206" fontId="7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/>
    <x:xf numFmtId="206" fontId="9" fillId="0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6" fontId="5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8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e8584c8414cdf" /><Relationship Type="http://schemas.openxmlformats.org/officeDocument/2006/relationships/theme" Target="/xl/theme/theme1.xml" Id="R571716572c124c33" /><Relationship Type="http://schemas.openxmlformats.org/officeDocument/2006/relationships/sharedStrings" Target="/xl/sharedStrings.xml" Id="R057c7ac567144e51" /><Relationship Type="http://schemas.openxmlformats.org/officeDocument/2006/relationships/worksheet" Target="/xl/worksheets/sheet1.xml" Id="R653739cfaabc43bf" /><Relationship Type="http://schemas.openxmlformats.org/officeDocument/2006/relationships/worksheet" Target="/xl/worksheets/sheet2.xml" Id="R55bb87abbe42496c" /><Relationship Type="http://schemas.openxmlformats.org/officeDocument/2006/relationships/worksheet" Target="/xl/worksheets/sheet3.xml" Id="Rd0cccc262b5c4c6c" /><Relationship Type="http://schemas.openxmlformats.org/officeDocument/2006/relationships/worksheet" Target="/xl/worksheets/sheet4.xml" Id="R97d914246e564d3b" /><Relationship Type="http://schemas.openxmlformats.org/officeDocument/2006/relationships/worksheet" Target="/xl/worksheets/sheet5.xml" Id="R73f4d32cf6694946" /><Relationship Type="http://schemas.openxmlformats.org/officeDocument/2006/relationships/worksheet" Target="/xl/worksheets/sheet6.xml" Id="Ra6b80f43e9f14137" /><Relationship Type="http://schemas.openxmlformats.org/officeDocument/2006/relationships/worksheet" Target="/xl/worksheets/sheet7.xml" Id="Rebd1da0ec0eb41c9" /><Relationship Type="http://schemas.openxmlformats.org/officeDocument/2006/relationships/worksheet" Target="/xl/worksheets/sheet8.xml" Id="R904a20518b6d4f9a" /><Relationship Type="http://schemas.openxmlformats.org/officeDocument/2006/relationships/worksheet" Target="/xl/worksheets/sheet9.xml" Id="Rd849c588a4cd40b1" /><Relationship Type="http://schemas.openxmlformats.org/officeDocument/2006/relationships/worksheet" Target="/xl/worksheets/sheet10.xml" Id="R81b7218b5d364360" /><Relationship Type="http://schemas.openxmlformats.org/officeDocument/2006/relationships/worksheet" Target="/xl/worksheets/sheet11.xml" Id="R461496df69bd4862" /><Relationship Type="http://schemas.openxmlformats.org/officeDocument/2006/relationships/worksheet" Target="/xl/worksheets/sheet12.xml" Id="R3633dd396dc74caf" /><Relationship Type="http://schemas.openxmlformats.org/officeDocument/2006/relationships/worksheet" Target="/xl/worksheets/sheet13.xml" Id="R9d9fe679419d4f26" /><Relationship Type="http://schemas.openxmlformats.org/officeDocument/2006/relationships/worksheet" Target="/xl/worksheets/sheet14.xml" Id="Ref97598540e148cc" /><Relationship Type="http://schemas.openxmlformats.org/officeDocument/2006/relationships/worksheet" Target="/xl/worksheets/sheet15.xml" Id="Rdf096ad60ae74b9d" /><Relationship Type="http://schemas.openxmlformats.org/officeDocument/2006/relationships/worksheet" Target="/xl/worksheets/sheet16.xml" Id="Rb874df93ef624544" /><Relationship Type="http://schemas.openxmlformats.org/officeDocument/2006/relationships/worksheet" Target="/xl/worksheets/sheet17.xml" Id="R4ea47c750f52402b" /><Relationship Type="http://schemas.openxmlformats.org/officeDocument/2006/relationships/worksheet" Target="/xl/worksheets/sheet18.xml" Id="R0b56f30f350a4b44" /><Relationship Type="http://schemas.openxmlformats.org/officeDocument/2006/relationships/worksheet" Target="/xl/worksheets/sheet19.xml" Id="R9411d1c4f7a14597" /><Relationship Type="http://schemas.openxmlformats.org/officeDocument/2006/relationships/worksheet" Target="/xl/worksheets/sheet20.xml" Id="R69e292d23d5349fe" /><Relationship Type="http://schemas.openxmlformats.org/officeDocument/2006/relationships/worksheet" Target="/xl/worksheets/sheet21.xml" Id="Reaffb6f84a70448e" /><Relationship Type="http://schemas.openxmlformats.org/officeDocument/2006/relationships/worksheet" Target="/xl/worksheets/sheet22.xml" Id="R5bb40a74fc244f10" /><Relationship Type="http://schemas.openxmlformats.org/officeDocument/2006/relationships/worksheet" Target="/xl/worksheets/sheet23.xml" Id="R3490693f3e18445c" /><Relationship Type="http://schemas.openxmlformats.org/officeDocument/2006/relationships/worksheet" Target="/xl/worksheets/sheet24.xml" Id="Rf574654a564344fd" /><Relationship Type="http://schemas.openxmlformats.org/officeDocument/2006/relationships/worksheet" Target="/xl/worksheets/sheet25.xml" Id="Rafba417203bf4627" /><Relationship Type="http://schemas.openxmlformats.org/officeDocument/2006/relationships/worksheet" Target="/xl/worksheets/sheet26.xml" Id="Rfc59e1efc43c4e72" /><Relationship Type="http://schemas.openxmlformats.org/officeDocument/2006/relationships/worksheet" Target="/xl/worksheets/sheet27.xml" Id="Reebe6f7bec854fb9" /><Relationship Type="http://schemas.openxmlformats.org/officeDocument/2006/relationships/worksheet" Target="/xl/worksheets/sheet28.xml" Id="R1d4f423c7019428a" /><Relationship Type="http://schemas.openxmlformats.org/officeDocument/2006/relationships/worksheet" Target="/xl/worksheets/sheet29.xml" Id="Rc1fb59d397354ba4" /><Relationship Type="http://schemas.openxmlformats.org/officeDocument/2006/relationships/worksheet" Target="/xl/worksheets/sheet30.xml" Id="Rc9ff90f4708c4ab8" /><Relationship Type="http://schemas.openxmlformats.org/officeDocument/2006/relationships/worksheet" Target="/xl/worksheets/sheet31.xml" Id="Rd753d7f853a74b6c" /><Relationship Type="http://schemas.openxmlformats.org/officeDocument/2006/relationships/worksheet" Target="/xl/worksheets/sheet32.xml" Id="R0ba5376edbdd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6" hidden="0" customWidth="1"/>
    <x:col min="4" max="4" width="42" hidden="0" customWidth="1"/>
    <x:col min="5" max="5" width="18" hidden="0" customWidth="1"/>
    <x:col min="6" max="6" width="52" hidden="0" customWidth="1"/>
  </x:cols>
  <x:sheetData>
    <x:row r="2" ht="24" customHeight="1">
      <x:c r="C2" s="69" t="str">
        <x:v>Cascadia Joint Resilience Campaign Model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ht="30" customHeight="1">
      <x:c r="C3" s="71" t="str">
        <x:v>Pass 25 item-level deployment, access, service closure, sustainment, reverse flow, relief and reconstitution model. Real 2026 USD; deterministic design study, not an operational forecast.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</x:row>
    <x:row r="6">
      <x:c r="C6" s="16" t="str">
        <x:v>Reader question</x:v>
      </x:c>
      <x:c r="D6" s="17" t="str">
        <x:v>Workbook answer</x:v>
      </x:c>
      <x:c r="E6" s="17" t="str">
        <x:v>Status</x:v>
      </x:c>
      <x:c r="F6" s="18" t="str">
        <x:v>Where to inspect</x:v>
      </x:c>
      <x:c r="G6" s="72"/>
      <x:c r="H6" s="72"/>
      <x:c r="I6" s="72"/>
      <x:c r="J6" s="72"/>
      <x:c r="K6" s="72"/>
      <x:c r="L6" s="72"/>
      <x:c r="M6" s="72"/>
      <x:c r="N6" s="72"/>
      <x:c r="O6" s="72"/>
      <x:c r="P6" s="72"/>
    </x:row>
    <x:row r="7">
      <x:c r="C7" s="26" t="str">
        <x:v>What failed in Pass 24?</x:v>
      </x:c>
      <x:c r="D7" s="26" t="str">
        <x:v>Cascadia lost reception, responder bases and sustainment together under a correlated primary-path loss.</x:v>
      </x:c>
      <x:c r="E7" s="26" t="str">
        <x:v>Inherited finding</x:v>
      </x:c>
      <x:c r="F7" s="26" t="str">
        <x:v>Scenario; Campaign Closure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</x:row>
    <x:row r="8">
      <x:c r="C8" s="26" t="str">
        <x:v>What changes here?</x:v>
      </x:c>
      <x:c r="D8" s="26" t="str">
        <x:v>The campaign is split into nine service islands and eleven independent correlation groups with item-level load and queue records.</x:v>
      </x:c>
      <x:c r="E8" s="26" t="str">
        <x:v>Modeled</x:v>
      </x:c>
      <x:c r="F8" s="26" t="str">
        <x:v>Zones; Paths; Cargo Records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>
      <x:c r="C9" s="26" t="str">
        <x:v>Does the mature architecture close?</x:v>
      </x:c>
      <x:c r="D9" s="26" t="str">
        <x:v>All four deployment waves, ten service families, nine zone path tests, responder basing, 90-day supply, reverse flow and staff flow close under the selected stress case.</x:v>
      </x:c>
      <x:c r="E9" s="26" t="str">
        <x:v>Formula result</x:v>
      </x:c>
      <x:c r="F9" s="26" t="str">
        <x:v>Campaign Closure; Checks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</x:row>
    <x:row r="10">
      <x:c r="C10" s="26" t="str">
        <x:v>What remains unproved?</x:v>
      </x:c>
      <x:c r="D10" s="26" t="str">
        <x:v>Every throughput, repair, service-effect, workforce, cost and technology coefficient remains an evidence gate.</x:v>
      </x:c>
      <x:c r="E10" s="26" t="str">
        <x:v>OPEN</x:v>
      </x:c>
      <x:c r="F10" s="26" t="str">
        <x:v>Evidence Gates</x:v>
      </x:c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</x:row>
    <x:row r="11">
      <x:c r="C11" s="26" t="str">
        <x:v>Are the costs additive?</x:v>
      </x:c>
      <x:c r="D11" s="26" t="str">
        <x:v>No. The Cascadia posture is an attributable regional slice inside the Pass 24 deployment enterprise and Pass 23 Department envelope.</x:v>
      </x:c>
      <x:c r="E11" s="26" t="str">
        <x:v>Accounting rule</x:v>
      </x:c>
      <x:c r="F11" s="26" t="str">
        <x:v>Capital Build; Operating Cost</x:v>
      </x:c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</x:row>
    <x:row r="12">
      <x:c r="C12" s="26" t="str">
        <x:v>Are renderings authorized?</x:v>
      </x:c>
      <x:c r="D12" s="26" t="str">
        <x:v>No. This pass defines engineering thresholds but does not establish exterior geometry.</x:v>
      </x:c>
      <x:c r="E12" s="26" t="str">
        <x:v>OPEN</x:v>
      </x:c>
      <x:c r="F12" s="26" t="str">
        <x:v>Innovation Requirements; Evidence Gates</x:v>
      </x:c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</x:row>
    <x:row r="13">
      <x:c r="C13" s="73"/>
      <x:c r="D13" s="73"/>
      <x:c r="E13" s="73"/>
      <x:c r="F13" s="73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</x:row>
    <x:row r="14">
      <x:c r="C14" s="73"/>
      <x:c r="D14" s="73"/>
      <x:c r="E14" s="73"/>
      <x:c r="F14" s="73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</x:row>
    <x:row r="15">
      <x:c r="C15" s="74" t="str">
        <x:v>Calculation flow</x:v>
      </x:c>
      <x:c r="D15" s="75" t="str">
        <x:v>Calculation flow</x:v>
      </x:c>
      <x:c r="E15" s="75" t="str">
        <x:v>Calculation flow</x:v>
      </x:c>
      <x:c r="F15" s="76" t="str">
        <x:v>Calculation flow</x:v>
      </x:c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</x:row>
    <x:row r="16">
      <x:c r="C16" s="73"/>
      <x:c r="D16" s="73"/>
      <x:c r="E16" s="73"/>
      <x:c r="F16" s="73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</x:row>
    <x:row r="17">
      <x:c r="C17" s="16" t="str">
        <x:v>Step</x:v>
      </x:c>
      <x:c r="D17" s="17" t="str">
        <x:v>Role</x:v>
      </x:c>
      <x:c r="E17" s="17" t="str">
        <x:v>Sheets</x:v>
      </x:c>
      <x:c r="F17" s="18" t="str">
        <x:v>Interpretation</x:v>
      </x:c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</x:row>
    <x:row r="18">
      <x:c r="C18" s="26" t="str">
        <x:v>1</x:v>
      </x:c>
      <x:c r="D18" s="26" t="str">
        <x:v>Hazard and public-service demand</x:v>
      </x:c>
      <x:c r="E18" s="26" t="str">
        <x:v>Scenario; Service Demand; Zones</x:v>
      </x:c>
      <x:c r="F18" s="26" t="str">
        <x:v>Sourced planning conditions remain separate from design assumptions.</x:v>
      </x:c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</x:row>
    <x:row r="19">
      <x:c r="C19" s="26" t="str">
        <x:v>2</x:v>
      </x:c>
      <x:c r="D19" s="26" t="str">
        <x:v>Independent entry architecture</x:v>
      </x:c>
      <x:c r="E19" s="26" t="str">
        <x:v>Origin Hubs; Entry Nodes; Paths</x:v>
      </x:c>
      <x:c r="F19" s="26" t="str">
        <x:v>Air, maritime, inland-water, road, rail, vertical and cache paths have distinct correlation groups.</x:v>
      </x:c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</x:row>
    <x:row r="20">
      <x:c r="C20" s="26" t="str">
        <x:v>3</x:v>
      </x:c>
      <x:c r="D20" s="26" t="str">
        <x:v>Formation load and clearance</x:v>
      </x:c>
      <x:c r="E20" s="26" t="str">
        <x:v>Cargo Records; Path Daily; Cargo Clearance; Deployment Queue</x:v>
      </x:c>
      <x:c r="F20" s="26" t="str">
        <x:v>Mass, volume, TEU, handling and deadline all affect clearance.</x:v>
      </x:c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</x:row>
    <x:row r="21">
      <x:c r="C21" s="26" t="str">
        <x:v>4</x:v>
      </x:c>
      <x:c r="D21" s="26" t="str">
        <x:v>Service closure</x:v>
      </x:c>
      <x:c r="E21" s="26" t="str">
        <x:v>Wave Closure; Service Closure; Campaign Closure</x:v>
      </x:c>
      <x:c r="F21" s="26" t="str">
        <x:v>Arrival counts only when a complete service family reaches its deadline.</x:v>
      </x:c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</x:row>
    <x:row r="22">
      <x:c r="C22" s="26" t="str">
        <x:v>5</x:v>
      </x:c>
      <x:c r="D22" s="26" t="str">
        <x:v>Endurance and return</x:v>
      </x:c>
      <x:c r="E22" s="26" t="str">
        <x:v>Responder Bases; Sustainment; Reverse Flow; Staff Flow; Reconstitution</x:v>
      </x:c>
      <x:c r="F22" s="26" t="str">
        <x:v>The force must remain independent of damaged host utilities and leave safely.</x:v>
      </x:c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</x:row>
    <x:row r="23">
      <x:c r="C23" s="26" t="str">
        <x:v>6</x:v>
      </x:c>
      <x:c r="D23" s="26" t="str">
        <x:v>Industrial implication</x:v>
      </x:c>
      <x:c r="E23" s="26" t="str">
        <x:v>Innovation Requirements; Capital Build; Annual Funding; Operating Cost</x:v>
      </x:c>
      <x:c r="F23" s="26" t="str">
        <x:v>Requirements and costs remain hypotheses until gates close.</x:v>
      </x:c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</x:row>
    <x:row r="24">
      <x:c r="C24" s="26" t="str">
        <x:v>7</x:v>
      </x:c>
      <x:c r="D24" s="26" t="str">
        <x:v>Audit</x:v>
      </x:c>
      <x:c r="E24" s="26" t="str">
        <x:v>Authority Gates; Failure Modes; Evidence Gates; Sources; Checks</x:v>
      </x:c>
      <x:c r="F24" s="26" t="str">
        <x:v>Open evidence is visible rather than converted into false precision.</x:v>
      </x:c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</x:row>
  </x:sheetData>
  <x:mergeCells>
    <x:mergeCell ref="C2:P2"/>
    <x:mergeCell ref="C3:P3"/>
  </x:mergeCells>
  <x:conditionalFormatting sqref="E7:E12">
    <x:cfRule type="containsText" dxfId="0" priority="1" operator="containsText" text="PASS"/>
    <x:cfRule type="containsText" dxfId="1" priority="2" operator="containsText" text="CLOSE"/>
    <x:cfRule type="containsText" dxfId="2" priority="3" operator="containsText" text="FAIL"/>
    <x:cfRule type="containsText" dxfId="3" priority="4" operator="containsText" text="LATE"/>
    <x:cfRule type="containsText" dxfId="4" priority="5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24" hidden="0" customWidth="1"/>
    <x:col min="5" max="5" width="24" hidden="0" customWidth="1"/>
  </x:cols>
  <x:sheetData>
    <x:row r="2" ht="24" customHeight="1">
      <x:c r="C2" s="69" t="str">
        <x:v>Controls</x:v>
      </x:c>
      <x:c r="D2" s="70"/>
      <x:c r="E2" s="70"/>
      <x:c r="F2" s="70"/>
      <x:c r="G2" s="70"/>
      <x:c r="H2" s="70"/>
    </x:row>
    <x:row r="3" ht="30" customHeight="1">
      <x:c r="C3" s="71" t="str">
        <x:v>Yellow cells are editable design-study inputs. The selected stress case drives path opening and correlated aftershock and winter derating.</x:v>
      </x:c>
      <x:c r="D3" s="71"/>
      <x:c r="E3" s="71"/>
      <x:c r="F3" s="71"/>
      <x:c r="G3" s="71"/>
      <x:c r="H3" s="71"/>
    </x:row>
    <x:row r="4">
      <x:c r="C4" s="72"/>
      <x:c r="D4" s="72"/>
      <x:c r="E4" s="72"/>
      <x:c r="F4" s="72"/>
      <x:c r="G4" s="72"/>
      <x:c r="H4" s="72"/>
    </x:row>
    <x:row r="5">
      <x:c r="C5" s="72"/>
      <x:c r="D5" s="72"/>
      <x:c r="E5" s="72"/>
      <x:c r="F5" s="72"/>
      <x:c r="G5" s="72"/>
      <x:c r="H5" s="72"/>
    </x:row>
    <x:row r="6">
      <x:c r="C6" s="16" t="str">
        <x:v>Control</x:v>
      </x:c>
      <x:c r="D6" s="17" t="str">
        <x:v>Selected value</x:v>
      </x:c>
      <x:c r="E6" s="18" t="str">
        <x:v>Unit or state</x:v>
      </x:c>
      <x:c r="F6" s="72"/>
      <x:c r="G6" s="72"/>
      <x:c r="H6" s="72"/>
    </x:row>
    <x:row r="7">
      <x:c r="C7" s="20" t="str">
        <x:v>Selected case</x:v>
      </x:c>
      <x:c r="D7" s="32" t="str">
        <x:v>Correlated aftershock + winter</x:v>
      </x:c>
      <x:c r="E7" s="20" t="str">
        <x:v>case</x:v>
      </x:c>
      <x:c r="F7" s="72"/>
      <x:c r="G7" s="72"/>
      <x:c r="H7" s="72"/>
    </x:row>
    <x:row r="8">
      <x:c r="C8" s="20" t="str">
        <x:v>Campaign horizon</x:v>
      </x:c>
      <x:c r="D8" s="32" t="n">
        <x:v>90</x:v>
      </x:c>
      <x:c r="E8" s="20" t="str">
        <x:v>days</x:v>
      </x:c>
      <x:c r="F8" s="72"/>
      <x:c r="G8" s="72"/>
      <x:c r="H8" s="72"/>
    </x:row>
    <x:row r="9">
      <x:c r="C9" s="20" t="str">
        <x:v>Reconstitution horizon</x:v>
      </x:c>
      <x:c r="D9" s="32" t="n">
        <x:v>180</x:v>
      </x:c>
      <x:c r="E9" s="20" t="str">
        <x:v>days</x:v>
      </x:c>
      <x:c r="F9" s="72"/>
      <x:c r="G9" s="72"/>
      <x:c r="H9" s="72"/>
    </x:row>
    <x:row r="10">
      <x:c r="C10" s="20" t="str">
        <x:v>Campaign formation mass</x:v>
      </x:c>
      <x:c r="D10" s="32" t="n">
        <x:v>1762600</x:v>
      </x:c>
      <x:c r="E10" s="20" t="str">
        <x:v>tonnes</x:v>
      </x:c>
      <x:c r="F10" s="72"/>
      <x:c r="G10" s="72"/>
      <x:c r="H10" s="72"/>
    </x:row>
    <x:row r="11">
      <x:c r="C11" s="20" t="str">
        <x:v>Deployed people at full closure</x:v>
      </x:c>
      <x:c r="D11" s="32" t="n">
        <x:v>108110</x:v>
      </x:c>
      <x:c r="E11" s="20" t="str">
        <x:v>people</x:v>
      </x:c>
      <x:c r="F11" s="72"/>
      <x:c r="G11" s="72"/>
      <x:c r="H11" s="72"/>
    </x:row>
    <x:row r="12">
      <x:c r="C12" s="20" t="str">
        <x:v>Pass 24 peak sustainment anchor</x:v>
      </x:c>
      <x:c r="D12" s="32" t="n">
        <x:v>22520</x:v>
      </x:c>
      <x:c r="E12" s="20" t="str">
        <x:v>tonnes/day</x:v>
      </x:c>
      <x:c r="F12" s="72"/>
      <x:c r="G12" s="72"/>
      <x:c r="H12" s="72"/>
    </x:row>
    <x:row r="13">
      <x:c r="C13" s="20" t="str">
        <x:v>People requiring food and water support</x:v>
      </x:c>
      <x:c r="D13" s="32" t="n">
        <x:v>2400000</x:v>
      </x:c>
      <x:c r="E13" s="20" t="str">
        <x:v>people</x:v>
      </x:c>
      <x:c r="F13" s="72"/>
      <x:c r="G13" s="72"/>
      <x:c r="H13" s="72"/>
    </x:row>
    <x:row r="14">
      <x:c r="C14" s="20" t="str">
        <x:v>People requiring emergency shelter</x:v>
      </x:c>
      <x:c r="D14" s="32" t="n">
        <x:v>933000</x:v>
      </x:c>
      <x:c r="E14" s="20" t="str">
        <x:v>people</x:v>
      </x:c>
      <x:c r="F14" s="72"/>
      <x:c r="G14" s="72"/>
      <x:c r="H14" s="72"/>
    </x:row>
    <x:row r="15">
      <x:c r="C15" s="20" t="str">
        <x:v>Initial injuries planning anchor</x:v>
      </x:c>
      <x:c r="D15" s="32" t="n">
        <x:v>27000</x:v>
      </x:c>
      <x:c r="E15" s="20" t="str">
        <x:v>people</x:v>
      </x:c>
      <x:c r="F15" s="72"/>
      <x:c r="G15" s="72"/>
      <x:c r="H15" s="72"/>
    </x:row>
    <x:row r="16">
      <x:c r="C16" s="20" t="str">
        <x:v>Patient movement planning anchor</x:v>
      </x:c>
      <x:c r="D16" s="32" t="n">
        <x:v>119000</x:v>
      </x:c>
      <x:c r="E16" s="20" t="str">
        <x:v>people</x:v>
      </x:c>
      <x:c r="F16" s="72"/>
      <x:c r="G16" s="72"/>
      <x:c r="H16" s="72"/>
    </x:row>
    <x:row r="17">
      <x:c r="C17" s="20" t="str">
        <x:v>Required independent correlation groups by zone</x:v>
      </x:c>
      <x:c r="D17" s="32" t="n">
        <x:v>3</x:v>
      </x:c>
      <x:c r="E17" s="20" t="str">
        <x:v>groups by day 14</x:v>
      </x:c>
      <x:c r="F17" s="72"/>
      <x:c r="G17" s="72"/>
      <x:c r="H17" s="72"/>
    </x:row>
    <x:row r="18">
      <x:c r="C18" s="20" t="str">
        <x:v>Local survival-supply reserve</x:v>
      </x:c>
      <x:c r="D18" s="32" t="n">
        <x:v>80000</x:v>
      </x:c>
      <x:c r="E18" s="20" t="str">
        <x:v>tonnes</x:v>
      </x:c>
      <x:c r="F18" s="72"/>
      <x:c r="G18" s="72"/>
      <x:c r="H18" s="72"/>
    </x:row>
    <x:row r="19">
      <x:c r="C19" s="20" t="str">
        <x:v>Local survival reserve release limit</x:v>
      </x:c>
      <x:c r="D19" s="32" t="n">
        <x:v>20000</x:v>
      </x:c>
      <x:c r="E19" s="20" t="str">
        <x:v>tonnes/day</x:v>
      </x:c>
      <x:c r="F19" s="72"/>
      <x:c r="G19" s="72"/>
      <x:c r="H19" s="72"/>
    </x:row>
    <x:row r="20">
      <x:c r="C20" s="20" t="str">
        <x:v>Responder-base operating margin</x:v>
      </x:c>
      <x:c r="D20" s="33" t="n">
        <x:v>1.15</x:v>
      </x:c>
      <x:c r="E20" s="20" t="str">
        <x:v>x deployed people</x:v>
      </x:c>
      <x:c r="F20" s="72"/>
      <x:c r="G20" s="72"/>
      <x:c r="H20" s="72"/>
    </x:row>
    <x:row r="21">
      <x:c r="C21" s="20" t="str">
        <x:v>Reconstitution inspection lag</x:v>
      </x:c>
      <x:c r="D21" s="32" t="n">
        <x:v>30</x:v>
      </x:c>
      <x:c r="E21" s="20" t="str">
        <x:v>days</x:v>
      </x:c>
      <x:c r="F21" s="72"/>
      <x:c r="G21" s="72"/>
      <x:c r="H21" s="72"/>
    </x:row>
    <x:row r="22">
      <x:c r="C22" s="20" t="str">
        <x:v>Capital reserve</x:v>
      </x:c>
      <x:c r="D22" s="34" t="n">
        <x:v>0.2</x:v>
      </x:c>
      <x:c r="E22" s="20" t="str">
        <x:v>% of subtotal</x:v>
      </x:c>
      <x:c r="F22" s="72"/>
      <x:c r="G22" s="72"/>
      <x:c r="H22" s="72"/>
    </x:row>
    <x:row r="23">
      <x:c r="C23" s="20" t="str">
        <x:v>Price basis</x:v>
      </x:c>
      <x:c r="D23" s="32" t="str">
        <x:v>Real 2026 USD</x:v>
      </x:c>
      <x:c r="E23" s="20" t="str">
        <x:v>basis</x:v>
      </x:c>
      <x:c r="F23" s="72"/>
      <x:c r="G23" s="72"/>
      <x:c r="H23" s="72"/>
    </x:row>
    <x:row r="24">
      <x:c r="C24" s="20" t="str">
        <x:v>Rendering gate</x:v>
      </x:c>
      <x:c r="D24" s="32" t="str">
        <x:v>OPEN</x:v>
      </x:c>
      <x:c r="E24" s="20" t="str">
        <x:v>state</x:v>
      </x:c>
      <x:c r="F24" s="72"/>
      <x:c r="G24" s="72"/>
      <x:c r="H24" s="72"/>
    </x:row>
  </x:sheetData>
  <x:mergeCells>
    <x:mergeCell ref="C2:H2"/>
    <x:mergeCell ref="C3:H3"/>
  </x:mergeCells>
  <x:conditionalFormatting sqref="D24:D24">
    <x:cfRule type="containsText" dxfId="5" priority="1" operator="containsText" text="PASS"/>
    <x:cfRule type="containsText" dxfId="6" priority="2" operator="containsText" text="CLOSE"/>
    <x:cfRule type="containsText" dxfId="7" priority="3" operator="containsText" text="FAIL"/>
    <x:cfRule type="containsText" dxfId="8" priority="4" operator="containsText" text="LATE"/>
    <x:cfRule type="containsText" dxfId="9" priority="5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24" hidden="0" customWidth="1"/>
    <x:col min="6" max="6" width="26" hidden="0" customWidth="1"/>
    <x:col min="7" max="7" width="18" hidden="0" customWidth="1"/>
    <x:col min="8" max="8" width="52" hidden="0" customWidth="1"/>
  </x:cols>
  <x:sheetData>
    <x:row r="2" ht="24" customHeight="1">
      <x:c r="C2" s="69" t="str">
        <x:v>Scenario Frame</x:v>
      </x:c>
      <x:c r="D2" s="70"/>
      <x:c r="E2" s="70"/>
      <x:c r="F2" s="70"/>
      <x:c r="G2" s="70"/>
      <x:c r="H2" s="70"/>
      <x:c r="I2" s="70"/>
      <x:c r="J2" s="70"/>
      <x:c r="K2" s="70"/>
      <x:c r="L2" s="70"/>
    </x:row>
    <x:row r="3" ht="30" customHeight="1">
      <x:c r="C3" s="71" t="str">
        <x:v>The hazard footprint comes from official Cascadia scenario and resilience studies. Operational quantities are explicit force-design assumptions.</x:v>
      </x:c>
      <x:c r="D3" s="71"/>
      <x:c r="E3" s="71"/>
      <x:c r="F3" s="71"/>
      <x:c r="G3" s="71"/>
      <x:c r="H3" s="71"/>
      <x:c r="I3" s="71"/>
      <x:c r="J3" s="71"/>
      <x:c r="K3" s="71"/>
      <x:c r="L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</x:row>
    <x:row r="6">
      <x:c r="C6" s="16" t="str">
        <x:v>Variable</x:v>
      </x:c>
      <x:c r="D6" s="17" t="str">
        <x:v>Base value</x:v>
      </x:c>
      <x:c r="E6" s="17" t="str">
        <x:v>Unit</x:v>
      </x:c>
      <x:c r="F6" s="17" t="str">
        <x:v>Evidence class</x:v>
      </x:c>
      <x:c r="G6" s="17" t="str">
        <x:v>Source key</x:v>
      </x:c>
      <x:c r="H6" s="18" t="str">
        <x:v>Design use</x:v>
      </x:c>
      <x:c r="I6" s="72"/>
      <x:c r="J6" s="72"/>
      <x:c r="K6" s="72"/>
      <x:c r="L6" s="72"/>
    </x:row>
    <x:row r="7">
      <x:c r="C7" s="26" t="str">
        <x:v>Fault extent</x:v>
      </x:c>
      <x:c r="D7" s="26" t="n">
        <x:v>700</x:v>
      </x:c>
      <x:c r="E7" s="26" t="str">
        <x:v>miles</x:v>
      </x:c>
      <x:c r="F7" s="26" t="str">
        <x:v>published</x:v>
      </x:c>
      <x:c r="G7" s="26" t="str">
        <x:v>WA-CR22</x:v>
      </x:c>
      <x:c r="H7" s="26" t="str">
        <x:v>Regional rather than metropolitan campaign</x:v>
      </x:c>
      <x:c r="I7" s="72"/>
      <x:c r="J7" s="72"/>
      <x:c r="K7" s="72"/>
      <x:c r="L7" s="72"/>
    </x:row>
    <x:row r="8">
      <x:c r="C8" s="26" t="str">
        <x:v>Mainshock magnitude</x:v>
      </x:c>
      <x:c r="D8" s="26" t="n">
        <x:v>9</x:v>
      </x:c>
      <x:c r="E8" s="26" t="str">
        <x:v>Mw</x:v>
      </x:c>
      <x:c r="F8" s="26" t="str">
        <x:v>scenario</x:v>
      </x:c>
      <x:c r="G8" s="26" t="str">
        <x:v>USGS-CSZM9</x:v>
      </x:c>
      <x:c r="H8" s="26" t="str">
        <x:v>Median ensemble basis; not a prediction</x:v>
      </x:c>
      <x:c r="I8" s="72"/>
      <x:c r="J8" s="72"/>
      <x:c r="K8" s="72"/>
      <x:c r="L8" s="72"/>
    </x:row>
    <x:row r="9">
      <x:c r="C9" s="26" t="str">
        <x:v>Strong shaking duration</x:v>
      </x:c>
      <x:c r="D9" s="26" t="n">
        <x:v>4</x:v>
      </x:c>
      <x:c r="E9" s="26" t="str">
        <x:v>minutes, planning midpoint</x:v>
      </x:c>
      <x:c r="F9" s="26" t="str">
        <x:v>published range 2–6</x:v>
      </x:c>
      <x:c r="G9" s="26" t="str">
        <x:v>WA-RRAP19</x:v>
      </x:c>
      <x:c r="H9" s="26" t="str">
        <x:v>Long-duration structural fatigue and inspection burden</x:v>
      </x:c>
      <x:c r="I9" s="72"/>
      <x:c r="J9" s="72"/>
      <x:c r="K9" s="72"/>
      <x:c r="L9" s="72"/>
    </x:row>
    <x:row r="10">
      <x:c r="C10" s="26" t="str">
        <x:v>Coastal and regional impact</x:v>
      </x:c>
      <x:c r="D10" s="26" t="n">
        <x:v>9</x:v>
      </x:c>
      <x:c r="E10" s="26" t="str">
        <x:v>service islands</x:v>
      </x:c>
      <x:c r="F10" s="26" t="str">
        <x:v>design decomposition</x:v>
      </x:c>
      <x:c r="G10" s="26" t="str">
        <x:v>ASSUMPTION</x:v>
      </x:c>
      <x:c r="H10" s="26" t="str">
        <x:v>Prevents one intact hub from standing in for isolated communities</x:v>
      </x:c>
      <x:c r="I10" s="72"/>
      <x:c r="J10" s="72"/>
      <x:c r="K10" s="72"/>
      <x:c r="L10" s="72"/>
    </x:row>
    <x:row r="11">
      <x:c r="C11" s="26" t="str">
        <x:v>Food and water support population</x:v>
      </x:c>
      <x:c r="D11" s="26" t="n">
        <x:v>2400000</x:v>
      </x:c>
      <x:c r="E11" s="26" t="str">
        <x:v>people</x:v>
      </x:c>
      <x:c r="F11" s="26" t="str">
        <x:v>legacy planning anchor</x:v>
      </x:c>
      <x:c r="G11" s="26" t="str">
        <x:v>HITRAC-CSZ11</x:v>
      </x:c>
      <x:c r="H11" s="26" t="str">
        <x:v>Public commodity and service target</x:v>
      </x:c>
      <x:c r="I11" s="72"/>
      <x:c r="J11" s="72"/>
      <x:c r="K11" s="72"/>
      <x:c r="L11" s="72"/>
    </x:row>
    <x:row r="12">
      <x:c r="C12" s="26" t="str">
        <x:v>Emergency shelter population</x:v>
      </x:c>
      <x:c r="D12" s="26" t="n">
        <x:v>933000</x:v>
      </x:c>
      <x:c r="E12" s="26" t="str">
        <x:v>people</x:v>
      </x:c>
      <x:c r="F12" s="26" t="str">
        <x:v>legacy planning anchor</x:v>
      </x:c>
      <x:c r="G12" s="26" t="str">
        <x:v>HITRAC-CSZ11</x:v>
      </x:c>
      <x:c r="H12" s="26" t="str">
        <x:v>Shelter and sanitation target</x:v>
      </x:c>
      <x:c r="I12" s="72"/>
      <x:c r="J12" s="72"/>
      <x:c r="K12" s="72"/>
      <x:c r="L12" s="72"/>
    </x:row>
    <x:row r="13">
      <x:c r="C13" s="26" t="str">
        <x:v>Initial injuries</x:v>
      </x:c>
      <x:c r="D13" s="26" t="n">
        <x:v>27000</x:v>
      </x:c>
      <x:c r="E13" s="26" t="str">
        <x:v>people</x:v>
      </x:c>
      <x:c r="F13" s="26" t="str">
        <x:v>legacy planning anchor</x:v>
      </x:c>
      <x:c r="G13" s="26" t="str">
        <x:v>HITRAC-CSZ11</x:v>
      </x:c>
      <x:c r="H13" s="26" t="str">
        <x:v>Clinical and patient-regulation target</x:v>
      </x:c>
      <x:c r="I13" s="72"/>
      <x:c r="J13" s="72"/>
      <x:c r="K13" s="72"/>
      <x:c r="L13" s="72"/>
    </x:row>
    <x:row r="14">
      <x:c r="C14" s="26" t="str">
        <x:v>Hospital and nursing-facility movement</x:v>
      </x:c>
      <x:c r="D14" s="26" t="n">
        <x:v>119000</x:v>
      </x:c>
      <x:c r="E14" s="26" t="str">
        <x:v>people</x:v>
      </x:c>
      <x:c r="F14" s="26" t="str">
        <x:v>legacy planning anchor</x:v>
      </x:c>
      <x:c r="G14" s="26" t="str">
        <x:v>HITRAC-CSZ11</x:v>
      </x:c>
      <x:c r="H14" s="26" t="str">
        <x:v>Patient-movement throughput</x:v>
      </x:c>
      <x:c r="I14" s="72"/>
      <x:c r="J14" s="72"/>
      <x:c r="K14" s="72"/>
      <x:c r="L14" s="72"/>
    </x:row>
    <x:row r="15">
      <x:c r="C15" s="26" t="str">
        <x:v>Current coastal water/sewer restoration</x:v>
      </x:c>
      <x:c r="D15" s="26" t="n">
        <x:v>1</x:v>
      </x:c>
      <x:c r="E15" s="26" t="str">
        <x:v>to 3 years</x:v>
      </x:c>
      <x:c r="F15" s="26" t="str">
        <x:v>published planning estimate</x:v>
      </x:c>
      <x:c r="G15" s="26" t="str">
        <x:v>ORP-2013</x:v>
      </x:c>
      <x:c r="H15" s="26" t="str">
        <x:v>Justifies 90-day independent utility projection</x:v>
      </x:c>
      <x:c r="I15" s="72"/>
      <x:c r="J15" s="72"/>
      <x:c r="K15" s="72"/>
      <x:c r="L15" s="72"/>
    </x:row>
    <x:row r="16">
      <x:c r="C16" s="26" t="str">
        <x:v>Current valley top-priority highway partial restoration</x:v>
      </x:c>
      <x:c r="D16" s="26" t="n">
        <x:v>6</x:v>
      </x:c>
      <x:c r="E16" s="26" t="str">
        <x:v>to 12 months</x:v>
      </x:c>
      <x:c r="F16" s="26" t="str">
        <x:v>published planning estimate</x:v>
      </x:c>
      <x:c r="G16" s="26" t="str">
        <x:v>ORP-2013</x:v>
      </x:c>
      <x:c r="H16" s="26" t="str">
        <x:v>Justifies alternate routes and expeditionary bridges</x:v>
      </x:c>
      <x:c r="I16" s="72"/>
      <x:c r="J16" s="72"/>
      <x:c r="K16" s="72"/>
      <x:c r="L16" s="72"/>
    </x:row>
    <x:row r="17">
      <x:c r="C17" s="26" t="str">
        <x:v>Oregon public-use airports</x:v>
      </x:c>
      <x:c r="D17" s="26" t="n">
        <x:v>97</x:v>
      </x:c>
      <x:c r="E17" s="26" t="str">
        <x:v>airports</x:v>
      </x:c>
      <x:c r="F17" s="26" t="str">
        <x:v>published</x:v>
      </x:c>
      <x:c r="G17" s="26" t="str">
        <x:v>ORP-2013</x:v>
      </x:c>
      <x:c r="H17" s="26" t="str">
        <x:v>Distributed aviation opportunity</x:v>
      </x:c>
      <x:c r="I17" s="72"/>
      <x:c r="J17" s="72"/>
      <x:c r="K17" s="72"/>
      <x:c r="L17" s="72"/>
    </x:row>
    <x:row r="18">
      <x:c r="C18" s="26" t="str">
        <x:v>Oregon coastal airports expected lost to tsunami</x:v>
      </x:c>
      <x:c r="D18" s="26" t="n">
        <x:v>8</x:v>
      </x:c>
      <x:c r="E18" s="26" t="str">
        <x:v>of 15</x:v>
      </x:c>
      <x:c r="F18" s="26" t="str">
        <x:v>published scenario finding</x:v>
      </x:c>
      <x:c r="G18" s="26" t="str">
        <x:v>ORP-2013</x:v>
      </x:c>
      <x:c r="H18" s="26" t="str">
        <x:v>No single coastal-airfield assumption</x:v>
      </x:c>
      <x:c r="I18" s="72"/>
      <x:c r="J18" s="72"/>
      <x:c r="K18" s="72"/>
      <x:c r="L18" s="72"/>
    </x:row>
    <x:row r="19">
      <x:c r="C19" s="26" t="str">
        <x:v>Port crane obstruction removal</x:v>
      </x:c>
      <x:c r="D19" s="26" t="n">
        <x:v>6</x:v>
      </x:c>
      <x:c r="E19" s="26" t="str">
        <x:v>months, reported concern</x:v>
      </x:c>
      <x:c r="F19" s="26" t="str">
        <x:v>stakeholder finding</x:v>
      </x:c>
      <x:c r="G19" s="26" t="str">
        <x:v>WA-RRAP19</x:v>
      </x:c>
      <x:c r="H19" s="26" t="str">
        <x:v>No-pier and shallow-draft access required</x:v>
      </x:c>
      <x:c r="I19" s="72"/>
      <x:c r="J19" s="72"/>
      <x:c r="K19" s="72"/>
      <x:c r="L19" s="72"/>
    </x:row>
    <x:row r="20">
      <x:c r="C20" s="26" t="str">
        <x:v>Selected winter/aftershock case</x:v>
      </x:c>
      <x:c r="D20" s="26" t="str">
        <x:v>Correlated aftershock + winter</x:v>
      </x:c>
      <x:c r="E20" s="26" t="str">
        <x:v>deterministic stress</x:v>
      </x:c>
      <x:c r="F20" s="26" t="str">
        <x:v>design stress</x:v>
      </x:c>
      <x:c r="G20" s="26" t="str">
        <x:v>ASSUMPTION</x:v>
      </x:c>
      <x:c r="H20" s="26" t="str">
        <x:v>Tests covariance; not a probability</x:v>
      </x:c>
      <x:c r="I20" s="72"/>
      <x:c r="J20" s="72"/>
      <x:c r="K20" s="72"/>
      <x:c r="L20" s="72"/>
    </x:row>
  </x:sheetData>
  <x:mergeCells>
    <x:mergeCell ref="C2:L2"/>
    <x:mergeCell ref="C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28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52" hidden="0" customWidth="1"/>
  </x:cols>
  <x:sheetData>
    <x:row r="2" ht="24" customHeight="1">
      <x:c r="C2" s="69" t="str">
        <x:v>Service Demand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Milestone targets are editable planning requirements. They measure enabled public service, not merely delivered equipment.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Service ID</x:v>
      </x:c>
      <x:c r="D6" s="17" t="str">
        <x:v>Service</x:v>
      </x:c>
      <x:c r="E6" s="17" t="str">
        <x:v>Effect unit</x:v>
      </x:c>
      <x:c r="F6" s="17" t="str">
        <x:v>Day 3</x:v>
      </x:c>
      <x:c r="G6" s="17" t="str">
        <x:v>Day 14</x:v>
      </x:c>
      <x:c r="H6" s="17" t="str">
        <x:v>Day 45</x:v>
      </x:c>
      <x:c r="I6" s="17" t="str">
        <x:v>Day 90</x:v>
      </x:c>
      <x:c r="J6" s="17" t="str">
        <x:v>Evidence class</x:v>
      </x:c>
      <x:c r="K6" s="18" t="str">
        <x:v>Interpretation</x:v>
      </x:c>
      <x:c r="L6" s="72"/>
      <x:c r="M6" s="72"/>
    </x:row>
    <x:row r="7">
      <x:c r="C7" s="26" t="str">
        <x:v>S01</x:v>
      </x:c>
      <x:c r="D7" s="26" t="str">
        <x:v>Civil command coverage</x:v>
      </x:c>
      <x:c r="E7" s="26" t="str">
        <x:v>service islands</x:v>
      </x:c>
      <x:c r="F7" s="36" t="n">
        <x:v>9</x:v>
      </x:c>
      <x:c r="G7" s="36" t="n">
        <x:v>9</x:v>
      </x:c>
      <x:c r="H7" s="36" t="n">
        <x:v>9</x:v>
      </x:c>
      <x:c r="I7" s="36" t="n">
        <x:v>9</x:v>
      </x:c>
      <x:c r="J7" s="26" t="str">
        <x:v>design requirement</x:v>
      </x:c>
      <x:c r="K7" s="26" t="str">
        <x:v>Lawful public-priority and host-interface coverage</x:v>
      </x:c>
      <x:c r="L7" s="72"/>
      <x:c r="M7" s="72"/>
    </x:row>
    <x:row r="8">
      <x:c r="C8" s="26" t="str">
        <x:v>S02</x:v>
      </x:c>
      <x:c r="D8" s="26" t="str">
        <x:v>End-to-end access</x:v>
      </x:c>
      <x:c r="E8" s="26" t="str">
        <x:v>tonnes/day enabled</x:v>
      </x:c>
      <x:c r="F8" s="36" t="n">
        <x:v>25000</x:v>
      </x:c>
      <x:c r="G8" s="36" t="n">
        <x:v>80000</x:v>
      </x:c>
      <x:c r="H8" s="36" t="n">
        <x:v>150000</x:v>
      </x:c>
      <x:c r="I8" s="36" t="n">
        <x:v>160000</x:v>
      </x:c>
      <x:c r="J8" s="26" t="str">
        <x:v>design requirement</x:v>
      </x:c>
      <x:c r="K8" s="26" t="str">
        <x:v>Independent reception, transfer and last-mile throughput</x:v>
      </x:c>
      <x:c r="L8" s="72"/>
      <x:c r="M8" s="72"/>
    </x:row>
    <x:row r="9">
      <x:c r="C9" s="26" t="str">
        <x:v>S03</x:v>
      </x:c>
      <x:c r="D9" s="26" t="str">
        <x:v>Responder basing</x:v>
      </x:c>
      <x:c r="E9" s="26" t="str">
        <x:v>people supported</x:v>
      </x:c>
      <x:c r="F9" s="36" t="n">
        <x:v>25000</x:v>
      </x:c>
      <x:c r="G9" s="36" t="n">
        <x:v>80000</x:v>
      </x:c>
      <x:c r="H9" s="36" t="n">
        <x:v>108110</x:v>
      </x:c>
      <x:c r="I9" s="36" t="n">
        <x:v>108110</x:v>
      </x:c>
      <x:c r="J9" s="26" t="str">
        <x:v>Pass 24 anchor</x:v>
      </x:c>
      <x:c r="K9" s="26" t="str">
        <x:v>No-host-utility lodging, water, power, sanitation and health</x:v>
      </x:c>
      <x:c r="L9" s="72"/>
      <x:c r="M9" s="72"/>
    </x:row>
    <x:row r="10">
      <x:c r="C10" s="26" t="str">
        <x:v>S04</x:v>
      </x:c>
      <x:c r="D10" s="26" t="str">
        <x:v>Potable and essential water</x:v>
      </x:c>
      <x:c r="E10" s="26" t="str">
        <x:v>m3/day delivered</x:v>
      </x:c>
      <x:c r="F10" s="36" t="n">
        <x:v>18000</x:v>
      </x:c>
      <x:c r="G10" s="36" t="n">
        <x:v>36000</x:v>
      </x:c>
      <x:c r="H10" s="36" t="n">
        <x:v>48000</x:v>
      </x:c>
      <x:c r="I10" s="36" t="n">
        <x:v>48000</x:v>
      </x:c>
      <x:c r="J10" s="26" t="str">
        <x:v>service-library calculation</x:v>
      </x:c>
      <x:c r="K10" s="26" t="str">
        <x:v>7.5, 15 and 20 L/person/day for 2.4M people</x:v>
      </x:c>
      <x:c r="L10" s="72"/>
      <x:c r="M10" s="72"/>
    </x:row>
    <x:row r="11">
      <x:c r="C11" s="26" t="str">
        <x:v>S05</x:v>
      </x:c>
      <x:c r="D11" s="26" t="str">
        <x:v>Food and nutrition</x:v>
      </x:c>
      <x:c r="E11" s="26" t="str">
        <x:v>people/day</x:v>
      </x:c>
      <x:c r="F11" s="36" t="n">
        <x:v>2400000</x:v>
      </x:c>
      <x:c r="G11" s="36" t="n">
        <x:v>2400000</x:v>
      </x:c>
      <x:c r="H11" s="36" t="n">
        <x:v>2400000</x:v>
      </x:c>
      <x:c r="I11" s="36" t="n">
        <x:v>2200000</x:v>
      </x:c>
      <x:c r="J11" s="26" t="str">
        <x:v>planning anchor</x:v>
      </x:c>
      <x:c r="K11" s="26" t="str">
        <x:v>Complete appropriate food delivered and safely handled</x:v>
      </x:c>
      <x:c r="L11" s="72"/>
      <x:c r="M11" s="72"/>
    </x:row>
    <x:row r="12">
      <x:c r="C12" s="26" t="str">
        <x:v>S06</x:v>
      </x:c>
      <x:c r="D12" s="26" t="str">
        <x:v>Emergency shelter</x:v>
      </x:c>
      <x:c r="E12" s="26" t="str">
        <x:v>people</x:v>
      </x:c>
      <x:c r="F12" s="36" t="n">
        <x:v>450000</x:v>
      </x:c>
      <x:c r="G12" s="36" t="n">
        <x:v>933000</x:v>
      </x:c>
      <x:c r="H12" s="36" t="n">
        <x:v>933000</x:v>
      </x:c>
      <x:c r="I12" s="36" t="n">
        <x:v>850000</x:v>
      </x:c>
      <x:c r="J12" s="26" t="str">
        <x:v>planning anchor</x:v>
      </x:c>
      <x:c r="K12" s="26" t="str">
        <x:v>Refuge, accessible shelter and transition to non-congregate lodging</x:v>
      </x:c>
      <x:c r="L12" s="72"/>
      <x:c r="M12" s="72"/>
    </x:row>
    <x:row r="13">
      <x:c r="C13" s="26" t="str">
        <x:v>S07</x:v>
      </x:c>
      <x:c r="D13" s="26" t="str">
        <x:v>Sanitation</x:v>
      </x:c>
      <x:c r="E13" s="26" t="str">
        <x:v>users</x:v>
      </x:c>
      <x:c r="F13" s="36" t="n">
        <x:v>450000</x:v>
      </x:c>
      <x:c r="G13" s="36" t="n">
        <x:v>933000</x:v>
      </x:c>
      <x:c r="H13" s="36" t="n">
        <x:v>1200000</x:v>
      </x:c>
      <x:c r="I13" s="36" t="n">
        <x:v>1500000</x:v>
      </x:c>
      <x:c r="J13" s="26" t="str">
        <x:v>design requirement</x:v>
      </x:c>
      <x:c r="K13" s="26" t="str">
        <x:v>Containment, hygiene, collection and treatment</x:v>
      </x:c>
      <x:c r="L13" s="72"/>
      <x:c r="M13" s="72"/>
    </x:row>
    <x:row r="14">
      <x:c r="C14" s="26" t="str">
        <x:v>S08</x:v>
      </x:c>
      <x:c r="D14" s="26" t="str">
        <x:v>Critical-load power</x:v>
      </x:c>
      <x:c r="E14" s="26" t="str">
        <x:v>MW net</x:v>
      </x:c>
      <x:c r="F14" s="36" t="n">
        <x:v>500</x:v>
      </x:c>
      <x:c r="G14" s="36" t="n">
        <x:v>2500</x:v>
      </x:c>
      <x:c r="H14" s="36" t="n">
        <x:v>6000</x:v>
      </x:c>
      <x:c r="I14" s="36" t="n">
        <x:v>8000</x:v>
      </x:c>
      <x:c r="J14" s="26" t="str">
        <x:v>design requirement</x:v>
      </x:c>
      <x:c r="K14" s="26" t="str">
        <x:v>Life-safety and critical-load islands at required quality</x:v>
      </x:c>
      <x:c r="L14" s="72"/>
      <x:c r="M14" s="72"/>
    </x:row>
    <x:row r="15">
      <x:c r="C15" s="26" t="str">
        <x:v>S09</x:v>
      </x:c>
      <x:c r="D15" s="26" t="str">
        <x:v>Priority communications</x:v>
      </x:c>
      <x:c r="E15" s="26" t="str">
        <x:v>users</x:v>
      </x:c>
      <x:c r="F15" s="36" t="n">
        <x:v>2400000</x:v>
      </x:c>
      <x:c r="G15" s="36" t="n">
        <x:v>5000000</x:v>
      </x:c>
      <x:c r="H15" s="36" t="n">
        <x:v>7000000</x:v>
      </x:c>
      <x:c r="I15" s="36" t="n">
        <x:v>8000000</x:v>
      </x:c>
      <x:c r="J15" s="26" t="str">
        <x:v>design requirement</x:v>
      </x:c>
      <x:c r="K15" s="26" t="str">
        <x:v>Responder, public, utility, health and benefits access</x:v>
      </x:c>
      <x:c r="L15" s="72"/>
      <x:c r="M15" s="72"/>
    </x:row>
    <x:row r="16">
      <x:c r="C16" s="26" t="str">
        <x:v>S10</x:v>
      </x:c>
      <x:c r="D16" s="26" t="str">
        <x:v>Staffed health capacity</x:v>
      </x:c>
      <x:c r="E16" s="26" t="str">
        <x:v>staffed beds</x:v>
      </x:c>
      <x:c r="F16" s="36" t="n">
        <x:v>500</x:v>
      </x:c>
      <x:c r="G16" s="36" t="n">
        <x:v>2500</x:v>
      </x:c>
      <x:c r="H16" s="36" t="n">
        <x:v>15000</x:v>
      </x:c>
      <x:c r="I16" s="36" t="n">
        <x:v>18000</x:v>
      </x:c>
      <x:c r="J16" s="26" t="str">
        <x:v>design requirement</x:v>
      </x:c>
      <x:c r="K16" s="26" t="str">
        <x:v>Complete care system including oxygen, water, waste and referral</x:v>
      </x:c>
      <x:c r="L16" s="72"/>
      <x:c r="M16" s="72"/>
    </x:row>
    <x:row r="17">
      <x:c r="C17" s="26" t="str">
        <x:v>S11</x:v>
      </x:c>
      <x:c r="D17" s="26" t="str">
        <x:v>Hazard-control works</x:v>
      </x:c>
      <x:c r="E17" s="26" t="str">
        <x:v>route-equivalent km/day</x:v>
      </x:c>
      <x:c r="F17" s="36" t="n">
        <x:v>100</x:v>
      </x:c>
      <x:c r="G17" s="36" t="n">
        <x:v>400</x:v>
      </x:c>
      <x:c r="H17" s="36" t="n">
        <x:v>1200</x:v>
      </x:c>
      <x:c r="I17" s="36" t="n">
        <x:v>1500</x:v>
      </x:c>
      <x:c r="J17" s="26" t="str">
        <x:v>design requirement</x:v>
      </x:c>
      <x:c r="K17" s="26" t="str">
        <x:v>Inspection, clearance, bridging, slope and debris output</x:v>
      </x:c>
      <x:c r="L17" s="72"/>
      <x:c r="M17" s="72"/>
    </x:row>
  </x:sheetData>
  <x:mergeCells>
    <x:mergeCell ref="C2:M2"/>
    <x:mergeCell ref="C3:M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24" hidden="0" customWidth="1"/>
    <x:col min="5" max="5" width="18" hidden="0" customWidth="1"/>
    <x:col min="6" max="6" width="34" hidden="0" customWidth="1"/>
    <x:col min="7" max="7" width="30" hidden="0" customWidth="1"/>
    <x:col min="8" max="8" width="18" hidden="0" customWidth="1"/>
    <x:col min="9" max="9" width="16" hidden="0" customWidth="1"/>
    <x:col min="10" max="10" width="26" hidden="0" customWidth="1"/>
    <x:col min="11" max="11" width="48" hidden="0" customWidth="1"/>
  </x:cols>
  <x:sheetData>
    <x:row r="2" ht="24" customHeight="1">
      <x:c r="C2" s="69" t="str">
        <x:v>Cascadia Service Islands</x:v>
      </x:c>
      <x:c r="D2" s="70"/>
      <x:c r="E2" s="70"/>
      <x:c r="F2" s="70"/>
      <x:c r="G2" s="70"/>
      <x:c r="H2" s="70"/>
      <x:c r="I2" s="70"/>
      <x:c r="J2" s="70"/>
      <x:c r="K2" s="70"/>
      <x:c r="L2" s="70"/>
    </x:row>
    <x:row r="3" ht="30" customHeight="1">
      <x:c r="C3" s="71" t="str">
        <x:v>Nine planning zones force the campaign to solve disconnected coastal, metropolitan, valley and safe-zone conditions independently.</x:v>
      </x:c>
      <x:c r="D3" s="71"/>
      <x:c r="E3" s="71"/>
      <x:c r="F3" s="71"/>
      <x:c r="G3" s="71"/>
      <x:c r="H3" s="71"/>
      <x:c r="I3" s="71"/>
      <x:c r="J3" s="71"/>
      <x:c r="K3" s="71"/>
      <x:c r="L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</x:row>
    <x:row r="6">
      <x:c r="C6" s="16" t="str">
        <x:v>Zone ID</x:v>
      </x:c>
      <x:c r="D6" s="17" t="str">
        <x:v>Service island</x:v>
      </x:c>
      <x:c r="E6" s="17" t="str">
        <x:v>Planning population</x:v>
      </x:c>
      <x:c r="F6" s="17" t="str">
        <x:v>Dominant isolation</x:v>
      </x:c>
      <x:c r="G6" s="17" t="str">
        <x:v>Primary life-support gap</x:v>
      </x:c>
      <x:c r="H6" s="17" t="str">
        <x:v>Initial host utility factor</x:v>
      </x:c>
      <x:c r="I6" s="17" t="str">
        <x:v>Day-14 path target</x:v>
      </x:c>
      <x:c r="J6" s="17" t="str">
        <x:v>Safe-zone base role</x:v>
      </x:c>
      <x:c r="K6" s="18" t="str">
        <x:v>Notes</x:v>
      </x:c>
      <x:c r="L6" s="72"/>
    </x:row>
    <x:row r="7">
      <x:c r="C7" s="26" t="str">
        <x:v>Z1</x:v>
      </x:c>
      <x:c r="D7" s="26" t="str">
        <x:v>Puget North</x:v>
      </x:c>
      <x:c r="E7" s="26" t="n">
        <x:v>900000</x:v>
      </x:c>
      <x:c r="F7" s="26" t="str">
        <x:v>bridge, ferry and port interfaces</x:v>
      </x:c>
      <x:c r="G7" s="26" t="str">
        <x:v>medical, fuel, water</x:v>
      </x:c>
      <x:c r="H7" s="38" t="n">
        <x:v>0.35</x:v>
      </x:c>
      <x:c r="I7" s="26" t="n">
        <x:v>3</x:v>
      </x:c>
      <x:c r="J7" s="26" t="str">
        <x:v>Spokane / eastern relay</x:v>
      </x:c>
      <x:c r="K7" s="26" t="str">
        <x:v>Paine and Everett are treated as damaged destinations, not safe origins</x:v>
      </x:c>
      <x:c r="L7" s="72"/>
    </x:row>
    <x:row r="8">
      <x:c r="C8" s="26" t="str">
        <x:v>Z2</x:v>
      </x:c>
      <x:c r="D8" s="26" t="str">
        <x:v>Puget Central</x:v>
      </x:c>
      <x:c r="E8" s="26" t="n">
        <x:v>2800000</x:v>
      </x:c>
      <x:c r="F8" s="26" t="str">
        <x:v>urban bridges, liquefaction and fuel hub</x:v>
      </x:c>
      <x:c r="G8" s="26" t="str">
        <x:v>health, power, communications</x:v>
      </x:c>
      <x:c r="H8" s="38" t="n">
        <x:v>0.3</x:v>
      </x:c>
      <x:c r="I8" s="26" t="n">
        <x:v>4</x:v>
      </x:c>
      <x:c r="J8" s="26" t="str">
        <x:v>Spokane and afloat north</x:v>
      </x:c>
      <x:c r="K8" s="26" t="str">
        <x:v>Seattle access must not depend on one port or I-5</x:v>
      </x:c>
      <x:c r="L8" s="72"/>
    </x:row>
    <x:row r="9">
      <x:c r="C9" s="26" t="str">
        <x:v>Z3</x:v>
      </x:c>
      <x:c r="D9" s="26" t="str">
        <x:v>Puget South</x:v>
      </x:c>
      <x:c r="E9" s="26" t="n">
        <x:v>1500000</x:v>
      </x:c>
      <x:c r="F9" s="26" t="str">
        <x:v>I-5, port and river crossings</x:v>
      </x:c>
      <x:c r="G9" s="26" t="str">
        <x:v>health, fuel, shelter</x:v>
      </x:c>
      <x:c r="H9" s="38" t="n">
        <x:v>0.3</x:v>
      </x:c>
      <x:c r="I9" s="26" t="n">
        <x:v>4</x:v>
      </x:c>
      <x:c r="J9" s="26" t="str">
        <x:v>Yakima and afloat north</x:v>
      </x:c>
      <x:c r="K9" s="26" t="str">
        <x:v>JBLM is a reception node inside the damage region</x:v>
      </x:c>
      <x:c r="L9" s="72"/>
    </x:row>
    <x:row r="10">
      <x:c r="C10" s="26" t="str">
        <x:v>Z4</x:v>
      </x:c>
      <x:c r="D10" s="26" t="str">
        <x:v>Southwest Washington</x:v>
      </x:c>
      <x:c r="E10" s="26" t="n">
        <x:v>550000</x:v>
      </x:c>
      <x:c r="F10" s="26" t="str">
        <x:v>Columbia crossings and coastal corridors</x:v>
      </x:c>
      <x:c r="G10" s="26" t="str">
        <x:v>water, access, shelter</x:v>
      </x:c>
      <x:c r="H10" s="38" t="n">
        <x:v>0.4</x:v>
      </x:c>
      <x:c r="I10" s="26" t="n">
        <x:v>3</x:v>
      </x:c>
      <x:c r="J10" s="26" t="str">
        <x:v>Yakima / Tri-Cities</x:v>
      </x:c>
      <x:c r="K10" s="26" t="str">
        <x:v>Columbia route and coast access share hazards unless separately engineered</x:v>
      </x:c>
      <x:c r="L10" s="72"/>
    </x:row>
    <x:row r="11">
      <x:c r="C11" s="26" t="str">
        <x:v>Z5</x:v>
      </x:c>
      <x:c r="D11" s="26" t="str">
        <x:v>Oregon North Coast</x:v>
      </x:c>
      <x:c r="E11" s="26" t="n">
        <x:v>250000</x:v>
      </x:c>
      <x:c r="F11" s="26" t="str">
        <x:v>US 101 bridges, tsunami and slopes</x:v>
      </x:c>
      <x:c r="G11" s="26" t="str">
        <x:v>water, health, shelter</x:v>
      </x:c>
      <x:c r="H11" s="38" t="n">
        <x:v>0.15</x:v>
      </x:c>
      <x:c r="I11" s="26" t="n">
        <x:v>3</x:v>
      </x:c>
      <x:c r="J11" s="26" t="str">
        <x:v>Redmond and afloat south</x:v>
      </x:c>
      <x:c r="K11" s="26" t="str">
        <x:v>Direct littoral and vertical access precede highway restoration</x:v>
      </x:c>
      <x:c r="L11" s="72"/>
    </x:row>
    <x:row r="12">
      <x:c r="C12" s="26" t="str">
        <x:v>Z6</x:v>
      </x:c>
      <x:c r="D12" s="26" t="str">
        <x:v>Oregon Central Coast</x:v>
      </x:c>
      <x:c r="E12" s="26" t="n">
        <x:v>220000</x:v>
      </x:c>
      <x:c r="F12" s="26" t="str">
        <x:v>US 101, mountain routes and airfield survival</x:v>
      </x:c>
      <x:c r="G12" s="26" t="str">
        <x:v>water, health, sanitation</x:v>
      </x:c>
      <x:c r="H12" s="38" t="n">
        <x:v>0.15</x:v>
      </x:c>
      <x:c r="I12" s="26" t="n">
        <x:v>3</x:v>
      </x:c>
      <x:c r="J12" s="26" t="str">
        <x:v>Redmond and afloat south</x:v>
      </x:c>
      <x:c r="K12" s="26" t="str">
        <x:v>Newport and Florence are potential nodes, not assumed survivors</x:v>
      </x:c>
      <x:c r="L12" s="72"/>
    </x:row>
    <x:row r="13">
      <x:c r="C13" s="26" t="str">
        <x:v>Z7</x:v>
      </x:c>
      <x:c r="D13" s="26" t="str">
        <x:v>Oregon South Coast</x:v>
      </x:c>
      <x:c r="E13" s="26" t="n">
        <x:v>180000</x:v>
      </x:c>
      <x:c r="F13" s="26" t="str">
        <x:v>single corridors, tsunami and long distance</x:v>
      </x:c>
      <x:c r="G13" s="26" t="str">
        <x:v>water, health, food</x:v>
      </x:c>
      <x:c r="H13" s="38" t="n">
        <x:v>0.2</x:v>
      </x:c>
      <x:c r="I13" s="26" t="n">
        <x:v>3</x:v>
      </x:c>
      <x:c r="J13" s="26" t="str">
        <x:v>Klamath / Medford</x:v>
      </x:c>
      <x:c r="K13" s="26" t="str">
        <x:v>Brookings, Cape Blanco and Coos access require independent paths</x:v>
      </x:c>
      <x:c r="L13" s="72"/>
    </x:row>
    <x:row r="14">
      <x:c r="C14" s="26" t="str">
        <x:v>Z8</x:v>
      </x:c>
      <x:c r="D14" s="26" t="str">
        <x:v>Willamette Valley</x:v>
      </x:c>
      <x:c r="E14" s="26" t="n">
        <x:v>2400000</x:v>
      </x:c>
      <x:c r="F14" s="26" t="str">
        <x:v>liquefaction, bridges, fuel and utility failure</x:v>
      </x:c>
      <x:c r="G14" s="26" t="str">
        <x:v>power, water, health</x:v>
      </x:c>
      <x:c r="H14" s="38" t="n">
        <x:v>0.45</x:v>
      </x:c>
      <x:c r="I14" s="26" t="n">
        <x:v>4</x:v>
      </x:c>
      <x:c r="J14" s="26" t="str">
        <x:v>Redmond / Klamath</x:v>
      </x:c>
      <x:c r="K14" s="26" t="str">
        <x:v>Large population center and transshipment basin</x:v>
      </x:c>
      <x:c r="L14" s="72"/>
    </x:row>
    <x:row r="15">
      <x:c r="C15" s="26" t="str">
        <x:v>Z9</x:v>
      </x:c>
      <x:c r="D15" s="26" t="str">
        <x:v>Eastern safe zone</x:v>
      </x:c>
      <x:c r="E15" s="26" t="n">
        <x:v>1200000</x:v>
      </x:c>
      <x:c r="F15" s="26" t="str">
        <x:v>surge population and mountain transfer</x:v>
      </x:c>
      <x:c r="G15" s="26" t="str">
        <x:v>base capacity and distribution</x:v>
      </x:c>
      <x:c r="H15" s="38" t="n">
        <x:v>0.85</x:v>
      </x:c>
      <x:c r="I15" s="26" t="n">
        <x:v>3</x:v>
      </x:c>
      <x:c r="J15" s="26" t="str">
        <x:v>Primary safe-zone complex</x:v>
      </x:c>
      <x:c r="K15" s="26" t="str">
        <x:v>Safe zone still requires fuel, shelter, staff and eastbound supply</x:v>
      </x:c>
      <x:c r="L15" s="72"/>
    </x:row>
  </x:sheetData>
  <x:mergeCells>
    <x:mergeCell ref="C2:L2"/>
    <x:mergeCell ref="C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28" hidden="0" customWidth="1"/>
    <x:col min="5" max="5" width="22" hidden="0" customWidth="1"/>
    <x:col min="6" max="6" width="38" hidden="0" customWidth="1"/>
    <x:col min="7" max="7" width="32" hidden="0" customWidth="1"/>
    <x:col min="8" max="8" width="18" hidden="0" customWidth="1"/>
    <x:col min="9" max="9" width="16" hidden="0" customWidth="1"/>
    <x:col min="10" max="10" width="18" hidden="0" customWidth="1"/>
    <x:col min="11" max="11" width="15" hidden="0" customWidth="1"/>
    <x:col min="12" max="12" width="20" hidden="0" customWidth="1"/>
  </x:cols>
  <x:sheetData>
    <x:row r="2" ht="24" customHeight="1">
      <x:c r="C2" s="69" t="str">
        <x:v>Origin and Safe-Zone Hubs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Origins are separated from damaged receiving nodes. Each hub carries a distinct hazard, labor and fuel dependence record.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Hub ID</x:v>
      </x:c>
      <x:c r="D6" s="17" t="str">
        <x:v>Hub</x:v>
      </x:c>
      <x:c r="E6" s="17" t="str">
        <x:v>Class</x:v>
      </x:c>
      <x:c r="F6" s="17" t="str">
        <x:v>Primary role</x:v>
      </x:c>
      <x:c r="G6" s="17" t="str">
        <x:v>Hazard relation</x:v>
      </x:c>
      <x:c r="H6" s="17" t="str">
        <x:v>Nominal staging t/day</x:v>
      </x:c>
      <x:c r="I6" s="17" t="str">
        <x:v>Responder beds</x:v>
      </x:c>
      <x:c r="J6" s="17" t="str">
        <x:v>Fuel independence days</x:v>
      </x:c>
      <x:c r="K6" s="17" t="str">
        <x:v>Paired hub</x:v>
      </x:c>
      <x:c r="L6" s="18" t="str">
        <x:v>Evidence class</x:v>
      </x:c>
      <x:c r="M6" s="72"/>
    </x:row>
    <x:row r="7">
      <x:c r="C7" s="26" t="str">
        <x:v>H1</x:v>
      </x:c>
      <x:c r="D7" s="26" t="str">
        <x:v>Spokane–Fairchild complex</x:v>
      </x:c>
      <x:c r="E7" s="26" t="str">
        <x:v>interior air / rail</x:v>
      </x:c>
      <x:c r="F7" s="26" t="str">
        <x:v>north air bridge and staff base</x:v>
      </x:c>
      <x:c r="G7" s="26" t="str">
        <x:v>outside principal severe shaking</x:v>
      </x:c>
      <x:c r="H7" s="26" t="n">
        <x:v>18000</x:v>
      </x:c>
      <x:c r="I7" s="26" t="n">
        <x:v>18000</x:v>
      </x:c>
      <x:c r="J7" s="26" t="n">
        <x:v>30</x:v>
      </x:c>
      <x:c r="K7" s="26" t="str">
        <x:v>H2</x:v>
      </x:c>
      <x:c r="L7" s="26" t="str">
        <x:v>design candidate</x:v>
      </x:c>
      <x:c r="M7" s="72"/>
    </x:row>
    <x:row r="8">
      <x:c r="C8" s="26" t="str">
        <x:v>H2</x:v>
      </x:c>
      <x:c r="D8" s="26" t="str">
        <x:v>Yakima–Tri-Cities complex</x:v>
      </x:c>
      <x:c r="E8" s="26" t="str">
        <x:v>interior air / road / river</x:v>
      </x:c>
      <x:c r="F8" s="26" t="str">
        <x:v>south Puget and Columbia gateway</x:v>
      </x:c>
      <x:c r="G8" s="26" t="str">
        <x:v>outside coast but corridor dependent</x:v>
      </x:c>
      <x:c r="H8" s="26" t="n">
        <x:v>18000</x:v>
      </x:c>
      <x:c r="I8" s="26" t="n">
        <x:v>18000</x:v>
      </x:c>
      <x:c r="J8" s="26" t="n">
        <x:v>30</x:v>
      </x:c>
      <x:c r="K8" s="26" t="str">
        <x:v>H1</x:v>
      </x:c>
      <x:c r="L8" s="26" t="str">
        <x:v>design candidate</x:v>
      </x:c>
      <x:c r="M8" s="72"/>
    </x:row>
    <x:row r="9">
      <x:c r="C9" s="26" t="str">
        <x:v>H3</x:v>
      </x:c>
      <x:c r="D9" s="26" t="str">
        <x:v>Redmond–Bend complex</x:v>
      </x:c>
      <x:c r="E9" s="26" t="str">
        <x:v>interior air / road</x:v>
      </x:c>
      <x:c r="F9" s="26" t="str">
        <x:v>Oregon primary response airport and coastal relay</x:v>
      </x:c>
      <x:c r="G9" s="26" t="str">
        <x:v>east of Cascades</x:v>
      </x:c>
      <x:c r="H9" s="26" t="n">
        <x:v>16000</x:v>
      </x:c>
      <x:c r="I9" s="26" t="n">
        <x:v>20000</x:v>
      </x:c>
      <x:c r="J9" s="26" t="n">
        <x:v>30</x:v>
      </x:c>
      <x:c r="K9" s="26" t="str">
        <x:v>H4</x:v>
      </x:c>
      <x:c r="L9" s="26" t="str">
        <x:v>ORP planning role + design</x:v>
      </x:c>
      <x:c r="M9" s="72"/>
    </x:row>
    <x:row r="10">
      <x:c r="C10" s="26" t="str">
        <x:v>H4</x:v>
      </x:c>
      <x:c r="D10" s="26" t="str">
        <x:v>Klamath Falls–Medford complex</x:v>
      </x:c>
      <x:c r="E10" s="26" t="str">
        <x:v>interior air / rail / road</x:v>
      </x:c>
      <x:c r="F10" s="26" t="str">
        <x:v>southern Oregon relay</x:v>
      </x:c>
      <x:c r="G10" s="26" t="str">
        <x:v>reduced shaking; southern route exposure</x:v>
      </x:c>
      <x:c r="H10" s="26" t="n">
        <x:v>15000</x:v>
      </x:c>
      <x:c r="I10" s="26" t="n">
        <x:v>16000</x:v>
      </x:c>
      <x:c r="J10" s="26" t="n">
        <x:v>30</x:v>
      </x:c>
      <x:c r="K10" s="26" t="str">
        <x:v>H3</x:v>
      </x:c>
      <x:c r="L10" s="26" t="str">
        <x:v>design candidate</x:v>
      </x:c>
      <x:c r="M10" s="72"/>
    </x:row>
    <x:row r="11">
      <x:c r="C11" s="26" t="str">
        <x:v>H5</x:v>
      </x:c>
      <x:c r="D11" s="26" t="str">
        <x:v>Boise–Twin Falls relay</x:v>
      </x:c>
      <x:c r="E11" s="26" t="str">
        <x:v>continental support</x:v>
      </x:c>
      <x:c r="F11" s="26" t="str">
        <x:v>replacement crews and commodity buffer</x:v>
      </x:c>
      <x:c r="G11" s="26" t="str">
        <x:v>independent interior basin</x:v>
      </x:c>
      <x:c r="H11" s="26" t="n">
        <x:v>20000</x:v>
      </x:c>
      <x:c r="I11" s="26" t="n">
        <x:v>12000</x:v>
      </x:c>
      <x:c r="J11" s="26" t="n">
        <x:v>45</x:v>
      </x:c>
      <x:c r="K11" s="26" t="str">
        <x:v>H6</x:v>
      </x:c>
      <x:c r="L11" s="26" t="str">
        <x:v>design candidate</x:v>
      </x:c>
      <x:c r="M11" s="72"/>
    </x:row>
    <x:row r="12">
      <x:c r="C12" s="26" t="str">
        <x:v>H6</x:v>
      </x:c>
      <x:c r="D12" s="26" t="str">
        <x:v>Northern California sea and air base</x:v>
      </x:c>
      <x:c r="E12" s="26" t="str">
        <x:v>external multimodal</x:v>
      </x:c>
      <x:c r="F12" s="26" t="str">
        <x:v>southbound sealift and air support</x:v>
      </x:c>
      <x:c r="G12" s="26" t="str">
        <x:v>outside principal northern damage</x:v>
      </x:c>
      <x:c r="H12" s="26" t="n">
        <x:v>24000</x:v>
      </x:c>
      <x:c r="I12" s="26" t="n">
        <x:v>10000</x:v>
      </x:c>
      <x:c r="J12" s="26" t="n">
        <x:v>30</x:v>
      </x:c>
      <x:c r="K12" s="26" t="str">
        <x:v>H5</x:v>
      </x:c>
      <x:c r="L12" s="26" t="str">
        <x:v>design candidate</x:v>
      </x:c>
      <x:c r="M12" s="72"/>
    </x:row>
    <x:row r="13">
      <x:c r="C13" s="26" t="str">
        <x:v>H7</x:v>
      </x:c>
      <x:c r="D13" s="26" t="str">
        <x:v>North Pacific offshore group</x:v>
      </x:c>
      <x:c r="E13" s="26" t="str">
        <x:v>afloat</x:v>
      </x:c>
      <x:c r="F13" s="26" t="str">
        <x:v>Puget no-pier entry and responder base</x:v>
      </x:c>
      <x:c r="G13" s="26" t="str">
        <x:v>mobile outside port failure mechanism</x:v>
      </x:c>
      <x:c r="H13" s="26" t="n">
        <x:v>28000</x:v>
      </x:c>
      <x:c r="I13" s="26" t="n">
        <x:v>16000</x:v>
      </x:c>
      <x:c r="J13" s="26" t="n">
        <x:v>90</x:v>
      </x:c>
      <x:c r="K13" s="26" t="str">
        <x:v>H8</x:v>
      </x:c>
      <x:c r="L13" s="26" t="str">
        <x:v>design candidate</x:v>
      </x:c>
      <x:c r="M13" s="72"/>
    </x:row>
    <x:row r="14">
      <x:c r="C14" s="26" t="str">
        <x:v>H8</x:v>
      </x:c>
      <x:c r="D14" s="26" t="str">
        <x:v>South Pacific offshore group</x:v>
      </x:c>
      <x:c r="E14" s="26" t="str">
        <x:v>afloat</x:v>
      </x:c>
      <x:c r="F14" s="26" t="str">
        <x:v>Oregon no-pier entry and responder base</x:v>
      </x:c>
      <x:c r="G14" s="26" t="str">
        <x:v>mobile outside port failure mechanism</x:v>
      </x:c>
      <x:c r="H14" s="26" t="n">
        <x:v>24000</x:v>
      </x:c>
      <x:c r="I14" s="26" t="n">
        <x:v>14000</x:v>
      </x:c>
      <x:c r="J14" s="26" t="n">
        <x:v>90</x:v>
      </x:c>
      <x:c r="K14" s="26" t="str">
        <x:v>H7</x:v>
      </x:c>
      <x:c r="L14" s="26" t="str">
        <x:v>design candidate</x:v>
      </x:c>
      <x:c r="M14" s="72"/>
    </x:row>
  </x:sheetData>
  <x:mergeCells>
    <x:mergeCell ref="C2:M2"/>
    <x:mergeCell ref="C3:M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32" hidden="0" customWidth="1"/>
    <x:col min="5" max="5" width="24" hidden="0" customWidth="1"/>
    <x:col min="6" max="6" width="14" hidden="0" customWidth="1"/>
    <x:col min="7" max="7" width="30" hidden="0" customWidth="1"/>
    <x:col min="8" max="8" width="15" hidden="0" customWidth="1"/>
    <x:col min="9" max="9" width="15" hidden="0" customWidth="1"/>
    <x:col min="10" max="10" width="20" hidden="0" customWidth="1"/>
    <x:col min="11" max="11" width="18" hidden="0" customWidth="1"/>
    <x:col min="12" max="12" width="38" hidden="0" customWidth="1"/>
    <x:col min="13" max="13" width="16" hidden="0" customWidth="1"/>
  </x:cols>
  <x:sheetData>
    <x:row r="2" ht="24" customHeight="1">
      <x:c r="C2" s="69" t="str">
        <x:v>Entry Nodes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Receiving nodes are provisional operating classes. The force supplies its own survey, repair, handling, power, water, communications and release capability.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Node ID</x:v>
      </x:c>
      <x:c r="D6" s="17" t="str">
        <x:v>Node</x:v>
      </x:c>
      <x:c r="E6" s="17" t="str">
        <x:v>Class</x:v>
      </x:c>
      <x:c r="F6" s="17" t="str">
        <x:v>Zone</x:v>
      </x:c>
      <x:c r="G6" s="17" t="str">
        <x:v>Primary hazard</x:v>
      </x:c>
      <x:c r="H6" s="17" t="str">
        <x:v>Reference open day</x:v>
      </x:c>
      <x:c r="I6" s="17" t="str">
        <x:v>Stress open day</x:v>
      </x:c>
      <x:c r="J6" s="17" t="str">
        <x:v>Stress throughput t/day</x:v>
      </x:c>
      <x:c r="K6" s="17" t="str">
        <x:v>Organic utilities</x:v>
      </x:c>
      <x:c r="L6" s="17" t="str">
        <x:v>Required opening package</x:v>
      </x:c>
      <x:c r="M6" s="18" t="str">
        <x:v>Decision status</x:v>
      </x:c>
      <x:c r="N6" s="72"/>
    </x:row>
    <x:row r="7">
      <x:c r="C7" s="26" t="str">
        <x:v>N1</x:v>
      </x:c>
      <x:c r="D7" s="26" t="str">
        <x:v>Paine / north auxiliary air lattice</x:v>
      </x:c>
      <x:c r="E7" s="26" t="str">
        <x:v>airfield cluster</x:v>
      </x:c>
      <x:c r="F7" s="26" t="str">
        <x:v>Z1</x:v>
      </x:c>
      <x:c r="G7" s="26" t="str">
        <x:v>liquefaction, runway and access</x:v>
      </x:c>
      <x:c r="H7" s="26" t="n">
        <x:v>1</x:v>
      </x:c>
      <x:c r="I7" s="26" t="n">
        <x:v>2</x:v>
      </x:c>
      <x:c r="J7" s="26" t="n">
        <x:v>12000</x:v>
      </x:c>
      <x:c r="K7" s="26" t="str">
        <x:v>partial</x:v>
      </x:c>
      <x:c r="L7" s="26" t="str">
        <x:v>air entry + runway regeneration</x:v>
      </x:c>
      <x:c r="M7" s="26" t="str">
        <x:v>candidate</x:v>
      </x:c>
      <x:c r="N7" s="72"/>
    </x:row>
    <x:row r="8">
      <x:c r="C8" s="26" t="str">
        <x:v>N2</x:v>
      </x:c>
      <x:c r="D8" s="26" t="str">
        <x:v>JBLM / south auxiliary air lattice</x:v>
      </x:c>
      <x:c r="E8" s="26" t="str">
        <x:v>airfield cluster</x:v>
      </x:c>
      <x:c r="F8" s="26" t="str">
        <x:v>Z3</x:v>
      </x:c>
      <x:c r="G8" s="26" t="str">
        <x:v>runway, fuel and I-5 access</x:v>
      </x:c>
      <x:c r="H8" s="26" t="n">
        <x:v>1</x:v>
      </x:c>
      <x:c r="I8" s="26" t="n">
        <x:v>2</x:v>
      </x:c>
      <x:c r="J8" s="26" t="n">
        <x:v>14000</x:v>
      </x:c>
      <x:c r="K8" s="26" t="str">
        <x:v>partial</x:v>
      </x:c>
      <x:c r="L8" s="26" t="str">
        <x:v>air entry + distributed fuel</x:v>
      </x:c>
      <x:c r="M8" s="26" t="str">
        <x:v>candidate</x:v>
      </x:c>
      <x:c r="N8" s="72"/>
    </x:row>
    <x:row r="9">
      <x:c r="C9" s="26" t="str">
        <x:v>N3</x:v>
      </x:c>
      <x:c r="D9" s="26" t="str">
        <x:v>Port of Everett / Olympia pair</x:v>
      </x:c>
      <x:c r="E9" s="26" t="str">
        <x:v>shallow / deep port pair</x:v>
      </x:c>
      <x:c r="F9" s="26" t="str">
        <x:v>Z1/Z3</x:v>
      </x:c>
      <x:c r="G9" s="26" t="str">
        <x:v>liquefaction and waterfront failure</x:v>
      </x:c>
      <x:c r="H9" s="26" t="n">
        <x:v>5</x:v>
      </x:c>
      <x:c r="I9" s="26" t="n">
        <x:v>8</x:v>
      </x:c>
      <x:c r="J9" s="26" t="n">
        <x:v>28000</x:v>
      </x:c>
      <x:c r="K9" s="26" t="str">
        <x:v>none assumed</x:v>
      </x:c>
      <x:c r="L9" s="26" t="str">
        <x:v>hydrography + no-pier interface</x:v>
      </x:c>
      <x:c r="M9" s="26" t="str">
        <x:v>candidate</x:v>
      </x:c>
      <x:c r="N9" s="72"/>
    </x:row>
    <x:row r="10">
      <x:c r="C10" s="26" t="str">
        <x:v>N4</x:v>
      </x:c>
      <x:c r="D10" s="26" t="str">
        <x:v>Puget ferry and beach lattice</x:v>
      </x:c>
      <x:c r="E10" s="26" t="str">
        <x:v>no-pier littoral</x:v>
      </x:c>
      <x:c r="F10" s="26" t="str">
        <x:v>Z1/Z2/Z3</x:v>
      </x:c>
      <x:c r="G10" s="26" t="str">
        <x:v>terminal failure and debris</x:v>
      </x:c>
      <x:c r="H10" s="26" t="n">
        <x:v>2</x:v>
      </x:c>
      <x:c r="I10" s="26" t="n">
        <x:v>3</x:v>
      </x:c>
      <x:c r="J10" s="26" t="n">
        <x:v>16000</x:v>
      </x:c>
      <x:c r="K10" s="26" t="str">
        <x:v>none</x:v>
      </x:c>
      <x:c r="L10" s="26" t="str">
        <x:v>adaptive causeway + traffic control</x:v>
      </x:c>
      <x:c r="M10" s="26" t="str">
        <x:v>candidate</x:v>
      </x:c>
      <x:c r="N10" s="72"/>
    </x:row>
    <x:row r="11">
      <x:c r="C11" s="26" t="str">
        <x:v>N5</x:v>
      </x:c>
      <x:c r="D11" s="26" t="str">
        <x:v>Columbia–Willamette shallow-water lattice</x:v>
      </x:c>
      <x:c r="E11" s="26" t="str">
        <x:v>inland water</x:v>
      </x:c>
      <x:c r="F11" s="26" t="str">
        <x:v>Z4/Z8</x:v>
      </x:c>
      <x:c r="G11" s="26" t="str">
        <x:v>channel, bridge and terminal debris</x:v>
      </x:c>
      <x:c r="H11" s="26" t="n">
        <x:v>4</x:v>
      </x:c>
      <x:c r="I11" s="26" t="n">
        <x:v>6</x:v>
      </x:c>
      <x:c r="J11" s="26" t="n">
        <x:v>20000</x:v>
      </x:c>
      <x:c r="K11" s="26" t="str">
        <x:v>none assumed</x:v>
      </x:c>
      <x:c r="L11" s="26" t="str">
        <x:v>survey + shallow terminal</x:v>
      </x:c>
      <x:c r="M11" s="26" t="str">
        <x:v>candidate</x:v>
      </x:c>
      <x:c r="N11" s="72"/>
    </x:row>
    <x:row r="12">
      <x:c r="C12" s="26" t="str">
        <x:v>N6</x:v>
      </x:c>
      <x:c r="D12" s="26" t="str">
        <x:v>Portland–Salem–Eugene air lattice</x:v>
      </x:c>
      <x:c r="E12" s="26" t="str">
        <x:v>airfield cluster</x:v>
      </x:c>
      <x:c r="F12" s="26" t="str">
        <x:v>Z8</x:v>
      </x:c>
      <x:c r="G12" s="26" t="str">
        <x:v>liquefaction, fuel and surface access</x:v>
      </x:c>
      <x:c r="H12" s="26" t="n">
        <x:v>2</x:v>
      </x:c>
      <x:c r="I12" s="26" t="n">
        <x:v>3</x:v>
      </x:c>
      <x:c r="J12" s="26" t="n">
        <x:v>14000</x:v>
      </x:c>
      <x:c r="K12" s="26" t="str">
        <x:v>partial</x:v>
      </x:c>
      <x:c r="L12" s="26" t="str">
        <x:v>air entry + utility island</x:v>
      </x:c>
      <x:c r="M12" s="26" t="str">
        <x:v>candidate</x:v>
      </x:c>
      <x:c r="N12" s="72"/>
    </x:row>
    <x:row r="13">
      <x:c r="C13" s="26" t="str">
        <x:v>N7</x:v>
      </x:c>
      <x:c r="D13" s="26" t="str">
        <x:v>Oregon north coast upland sites</x:v>
      </x:c>
      <x:c r="E13" s="26" t="str">
        <x:v>austere air / littoral</x:v>
      </x:c>
      <x:c r="F13" s="26" t="str">
        <x:v>Z5</x:v>
      </x:c>
      <x:c r="G13" s="26" t="str">
        <x:v>tsunami and landslides</x:v>
      </x:c>
      <x:c r="H13" s="26" t="n">
        <x:v>2</x:v>
      </x:c>
      <x:c r="I13" s="26" t="n">
        <x:v>3</x:v>
      </x:c>
      <x:c r="J13" s="26" t="n">
        <x:v>9000</x:v>
      </x:c>
      <x:c r="K13" s="26" t="str">
        <x:v>none</x:v>
      </x:c>
      <x:c r="L13" s="26" t="str">
        <x:v>STOL + no-pier package</x:v>
      </x:c>
      <x:c r="M13" s="26" t="str">
        <x:v>candidate</x:v>
      </x:c>
      <x:c r="N13" s="72"/>
    </x:row>
    <x:row r="14">
      <x:c r="C14" s="26" t="str">
        <x:v>N8</x:v>
      </x:c>
      <x:c r="D14" s="26" t="str">
        <x:v>Oregon central coast upland sites</x:v>
      </x:c>
      <x:c r="E14" s="26" t="str">
        <x:v>austere air / littoral</x:v>
      </x:c>
      <x:c r="F14" s="26" t="str">
        <x:v>Z6</x:v>
      </x:c>
      <x:c r="G14" s="26" t="str">
        <x:v>tsunami and landslides</x:v>
      </x:c>
      <x:c r="H14" s="26" t="n">
        <x:v>2</x:v>
      </x:c>
      <x:c r="I14" s="26" t="n">
        <x:v>3</x:v>
      </x:c>
      <x:c r="J14" s="26" t="n">
        <x:v>9000</x:v>
      </x:c>
      <x:c r="K14" s="26" t="str">
        <x:v>none</x:v>
      </x:c>
      <x:c r="L14" s="26" t="str">
        <x:v>STOL + no-pier package</x:v>
      </x:c>
      <x:c r="M14" s="26" t="str">
        <x:v>candidate</x:v>
      </x:c>
      <x:c r="N14" s="72"/>
    </x:row>
    <x:row r="15">
      <x:c r="C15" s="26" t="str">
        <x:v>N9</x:v>
      </x:c>
      <x:c r="D15" s="26" t="str">
        <x:v>Oregon south coast upland sites</x:v>
      </x:c>
      <x:c r="E15" s="26" t="str">
        <x:v>austere air / littoral</x:v>
      </x:c>
      <x:c r="F15" s="26" t="str">
        <x:v>Z7</x:v>
      </x:c>
      <x:c r="G15" s="26" t="str">
        <x:v>tsunami, distance and slopes</x:v>
      </x:c>
      <x:c r="H15" s="26" t="n">
        <x:v>2</x:v>
      </x:c>
      <x:c r="I15" s="26" t="n">
        <x:v>3</x:v>
      </x:c>
      <x:c r="J15" s="26" t="n">
        <x:v>8000</x:v>
      </x:c>
      <x:c r="K15" s="26" t="str">
        <x:v>none</x:v>
      </x:c>
      <x:c r="L15" s="26" t="str">
        <x:v>STOL + no-pier package</x:v>
      </x:c>
      <x:c r="M15" s="26" t="str">
        <x:v>candidate</x:v>
      </x:c>
      <x:c r="N15" s="72"/>
    </x:row>
    <x:row r="16">
      <x:c r="C16" s="26" t="str">
        <x:v>N10</x:v>
      </x:c>
      <x:c r="D16" s="26" t="str">
        <x:v>Washington east–west route lattice</x:v>
      </x:c>
      <x:c r="E16" s="26" t="str">
        <x:v>road / temporary bridge</x:v>
      </x:c>
      <x:c r="F16" s="26" t="str">
        <x:v>Z1/Z2/Z3/Z4</x:v>
      </x:c>
      <x:c r="G16" s="26" t="str">
        <x:v>bridge, slope and winter</x:v>
      </x:c>
      <x:c r="H16" s="26" t="n">
        <x:v>5</x:v>
      </x:c>
      <x:c r="I16" s="26" t="n">
        <x:v>7</x:v>
      </x:c>
      <x:c r="J16" s="26" t="n">
        <x:v>28000</x:v>
      </x:c>
      <x:c r="K16" s="26" t="str">
        <x:v>mobile</x:v>
      </x:c>
      <x:c r="L16" s="26" t="str">
        <x:v>route opening + bridge release</x:v>
      </x:c>
      <x:c r="M16" s="26" t="str">
        <x:v>candidate</x:v>
      </x:c>
      <x:c r="N16" s="72"/>
    </x:row>
    <x:row r="17">
      <x:c r="C17" s="26" t="str">
        <x:v>N11</x:v>
      </x:c>
      <x:c r="D17" s="26" t="str">
        <x:v>Oregon east–west route lattice</x:v>
      </x:c>
      <x:c r="E17" s="26" t="str">
        <x:v>road / temporary bridge</x:v>
      </x:c>
      <x:c r="F17" s="26" t="str">
        <x:v>Z5/Z6/Z7/Z8</x:v>
      </x:c>
      <x:c r="G17" s="26" t="str">
        <x:v>bridge, slope and winter</x:v>
      </x:c>
      <x:c r="H17" s="26" t="n">
        <x:v>4</x:v>
      </x:c>
      <x:c r="I17" s="26" t="n">
        <x:v>6</x:v>
      </x:c>
      <x:c r="J17" s="26" t="n">
        <x:v>24000</x:v>
      </x:c>
      <x:c r="K17" s="26" t="str">
        <x:v>mobile</x:v>
      </x:c>
      <x:c r="L17" s="26" t="str">
        <x:v>route opening + bridge release</x:v>
      </x:c>
      <x:c r="M17" s="26" t="str">
        <x:v>candidate</x:v>
      </x:c>
      <x:c r="N17" s="72"/>
    </x:row>
  </x:sheetData>
  <x:mergeCells>
    <x:mergeCell ref="C2:N2"/>
    <x:mergeCell ref="C3:N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2" hidden="0" customWidth="1"/>
    <x:col min="5" max="5" width="15" hidden="0" customWidth="1"/>
    <x:col min="6" max="6" width="18" hidden="0" customWidth="1"/>
    <x:col min="7" max="7" width="30" hidden="0" customWidth="1"/>
    <x:col min="8" max="8" width="18" hidden="0" customWidth="1"/>
    <x:col min="9" max="9" width="20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2" hidden="0" customWidth="1"/>
    <x:col min="15" max="15" width="15" hidden="0" customWidth="1"/>
    <x:col min="16" max="16" width="15" hidden="0" customWidth="1"/>
    <x:col min="17" max="17" width="11" hidden="0" customWidth="1"/>
    <x:col min="18" max="18" width="11" hidden="0" customWidth="1"/>
    <x:col min="19" max="19" width="11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55" hidden="0" customWidth="1"/>
  </x:cols>
  <x:sheetData>
    <x:row r="2" ht="24" customHeight="1">
      <x:c r="C2" s="69" t="str">
        <x:v>Independent Entry and Distribution Paths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</x:row>
    <x:row r="3" ht="30" customHeight="1">
      <x:c r="C3" s="71" t="str">
        <x:v>Capacity is handling-equivalent tonnes per day. Reference and stress values are editable; the selected case is controlled on Controls.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</x:row>
    <x:row r="6">
      <x:c r="C6" s="16" t="str">
        <x:v>Path ID</x:v>
      </x:c>
      <x:c r="D6" s="17" t="str">
        <x:v>Path</x:v>
      </x:c>
      <x:c r="E6" s="17" t="str">
        <x:v>Mode</x:v>
      </x:c>
      <x:c r="F6" s="17" t="str">
        <x:v>Origin hub</x:v>
      </x:c>
      <x:c r="G6" s="17" t="str">
        <x:v>Entry / destination</x:v>
      </x:c>
      <x:c r="H6" s="17" t="str">
        <x:v>Zone family</x:v>
      </x:c>
      <x:c r="I6" s="17" t="str">
        <x:v>Correlation group</x:v>
      </x:c>
      <x:c r="J6" s="17" t="str">
        <x:v>Reference open d</x:v>
      </x:c>
      <x:c r="K6" s="17" t="str">
        <x:v>Stress open d</x:v>
      </x:c>
      <x:c r="L6" s="17" t="str">
        <x:v>Reference cap 1</x:v>
      </x:c>
      <x:c r="M6" s="17" t="str">
        <x:v>Stress cap 1</x:v>
      </x:c>
      <x:c r="N6" s="17" t="str">
        <x:v>Stage 2 d</x:v>
      </x:c>
      <x:c r="O6" s="17" t="str">
        <x:v>Reference cap 2</x:v>
      </x:c>
      <x:c r="P6" s="17" t="str">
        <x:v>Stress cap 2</x:v>
      </x:c>
      <x:c r="Q6" s="17" t="str">
        <x:v>Transit d</x:v>
      </x:c>
      <x:c r="R6" s="17" t="str">
        <x:v>Transload d</x:v>
      </x:c>
      <x:c r="S6" s="17" t="str">
        <x:v>Last-mile d</x:v>
      </x:c>
      <x:c r="T6" s="17" t="str">
        <x:v>Finite stock t</x:v>
      </x:c>
      <x:c r="U6" s="17" t="str">
        <x:v>Aftershock factor</x:v>
      </x:c>
      <x:c r="V6" s="17" t="str">
        <x:v>Winter factor</x:v>
      </x:c>
      <x:c r="W6" s="17" t="str">
        <x:v>Node factor</x:v>
      </x:c>
      <x:c r="X6" s="18" t="str">
        <x:v>Notes</x:v>
      </x:c>
    </x:row>
    <x:row r="7">
      <x:c r="C7" s="26" t="str">
        <x:v>P0</x:v>
      </x:c>
      <x:c r="D7" s="26" t="str">
        <x:v>Distributed upland caches</x:v>
      </x:c>
      <x:c r="E7" s="26" t="str">
        <x:v>Cached</x:v>
      </x:c>
      <x:c r="F7" s="26" t="str">
        <x:v>H1/H2/H3/H4</x:v>
      </x:c>
      <x:c r="G7" s="26" t="str">
        <x:v>all service islands</x:v>
      </x:c>
      <x:c r="H7" s="26" t="str">
        <x:v>regional</x:v>
      </x:c>
      <x:c r="I7" s="26" t="str">
        <x:v>Local distributed</x:v>
      </x:c>
      <x:c r="J7" s="43" t="n">
        <x:v>0</x:v>
      </x:c>
      <x:c r="K7" s="43" t="n">
        <x:v>0</x:v>
      </x:c>
      <x:c r="L7" s="43" t="n">
        <x:v>45000</x:v>
      </x:c>
      <x:c r="M7" s="43" t="n">
        <x:v>40000</x:v>
      </x:c>
      <x:c r="N7" s="43" t="n">
        <x:v>5</x:v>
      </x:c>
      <x:c r="O7" s="43" t="n">
        <x:v>0</x:v>
      </x:c>
      <x:c r="P7" s="43" t="n">
        <x:v>0</x:v>
      </x:c>
      <x:c r="Q7" s="43" t="n">
        <x:v>0.2</x:v>
      </x:c>
      <x:c r="R7" s="43" t="n">
        <x:v>0</x:v>
      </x:c>
      <x:c r="S7" s="43" t="n">
        <x:v>0.3</x:v>
      </x:c>
      <x:c r="T7" s="43" t="n">
        <x:v>125000</x:v>
      </x:c>
      <x:c r="U7" s="44" t="n">
        <x:v>1</x:v>
      </x:c>
      <x:c r="V7" s="44" t="n">
        <x:v>1</x:v>
      </x:c>
      <x:c r="W7" s="44" t="n">
        <x:v>1</x:v>
      </x:c>
      <x:c r="X7" s="26" t="str">
        <x:v>Finite R1 formation stock; separate survival-supply reserve is modeled in Sustainment Capacity</x:v>
      </x:c>
    </x:row>
    <x:row r="8">
      <x:c r="C8" s="26" t="str">
        <x:v>P1</x:v>
      </x:c>
      <x:c r="D8" s="26" t="str">
        <x:v>Spokane heavy-air bridge</x:v>
      </x:c>
      <x:c r="E8" s="26" t="str">
        <x:v>Air</x:v>
      </x:c>
      <x:c r="F8" s="26" t="str">
        <x:v>H1</x:v>
      </x:c>
      <x:c r="G8" s="26" t="str">
        <x:v>Paine / Puget lattice</x:v>
      </x:c>
      <x:c r="H8" s="26" t="str">
        <x:v>Washington</x:v>
      </x:c>
      <x:c r="I8" s="26" t="str">
        <x:v>North air</x:v>
      </x:c>
      <x:c r="J8" s="43" t="n">
        <x:v>1</x:v>
      </x:c>
      <x:c r="K8" s="43" t="n">
        <x:v>1</x:v>
      </x:c>
      <x:c r="L8" s="43" t="n">
        <x:v>16000</x:v>
      </x:c>
      <x:c r="M8" s="43" t="n">
        <x:v>15000</x:v>
      </x:c>
      <x:c r="N8" s="43" t="n">
        <x:v>10</x:v>
      </x:c>
      <x:c r="O8" s="43" t="n">
        <x:v>22000</x:v>
      </x:c>
      <x:c r="P8" s="43" t="n">
        <x:v>20000</x:v>
      </x:c>
      <x:c r="Q8" s="43" t="n">
        <x:v>0.5</x:v>
      </x:c>
      <x:c r="R8" s="43" t="n">
        <x:v>0.25</x:v>
      </x:c>
      <x:c r="S8" s="43" t="n">
        <x:v>0.5</x:v>
      </x:c>
      <x:c r="T8" s="43" t="n">
        <x:v>0</x:v>
      </x:c>
      <x:c r="U8" s="44" t="n">
        <x:v>0.7</x:v>
      </x:c>
      <x:c r="V8" s="44" t="n">
        <x:v>0.7</x:v>
      </x:c>
      <x:c r="W8" s="44" t="n">
        <x:v>0.92</x:v>
      </x:c>
      <x:c r="X8" s="26" t="str">
        <x:v>Purpose-built strategic-to-austere cargo fleet; damaged destination handling included</x:v>
      </x:c>
    </x:row>
    <x:row r="9">
      <x:c r="C9" s="26" t="str">
        <x:v>P2</x:v>
      </x:c>
      <x:c r="D9" s="26" t="str">
        <x:v>Redmond–Klamath heavy-air bridge</x:v>
      </x:c>
      <x:c r="E9" s="26" t="str">
        <x:v>Air</x:v>
      </x:c>
      <x:c r="F9" s="26" t="str">
        <x:v>H3/H4</x:v>
      </x:c>
      <x:c r="G9" s="26" t="str">
        <x:v>Willamette and coast air lattice</x:v>
      </x:c>
      <x:c r="H9" s="26" t="str">
        <x:v>Oregon</x:v>
      </x:c>
      <x:c r="I9" s="26" t="str">
        <x:v>South air</x:v>
      </x:c>
      <x:c r="J9" s="43" t="n">
        <x:v>1</x:v>
      </x:c>
      <x:c r="K9" s="43" t="n">
        <x:v>1</x:v>
      </x:c>
      <x:c r="L9" s="43" t="n">
        <x:v>20000</x:v>
      </x:c>
      <x:c r="M9" s="43" t="n">
        <x:v>19000</x:v>
      </x:c>
      <x:c r="N9" s="43" t="n">
        <x:v>8</x:v>
      </x:c>
      <x:c r="O9" s="43" t="n">
        <x:v>24000</x:v>
      </x:c>
      <x:c r="P9" s="43" t="n">
        <x:v>22000</x:v>
      </x:c>
      <x:c r="Q9" s="43" t="n">
        <x:v>0.5</x:v>
      </x:c>
      <x:c r="R9" s="43" t="n">
        <x:v>0.25</x:v>
      </x:c>
      <x:c r="S9" s="43" t="n">
        <x:v>0.5</x:v>
      </x:c>
      <x:c r="T9" s="43" t="n">
        <x:v>0</x:v>
      </x:c>
      <x:c r="U9" s="44" t="n">
        <x:v>0.75</x:v>
      </x:c>
      <x:c r="V9" s="44" t="n">
        <x:v>0.7</x:v>
      </x:c>
      <x:c r="W9" s="44" t="n">
        <x:v>0.92</x:v>
      </x:c>
      <x:c r="X9" s="26" t="str">
        <x:v>Day-3 power closure requires at least 18.73 kt/day gross handling under the modeled 0.92 node factor and 0.80 deployment share</x:v>
      </x:c>
    </x:row>
    <x:row r="10">
      <x:c r="C10" s="26" t="str">
        <x:v>P3</x:v>
      </x:c>
      <x:c r="D10" s="26" t="str">
        <x:v>Distributed vertical-lift network</x:v>
      </x:c>
      <x:c r="E10" s="26" t="str">
        <x:v>Vertical lift</x:v>
      </x:c>
      <x:c r="F10" s="26" t="str">
        <x:v>H1/H2/H3/H4</x:v>
      </x:c>
      <x:c r="G10" s="26" t="str">
        <x:v>upland landing lattice</x:v>
      </x:c>
      <x:c r="H10" s="26" t="str">
        <x:v>regional</x:v>
      </x:c>
      <x:c r="I10" s="26" t="str">
        <x:v>Vertical network</x:v>
      </x:c>
      <x:c r="J10" s="43" t="n">
        <x:v>0</x:v>
      </x:c>
      <x:c r="K10" s="43" t="n">
        <x:v>0</x:v>
      </x:c>
      <x:c r="L10" s="43" t="n">
        <x:v>16000</x:v>
      </x:c>
      <x:c r="M10" s="43" t="n">
        <x:v>14000</x:v>
      </x:c>
      <x:c r="N10" s="43" t="n">
        <x:v>3</x:v>
      </x:c>
      <x:c r="O10" s="43" t="n">
        <x:v>20000</x:v>
      </x:c>
      <x:c r="P10" s="43" t="n">
        <x:v>18000</x:v>
      </x:c>
      <x:c r="Q10" s="43" t="n">
        <x:v>0.25</x:v>
      </x:c>
      <x:c r="R10" s="43" t="n">
        <x:v>0.1</x:v>
      </x:c>
      <x:c r="S10" s="43" t="n">
        <x:v>0.25</x:v>
      </x:c>
      <x:c r="T10" s="43" t="n">
        <x:v>0</x:v>
      </x:c>
      <x:c r="U10" s="44" t="n">
        <x:v>0.8</x:v>
      </x:c>
      <x:c r="V10" s="44" t="n">
        <x:v>0.65</x:v>
      </x:c>
      <x:c r="W10" s="44" t="n">
        <x:v>0.9</x:v>
      </x:c>
      <x:c r="X10" s="26" t="str">
        <x:v>Urgent high-value movement; not the bulk sustainment solution</x:v>
      </x:c>
    </x:row>
    <x:row r="11">
      <x:c r="C11" s="26" t="str">
        <x:v>P4</x:v>
      </x:c>
      <x:c r="D11" s="26" t="str">
        <x:v>Puget no-pier maritime bridge</x:v>
      </x:c>
      <x:c r="E11" s="26" t="str">
        <x:v>Littoral</x:v>
      </x:c>
      <x:c r="F11" s="26" t="str">
        <x:v>H7</x:v>
      </x:c>
      <x:c r="G11" s="26" t="str">
        <x:v>ferry / beach lattice</x:v>
      </x:c>
      <x:c r="H11" s="26" t="str">
        <x:v>Washington coast</x:v>
      </x:c>
      <x:c r="I11" s="26" t="str">
        <x:v>Puget maritime</x:v>
      </x:c>
      <x:c r="J11" s="43" t="n">
        <x:v>2</x:v>
      </x:c>
      <x:c r="K11" s="43" t="n">
        <x:v>3</x:v>
      </x:c>
      <x:c r="L11" s="43" t="n">
        <x:v>20000</x:v>
      </x:c>
      <x:c r="M11" s="43" t="n">
        <x:v>16000</x:v>
      </x:c>
      <x:c r="N11" s="43" t="n">
        <x:v>10</x:v>
      </x:c>
      <x:c r="O11" s="43" t="n">
        <x:v>30000</x:v>
      </x:c>
      <x:c r="P11" s="43" t="n">
        <x:v>24000</x:v>
      </x:c>
      <x:c r="Q11" s="43" t="n">
        <x:v>1</x:v>
      </x:c>
      <x:c r="R11" s="43" t="n">
        <x:v>0.5</x:v>
      </x:c>
      <x:c r="S11" s="43" t="n">
        <x:v>0.5</x:v>
      </x:c>
      <x:c r="T11" s="43" t="n">
        <x:v>0</x:v>
      </x:c>
      <x:c r="U11" s="44" t="n">
        <x:v>0.65</x:v>
      </x:c>
      <x:c r="V11" s="44" t="n">
        <x:v>0.6</x:v>
      </x:c>
      <x:c r="W11" s="44" t="n">
        <x:v>0.88</x:v>
      </x:c>
      <x:c r="X11" s="26" t="str">
        <x:v>Adaptive causeways and shallow craft operate before deep berths</x:v>
      </x:c>
    </x:row>
    <x:row r="12">
      <x:c r="C12" s="26" t="str">
        <x:v>P5</x:v>
      </x:c>
      <x:c r="D12" s="26" t="str">
        <x:v>Oregon no-pier coastal bridge</x:v>
      </x:c>
      <x:c r="E12" s="26" t="str">
        <x:v>Littoral</x:v>
      </x:c>
      <x:c r="F12" s="26" t="str">
        <x:v>H8</x:v>
      </x:c>
      <x:c r="G12" s="26" t="str">
        <x:v>north / central / south coast lattice</x:v>
      </x:c>
      <x:c r="H12" s="26" t="str">
        <x:v>Oregon coast</x:v>
      </x:c>
      <x:c r="I12" s="26" t="str">
        <x:v>Coastal maritime</x:v>
      </x:c>
      <x:c r="J12" s="43" t="n">
        <x:v>2</x:v>
      </x:c>
      <x:c r="K12" s="43" t="n">
        <x:v>3</x:v>
      </x:c>
      <x:c r="L12" s="43" t="n">
        <x:v>25000</x:v>
      </x:c>
      <x:c r="M12" s="43" t="n">
        <x:v>22000</x:v>
      </x:c>
      <x:c r="N12" s="43" t="n">
        <x:v>10</x:v>
      </x:c>
      <x:c r="O12" s="43" t="n">
        <x:v>35000</x:v>
      </x:c>
      <x:c r="P12" s="43" t="n">
        <x:v>30000</x:v>
      </x:c>
      <x:c r="Q12" s="43" t="n">
        <x:v>1</x:v>
      </x:c>
      <x:c r="R12" s="43" t="n">
        <x:v>0.5</x:v>
      </x:c>
      <x:c r="S12" s="43" t="n">
        <x:v>0.5</x:v>
      </x:c>
      <x:c r="T12" s="43" t="n">
        <x:v>0</x:v>
      </x:c>
      <x:c r="U12" s="44" t="n">
        <x:v>0.65</x:v>
      </x:c>
      <x:c r="V12" s="44" t="n">
        <x:v>0.55</x:v>
      </x:c>
      <x:c r="W12" s="44" t="n">
        <x:v>0.88</x:v>
      </x:c>
      <x:c r="X12" s="26" t="str">
        <x:v>Three dispersed coastal landing sectors</x:v>
      </x:c>
    </x:row>
    <x:row r="13">
      <x:c r="C13" s="26" t="str">
        <x:v>P6</x:v>
      </x:c>
      <x:c r="D13" s="26" t="str">
        <x:v>Puget recovered deepwater path</x:v>
      </x:c>
      <x:c r="E13" s="26" t="str">
        <x:v>Ocean</x:v>
      </x:c>
      <x:c r="F13" s="26" t="str">
        <x:v>H7</x:v>
      </x:c>
      <x:c r="G13" s="26" t="str">
        <x:v>Everett / Olympia pair</x:v>
      </x:c>
      <x:c r="H13" s="26" t="str">
        <x:v>Puget</x:v>
      </x:c>
      <x:c r="I13" s="26" t="str">
        <x:v>Puget maritime</x:v>
      </x:c>
      <x:c r="J13" s="43" t="n">
        <x:v>5</x:v>
      </x:c>
      <x:c r="K13" s="43" t="n">
        <x:v>8</x:v>
      </x:c>
      <x:c r="L13" s="43" t="n">
        <x:v>30000</x:v>
      </x:c>
      <x:c r="M13" s="43" t="n">
        <x:v>20000</x:v>
      </x:c>
      <x:c r="N13" s="43" t="n">
        <x:v>20</x:v>
      </x:c>
      <x:c r="O13" s="43" t="n">
        <x:v>50000</x:v>
      </x:c>
      <x:c r="P13" s="43" t="n">
        <x:v>40000</x:v>
      </x:c>
      <x:c r="Q13" s="43" t="n">
        <x:v>1.5</x:v>
      </x:c>
      <x:c r="R13" s="43" t="n">
        <x:v>0.5</x:v>
      </x:c>
      <x:c r="S13" s="43" t="n">
        <x:v>0.5</x:v>
      </x:c>
      <x:c r="T13" s="43" t="n">
        <x:v>0</x:v>
      </x:c>
      <x:c r="U13" s="44" t="n">
        <x:v>0.35</x:v>
      </x:c>
      <x:c r="V13" s="44" t="n">
        <x:v>0.65</x:v>
      </x:c>
      <x:c r="W13" s="44" t="n">
        <x:v>0.82</x:v>
      </x:c>
      <x:c r="X13" s="26" t="str">
        <x:v>No credit until survey, debris clearance, temporary handling and release</x:v>
      </x:c>
    </x:row>
    <x:row r="14">
      <x:c r="C14" s="26" t="str">
        <x:v>P7</x:v>
      </x:c>
      <x:c r="D14" s="26" t="str">
        <x:v>Columbia–Willamette shallow-draft path</x:v>
      </x:c>
      <x:c r="E14" s="26" t="str">
        <x:v>Inland water</x:v>
      </x:c>
      <x:c r="F14" s="26" t="str">
        <x:v>H2/H6</x:v>
      </x:c>
      <x:c r="G14" s="26" t="str">
        <x:v>river terminal lattice</x:v>
      </x:c>
      <x:c r="H14" s="26" t="str">
        <x:v>Southwest / valley</x:v>
      </x:c>
      <x:c r="I14" s="26" t="str">
        <x:v>Inland water</x:v>
      </x:c>
      <x:c r="J14" s="43" t="n">
        <x:v>4</x:v>
      </x:c>
      <x:c r="K14" s="43" t="n">
        <x:v>6</x:v>
      </x:c>
      <x:c r="L14" s="43" t="n">
        <x:v>22000</x:v>
      </x:c>
      <x:c r="M14" s="43" t="n">
        <x:v>18000</x:v>
      </x:c>
      <x:c r="N14" s="43" t="n">
        <x:v>14</x:v>
      </x:c>
      <x:c r="O14" s="43" t="n">
        <x:v>35000</x:v>
      </x:c>
      <x:c r="P14" s="43" t="n">
        <x:v>28000</x:v>
      </x:c>
      <x:c r="Q14" s="43" t="n">
        <x:v>1</x:v>
      </x:c>
      <x:c r="R14" s="43" t="n">
        <x:v>0.5</x:v>
      </x:c>
      <x:c r="S14" s="43" t="n">
        <x:v>0.5</x:v>
      </x:c>
      <x:c r="T14" s="43" t="n">
        <x:v>0</x:v>
      </x:c>
      <x:c r="U14" s="44" t="n">
        <x:v>0.55</x:v>
      </x:c>
      <x:c r="V14" s="44" t="n">
        <x:v>0.75</x:v>
      </x:c>
      <x:c r="W14" s="44" t="n">
        <x:v>0.88</x:v>
      </x:c>
      <x:c r="X14" s="26" t="str">
        <x:v>Shallow-draft operations can precede full channel restoration</x:v>
      </x:c>
    </x:row>
    <x:row r="15">
      <x:c r="C15" s="26" t="str">
        <x:v>P8</x:v>
      </x:c>
      <x:c r="D15" s="26" t="str">
        <x:v>Washington east–west surface path</x:v>
      </x:c>
      <x:c r="E15" s="26" t="str">
        <x:v>Road</x:v>
      </x:c>
      <x:c r="F15" s="26" t="str">
        <x:v>H1/H2</x:v>
      </x:c>
      <x:c r="G15" s="26" t="str">
        <x:v>I-90 / US-12 / local alternates</x:v>
      </x:c>
      <x:c r="H15" s="26" t="str">
        <x:v>Washington</x:v>
      </x:c>
      <x:c r="I15" s="26" t="str">
        <x:v>WA surface</x:v>
      </x:c>
      <x:c r="J15" s="43" t="n">
        <x:v>5</x:v>
      </x:c>
      <x:c r="K15" s="43" t="n">
        <x:v>7</x:v>
      </x:c>
      <x:c r="L15" s="43" t="n">
        <x:v>22000</x:v>
      </x:c>
      <x:c r="M15" s="43" t="n">
        <x:v>16000</x:v>
      </x:c>
      <x:c r="N15" s="43" t="n">
        <x:v>18</x:v>
      </x:c>
      <x:c r="O15" s="43" t="n">
        <x:v>40000</x:v>
      </x:c>
      <x:c r="P15" s="43" t="n">
        <x:v>32000</x:v>
      </x:c>
      <x:c r="Q15" s="43" t="n">
        <x:v>0.5</x:v>
      </x:c>
      <x:c r="R15" s="43" t="n">
        <x:v>0.25</x:v>
      </x:c>
      <x:c r="S15" s="43" t="n">
        <x:v>0.25</x:v>
      </x:c>
      <x:c r="T15" s="43" t="n">
        <x:v>0</x:v>
      </x:c>
      <x:c r="U15" s="44" t="n">
        <x:v>0.25</x:v>
      </x:c>
      <x:c r="V15" s="44" t="n">
        <x:v>0.25</x:v>
      </x:c>
      <x:c r="W15" s="44" t="n">
        <x:v>0.9</x:v>
      </x:c>
      <x:c r="X15" s="26" t="str">
        <x:v>Temporary spans, slope clearance and independent local bypasses</x:v>
      </x:c>
    </x:row>
    <x:row r="16">
      <x:c r="C16" s="26" t="str">
        <x:v>P9</x:v>
      </x:c>
      <x:c r="D16" s="26" t="str">
        <x:v>Oregon east–west surface path</x:v>
      </x:c>
      <x:c r="E16" s="26" t="str">
        <x:v>Road</x:v>
      </x:c>
      <x:c r="F16" s="26" t="str">
        <x:v>H3/H4</x:v>
      </x:c>
      <x:c r="G16" s="26" t="str">
        <x:v>US-20 / US-26 / OR-58 alternates</x:v>
      </x:c>
      <x:c r="H16" s="26" t="str">
        <x:v>Oregon</x:v>
      </x:c>
      <x:c r="I16" s="26" t="str">
        <x:v>OR surface</x:v>
      </x:c>
      <x:c r="J16" s="43" t="n">
        <x:v>4</x:v>
      </x:c>
      <x:c r="K16" s="43" t="n">
        <x:v>6</x:v>
      </x:c>
      <x:c r="L16" s="43" t="n">
        <x:v>20000</x:v>
      </x:c>
      <x:c r="M16" s="43" t="n">
        <x:v>15000</x:v>
      </x:c>
      <x:c r="N16" s="43" t="n">
        <x:v>16</x:v>
      </x:c>
      <x:c r="O16" s="43" t="n">
        <x:v>36000</x:v>
      </x:c>
      <x:c r="P16" s="43" t="n">
        <x:v>28000</x:v>
      </x:c>
      <x:c r="Q16" s="43" t="n">
        <x:v>0.5</x:v>
      </x:c>
      <x:c r="R16" s="43" t="n">
        <x:v>0.25</x:v>
      </x:c>
      <x:c r="S16" s="43" t="n">
        <x:v>0.25</x:v>
      </x:c>
      <x:c r="T16" s="43" t="n">
        <x:v>0</x:v>
      </x:c>
      <x:c r="U16" s="44" t="n">
        <x:v>0.3</x:v>
      </x:c>
      <x:c r="V16" s="44" t="n">
        <x:v>0.25</x:v>
      </x:c>
      <x:c r="W16" s="44" t="n">
        <x:v>0.9</x:v>
      </x:c>
      <x:c r="X16" s="26" t="str">
        <x:v>Multiple corridors and prepositioned bridge/earthwork trains</x:v>
      </x:c>
    </x:row>
    <x:row r="17">
      <x:c r="C17" s="26" t="str">
        <x:v>P10</x:v>
      </x:c>
      <x:c r="D17" s="26" t="str">
        <x:v>Interior-to-valley rail path</x:v>
      </x:c>
      <x:c r="E17" s="26" t="str">
        <x:v>Rail</x:v>
      </x:c>
      <x:c r="F17" s="26" t="str">
        <x:v>H1/H4/H5</x:v>
      </x:c>
      <x:c r="G17" s="26" t="str">
        <x:v>Columbia and southern rail corridors</x:v>
      </x:c>
      <x:c r="H17" s="26" t="str">
        <x:v>regional</x:v>
      </x:c>
      <x:c r="I17" s="26" t="str">
        <x:v>Rail</x:v>
      </x:c>
      <x:c r="J17" s="43" t="n">
        <x:v>10</x:v>
      </x:c>
      <x:c r="K17" s="43" t="n">
        <x:v>14</x:v>
      </x:c>
      <x:c r="L17" s="43" t="n">
        <x:v>22000</x:v>
      </x:c>
      <x:c r="M17" s="43" t="n">
        <x:v>16000</x:v>
      </x:c>
      <x:c r="N17" s="43" t="n">
        <x:v>25</x:v>
      </x:c>
      <x:c r="O17" s="43" t="n">
        <x:v>48000</x:v>
      </x:c>
      <x:c r="P17" s="43" t="n">
        <x:v>38000</x:v>
      </x:c>
      <x:c r="Q17" s="43" t="n">
        <x:v>1</x:v>
      </x:c>
      <x:c r="R17" s="43" t="n">
        <x:v>0.5</x:v>
      </x:c>
      <x:c r="S17" s="43" t="n">
        <x:v>0.5</x:v>
      </x:c>
      <x:c r="T17" s="43" t="n">
        <x:v>0</x:v>
      </x:c>
      <x:c r="U17" s="44" t="n">
        <x:v>0.3</x:v>
      </x:c>
      <x:c r="V17" s="44" t="n">
        <x:v>0.4</x:v>
      </x:c>
      <x:c r="W17" s="44" t="n">
        <x:v>0.85</x:v>
      </x:c>
      <x:c r="X17" s="26" t="str">
        <x:v>Bulk path only after bridge, yard, signal and terminal certification</x:v>
      </x:c>
    </x:row>
    <x:row r="18">
      <x:c r="C18" s="26" t="str">
        <x:v>P11</x:v>
      </x:c>
      <x:c r="D18" s="26" t="str">
        <x:v>Offshore support and repair shuttle</x:v>
      </x:c>
      <x:c r="E18" s="26" t="str">
        <x:v>Ocean support</x:v>
      </x:c>
      <x:c r="F18" s="26" t="str">
        <x:v>H7/H8</x:v>
      </x:c>
      <x:c r="G18" s="26" t="str">
        <x:v>distributed coastal transfer points</x:v>
      </x:c>
      <x:c r="H18" s="26" t="str">
        <x:v>regional coast</x:v>
      </x:c>
      <x:c r="I18" s="26" t="str">
        <x:v>Offshore support</x:v>
      </x:c>
      <x:c r="J18" s="43" t="n">
        <x:v>2</x:v>
      </x:c>
      <x:c r="K18" s="43" t="n">
        <x:v>2</x:v>
      </x:c>
      <x:c r="L18" s="43" t="n">
        <x:v>18000</x:v>
      </x:c>
      <x:c r="M18" s="43" t="n">
        <x:v>14000</x:v>
      </x:c>
      <x:c r="N18" s="43" t="n">
        <x:v>8</x:v>
      </x:c>
      <x:c r="O18" s="43" t="n">
        <x:v>25000</x:v>
      </x:c>
      <x:c r="P18" s="43" t="n">
        <x:v>22000</x:v>
      </x:c>
      <x:c r="Q18" s="43" t="n">
        <x:v>1</x:v>
      </x:c>
      <x:c r="R18" s="43" t="n">
        <x:v>0.5</x:v>
      </x:c>
      <x:c r="S18" s="43" t="n">
        <x:v>0.5</x:v>
      </x:c>
      <x:c r="T18" s="43" t="n">
        <x:v>0</x:v>
      </x:c>
      <x:c r="U18" s="44" t="n">
        <x:v>0.8</x:v>
      </x:c>
      <x:c r="V18" s="44" t="n">
        <x:v>0.6</x:v>
      </x:c>
      <x:c r="W18" s="44" t="n">
        <x:v>0.92</x:v>
      </x:c>
      <x:c r="X18" s="26" t="str">
        <x:v>Carries repair, base, utility and medical modules while ports remain degraded</x:v>
      </x:c>
    </x:row>
  </x:sheetData>
  <x:mergeCells>
    <x:mergeCell ref="C2:X2"/>
    <x:mergeCell ref="C3:X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8" hidden="0" customWidth="1"/>
    <x:col min="5" max="5" width="10" hidden="0" customWidth="1"/>
    <x:col min="6" max="6" width="14" hidden="0" customWidth="1"/>
    <x:col min="7" max="7" width="13" hidden="0" customWidth="1"/>
    <x:col min="8" max="8" width="12" hidden="0" customWidth="1"/>
    <x:col min="9" max="9" width="10" hidden="0" customWidth="1"/>
    <x:col min="10" max="10" width="14" hidden="0" customWidth="1"/>
    <x:col min="11" max="11" width="15" hidden="0" customWidth="1"/>
    <x:col min="12" max="12" width="14" hidden="0" customWidth="1"/>
    <x:col min="13" max="13" width="15" hidden="0" customWidth="1"/>
    <x:col min="14" max="14" width="17" hidden="0" customWidth="1"/>
    <x:col min="15" max="15" width="15" hidden="0" customWidth="1"/>
    <x:col min="16" max="16" width="16" hidden="0" customWidth="1"/>
    <x:col min="17" max="17" width="12" hidden="0" customWidth="1"/>
    <x:col min="18" max="18" width="14" hidden="0" customWidth="1"/>
    <x:col min="19" max="19" width="12" hidden="0" customWidth="1"/>
  </x:cols>
  <x:sheetData>
    <x:row r="2" ht="24" customHeight="1">
      <x:c r="C2" s="69" t="str">
        <x:v>Daily Path Capacity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</x:row>
    <x:row r="3" ht="30" customHeight="1">
      <x:c r="C3" s="71" t="str">
        <x:v>Gross path capacity is derated for node condition, scheduled aftershocks and winter weather, then partitioned among deployment, sustainment and reverse flow.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</x:row>
    <x:row r="6">
      <x:c r="C6" s="16" t="str">
        <x:v>Path ID</x:v>
      </x:c>
      <x:c r="D6" s="17" t="str">
        <x:v>Day</x:v>
      </x:c>
      <x:c r="E6" s="17" t="str">
        <x:v>Open day</x:v>
      </x:c>
      <x:c r="F6" s="17" t="str">
        <x:v>Base capacity</x:v>
      </x:c>
      <x:c r="G6" s="17" t="str">
        <x:v>Aftershock factor</x:v>
      </x:c>
      <x:c r="H6" s="17" t="str">
        <x:v>Weather factor</x:v>
      </x:c>
      <x:c r="I6" s="17" t="str">
        <x:v>Node factor</x:v>
      </x:c>
      <x:c r="J6" s="17" t="str">
        <x:v>Gross capacity</x:v>
      </x:c>
      <x:c r="K6" s="17" t="str">
        <x:v>Cumulative gross</x:v>
      </x:c>
      <x:c r="L6" s="17" t="str">
        <x:v>Deployment share</x:v>
      </x:c>
      <x:c r="M6" s="17" t="str">
        <x:v>Deployment capacity</x:v>
      </x:c>
      <x:c r="N6" s="17" t="str">
        <x:v>Cumulative deployment</x:v>
      </x:c>
      <x:c r="O6" s="17" t="str">
        <x:v>Sustainment share</x:v>
      </x:c>
      <x:c r="P6" s="17" t="str">
        <x:v>Sustainment capacity</x:v>
      </x:c>
      <x:c r="Q6" s="17" t="str">
        <x:v>Reverse share</x:v>
      </x:c>
      <x:c r="R6" s="17" t="str">
        <x:v>Reverse capacity</x:v>
      </x:c>
      <x:c r="S6" s="18" t="str">
        <x:v>Stage</x:v>
      </x:c>
      <x:c r="T6" s="72"/>
    </x:row>
    <x:row r="7">
      <x:c r="C7" s="20" t="str">
        <x:v>P0</x:v>
      </x:c>
      <x:c r="D7" s="20" t="n">
        <x:v>0</x:v>
      </x:c>
      <x:c r="E7" s="45" t="n">
        <x:f>IF('Controls'!$D$7="Reference",'Paths'!$J$7,'Paths'!$K$7)</x:f>
        <x:v>0</x:v>
      </x:c>
      <x:c r="F7" s="47" t="n">
        <x:f>IF(D7&lt;'Paths'!$N$7,IF('Controls'!$D$7="Reference",'Paths'!$L$7,'Paths'!$M$7),IF('Controls'!$D$7="Reference",'Paths'!$O$7,'Paths'!$P$7))</x:f>
        <x:v>40000</x:v>
      </x:c>
      <x:c r="G7" s="46" t="n">
        <x:f>IF('Controls'!$D$7="Reference",1,IF(OR(D7=6,D7=7,D7=21,D7=46),'Paths'!$U$7,1))</x:f>
        <x:v>1</x:v>
      </x:c>
      <x:c r="H7" s="46" t="n">
        <x:f>IF('Controls'!$D$7="Reference",1,IF(OR(AND(D7&gt;=14,D7&lt;=16),AND(D7&gt;=34,D7&lt;=35),AND(D7&gt;=61,D7&lt;=63)),'Paths'!$V$7,1))</x:f>
        <x:v>1</x:v>
      </x:c>
      <x:c r="I7" s="46" t="n">
        <x:f>'Paths'!$W$7</x:f>
        <x:v>1</x:v>
      </x:c>
      <x:c r="J7" s="47" t="n">
        <x:f>IF(D7&lt;E7,0,MIN(F7*G7*H7*I7,IF('Paths'!$T$7&gt;0,MAX(0,'Paths'!$T$7-0),1000000000)))</x:f>
        <x:v>40000</x:v>
      </x:c>
      <x:c r="K7" s="47" t="n">
        <x:f>0+J7</x:f>
        <x:v>40000</x:v>
      </x:c>
      <x:c r="L7" s="46" t="n">
        <x:f>IF(C7="P0",1,IF(D7&lt;=3,0.8,IF(D7&lt;=14,0.65,IF(D7&lt;=45,0.5,0.3))))</x:f>
        <x:v>1</x:v>
      </x:c>
      <x:c r="M7" s="47" t="n">
        <x:f>J7*L7</x:f>
        <x:v>40000</x:v>
      </x:c>
      <x:c r="N7" s="47" t="n">
        <x:f>0+M7</x:f>
        <x:v>40000</x:v>
      </x:c>
      <x:c r="O7" s="46" t="n">
        <x:f>IF(C7="P0",0,IF(D7&lt;=3,0.15,IF(D7&lt;=14,0.25,IF(D7&lt;=45,0.35,0.5))))</x:f>
        <x:v>0</x:v>
      </x:c>
      <x:c r="P7" s="47" t="n">
        <x:f>J7*O7</x:f>
        <x:v>0</x:v>
      </x:c>
      <x:c r="Q7" s="46" t="n">
        <x:f>IF(C7="P0",0,IF(D7&lt;=3,0.05,IF(D7&lt;=14,0.1,IF(D7&lt;=45,0.15,0.2))))</x:f>
        <x:v>0</x:v>
      </x:c>
      <x:c r="R7" s="47" t="n">
        <x:f>J7*Q7</x:f>
        <x:v>0</x:v>
      </x:c>
      <x:c r="S7" s="20" t="str">
        <x:f>IF(D7&lt;E7,"closed",IF(D7&lt;'Paths'!$N$7,"initial","expanded"))</x:f>
        <x:v>initial</x:v>
      </x:c>
      <x:c r="T7" s="72"/>
    </x:row>
    <x:row r="8">
      <x:c r="C8" s="20" t="str">
        <x:v>P0</x:v>
      </x:c>
      <x:c r="D8" s="20" t="n">
        <x:v>1</x:v>
      </x:c>
      <x:c r="E8" s="45" t="n">
        <x:f>IF('Controls'!$D$7="Reference",'Paths'!$J$7,'Paths'!$K$7)</x:f>
        <x:v>0</x:v>
      </x:c>
      <x:c r="F8" s="47" t="n">
        <x:f>IF(D8&lt;'Paths'!$N$7,IF('Controls'!$D$7="Reference",'Paths'!$L$7,'Paths'!$M$7),IF('Controls'!$D$7="Reference",'Paths'!$O$7,'Paths'!$P$7))</x:f>
        <x:v>40000</x:v>
      </x:c>
      <x:c r="G8" s="46" t="n">
        <x:f>IF('Controls'!$D$7="Reference",1,IF(OR(D8=6,D8=7,D8=21,D8=46),'Paths'!$U$7,1))</x:f>
        <x:v>1</x:v>
      </x:c>
      <x:c r="H8" s="46" t="n">
        <x:f>IF('Controls'!$D$7="Reference",1,IF(OR(AND(D8&gt;=14,D8&lt;=16),AND(D8&gt;=34,D8&lt;=35),AND(D8&gt;=61,D8&lt;=63)),'Paths'!$V$7,1))</x:f>
        <x:v>1</x:v>
      </x:c>
      <x:c r="I8" s="46" t="n">
        <x:f>'Paths'!$W$7</x:f>
        <x:v>1</x:v>
      </x:c>
      <x:c r="J8" s="47" t="n">
        <x:f>IF(D8&lt;E8,0,MIN(F8*G8*H8*I8,IF('Paths'!$T$7&gt;0,MAX(0,'Paths'!$T$7-K7),1000000000)))</x:f>
        <x:v>40000</x:v>
      </x:c>
      <x:c r="K8" s="47" t="n">
        <x:f>K7+J8</x:f>
        <x:v>80000</x:v>
      </x:c>
      <x:c r="L8" s="46" t="n">
        <x:f>IF(C8="P0",1,IF(D8&lt;=3,0.8,IF(D8&lt;=14,0.65,IF(D8&lt;=45,0.5,0.3))))</x:f>
        <x:v>1</x:v>
      </x:c>
      <x:c r="M8" s="47" t="n">
        <x:f>J8*L8</x:f>
        <x:v>40000</x:v>
      </x:c>
      <x:c r="N8" s="47" t="n">
        <x:f>N7+M8</x:f>
        <x:v>80000</x:v>
      </x:c>
      <x:c r="O8" s="46" t="n">
        <x:f>IF(C8="P0",0,IF(D8&lt;=3,0.15,IF(D8&lt;=14,0.25,IF(D8&lt;=45,0.35,0.5))))</x:f>
        <x:v>0</x:v>
      </x:c>
      <x:c r="P8" s="47" t="n">
        <x:f>J8*O8</x:f>
        <x:v>0</x:v>
      </x:c>
      <x:c r="Q8" s="46" t="n">
        <x:f>IF(C8="P0",0,IF(D8&lt;=3,0.05,IF(D8&lt;=14,0.1,IF(D8&lt;=45,0.15,0.2))))</x:f>
        <x:v>0</x:v>
      </x:c>
      <x:c r="R8" s="47" t="n">
        <x:f>J8*Q8</x:f>
        <x:v>0</x:v>
      </x:c>
      <x:c r="S8" s="20" t="str">
        <x:f>IF(D8&lt;E8,"closed",IF(D8&lt;'Paths'!$N$7,"initial","expanded"))</x:f>
        <x:v>initial</x:v>
      </x:c>
      <x:c r="T8" s="72"/>
    </x:row>
    <x:row r="9">
      <x:c r="C9" s="20" t="str">
        <x:v>P0</x:v>
      </x:c>
      <x:c r="D9" s="20" t="n">
        <x:v>2</x:v>
      </x:c>
      <x:c r="E9" s="45" t="n">
        <x:f>IF('Controls'!$D$7="Reference",'Paths'!$J$7,'Paths'!$K$7)</x:f>
        <x:v>0</x:v>
      </x:c>
      <x:c r="F9" s="47" t="n">
        <x:f>IF(D9&lt;'Paths'!$N$7,IF('Controls'!$D$7="Reference",'Paths'!$L$7,'Paths'!$M$7),IF('Controls'!$D$7="Reference",'Paths'!$O$7,'Paths'!$P$7))</x:f>
        <x:v>40000</x:v>
      </x:c>
      <x:c r="G9" s="46" t="n">
        <x:f>IF('Controls'!$D$7="Reference",1,IF(OR(D9=6,D9=7,D9=21,D9=46),'Paths'!$U$7,1))</x:f>
        <x:v>1</x:v>
      </x:c>
      <x:c r="H9" s="46" t="n">
        <x:f>IF('Controls'!$D$7="Reference",1,IF(OR(AND(D9&gt;=14,D9&lt;=16),AND(D9&gt;=34,D9&lt;=35),AND(D9&gt;=61,D9&lt;=63)),'Paths'!$V$7,1))</x:f>
        <x:v>1</x:v>
      </x:c>
      <x:c r="I9" s="46" t="n">
        <x:f>'Paths'!$W$7</x:f>
        <x:v>1</x:v>
      </x:c>
      <x:c r="J9" s="47" t="n">
        <x:f>IF(D9&lt;E9,0,MIN(F9*G9*H9*I9,IF('Paths'!$T$7&gt;0,MAX(0,'Paths'!$T$7-K8),1000000000)))</x:f>
        <x:v>40000</x:v>
      </x:c>
      <x:c r="K9" s="47" t="n">
        <x:f>K8+J9</x:f>
        <x:v>120000</x:v>
      </x:c>
      <x:c r="L9" s="46" t="n">
        <x:f>IF(C9="P0",1,IF(D9&lt;=3,0.8,IF(D9&lt;=14,0.65,IF(D9&lt;=45,0.5,0.3))))</x:f>
        <x:v>1</x:v>
      </x:c>
      <x:c r="M9" s="47" t="n">
        <x:f>J9*L9</x:f>
        <x:v>40000</x:v>
      </x:c>
      <x:c r="N9" s="47" t="n">
        <x:f>N8+M9</x:f>
        <x:v>120000</x:v>
      </x:c>
      <x:c r="O9" s="46" t="n">
        <x:f>IF(C9="P0",0,IF(D9&lt;=3,0.15,IF(D9&lt;=14,0.25,IF(D9&lt;=45,0.35,0.5))))</x:f>
        <x:v>0</x:v>
      </x:c>
      <x:c r="P9" s="47" t="n">
        <x:f>J9*O9</x:f>
        <x:v>0</x:v>
      </x:c>
      <x:c r="Q9" s="46" t="n">
        <x:f>IF(C9="P0",0,IF(D9&lt;=3,0.05,IF(D9&lt;=14,0.1,IF(D9&lt;=45,0.15,0.2))))</x:f>
        <x:v>0</x:v>
      </x:c>
      <x:c r="R9" s="47" t="n">
        <x:f>J9*Q9</x:f>
        <x:v>0</x:v>
      </x:c>
      <x:c r="S9" s="20" t="str">
        <x:f>IF(D9&lt;E9,"closed",IF(D9&lt;'Paths'!$N$7,"initial","expanded"))</x:f>
        <x:v>initial</x:v>
      </x:c>
      <x:c r="T9" s="72"/>
    </x:row>
    <x:row r="10">
      <x:c r="C10" s="20" t="str">
        <x:v>P0</x:v>
      </x:c>
      <x:c r="D10" s="20" t="n">
        <x:v>3</x:v>
      </x:c>
      <x:c r="E10" s="45" t="n">
        <x:f>IF('Controls'!$D$7="Reference",'Paths'!$J$7,'Paths'!$K$7)</x:f>
        <x:v>0</x:v>
      </x:c>
      <x:c r="F10" s="47" t="n">
        <x:f>IF(D10&lt;'Paths'!$N$7,IF('Controls'!$D$7="Reference",'Paths'!$L$7,'Paths'!$M$7),IF('Controls'!$D$7="Reference",'Paths'!$O$7,'Paths'!$P$7))</x:f>
        <x:v>40000</x:v>
      </x:c>
      <x:c r="G10" s="46" t="n">
        <x:f>IF('Controls'!$D$7="Reference",1,IF(OR(D10=6,D10=7,D10=21,D10=46),'Paths'!$U$7,1))</x:f>
        <x:v>1</x:v>
      </x:c>
      <x:c r="H10" s="46" t="n">
        <x:f>IF('Controls'!$D$7="Reference",1,IF(OR(AND(D10&gt;=14,D10&lt;=16),AND(D10&gt;=34,D10&lt;=35),AND(D10&gt;=61,D10&lt;=63)),'Paths'!$V$7,1))</x:f>
        <x:v>1</x:v>
      </x:c>
      <x:c r="I10" s="46" t="n">
        <x:f>'Paths'!$W$7</x:f>
        <x:v>1</x:v>
      </x:c>
      <x:c r="J10" s="47" t="n">
        <x:f>IF(D10&lt;E10,0,MIN(F10*G10*H10*I10,IF('Paths'!$T$7&gt;0,MAX(0,'Paths'!$T$7-K9),1000000000)))</x:f>
        <x:v>5000</x:v>
      </x:c>
      <x:c r="K10" s="47" t="n">
        <x:f>K9+J10</x:f>
        <x:v>125000</x:v>
      </x:c>
      <x:c r="L10" s="46" t="n">
        <x:f>IF(C10="P0",1,IF(D10&lt;=3,0.8,IF(D10&lt;=14,0.65,IF(D10&lt;=45,0.5,0.3))))</x:f>
        <x:v>1</x:v>
      </x:c>
      <x:c r="M10" s="47" t="n">
        <x:f>J10*L10</x:f>
        <x:v>5000</x:v>
      </x:c>
      <x:c r="N10" s="47" t="n">
        <x:f>N9+M10</x:f>
        <x:v>125000</x:v>
      </x:c>
      <x:c r="O10" s="46" t="n">
        <x:f>IF(C10="P0",0,IF(D10&lt;=3,0.15,IF(D10&lt;=14,0.25,IF(D10&lt;=45,0.35,0.5))))</x:f>
        <x:v>0</x:v>
      </x:c>
      <x:c r="P10" s="47" t="n">
        <x:f>J10*O10</x:f>
        <x:v>0</x:v>
      </x:c>
      <x:c r="Q10" s="46" t="n">
        <x:f>IF(C10="P0",0,IF(D10&lt;=3,0.05,IF(D10&lt;=14,0.1,IF(D10&lt;=45,0.15,0.2))))</x:f>
        <x:v>0</x:v>
      </x:c>
      <x:c r="R10" s="47" t="n">
        <x:f>J10*Q10</x:f>
        <x:v>0</x:v>
      </x:c>
      <x:c r="S10" s="20" t="str">
        <x:f>IF(D10&lt;E10,"closed",IF(D10&lt;'Paths'!$N$7,"initial","expanded"))</x:f>
        <x:v>initial</x:v>
      </x:c>
      <x:c r="T10" s="72"/>
    </x:row>
    <x:row r="11">
      <x:c r="C11" s="20" t="str">
        <x:v>P0</x:v>
      </x:c>
      <x:c r="D11" s="20" t="n">
        <x:v>4</x:v>
      </x:c>
      <x:c r="E11" s="45" t="n">
        <x:f>IF('Controls'!$D$7="Reference",'Paths'!$J$7,'Paths'!$K$7)</x:f>
        <x:v>0</x:v>
      </x:c>
      <x:c r="F11" s="47" t="n">
        <x:f>IF(D11&lt;'Paths'!$N$7,IF('Controls'!$D$7="Reference",'Paths'!$L$7,'Paths'!$M$7),IF('Controls'!$D$7="Reference",'Paths'!$O$7,'Paths'!$P$7))</x:f>
        <x:v>40000</x:v>
      </x:c>
      <x:c r="G11" s="46" t="n">
        <x:f>IF('Controls'!$D$7="Reference",1,IF(OR(D11=6,D11=7,D11=21,D11=46),'Paths'!$U$7,1))</x:f>
        <x:v>1</x:v>
      </x:c>
      <x:c r="H11" s="46" t="n">
        <x:f>IF('Controls'!$D$7="Reference",1,IF(OR(AND(D11&gt;=14,D11&lt;=16),AND(D11&gt;=34,D11&lt;=35),AND(D11&gt;=61,D11&lt;=63)),'Paths'!$V$7,1))</x:f>
        <x:v>1</x:v>
      </x:c>
      <x:c r="I11" s="46" t="n">
        <x:f>'Paths'!$W$7</x:f>
        <x:v>1</x:v>
      </x:c>
      <x:c r="J11" s="47" t="n">
        <x:f>IF(D11&lt;E11,0,MIN(F11*G11*H11*I11,IF('Paths'!$T$7&gt;0,MAX(0,'Paths'!$T$7-K10),1000000000)))</x:f>
        <x:v>0</x:v>
      </x:c>
      <x:c r="K11" s="47" t="n">
        <x:f>K10+J11</x:f>
        <x:v>125000</x:v>
      </x:c>
      <x:c r="L11" s="46" t="n">
        <x:f>IF(C11="P0",1,IF(D11&lt;=3,0.8,IF(D11&lt;=14,0.65,IF(D11&lt;=45,0.5,0.3))))</x:f>
        <x:v>1</x:v>
      </x:c>
      <x:c r="M11" s="47" t="n">
        <x:f>J11*L11</x:f>
        <x:v>0</x:v>
      </x:c>
      <x:c r="N11" s="47" t="n">
        <x:f>N10+M11</x:f>
        <x:v>125000</x:v>
      </x:c>
      <x:c r="O11" s="46" t="n">
        <x:f>IF(C11="P0",0,IF(D11&lt;=3,0.15,IF(D11&lt;=14,0.25,IF(D11&lt;=45,0.35,0.5))))</x:f>
        <x:v>0</x:v>
      </x:c>
      <x:c r="P11" s="47" t="n">
        <x:f>J11*O11</x:f>
        <x:v>0</x:v>
      </x:c>
      <x:c r="Q11" s="46" t="n">
        <x:f>IF(C11="P0",0,IF(D11&lt;=3,0.05,IF(D11&lt;=14,0.1,IF(D11&lt;=45,0.15,0.2))))</x:f>
        <x:v>0</x:v>
      </x:c>
      <x:c r="R11" s="47" t="n">
        <x:f>J11*Q11</x:f>
        <x:v>0</x:v>
      </x:c>
      <x:c r="S11" s="20" t="str">
        <x:f>IF(D11&lt;E11,"closed",IF(D11&lt;'Paths'!$N$7,"initial","expanded"))</x:f>
        <x:v>initial</x:v>
      </x:c>
      <x:c r="T11" s="72"/>
    </x:row>
    <x:row r="12">
      <x:c r="C12" s="20" t="str">
        <x:v>P0</x:v>
      </x:c>
      <x:c r="D12" s="20" t="n">
        <x:v>5</x:v>
      </x:c>
      <x:c r="E12" s="45" t="n">
        <x:f>IF('Controls'!$D$7="Reference",'Paths'!$J$7,'Paths'!$K$7)</x:f>
        <x:v>0</x:v>
      </x:c>
      <x:c r="F12" s="47" t="n">
        <x:f>IF(D12&lt;'Paths'!$N$7,IF('Controls'!$D$7="Reference",'Paths'!$L$7,'Paths'!$M$7),IF('Controls'!$D$7="Reference",'Paths'!$O$7,'Paths'!$P$7))</x:f>
        <x:v>0</x:v>
      </x:c>
      <x:c r="G12" s="46" t="n">
        <x:f>IF('Controls'!$D$7="Reference",1,IF(OR(D12=6,D12=7,D12=21,D12=46),'Paths'!$U$7,1))</x:f>
        <x:v>1</x:v>
      </x:c>
      <x:c r="H12" s="46" t="n">
        <x:f>IF('Controls'!$D$7="Reference",1,IF(OR(AND(D12&gt;=14,D12&lt;=16),AND(D12&gt;=34,D12&lt;=35),AND(D12&gt;=61,D12&lt;=63)),'Paths'!$V$7,1))</x:f>
        <x:v>1</x:v>
      </x:c>
      <x:c r="I12" s="46" t="n">
        <x:f>'Paths'!$W$7</x:f>
        <x:v>1</x:v>
      </x:c>
      <x:c r="J12" s="47" t="n">
        <x:f>IF(D12&lt;E12,0,MIN(F12*G12*H12*I12,IF('Paths'!$T$7&gt;0,MAX(0,'Paths'!$T$7-K11),1000000000)))</x:f>
        <x:v>0</x:v>
      </x:c>
      <x:c r="K12" s="47" t="n">
        <x:f>K11+J12</x:f>
        <x:v>125000</x:v>
      </x:c>
      <x:c r="L12" s="46" t="n">
        <x:f>IF(C12="P0",1,IF(D12&lt;=3,0.8,IF(D12&lt;=14,0.65,IF(D12&lt;=45,0.5,0.3))))</x:f>
        <x:v>1</x:v>
      </x:c>
      <x:c r="M12" s="47" t="n">
        <x:f>J12*L12</x:f>
        <x:v>0</x:v>
      </x:c>
      <x:c r="N12" s="47" t="n">
        <x:f>N11+M12</x:f>
        <x:v>125000</x:v>
      </x:c>
      <x:c r="O12" s="46" t="n">
        <x:f>IF(C12="P0",0,IF(D12&lt;=3,0.15,IF(D12&lt;=14,0.25,IF(D12&lt;=45,0.35,0.5))))</x:f>
        <x:v>0</x:v>
      </x:c>
      <x:c r="P12" s="47" t="n">
        <x:f>J12*O12</x:f>
        <x:v>0</x:v>
      </x:c>
      <x:c r="Q12" s="46" t="n">
        <x:f>IF(C12="P0",0,IF(D12&lt;=3,0.05,IF(D12&lt;=14,0.1,IF(D12&lt;=45,0.15,0.2))))</x:f>
        <x:v>0</x:v>
      </x:c>
      <x:c r="R12" s="47" t="n">
        <x:f>J12*Q12</x:f>
        <x:v>0</x:v>
      </x:c>
      <x:c r="S12" s="20" t="str">
        <x:f>IF(D12&lt;E12,"closed",IF(D12&lt;'Paths'!$N$7,"initial","expanded"))</x:f>
        <x:v>expanded</x:v>
      </x:c>
      <x:c r="T12" s="72"/>
    </x:row>
    <x:row r="13">
      <x:c r="C13" s="20" t="str">
        <x:v>P0</x:v>
      </x:c>
      <x:c r="D13" s="20" t="n">
        <x:v>6</x:v>
      </x:c>
      <x:c r="E13" s="45" t="n">
        <x:f>IF('Controls'!$D$7="Reference",'Paths'!$J$7,'Paths'!$K$7)</x:f>
        <x:v>0</x:v>
      </x:c>
      <x:c r="F13" s="47" t="n">
        <x:f>IF(D13&lt;'Paths'!$N$7,IF('Controls'!$D$7="Reference",'Paths'!$L$7,'Paths'!$M$7),IF('Controls'!$D$7="Reference",'Paths'!$O$7,'Paths'!$P$7))</x:f>
        <x:v>0</x:v>
      </x:c>
      <x:c r="G13" s="46" t="n">
        <x:f>IF('Controls'!$D$7="Reference",1,IF(OR(D13=6,D13=7,D13=21,D13=46),'Paths'!$U$7,1))</x:f>
        <x:v>1</x:v>
      </x:c>
      <x:c r="H13" s="46" t="n">
        <x:f>IF('Controls'!$D$7="Reference",1,IF(OR(AND(D13&gt;=14,D13&lt;=16),AND(D13&gt;=34,D13&lt;=35),AND(D13&gt;=61,D13&lt;=63)),'Paths'!$V$7,1))</x:f>
        <x:v>1</x:v>
      </x:c>
      <x:c r="I13" s="46" t="n">
        <x:f>'Paths'!$W$7</x:f>
        <x:v>1</x:v>
      </x:c>
      <x:c r="J13" s="47" t="n">
        <x:f>IF(D13&lt;E13,0,MIN(F13*G13*H13*I13,IF('Paths'!$T$7&gt;0,MAX(0,'Paths'!$T$7-K12),1000000000)))</x:f>
        <x:v>0</x:v>
      </x:c>
      <x:c r="K13" s="47" t="n">
        <x:f>K12+J13</x:f>
        <x:v>125000</x:v>
      </x:c>
      <x:c r="L13" s="46" t="n">
        <x:f>IF(C13="P0",1,IF(D13&lt;=3,0.8,IF(D13&lt;=14,0.65,IF(D13&lt;=45,0.5,0.3))))</x:f>
        <x:v>1</x:v>
      </x:c>
      <x:c r="M13" s="47" t="n">
        <x:f>J13*L13</x:f>
        <x:v>0</x:v>
      </x:c>
      <x:c r="N13" s="47" t="n">
        <x:f>N12+M13</x:f>
        <x:v>125000</x:v>
      </x:c>
      <x:c r="O13" s="46" t="n">
        <x:f>IF(C13="P0",0,IF(D13&lt;=3,0.15,IF(D13&lt;=14,0.25,IF(D13&lt;=45,0.35,0.5))))</x:f>
        <x:v>0</x:v>
      </x:c>
      <x:c r="P13" s="47" t="n">
        <x:f>J13*O13</x:f>
        <x:v>0</x:v>
      </x:c>
      <x:c r="Q13" s="46" t="n">
        <x:f>IF(C13="P0",0,IF(D13&lt;=3,0.05,IF(D13&lt;=14,0.1,IF(D13&lt;=45,0.15,0.2))))</x:f>
        <x:v>0</x:v>
      </x:c>
      <x:c r="R13" s="47" t="n">
        <x:f>J13*Q13</x:f>
        <x:v>0</x:v>
      </x:c>
      <x:c r="S13" s="20" t="str">
        <x:f>IF(D13&lt;E13,"closed",IF(D13&lt;'Paths'!$N$7,"initial","expanded"))</x:f>
        <x:v>expanded</x:v>
      </x:c>
      <x:c r="T13" s="72"/>
    </x:row>
    <x:row r="14">
      <x:c r="C14" s="20" t="str">
        <x:v>P0</x:v>
      </x:c>
      <x:c r="D14" s="20" t="n">
        <x:v>7</x:v>
      </x:c>
      <x:c r="E14" s="45" t="n">
        <x:f>IF('Controls'!$D$7="Reference",'Paths'!$J$7,'Paths'!$K$7)</x:f>
        <x:v>0</x:v>
      </x:c>
      <x:c r="F14" s="47" t="n">
        <x:f>IF(D14&lt;'Paths'!$N$7,IF('Controls'!$D$7="Reference",'Paths'!$L$7,'Paths'!$M$7),IF('Controls'!$D$7="Reference",'Paths'!$O$7,'Paths'!$P$7))</x:f>
        <x:v>0</x:v>
      </x:c>
      <x:c r="G14" s="46" t="n">
        <x:f>IF('Controls'!$D$7="Reference",1,IF(OR(D14=6,D14=7,D14=21,D14=46),'Paths'!$U$7,1))</x:f>
        <x:v>1</x:v>
      </x:c>
      <x:c r="H14" s="46" t="n">
        <x:f>IF('Controls'!$D$7="Reference",1,IF(OR(AND(D14&gt;=14,D14&lt;=16),AND(D14&gt;=34,D14&lt;=35),AND(D14&gt;=61,D14&lt;=63)),'Paths'!$V$7,1))</x:f>
        <x:v>1</x:v>
      </x:c>
      <x:c r="I14" s="46" t="n">
        <x:f>'Paths'!$W$7</x:f>
        <x:v>1</x:v>
      </x:c>
      <x:c r="J14" s="47" t="n">
        <x:f>IF(D14&lt;E14,0,MIN(F14*G14*H14*I14,IF('Paths'!$T$7&gt;0,MAX(0,'Paths'!$T$7-K13),1000000000)))</x:f>
        <x:v>0</x:v>
      </x:c>
      <x:c r="K14" s="47" t="n">
        <x:f>K13+J14</x:f>
        <x:v>125000</x:v>
      </x:c>
      <x:c r="L14" s="46" t="n">
        <x:f>IF(C14="P0",1,IF(D14&lt;=3,0.8,IF(D14&lt;=14,0.65,IF(D14&lt;=45,0.5,0.3))))</x:f>
        <x:v>1</x:v>
      </x:c>
      <x:c r="M14" s="47" t="n">
        <x:f>J14*L14</x:f>
        <x:v>0</x:v>
      </x:c>
      <x:c r="N14" s="47" t="n">
        <x:f>N13+M14</x:f>
        <x:v>125000</x:v>
      </x:c>
      <x:c r="O14" s="46" t="n">
        <x:f>IF(C14="P0",0,IF(D14&lt;=3,0.15,IF(D14&lt;=14,0.25,IF(D14&lt;=45,0.35,0.5))))</x:f>
        <x:v>0</x:v>
      </x:c>
      <x:c r="P14" s="47" t="n">
        <x:f>J14*O14</x:f>
        <x:v>0</x:v>
      </x:c>
      <x:c r="Q14" s="46" t="n">
        <x:f>IF(C14="P0",0,IF(D14&lt;=3,0.05,IF(D14&lt;=14,0.1,IF(D14&lt;=45,0.15,0.2))))</x:f>
        <x:v>0</x:v>
      </x:c>
      <x:c r="R14" s="47" t="n">
        <x:f>J14*Q14</x:f>
        <x:v>0</x:v>
      </x:c>
      <x:c r="S14" s="20" t="str">
        <x:f>IF(D14&lt;E14,"closed",IF(D14&lt;'Paths'!$N$7,"initial","expanded"))</x:f>
        <x:v>expanded</x:v>
      </x:c>
      <x:c r="T14" s="72"/>
    </x:row>
    <x:row r="15">
      <x:c r="C15" s="20" t="str">
        <x:v>P0</x:v>
      </x:c>
      <x:c r="D15" s="20" t="n">
        <x:v>8</x:v>
      </x:c>
      <x:c r="E15" s="45" t="n">
        <x:f>IF('Controls'!$D$7="Reference",'Paths'!$J$7,'Paths'!$K$7)</x:f>
        <x:v>0</x:v>
      </x:c>
      <x:c r="F15" s="47" t="n">
        <x:f>IF(D15&lt;'Paths'!$N$7,IF('Controls'!$D$7="Reference",'Paths'!$L$7,'Paths'!$M$7),IF('Controls'!$D$7="Reference",'Paths'!$O$7,'Paths'!$P$7))</x:f>
        <x:v>0</x:v>
      </x:c>
      <x:c r="G15" s="46" t="n">
        <x:f>IF('Controls'!$D$7="Reference",1,IF(OR(D15=6,D15=7,D15=21,D15=46),'Paths'!$U$7,1))</x:f>
        <x:v>1</x:v>
      </x:c>
      <x:c r="H15" s="46" t="n">
        <x:f>IF('Controls'!$D$7="Reference",1,IF(OR(AND(D15&gt;=14,D15&lt;=16),AND(D15&gt;=34,D15&lt;=35),AND(D15&gt;=61,D15&lt;=63)),'Paths'!$V$7,1))</x:f>
        <x:v>1</x:v>
      </x:c>
      <x:c r="I15" s="46" t="n">
        <x:f>'Paths'!$W$7</x:f>
        <x:v>1</x:v>
      </x:c>
      <x:c r="J15" s="47" t="n">
        <x:f>IF(D15&lt;E15,0,MIN(F15*G15*H15*I15,IF('Paths'!$T$7&gt;0,MAX(0,'Paths'!$T$7-K14),1000000000)))</x:f>
        <x:v>0</x:v>
      </x:c>
      <x:c r="K15" s="47" t="n">
        <x:f>K14+J15</x:f>
        <x:v>125000</x:v>
      </x:c>
      <x:c r="L15" s="46" t="n">
        <x:f>IF(C15="P0",1,IF(D15&lt;=3,0.8,IF(D15&lt;=14,0.65,IF(D15&lt;=45,0.5,0.3))))</x:f>
        <x:v>1</x:v>
      </x:c>
      <x:c r="M15" s="47" t="n">
        <x:f>J15*L15</x:f>
        <x:v>0</x:v>
      </x:c>
      <x:c r="N15" s="47" t="n">
        <x:f>N14+M15</x:f>
        <x:v>125000</x:v>
      </x:c>
      <x:c r="O15" s="46" t="n">
        <x:f>IF(C15="P0",0,IF(D15&lt;=3,0.15,IF(D15&lt;=14,0.25,IF(D15&lt;=45,0.35,0.5))))</x:f>
        <x:v>0</x:v>
      </x:c>
      <x:c r="P15" s="47" t="n">
        <x:f>J15*O15</x:f>
        <x:v>0</x:v>
      </x:c>
      <x:c r="Q15" s="46" t="n">
        <x:f>IF(C15="P0",0,IF(D15&lt;=3,0.05,IF(D15&lt;=14,0.1,IF(D15&lt;=45,0.15,0.2))))</x:f>
        <x:v>0</x:v>
      </x:c>
      <x:c r="R15" s="47" t="n">
        <x:f>J15*Q15</x:f>
        <x:v>0</x:v>
      </x:c>
      <x:c r="S15" s="20" t="str">
        <x:f>IF(D15&lt;E15,"closed",IF(D15&lt;'Paths'!$N$7,"initial","expanded"))</x:f>
        <x:v>expanded</x:v>
      </x:c>
      <x:c r="T15" s="72"/>
    </x:row>
    <x:row r="16">
      <x:c r="C16" s="20" t="str">
        <x:v>P0</x:v>
      </x:c>
      <x:c r="D16" s="20" t="n">
        <x:v>9</x:v>
      </x:c>
      <x:c r="E16" s="45" t="n">
        <x:f>IF('Controls'!$D$7="Reference",'Paths'!$J$7,'Paths'!$K$7)</x:f>
        <x:v>0</x:v>
      </x:c>
      <x:c r="F16" s="47" t="n">
        <x:f>IF(D16&lt;'Paths'!$N$7,IF('Controls'!$D$7="Reference",'Paths'!$L$7,'Paths'!$M$7),IF('Controls'!$D$7="Reference",'Paths'!$O$7,'Paths'!$P$7))</x:f>
        <x:v>0</x:v>
      </x:c>
      <x:c r="G16" s="46" t="n">
        <x:f>IF('Controls'!$D$7="Reference",1,IF(OR(D16=6,D16=7,D16=21,D16=46),'Paths'!$U$7,1))</x:f>
        <x:v>1</x:v>
      </x:c>
      <x:c r="H16" s="46" t="n">
        <x:f>IF('Controls'!$D$7="Reference",1,IF(OR(AND(D16&gt;=14,D16&lt;=16),AND(D16&gt;=34,D16&lt;=35),AND(D16&gt;=61,D16&lt;=63)),'Paths'!$V$7,1))</x:f>
        <x:v>1</x:v>
      </x:c>
      <x:c r="I16" s="46" t="n">
        <x:f>'Paths'!$W$7</x:f>
        <x:v>1</x:v>
      </x:c>
      <x:c r="J16" s="47" t="n">
        <x:f>IF(D16&lt;E16,0,MIN(F16*G16*H16*I16,IF('Paths'!$T$7&gt;0,MAX(0,'Paths'!$T$7-K15),1000000000)))</x:f>
        <x:v>0</x:v>
      </x:c>
      <x:c r="K16" s="47" t="n">
        <x:f>K15+J16</x:f>
        <x:v>125000</x:v>
      </x:c>
      <x:c r="L16" s="46" t="n">
        <x:f>IF(C16="P0",1,IF(D16&lt;=3,0.8,IF(D16&lt;=14,0.65,IF(D16&lt;=45,0.5,0.3))))</x:f>
        <x:v>1</x:v>
      </x:c>
      <x:c r="M16" s="47" t="n">
        <x:f>J16*L16</x:f>
        <x:v>0</x:v>
      </x:c>
      <x:c r="N16" s="47" t="n">
        <x:f>N15+M16</x:f>
        <x:v>125000</x:v>
      </x:c>
      <x:c r="O16" s="46" t="n">
        <x:f>IF(C16="P0",0,IF(D16&lt;=3,0.15,IF(D16&lt;=14,0.25,IF(D16&lt;=45,0.35,0.5))))</x:f>
        <x:v>0</x:v>
      </x:c>
      <x:c r="P16" s="47" t="n">
        <x:f>J16*O16</x:f>
        <x:v>0</x:v>
      </x:c>
      <x:c r="Q16" s="46" t="n">
        <x:f>IF(C16="P0",0,IF(D16&lt;=3,0.05,IF(D16&lt;=14,0.1,IF(D16&lt;=45,0.15,0.2))))</x:f>
        <x:v>0</x:v>
      </x:c>
      <x:c r="R16" s="47" t="n">
        <x:f>J16*Q16</x:f>
        <x:v>0</x:v>
      </x:c>
      <x:c r="S16" s="20" t="str">
        <x:f>IF(D16&lt;E16,"closed",IF(D16&lt;'Paths'!$N$7,"initial","expanded"))</x:f>
        <x:v>expanded</x:v>
      </x:c>
      <x:c r="T16" s="72"/>
    </x:row>
    <x:row r="17">
      <x:c r="C17" s="20" t="str">
        <x:v>P0</x:v>
      </x:c>
      <x:c r="D17" s="20" t="n">
        <x:v>10</x:v>
      </x:c>
      <x:c r="E17" s="45" t="n">
        <x:f>IF('Controls'!$D$7="Reference",'Paths'!$J$7,'Paths'!$K$7)</x:f>
        <x:v>0</x:v>
      </x:c>
      <x:c r="F17" s="47" t="n">
        <x:f>IF(D17&lt;'Paths'!$N$7,IF('Controls'!$D$7="Reference",'Paths'!$L$7,'Paths'!$M$7),IF('Controls'!$D$7="Reference",'Paths'!$O$7,'Paths'!$P$7))</x:f>
        <x:v>0</x:v>
      </x:c>
      <x:c r="G17" s="46" t="n">
        <x:f>IF('Controls'!$D$7="Reference",1,IF(OR(D17=6,D17=7,D17=21,D17=46),'Paths'!$U$7,1))</x:f>
        <x:v>1</x:v>
      </x:c>
      <x:c r="H17" s="46" t="n">
        <x:f>IF('Controls'!$D$7="Reference",1,IF(OR(AND(D17&gt;=14,D17&lt;=16),AND(D17&gt;=34,D17&lt;=35),AND(D17&gt;=61,D17&lt;=63)),'Paths'!$V$7,1))</x:f>
        <x:v>1</x:v>
      </x:c>
      <x:c r="I17" s="46" t="n">
        <x:f>'Paths'!$W$7</x:f>
        <x:v>1</x:v>
      </x:c>
      <x:c r="J17" s="47" t="n">
        <x:f>IF(D17&lt;E17,0,MIN(F17*G17*H17*I17,IF('Paths'!$T$7&gt;0,MAX(0,'Paths'!$T$7-K16),1000000000)))</x:f>
        <x:v>0</x:v>
      </x:c>
      <x:c r="K17" s="47" t="n">
        <x:f>K16+J17</x:f>
        <x:v>125000</x:v>
      </x:c>
      <x:c r="L17" s="46" t="n">
        <x:f>IF(C17="P0",1,IF(D17&lt;=3,0.8,IF(D17&lt;=14,0.65,IF(D17&lt;=45,0.5,0.3))))</x:f>
        <x:v>1</x:v>
      </x:c>
      <x:c r="M17" s="47" t="n">
        <x:f>J17*L17</x:f>
        <x:v>0</x:v>
      </x:c>
      <x:c r="N17" s="47" t="n">
        <x:f>N16+M17</x:f>
        <x:v>125000</x:v>
      </x:c>
      <x:c r="O17" s="46" t="n">
        <x:f>IF(C17="P0",0,IF(D17&lt;=3,0.15,IF(D17&lt;=14,0.25,IF(D17&lt;=45,0.35,0.5))))</x:f>
        <x:v>0</x:v>
      </x:c>
      <x:c r="P17" s="47" t="n">
        <x:f>J17*O17</x:f>
        <x:v>0</x:v>
      </x:c>
      <x:c r="Q17" s="46" t="n">
        <x:f>IF(C17="P0",0,IF(D17&lt;=3,0.05,IF(D17&lt;=14,0.1,IF(D17&lt;=45,0.15,0.2))))</x:f>
        <x:v>0</x:v>
      </x:c>
      <x:c r="R17" s="47" t="n">
        <x:f>J17*Q17</x:f>
        <x:v>0</x:v>
      </x:c>
      <x:c r="S17" s="20" t="str">
        <x:f>IF(D17&lt;E17,"closed",IF(D17&lt;'Paths'!$N$7,"initial","expanded"))</x:f>
        <x:v>expanded</x:v>
      </x:c>
      <x:c r="T17" s="72"/>
    </x:row>
    <x:row r="18">
      <x:c r="C18" s="20" t="str">
        <x:v>P0</x:v>
      </x:c>
      <x:c r="D18" s="20" t="n">
        <x:v>11</x:v>
      </x:c>
      <x:c r="E18" s="45" t="n">
        <x:f>IF('Controls'!$D$7="Reference",'Paths'!$J$7,'Paths'!$K$7)</x:f>
        <x:v>0</x:v>
      </x:c>
      <x:c r="F18" s="47" t="n">
        <x:f>IF(D18&lt;'Paths'!$N$7,IF('Controls'!$D$7="Reference",'Paths'!$L$7,'Paths'!$M$7),IF('Controls'!$D$7="Reference",'Paths'!$O$7,'Paths'!$P$7))</x:f>
        <x:v>0</x:v>
      </x:c>
      <x:c r="G18" s="46" t="n">
        <x:f>IF('Controls'!$D$7="Reference",1,IF(OR(D18=6,D18=7,D18=21,D18=46),'Paths'!$U$7,1))</x:f>
        <x:v>1</x:v>
      </x:c>
      <x:c r="H18" s="46" t="n">
        <x:f>IF('Controls'!$D$7="Reference",1,IF(OR(AND(D18&gt;=14,D18&lt;=16),AND(D18&gt;=34,D18&lt;=35),AND(D18&gt;=61,D18&lt;=63)),'Paths'!$V$7,1))</x:f>
        <x:v>1</x:v>
      </x:c>
      <x:c r="I18" s="46" t="n">
        <x:f>'Paths'!$W$7</x:f>
        <x:v>1</x:v>
      </x:c>
      <x:c r="J18" s="47" t="n">
        <x:f>IF(D18&lt;E18,0,MIN(F18*G18*H18*I18,IF('Paths'!$T$7&gt;0,MAX(0,'Paths'!$T$7-K17),1000000000)))</x:f>
        <x:v>0</x:v>
      </x:c>
      <x:c r="K18" s="47" t="n">
        <x:f>K17+J18</x:f>
        <x:v>125000</x:v>
      </x:c>
      <x:c r="L18" s="46" t="n">
        <x:f>IF(C18="P0",1,IF(D18&lt;=3,0.8,IF(D18&lt;=14,0.65,IF(D18&lt;=45,0.5,0.3))))</x:f>
        <x:v>1</x:v>
      </x:c>
      <x:c r="M18" s="47" t="n">
        <x:f>J18*L18</x:f>
        <x:v>0</x:v>
      </x:c>
      <x:c r="N18" s="47" t="n">
        <x:f>N17+M18</x:f>
        <x:v>125000</x:v>
      </x:c>
      <x:c r="O18" s="46" t="n">
        <x:f>IF(C18="P0",0,IF(D18&lt;=3,0.15,IF(D18&lt;=14,0.25,IF(D18&lt;=45,0.35,0.5))))</x:f>
        <x:v>0</x:v>
      </x:c>
      <x:c r="P18" s="47" t="n">
        <x:f>J18*O18</x:f>
        <x:v>0</x:v>
      </x:c>
      <x:c r="Q18" s="46" t="n">
        <x:f>IF(C18="P0",0,IF(D18&lt;=3,0.05,IF(D18&lt;=14,0.1,IF(D18&lt;=45,0.15,0.2))))</x:f>
        <x:v>0</x:v>
      </x:c>
      <x:c r="R18" s="47" t="n">
        <x:f>J18*Q18</x:f>
        <x:v>0</x:v>
      </x:c>
      <x:c r="S18" s="20" t="str">
        <x:f>IF(D18&lt;E18,"closed",IF(D18&lt;'Paths'!$N$7,"initial","expanded"))</x:f>
        <x:v>expanded</x:v>
      </x:c>
      <x:c r="T18" s="72"/>
    </x:row>
    <x:row r="19">
      <x:c r="C19" s="20" t="str">
        <x:v>P0</x:v>
      </x:c>
      <x:c r="D19" s="20" t="n">
        <x:v>12</x:v>
      </x:c>
      <x:c r="E19" s="45" t="n">
        <x:f>IF('Controls'!$D$7="Reference",'Paths'!$J$7,'Paths'!$K$7)</x:f>
        <x:v>0</x:v>
      </x:c>
      <x:c r="F19" s="47" t="n">
        <x:f>IF(D19&lt;'Paths'!$N$7,IF('Controls'!$D$7="Reference",'Paths'!$L$7,'Paths'!$M$7),IF('Controls'!$D$7="Reference",'Paths'!$O$7,'Paths'!$P$7))</x:f>
        <x:v>0</x:v>
      </x:c>
      <x:c r="G19" s="46" t="n">
        <x:f>IF('Controls'!$D$7="Reference",1,IF(OR(D19=6,D19=7,D19=21,D19=46),'Paths'!$U$7,1))</x:f>
        <x:v>1</x:v>
      </x:c>
      <x:c r="H19" s="46" t="n">
        <x:f>IF('Controls'!$D$7="Reference",1,IF(OR(AND(D19&gt;=14,D19&lt;=16),AND(D19&gt;=34,D19&lt;=35),AND(D19&gt;=61,D19&lt;=63)),'Paths'!$V$7,1))</x:f>
        <x:v>1</x:v>
      </x:c>
      <x:c r="I19" s="46" t="n">
        <x:f>'Paths'!$W$7</x:f>
        <x:v>1</x:v>
      </x:c>
      <x:c r="J19" s="47" t="n">
        <x:f>IF(D19&lt;E19,0,MIN(F19*G19*H19*I19,IF('Paths'!$T$7&gt;0,MAX(0,'Paths'!$T$7-K18),1000000000)))</x:f>
        <x:v>0</x:v>
      </x:c>
      <x:c r="K19" s="47" t="n">
        <x:f>K18+J19</x:f>
        <x:v>125000</x:v>
      </x:c>
      <x:c r="L19" s="46" t="n">
        <x:f>IF(C19="P0",1,IF(D19&lt;=3,0.8,IF(D19&lt;=14,0.65,IF(D19&lt;=45,0.5,0.3))))</x:f>
        <x:v>1</x:v>
      </x:c>
      <x:c r="M19" s="47" t="n">
        <x:f>J19*L19</x:f>
        <x:v>0</x:v>
      </x:c>
      <x:c r="N19" s="47" t="n">
        <x:f>N18+M19</x:f>
        <x:v>125000</x:v>
      </x:c>
      <x:c r="O19" s="46" t="n">
        <x:f>IF(C19="P0",0,IF(D19&lt;=3,0.15,IF(D19&lt;=14,0.25,IF(D19&lt;=45,0.35,0.5))))</x:f>
        <x:v>0</x:v>
      </x:c>
      <x:c r="P19" s="47" t="n">
        <x:f>J19*O19</x:f>
        <x:v>0</x:v>
      </x:c>
      <x:c r="Q19" s="46" t="n">
        <x:f>IF(C19="P0",0,IF(D19&lt;=3,0.05,IF(D19&lt;=14,0.1,IF(D19&lt;=45,0.15,0.2))))</x:f>
        <x:v>0</x:v>
      </x:c>
      <x:c r="R19" s="47" t="n">
        <x:f>J19*Q19</x:f>
        <x:v>0</x:v>
      </x:c>
      <x:c r="S19" s="20" t="str">
        <x:f>IF(D19&lt;E19,"closed",IF(D19&lt;'Paths'!$N$7,"initial","expanded"))</x:f>
        <x:v>expanded</x:v>
      </x:c>
      <x:c r="T19" s="72"/>
    </x:row>
    <x:row r="20">
      <x:c r="C20" s="20" t="str">
        <x:v>P0</x:v>
      </x:c>
      <x:c r="D20" s="20" t="n">
        <x:v>13</x:v>
      </x:c>
      <x:c r="E20" s="45" t="n">
        <x:f>IF('Controls'!$D$7="Reference",'Paths'!$J$7,'Paths'!$K$7)</x:f>
        <x:v>0</x:v>
      </x:c>
      <x:c r="F20" s="47" t="n">
        <x:f>IF(D20&lt;'Paths'!$N$7,IF('Controls'!$D$7="Reference",'Paths'!$L$7,'Paths'!$M$7),IF('Controls'!$D$7="Reference",'Paths'!$O$7,'Paths'!$P$7))</x:f>
        <x:v>0</x:v>
      </x:c>
      <x:c r="G20" s="46" t="n">
        <x:f>IF('Controls'!$D$7="Reference",1,IF(OR(D20=6,D20=7,D20=21,D20=46),'Paths'!$U$7,1))</x:f>
        <x:v>1</x:v>
      </x:c>
      <x:c r="H20" s="46" t="n">
        <x:f>IF('Controls'!$D$7="Reference",1,IF(OR(AND(D20&gt;=14,D20&lt;=16),AND(D20&gt;=34,D20&lt;=35),AND(D20&gt;=61,D20&lt;=63)),'Paths'!$V$7,1))</x:f>
        <x:v>1</x:v>
      </x:c>
      <x:c r="I20" s="46" t="n">
        <x:f>'Paths'!$W$7</x:f>
        <x:v>1</x:v>
      </x:c>
      <x:c r="J20" s="47" t="n">
        <x:f>IF(D20&lt;E20,0,MIN(F20*G20*H20*I20,IF('Paths'!$T$7&gt;0,MAX(0,'Paths'!$T$7-K19),1000000000)))</x:f>
        <x:v>0</x:v>
      </x:c>
      <x:c r="K20" s="47" t="n">
        <x:f>K19+J20</x:f>
        <x:v>125000</x:v>
      </x:c>
      <x:c r="L20" s="46" t="n">
        <x:f>IF(C20="P0",1,IF(D20&lt;=3,0.8,IF(D20&lt;=14,0.65,IF(D20&lt;=45,0.5,0.3))))</x:f>
        <x:v>1</x:v>
      </x:c>
      <x:c r="M20" s="47" t="n">
        <x:f>J20*L20</x:f>
        <x:v>0</x:v>
      </x:c>
      <x:c r="N20" s="47" t="n">
        <x:f>N19+M20</x:f>
        <x:v>125000</x:v>
      </x:c>
      <x:c r="O20" s="46" t="n">
        <x:f>IF(C20="P0",0,IF(D20&lt;=3,0.15,IF(D20&lt;=14,0.25,IF(D20&lt;=45,0.35,0.5))))</x:f>
        <x:v>0</x:v>
      </x:c>
      <x:c r="P20" s="47" t="n">
        <x:f>J20*O20</x:f>
        <x:v>0</x:v>
      </x:c>
      <x:c r="Q20" s="46" t="n">
        <x:f>IF(C20="P0",0,IF(D20&lt;=3,0.05,IF(D20&lt;=14,0.1,IF(D20&lt;=45,0.15,0.2))))</x:f>
        <x:v>0</x:v>
      </x:c>
      <x:c r="R20" s="47" t="n">
        <x:f>J20*Q20</x:f>
        <x:v>0</x:v>
      </x:c>
      <x:c r="S20" s="20" t="str">
        <x:f>IF(D20&lt;E20,"closed",IF(D20&lt;'Paths'!$N$7,"initial","expanded"))</x:f>
        <x:v>expanded</x:v>
      </x:c>
      <x:c r="T20" s="72"/>
    </x:row>
    <x:row r="21">
      <x:c r="C21" s="20" t="str">
        <x:v>P0</x:v>
      </x:c>
      <x:c r="D21" s="20" t="n">
        <x:v>14</x:v>
      </x:c>
      <x:c r="E21" s="45" t="n">
        <x:f>IF('Controls'!$D$7="Reference",'Paths'!$J$7,'Paths'!$K$7)</x:f>
        <x:v>0</x:v>
      </x:c>
      <x:c r="F21" s="47" t="n">
        <x:f>IF(D21&lt;'Paths'!$N$7,IF('Controls'!$D$7="Reference",'Paths'!$L$7,'Paths'!$M$7),IF('Controls'!$D$7="Reference",'Paths'!$O$7,'Paths'!$P$7))</x:f>
        <x:v>0</x:v>
      </x:c>
      <x:c r="G21" s="46" t="n">
        <x:f>IF('Controls'!$D$7="Reference",1,IF(OR(D21=6,D21=7,D21=21,D21=46),'Paths'!$U$7,1))</x:f>
        <x:v>1</x:v>
      </x:c>
      <x:c r="H21" s="46" t="n">
        <x:f>IF('Controls'!$D$7="Reference",1,IF(OR(AND(D21&gt;=14,D21&lt;=16),AND(D21&gt;=34,D21&lt;=35),AND(D21&gt;=61,D21&lt;=63)),'Paths'!$V$7,1))</x:f>
        <x:v>1</x:v>
      </x:c>
      <x:c r="I21" s="46" t="n">
        <x:f>'Paths'!$W$7</x:f>
        <x:v>1</x:v>
      </x:c>
      <x:c r="J21" s="47" t="n">
        <x:f>IF(D21&lt;E21,0,MIN(F21*G21*H21*I21,IF('Paths'!$T$7&gt;0,MAX(0,'Paths'!$T$7-K20),1000000000)))</x:f>
        <x:v>0</x:v>
      </x:c>
      <x:c r="K21" s="47" t="n">
        <x:f>K20+J21</x:f>
        <x:v>125000</x:v>
      </x:c>
      <x:c r="L21" s="46" t="n">
        <x:f>IF(C21="P0",1,IF(D21&lt;=3,0.8,IF(D21&lt;=14,0.65,IF(D21&lt;=45,0.5,0.3))))</x:f>
        <x:v>1</x:v>
      </x:c>
      <x:c r="M21" s="47" t="n">
        <x:f>J21*L21</x:f>
        <x:v>0</x:v>
      </x:c>
      <x:c r="N21" s="47" t="n">
        <x:f>N20+M21</x:f>
        <x:v>125000</x:v>
      </x:c>
      <x:c r="O21" s="46" t="n">
        <x:f>IF(C21="P0",0,IF(D21&lt;=3,0.15,IF(D21&lt;=14,0.25,IF(D21&lt;=45,0.35,0.5))))</x:f>
        <x:v>0</x:v>
      </x:c>
      <x:c r="P21" s="47" t="n">
        <x:f>J21*O21</x:f>
        <x:v>0</x:v>
      </x:c>
      <x:c r="Q21" s="46" t="n">
        <x:f>IF(C21="P0",0,IF(D21&lt;=3,0.05,IF(D21&lt;=14,0.1,IF(D21&lt;=45,0.15,0.2))))</x:f>
        <x:v>0</x:v>
      </x:c>
      <x:c r="R21" s="47" t="n">
        <x:f>J21*Q21</x:f>
        <x:v>0</x:v>
      </x:c>
      <x:c r="S21" s="20" t="str">
        <x:f>IF(D21&lt;E21,"closed",IF(D21&lt;'Paths'!$N$7,"initial","expanded"))</x:f>
        <x:v>expanded</x:v>
      </x:c>
      <x:c r="T21" s="72"/>
    </x:row>
    <x:row r="22">
      <x:c r="C22" s="20" t="str">
        <x:v>P0</x:v>
      </x:c>
      <x:c r="D22" s="20" t="n">
        <x:v>15</x:v>
      </x:c>
      <x:c r="E22" s="45" t="n">
        <x:f>IF('Controls'!$D$7="Reference",'Paths'!$J$7,'Paths'!$K$7)</x:f>
        <x:v>0</x:v>
      </x:c>
      <x:c r="F22" s="47" t="n">
        <x:f>IF(D22&lt;'Paths'!$N$7,IF('Controls'!$D$7="Reference",'Paths'!$L$7,'Paths'!$M$7),IF('Controls'!$D$7="Reference",'Paths'!$O$7,'Paths'!$P$7))</x:f>
        <x:v>0</x:v>
      </x:c>
      <x:c r="G22" s="46" t="n">
        <x:f>IF('Controls'!$D$7="Reference",1,IF(OR(D22=6,D22=7,D22=21,D22=46),'Paths'!$U$7,1))</x:f>
        <x:v>1</x:v>
      </x:c>
      <x:c r="H22" s="46" t="n">
        <x:f>IF('Controls'!$D$7="Reference",1,IF(OR(AND(D22&gt;=14,D22&lt;=16),AND(D22&gt;=34,D22&lt;=35),AND(D22&gt;=61,D22&lt;=63)),'Paths'!$V$7,1))</x:f>
        <x:v>1</x:v>
      </x:c>
      <x:c r="I22" s="46" t="n">
        <x:f>'Paths'!$W$7</x:f>
        <x:v>1</x:v>
      </x:c>
      <x:c r="J22" s="47" t="n">
        <x:f>IF(D22&lt;E22,0,MIN(F22*G22*H22*I22,IF('Paths'!$T$7&gt;0,MAX(0,'Paths'!$T$7-K21),1000000000)))</x:f>
        <x:v>0</x:v>
      </x:c>
      <x:c r="K22" s="47" t="n">
        <x:f>K21+J22</x:f>
        <x:v>125000</x:v>
      </x:c>
      <x:c r="L22" s="46" t="n">
        <x:f>IF(C22="P0",1,IF(D22&lt;=3,0.8,IF(D22&lt;=14,0.65,IF(D22&lt;=45,0.5,0.3))))</x:f>
        <x:v>1</x:v>
      </x:c>
      <x:c r="M22" s="47" t="n">
        <x:f>J22*L22</x:f>
        <x:v>0</x:v>
      </x:c>
      <x:c r="N22" s="47" t="n">
        <x:f>N21+M22</x:f>
        <x:v>125000</x:v>
      </x:c>
      <x:c r="O22" s="46" t="n">
        <x:f>IF(C22="P0",0,IF(D22&lt;=3,0.15,IF(D22&lt;=14,0.25,IF(D22&lt;=45,0.35,0.5))))</x:f>
        <x:v>0</x:v>
      </x:c>
      <x:c r="P22" s="47" t="n">
        <x:f>J22*O22</x:f>
        <x:v>0</x:v>
      </x:c>
      <x:c r="Q22" s="46" t="n">
        <x:f>IF(C22="P0",0,IF(D22&lt;=3,0.05,IF(D22&lt;=14,0.1,IF(D22&lt;=45,0.15,0.2))))</x:f>
        <x:v>0</x:v>
      </x:c>
      <x:c r="R22" s="47" t="n">
        <x:f>J22*Q22</x:f>
        <x:v>0</x:v>
      </x:c>
      <x:c r="S22" s="20" t="str">
        <x:f>IF(D22&lt;E22,"closed",IF(D22&lt;'Paths'!$N$7,"initial","expanded"))</x:f>
        <x:v>expanded</x:v>
      </x:c>
      <x:c r="T22" s="72"/>
    </x:row>
    <x:row r="23">
      <x:c r="C23" s="20" t="str">
        <x:v>P0</x:v>
      </x:c>
      <x:c r="D23" s="20" t="n">
        <x:v>16</x:v>
      </x:c>
      <x:c r="E23" s="45" t="n">
        <x:f>IF('Controls'!$D$7="Reference",'Paths'!$J$7,'Paths'!$K$7)</x:f>
        <x:v>0</x:v>
      </x:c>
      <x:c r="F23" s="47" t="n">
        <x:f>IF(D23&lt;'Paths'!$N$7,IF('Controls'!$D$7="Reference",'Paths'!$L$7,'Paths'!$M$7),IF('Controls'!$D$7="Reference",'Paths'!$O$7,'Paths'!$P$7))</x:f>
        <x:v>0</x:v>
      </x:c>
      <x:c r="G23" s="46" t="n">
        <x:f>IF('Controls'!$D$7="Reference",1,IF(OR(D23=6,D23=7,D23=21,D23=46),'Paths'!$U$7,1))</x:f>
        <x:v>1</x:v>
      </x:c>
      <x:c r="H23" s="46" t="n">
        <x:f>IF('Controls'!$D$7="Reference",1,IF(OR(AND(D23&gt;=14,D23&lt;=16),AND(D23&gt;=34,D23&lt;=35),AND(D23&gt;=61,D23&lt;=63)),'Paths'!$V$7,1))</x:f>
        <x:v>1</x:v>
      </x:c>
      <x:c r="I23" s="46" t="n">
        <x:f>'Paths'!$W$7</x:f>
        <x:v>1</x:v>
      </x:c>
      <x:c r="J23" s="47" t="n">
        <x:f>IF(D23&lt;E23,0,MIN(F23*G23*H23*I23,IF('Paths'!$T$7&gt;0,MAX(0,'Paths'!$T$7-K22),1000000000)))</x:f>
        <x:v>0</x:v>
      </x:c>
      <x:c r="K23" s="47" t="n">
        <x:f>K22+J23</x:f>
        <x:v>125000</x:v>
      </x:c>
      <x:c r="L23" s="46" t="n">
        <x:f>IF(C23="P0",1,IF(D23&lt;=3,0.8,IF(D23&lt;=14,0.65,IF(D23&lt;=45,0.5,0.3))))</x:f>
        <x:v>1</x:v>
      </x:c>
      <x:c r="M23" s="47" t="n">
        <x:f>J23*L23</x:f>
        <x:v>0</x:v>
      </x:c>
      <x:c r="N23" s="47" t="n">
        <x:f>N22+M23</x:f>
        <x:v>125000</x:v>
      </x:c>
      <x:c r="O23" s="46" t="n">
        <x:f>IF(C23="P0",0,IF(D23&lt;=3,0.15,IF(D23&lt;=14,0.25,IF(D23&lt;=45,0.35,0.5))))</x:f>
        <x:v>0</x:v>
      </x:c>
      <x:c r="P23" s="47" t="n">
        <x:f>J23*O23</x:f>
        <x:v>0</x:v>
      </x:c>
      <x:c r="Q23" s="46" t="n">
        <x:f>IF(C23="P0",0,IF(D23&lt;=3,0.05,IF(D23&lt;=14,0.1,IF(D23&lt;=45,0.15,0.2))))</x:f>
        <x:v>0</x:v>
      </x:c>
      <x:c r="R23" s="47" t="n">
        <x:f>J23*Q23</x:f>
        <x:v>0</x:v>
      </x:c>
      <x:c r="S23" s="20" t="str">
        <x:f>IF(D23&lt;E23,"closed",IF(D23&lt;'Paths'!$N$7,"initial","expanded"))</x:f>
        <x:v>expanded</x:v>
      </x:c>
      <x:c r="T23" s="72"/>
    </x:row>
    <x:row r="24">
      <x:c r="C24" s="20" t="str">
        <x:v>P0</x:v>
      </x:c>
      <x:c r="D24" s="20" t="n">
        <x:v>17</x:v>
      </x:c>
      <x:c r="E24" s="45" t="n">
        <x:f>IF('Controls'!$D$7="Reference",'Paths'!$J$7,'Paths'!$K$7)</x:f>
        <x:v>0</x:v>
      </x:c>
      <x:c r="F24" s="47" t="n">
        <x:f>IF(D24&lt;'Paths'!$N$7,IF('Controls'!$D$7="Reference",'Paths'!$L$7,'Paths'!$M$7),IF('Controls'!$D$7="Reference",'Paths'!$O$7,'Paths'!$P$7))</x:f>
        <x:v>0</x:v>
      </x:c>
      <x:c r="G24" s="46" t="n">
        <x:f>IF('Controls'!$D$7="Reference",1,IF(OR(D24=6,D24=7,D24=21,D24=46),'Paths'!$U$7,1))</x:f>
        <x:v>1</x:v>
      </x:c>
      <x:c r="H24" s="46" t="n">
        <x:f>IF('Controls'!$D$7="Reference",1,IF(OR(AND(D24&gt;=14,D24&lt;=16),AND(D24&gt;=34,D24&lt;=35),AND(D24&gt;=61,D24&lt;=63)),'Paths'!$V$7,1))</x:f>
        <x:v>1</x:v>
      </x:c>
      <x:c r="I24" s="46" t="n">
        <x:f>'Paths'!$W$7</x:f>
        <x:v>1</x:v>
      </x:c>
      <x:c r="J24" s="47" t="n">
        <x:f>IF(D24&lt;E24,0,MIN(F24*G24*H24*I24,IF('Paths'!$T$7&gt;0,MAX(0,'Paths'!$T$7-K23),1000000000)))</x:f>
        <x:v>0</x:v>
      </x:c>
      <x:c r="K24" s="47" t="n">
        <x:f>K23+J24</x:f>
        <x:v>125000</x:v>
      </x:c>
      <x:c r="L24" s="46" t="n">
        <x:f>IF(C24="P0",1,IF(D24&lt;=3,0.8,IF(D24&lt;=14,0.65,IF(D24&lt;=45,0.5,0.3))))</x:f>
        <x:v>1</x:v>
      </x:c>
      <x:c r="M24" s="47" t="n">
        <x:f>J24*L24</x:f>
        <x:v>0</x:v>
      </x:c>
      <x:c r="N24" s="47" t="n">
        <x:f>N23+M24</x:f>
        <x:v>125000</x:v>
      </x:c>
      <x:c r="O24" s="46" t="n">
        <x:f>IF(C24="P0",0,IF(D24&lt;=3,0.15,IF(D24&lt;=14,0.25,IF(D24&lt;=45,0.35,0.5))))</x:f>
        <x:v>0</x:v>
      </x:c>
      <x:c r="P24" s="47" t="n">
        <x:f>J24*O24</x:f>
        <x:v>0</x:v>
      </x:c>
      <x:c r="Q24" s="46" t="n">
        <x:f>IF(C24="P0",0,IF(D24&lt;=3,0.05,IF(D24&lt;=14,0.1,IF(D24&lt;=45,0.15,0.2))))</x:f>
        <x:v>0</x:v>
      </x:c>
      <x:c r="R24" s="47" t="n">
        <x:f>J24*Q24</x:f>
        <x:v>0</x:v>
      </x:c>
      <x:c r="S24" s="20" t="str">
        <x:f>IF(D24&lt;E24,"closed",IF(D24&lt;'Paths'!$N$7,"initial","expanded"))</x:f>
        <x:v>expanded</x:v>
      </x:c>
      <x:c r="T24" s="72"/>
    </x:row>
    <x:row r="25">
      <x:c r="C25" s="20" t="str">
        <x:v>P0</x:v>
      </x:c>
      <x:c r="D25" s="20" t="n">
        <x:v>18</x:v>
      </x:c>
      <x:c r="E25" s="45" t="n">
        <x:f>IF('Controls'!$D$7="Reference",'Paths'!$J$7,'Paths'!$K$7)</x:f>
        <x:v>0</x:v>
      </x:c>
      <x:c r="F25" s="47" t="n">
        <x:f>IF(D25&lt;'Paths'!$N$7,IF('Controls'!$D$7="Reference",'Paths'!$L$7,'Paths'!$M$7),IF('Controls'!$D$7="Reference",'Paths'!$O$7,'Paths'!$P$7))</x:f>
        <x:v>0</x:v>
      </x:c>
      <x:c r="G25" s="46" t="n">
        <x:f>IF('Controls'!$D$7="Reference",1,IF(OR(D25=6,D25=7,D25=21,D25=46),'Paths'!$U$7,1))</x:f>
        <x:v>1</x:v>
      </x:c>
      <x:c r="H25" s="46" t="n">
        <x:f>IF('Controls'!$D$7="Reference",1,IF(OR(AND(D25&gt;=14,D25&lt;=16),AND(D25&gt;=34,D25&lt;=35),AND(D25&gt;=61,D25&lt;=63)),'Paths'!$V$7,1))</x:f>
        <x:v>1</x:v>
      </x:c>
      <x:c r="I25" s="46" t="n">
        <x:f>'Paths'!$W$7</x:f>
        <x:v>1</x:v>
      </x:c>
      <x:c r="J25" s="47" t="n">
        <x:f>IF(D25&lt;E25,0,MIN(F25*G25*H25*I25,IF('Paths'!$T$7&gt;0,MAX(0,'Paths'!$T$7-K24),1000000000)))</x:f>
        <x:v>0</x:v>
      </x:c>
      <x:c r="K25" s="47" t="n">
        <x:f>K24+J25</x:f>
        <x:v>125000</x:v>
      </x:c>
      <x:c r="L25" s="46" t="n">
        <x:f>IF(C25="P0",1,IF(D25&lt;=3,0.8,IF(D25&lt;=14,0.65,IF(D25&lt;=45,0.5,0.3))))</x:f>
        <x:v>1</x:v>
      </x:c>
      <x:c r="M25" s="47" t="n">
        <x:f>J25*L25</x:f>
        <x:v>0</x:v>
      </x:c>
      <x:c r="N25" s="47" t="n">
        <x:f>N24+M25</x:f>
        <x:v>125000</x:v>
      </x:c>
      <x:c r="O25" s="46" t="n">
        <x:f>IF(C25="P0",0,IF(D25&lt;=3,0.15,IF(D25&lt;=14,0.25,IF(D25&lt;=45,0.35,0.5))))</x:f>
        <x:v>0</x:v>
      </x:c>
      <x:c r="P25" s="47" t="n">
        <x:f>J25*O25</x:f>
        <x:v>0</x:v>
      </x:c>
      <x:c r="Q25" s="46" t="n">
        <x:f>IF(C25="P0",0,IF(D25&lt;=3,0.05,IF(D25&lt;=14,0.1,IF(D25&lt;=45,0.15,0.2))))</x:f>
        <x:v>0</x:v>
      </x:c>
      <x:c r="R25" s="47" t="n">
        <x:f>J25*Q25</x:f>
        <x:v>0</x:v>
      </x:c>
      <x:c r="S25" s="20" t="str">
        <x:f>IF(D25&lt;E25,"closed",IF(D25&lt;'Paths'!$N$7,"initial","expanded"))</x:f>
        <x:v>expanded</x:v>
      </x:c>
      <x:c r="T25" s="72"/>
    </x:row>
    <x:row r="26">
      <x:c r="C26" s="20" t="str">
        <x:v>P0</x:v>
      </x:c>
      <x:c r="D26" s="20" t="n">
        <x:v>19</x:v>
      </x:c>
      <x:c r="E26" s="45" t="n">
        <x:f>IF('Controls'!$D$7="Reference",'Paths'!$J$7,'Paths'!$K$7)</x:f>
        <x:v>0</x:v>
      </x:c>
      <x:c r="F26" s="47" t="n">
        <x:f>IF(D26&lt;'Paths'!$N$7,IF('Controls'!$D$7="Reference",'Paths'!$L$7,'Paths'!$M$7),IF('Controls'!$D$7="Reference",'Paths'!$O$7,'Paths'!$P$7))</x:f>
        <x:v>0</x:v>
      </x:c>
      <x:c r="G26" s="46" t="n">
        <x:f>IF('Controls'!$D$7="Reference",1,IF(OR(D26=6,D26=7,D26=21,D26=46),'Paths'!$U$7,1))</x:f>
        <x:v>1</x:v>
      </x:c>
      <x:c r="H26" s="46" t="n">
        <x:f>IF('Controls'!$D$7="Reference",1,IF(OR(AND(D26&gt;=14,D26&lt;=16),AND(D26&gt;=34,D26&lt;=35),AND(D26&gt;=61,D26&lt;=63)),'Paths'!$V$7,1))</x:f>
        <x:v>1</x:v>
      </x:c>
      <x:c r="I26" s="46" t="n">
        <x:f>'Paths'!$W$7</x:f>
        <x:v>1</x:v>
      </x:c>
      <x:c r="J26" s="47" t="n">
        <x:f>IF(D26&lt;E26,0,MIN(F26*G26*H26*I26,IF('Paths'!$T$7&gt;0,MAX(0,'Paths'!$T$7-K25),1000000000)))</x:f>
        <x:v>0</x:v>
      </x:c>
      <x:c r="K26" s="47" t="n">
        <x:f>K25+J26</x:f>
        <x:v>125000</x:v>
      </x:c>
      <x:c r="L26" s="46" t="n">
        <x:f>IF(C26="P0",1,IF(D26&lt;=3,0.8,IF(D26&lt;=14,0.65,IF(D26&lt;=45,0.5,0.3))))</x:f>
        <x:v>1</x:v>
      </x:c>
      <x:c r="M26" s="47" t="n">
        <x:f>J26*L26</x:f>
        <x:v>0</x:v>
      </x:c>
      <x:c r="N26" s="47" t="n">
        <x:f>N25+M26</x:f>
        <x:v>125000</x:v>
      </x:c>
      <x:c r="O26" s="46" t="n">
        <x:f>IF(C26="P0",0,IF(D26&lt;=3,0.15,IF(D26&lt;=14,0.25,IF(D26&lt;=45,0.35,0.5))))</x:f>
        <x:v>0</x:v>
      </x:c>
      <x:c r="P26" s="47" t="n">
        <x:f>J26*O26</x:f>
        <x:v>0</x:v>
      </x:c>
      <x:c r="Q26" s="46" t="n">
        <x:f>IF(C26="P0",0,IF(D26&lt;=3,0.05,IF(D26&lt;=14,0.1,IF(D26&lt;=45,0.15,0.2))))</x:f>
        <x:v>0</x:v>
      </x:c>
      <x:c r="R26" s="47" t="n">
        <x:f>J26*Q26</x:f>
        <x:v>0</x:v>
      </x:c>
      <x:c r="S26" s="20" t="str">
        <x:f>IF(D26&lt;E26,"closed",IF(D26&lt;'Paths'!$N$7,"initial","expanded"))</x:f>
        <x:v>expanded</x:v>
      </x:c>
      <x:c r="T26" s="72"/>
    </x:row>
    <x:row r="27">
      <x:c r="C27" s="20" t="str">
        <x:v>P0</x:v>
      </x:c>
      <x:c r="D27" s="20" t="n">
        <x:v>20</x:v>
      </x:c>
      <x:c r="E27" s="45" t="n">
        <x:f>IF('Controls'!$D$7="Reference",'Paths'!$J$7,'Paths'!$K$7)</x:f>
        <x:v>0</x:v>
      </x:c>
      <x:c r="F27" s="47" t="n">
        <x:f>IF(D27&lt;'Paths'!$N$7,IF('Controls'!$D$7="Reference",'Paths'!$L$7,'Paths'!$M$7),IF('Controls'!$D$7="Reference",'Paths'!$O$7,'Paths'!$P$7))</x:f>
        <x:v>0</x:v>
      </x:c>
      <x:c r="G27" s="46" t="n">
        <x:f>IF('Controls'!$D$7="Reference",1,IF(OR(D27=6,D27=7,D27=21,D27=46),'Paths'!$U$7,1))</x:f>
        <x:v>1</x:v>
      </x:c>
      <x:c r="H27" s="46" t="n">
        <x:f>IF('Controls'!$D$7="Reference",1,IF(OR(AND(D27&gt;=14,D27&lt;=16),AND(D27&gt;=34,D27&lt;=35),AND(D27&gt;=61,D27&lt;=63)),'Paths'!$V$7,1))</x:f>
        <x:v>1</x:v>
      </x:c>
      <x:c r="I27" s="46" t="n">
        <x:f>'Paths'!$W$7</x:f>
        <x:v>1</x:v>
      </x:c>
      <x:c r="J27" s="47" t="n">
        <x:f>IF(D27&lt;E27,0,MIN(F27*G27*H27*I27,IF('Paths'!$T$7&gt;0,MAX(0,'Paths'!$T$7-K26),1000000000)))</x:f>
        <x:v>0</x:v>
      </x:c>
      <x:c r="K27" s="47" t="n">
        <x:f>K26+J27</x:f>
        <x:v>125000</x:v>
      </x:c>
      <x:c r="L27" s="46" t="n">
        <x:f>IF(C27="P0",1,IF(D27&lt;=3,0.8,IF(D27&lt;=14,0.65,IF(D27&lt;=45,0.5,0.3))))</x:f>
        <x:v>1</x:v>
      </x:c>
      <x:c r="M27" s="47" t="n">
        <x:f>J27*L27</x:f>
        <x:v>0</x:v>
      </x:c>
      <x:c r="N27" s="47" t="n">
        <x:f>N26+M27</x:f>
        <x:v>125000</x:v>
      </x:c>
      <x:c r="O27" s="46" t="n">
        <x:f>IF(C27="P0",0,IF(D27&lt;=3,0.15,IF(D27&lt;=14,0.25,IF(D27&lt;=45,0.35,0.5))))</x:f>
        <x:v>0</x:v>
      </x:c>
      <x:c r="P27" s="47" t="n">
        <x:f>J27*O27</x:f>
        <x:v>0</x:v>
      </x:c>
      <x:c r="Q27" s="46" t="n">
        <x:f>IF(C27="P0",0,IF(D27&lt;=3,0.05,IF(D27&lt;=14,0.1,IF(D27&lt;=45,0.15,0.2))))</x:f>
        <x:v>0</x:v>
      </x:c>
      <x:c r="R27" s="47" t="n">
        <x:f>J27*Q27</x:f>
        <x:v>0</x:v>
      </x:c>
      <x:c r="S27" s="20" t="str">
        <x:f>IF(D27&lt;E27,"closed",IF(D27&lt;'Paths'!$N$7,"initial","expanded"))</x:f>
        <x:v>expanded</x:v>
      </x:c>
      <x:c r="T27" s="72"/>
    </x:row>
    <x:row r="28">
      <x:c r="C28" s="20" t="str">
        <x:v>P0</x:v>
      </x:c>
      <x:c r="D28" s="20" t="n">
        <x:v>21</x:v>
      </x:c>
      <x:c r="E28" s="45" t="n">
        <x:f>IF('Controls'!$D$7="Reference",'Paths'!$J$7,'Paths'!$K$7)</x:f>
        <x:v>0</x:v>
      </x:c>
      <x:c r="F28" s="47" t="n">
        <x:f>IF(D28&lt;'Paths'!$N$7,IF('Controls'!$D$7="Reference",'Paths'!$L$7,'Paths'!$M$7),IF('Controls'!$D$7="Reference",'Paths'!$O$7,'Paths'!$P$7))</x:f>
        <x:v>0</x:v>
      </x:c>
      <x:c r="G28" s="46" t="n">
        <x:f>IF('Controls'!$D$7="Reference",1,IF(OR(D28=6,D28=7,D28=21,D28=46),'Paths'!$U$7,1))</x:f>
        <x:v>1</x:v>
      </x:c>
      <x:c r="H28" s="46" t="n">
        <x:f>IF('Controls'!$D$7="Reference",1,IF(OR(AND(D28&gt;=14,D28&lt;=16),AND(D28&gt;=34,D28&lt;=35),AND(D28&gt;=61,D28&lt;=63)),'Paths'!$V$7,1))</x:f>
        <x:v>1</x:v>
      </x:c>
      <x:c r="I28" s="46" t="n">
        <x:f>'Paths'!$W$7</x:f>
        <x:v>1</x:v>
      </x:c>
      <x:c r="J28" s="47" t="n">
        <x:f>IF(D28&lt;E28,0,MIN(F28*G28*H28*I28,IF('Paths'!$T$7&gt;0,MAX(0,'Paths'!$T$7-K27),1000000000)))</x:f>
        <x:v>0</x:v>
      </x:c>
      <x:c r="K28" s="47" t="n">
        <x:f>K27+J28</x:f>
        <x:v>125000</x:v>
      </x:c>
      <x:c r="L28" s="46" t="n">
        <x:f>IF(C28="P0",1,IF(D28&lt;=3,0.8,IF(D28&lt;=14,0.65,IF(D28&lt;=45,0.5,0.3))))</x:f>
        <x:v>1</x:v>
      </x:c>
      <x:c r="M28" s="47" t="n">
        <x:f>J28*L28</x:f>
        <x:v>0</x:v>
      </x:c>
      <x:c r="N28" s="47" t="n">
        <x:f>N27+M28</x:f>
        <x:v>125000</x:v>
      </x:c>
      <x:c r="O28" s="46" t="n">
        <x:f>IF(C28="P0",0,IF(D28&lt;=3,0.15,IF(D28&lt;=14,0.25,IF(D28&lt;=45,0.35,0.5))))</x:f>
        <x:v>0</x:v>
      </x:c>
      <x:c r="P28" s="47" t="n">
        <x:f>J28*O28</x:f>
        <x:v>0</x:v>
      </x:c>
      <x:c r="Q28" s="46" t="n">
        <x:f>IF(C28="P0",0,IF(D28&lt;=3,0.05,IF(D28&lt;=14,0.1,IF(D28&lt;=45,0.15,0.2))))</x:f>
        <x:v>0</x:v>
      </x:c>
      <x:c r="R28" s="47" t="n">
        <x:f>J28*Q28</x:f>
        <x:v>0</x:v>
      </x:c>
      <x:c r="S28" s="20" t="str">
        <x:f>IF(D28&lt;E28,"closed",IF(D28&lt;'Paths'!$N$7,"initial","expanded"))</x:f>
        <x:v>expanded</x:v>
      </x:c>
      <x:c r="T28" s="72"/>
    </x:row>
    <x:row r="29">
      <x:c r="C29" s="20" t="str">
        <x:v>P0</x:v>
      </x:c>
      <x:c r="D29" s="20" t="n">
        <x:v>22</x:v>
      </x:c>
      <x:c r="E29" s="45" t="n">
        <x:f>IF('Controls'!$D$7="Reference",'Paths'!$J$7,'Paths'!$K$7)</x:f>
        <x:v>0</x:v>
      </x:c>
      <x:c r="F29" s="47" t="n">
        <x:f>IF(D29&lt;'Paths'!$N$7,IF('Controls'!$D$7="Reference",'Paths'!$L$7,'Paths'!$M$7),IF('Controls'!$D$7="Reference",'Paths'!$O$7,'Paths'!$P$7))</x:f>
        <x:v>0</x:v>
      </x:c>
      <x:c r="G29" s="46" t="n">
        <x:f>IF('Controls'!$D$7="Reference",1,IF(OR(D29=6,D29=7,D29=21,D29=46),'Paths'!$U$7,1))</x:f>
        <x:v>1</x:v>
      </x:c>
      <x:c r="H29" s="46" t="n">
        <x:f>IF('Controls'!$D$7="Reference",1,IF(OR(AND(D29&gt;=14,D29&lt;=16),AND(D29&gt;=34,D29&lt;=35),AND(D29&gt;=61,D29&lt;=63)),'Paths'!$V$7,1))</x:f>
        <x:v>1</x:v>
      </x:c>
      <x:c r="I29" s="46" t="n">
        <x:f>'Paths'!$W$7</x:f>
        <x:v>1</x:v>
      </x:c>
      <x:c r="J29" s="47" t="n">
        <x:f>IF(D29&lt;E29,0,MIN(F29*G29*H29*I29,IF('Paths'!$T$7&gt;0,MAX(0,'Paths'!$T$7-K28),1000000000)))</x:f>
        <x:v>0</x:v>
      </x:c>
      <x:c r="K29" s="47" t="n">
        <x:f>K28+J29</x:f>
        <x:v>125000</x:v>
      </x:c>
      <x:c r="L29" s="46" t="n">
        <x:f>IF(C29="P0",1,IF(D29&lt;=3,0.8,IF(D29&lt;=14,0.65,IF(D29&lt;=45,0.5,0.3))))</x:f>
        <x:v>1</x:v>
      </x:c>
      <x:c r="M29" s="47" t="n">
        <x:f>J29*L29</x:f>
        <x:v>0</x:v>
      </x:c>
      <x:c r="N29" s="47" t="n">
        <x:f>N28+M29</x:f>
        <x:v>125000</x:v>
      </x:c>
      <x:c r="O29" s="46" t="n">
        <x:f>IF(C29="P0",0,IF(D29&lt;=3,0.15,IF(D29&lt;=14,0.25,IF(D29&lt;=45,0.35,0.5))))</x:f>
        <x:v>0</x:v>
      </x:c>
      <x:c r="P29" s="47" t="n">
        <x:f>J29*O29</x:f>
        <x:v>0</x:v>
      </x:c>
      <x:c r="Q29" s="46" t="n">
        <x:f>IF(C29="P0",0,IF(D29&lt;=3,0.05,IF(D29&lt;=14,0.1,IF(D29&lt;=45,0.15,0.2))))</x:f>
        <x:v>0</x:v>
      </x:c>
      <x:c r="R29" s="47" t="n">
        <x:f>J29*Q29</x:f>
        <x:v>0</x:v>
      </x:c>
      <x:c r="S29" s="20" t="str">
        <x:f>IF(D29&lt;E29,"closed",IF(D29&lt;'Paths'!$N$7,"initial","expanded"))</x:f>
        <x:v>expanded</x:v>
      </x:c>
      <x:c r="T29" s="72"/>
    </x:row>
    <x:row r="30">
      <x:c r="C30" s="20" t="str">
        <x:v>P0</x:v>
      </x:c>
      <x:c r="D30" s="20" t="n">
        <x:v>23</x:v>
      </x:c>
      <x:c r="E30" s="45" t="n">
        <x:f>IF('Controls'!$D$7="Reference",'Paths'!$J$7,'Paths'!$K$7)</x:f>
        <x:v>0</x:v>
      </x:c>
      <x:c r="F30" s="47" t="n">
        <x:f>IF(D30&lt;'Paths'!$N$7,IF('Controls'!$D$7="Reference",'Paths'!$L$7,'Paths'!$M$7),IF('Controls'!$D$7="Reference",'Paths'!$O$7,'Paths'!$P$7))</x:f>
        <x:v>0</x:v>
      </x:c>
      <x:c r="G30" s="46" t="n">
        <x:f>IF('Controls'!$D$7="Reference",1,IF(OR(D30=6,D30=7,D30=21,D30=46),'Paths'!$U$7,1))</x:f>
        <x:v>1</x:v>
      </x:c>
      <x:c r="H30" s="46" t="n">
        <x:f>IF('Controls'!$D$7="Reference",1,IF(OR(AND(D30&gt;=14,D30&lt;=16),AND(D30&gt;=34,D30&lt;=35),AND(D30&gt;=61,D30&lt;=63)),'Paths'!$V$7,1))</x:f>
        <x:v>1</x:v>
      </x:c>
      <x:c r="I30" s="46" t="n">
        <x:f>'Paths'!$W$7</x:f>
        <x:v>1</x:v>
      </x:c>
      <x:c r="J30" s="47" t="n">
        <x:f>IF(D30&lt;E30,0,MIN(F30*G30*H30*I30,IF('Paths'!$T$7&gt;0,MAX(0,'Paths'!$T$7-K29),1000000000)))</x:f>
        <x:v>0</x:v>
      </x:c>
      <x:c r="K30" s="47" t="n">
        <x:f>K29+J30</x:f>
        <x:v>125000</x:v>
      </x:c>
      <x:c r="L30" s="46" t="n">
        <x:f>IF(C30="P0",1,IF(D30&lt;=3,0.8,IF(D30&lt;=14,0.65,IF(D30&lt;=45,0.5,0.3))))</x:f>
        <x:v>1</x:v>
      </x:c>
      <x:c r="M30" s="47" t="n">
        <x:f>J30*L30</x:f>
        <x:v>0</x:v>
      </x:c>
      <x:c r="N30" s="47" t="n">
        <x:f>N29+M30</x:f>
        <x:v>125000</x:v>
      </x:c>
      <x:c r="O30" s="46" t="n">
        <x:f>IF(C30="P0",0,IF(D30&lt;=3,0.15,IF(D30&lt;=14,0.25,IF(D30&lt;=45,0.35,0.5))))</x:f>
        <x:v>0</x:v>
      </x:c>
      <x:c r="P30" s="47" t="n">
        <x:f>J30*O30</x:f>
        <x:v>0</x:v>
      </x:c>
      <x:c r="Q30" s="46" t="n">
        <x:f>IF(C30="P0",0,IF(D30&lt;=3,0.05,IF(D30&lt;=14,0.1,IF(D30&lt;=45,0.15,0.2))))</x:f>
        <x:v>0</x:v>
      </x:c>
      <x:c r="R30" s="47" t="n">
        <x:f>J30*Q30</x:f>
        <x:v>0</x:v>
      </x:c>
      <x:c r="S30" s="20" t="str">
        <x:f>IF(D30&lt;E30,"closed",IF(D30&lt;'Paths'!$N$7,"initial","expanded"))</x:f>
        <x:v>expanded</x:v>
      </x:c>
      <x:c r="T30" s="72"/>
    </x:row>
    <x:row r="31">
      <x:c r="C31" s="20" t="str">
        <x:v>P0</x:v>
      </x:c>
      <x:c r="D31" s="20" t="n">
        <x:v>24</x:v>
      </x:c>
      <x:c r="E31" s="45" t="n">
        <x:f>IF('Controls'!$D$7="Reference",'Paths'!$J$7,'Paths'!$K$7)</x:f>
        <x:v>0</x:v>
      </x:c>
      <x:c r="F31" s="47" t="n">
        <x:f>IF(D31&lt;'Paths'!$N$7,IF('Controls'!$D$7="Reference",'Paths'!$L$7,'Paths'!$M$7),IF('Controls'!$D$7="Reference",'Paths'!$O$7,'Paths'!$P$7))</x:f>
        <x:v>0</x:v>
      </x:c>
      <x:c r="G31" s="46" t="n">
        <x:f>IF('Controls'!$D$7="Reference",1,IF(OR(D31=6,D31=7,D31=21,D31=46),'Paths'!$U$7,1))</x:f>
        <x:v>1</x:v>
      </x:c>
      <x:c r="H31" s="46" t="n">
        <x:f>IF('Controls'!$D$7="Reference",1,IF(OR(AND(D31&gt;=14,D31&lt;=16),AND(D31&gt;=34,D31&lt;=35),AND(D31&gt;=61,D31&lt;=63)),'Paths'!$V$7,1))</x:f>
        <x:v>1</x:v>
      </x:c>
      <x:c r="I31" s="46" t="n">
        <x:f>'Paths'!$W$7</x:f>
        <x:v>1</x:v>
      </x:c>
      <x:c r="J31" s="47" t="n">
        <x:f>IF(D31&lt;E31,0,MIN(F31*G31*H31*I31,IF('Paths'!$T$7&gt;0,MAX(0,'Paths'!$T$7-K30),1000000000)))</x:f>
        <x:v>0</x:v>
      </x:c>
      <x:c r="K31" s="47" t="n">
        <x:f>K30+J31</x:f>
        <x:v>125000</x:v>
      </x:c>
      <x:c r="L31" s="46" t="n">
        <x:f>IF(C31="P0",1,IF(D31&lt;=3,0.8,IF(D31&lt;=14,0.65,IF(D31&lt;=45,0.5,0.3))))</x:f>
        <x:v>1</x:v>
      </x:c>
      <x:c r="M31" s="47" t="n">
        <x:f>J31*L31</x:f>
        <x:v>0</x:v>
      </x:c>
      <x:c r="N31" s="47" t="n">
        <x:f>N30+M31</x:f>
        <x:v>125000</x:v>
      </x:c>
      <x:c r="O31" s="46" t="n">
        <x:f>IF(C31="P0",0,IF(D31&lt;=3,0.15,IF(D31&lt;=14,0.25,IF(D31&lt;=45,0.35,0.5))))</x:f>
        <x:v>0</x:v>
      </x:c>
      <x:c r="P31" s="47" t="n">
        <x:f>J31*O31</x:f>
        <x:v>0</x:v>
      </x:c>
      <x:c r="Q31" s="46" t="n">
        <x:f>IF(C31="P0",0,IF(D31&lt;=3,0.05,IF(D31&lt;=14,0.1,IF(D31&lt;=45,0.15,0.2))))</x:f>
        <x:v>0</x:v>
      </x:c>
      <x:c r="R31" s="47" t="n">
        <x:f>J31*Q31</x:f>
        <x:v>0</x:v>
      </x:c>
      <x:c r="S31" s="20" t="str">
        <x:f>IF(D31&lt;E31,"closed",IF(D31&lt;'Paths'!$N$7,"initial","expanded"))</x:f>
        <x:v>expanded</x:v>
      </x:c>
      <x:c r="T31" s="72"/>
    </x:row>
    <x:row r="32">
      <x:c r="C32" s="20" t="str">
        <x:v>P0</x:v>
      </x:c>
      <x:c r="D32" s="20" t="n">
        <x:v>25</x:v>
      </x:c>
      <x:c r="E32" s="45" t="n">
        <x:f>IF('Controls'!$D$7="Reference",'Paths'!$J$7,'Paths'!$K$7)</x:f>
        <x:v>0</x:v>
      </x:c>
      <x:c r="F32" s="47" t="n">
        <x:f>IF(D32&lt;'Paths'!$N$7,IF('Controls'!$D$7="Reference",'Paths'!$L$7,'Paths'!$M$7),IF('Controls'!$D$7="Reference",'Paths'!$O$7,'Paths'!$P$7))</x:f>
        <x:v>0</x:v>
      </x:c>
      <x:c r="G32" s="46" t="n">
        <x:f>IF('Controls'!$D$7="Reference",1,IF(OR(D32=6,D32=7,D32=21,D32=46),'Paths'!$U$7,1))</x:f>
        <x:v>1</x:v>
      </x:c>
      <x:c r="H32" s="46" t="n">
        <x:f>IF('Controls'!$D$7="Reference",1,IF(OR(AND(D32&gt;=14,D32&lt;=16),AND(D32&gt;=34,D32&lt;=35),AND(D32&gt;=61,D32&lt;=63)),'Paths'!$V$7,1))</x:f>
        <x:v>1</x:v>
      </x:c>
      <x:c r="I32" s="46" t="n">
        <x:f>'Paths'!$W$7</x:f>
        <x:v>1</x:v>
      </x:c>
      <x:c r="J32" s="47" t="n">
        <x:f>IF(D32&lt;E32,0,MIN(F32*G32*H32*I32,IF('Paths'!$T$7&gt;0,MAX(0,'Paths'!$T$7-K31),1000000000)))</x:f>
        <x:v>0</x:v>
      </x:c>
      <x:c r="K32" s="47" t="n">
        <x:f>K31+J32</x:f>
        <x:v>125000</x:v>
      </x:c>
      <x:c r="L32" s="46" t="n">
        <x:f>IF(C32="P0",1,IF(D32&lt;=3,0.8,IF(D32&lt;=14,0.65,IF(D32&lt;=45,0.5,0.3))))</x:f>
        <x:v>1</x:v>
      </x:c>
      <x:c r="M32" s="47" t="n">
        <x:f>J32*L32</x:f>
        <x:v>0</x:v>
      </x:c>
      <x:c r="N32" s="47" t="n">
        <x:f>N31+M32</x:f>
        <x:v>125000</x:v>
      </x:c>
      <x:c r="O32" s="46" t="n">
        <x:f>IF(C32="P0",0,IF(D32&lt;=3,0.15,IF(D32&lt;=14,0.25,IF(D32&lt;=45,0.35,0.5))))</x:f>
        <x:v>0</x:v>
      </x:c>
      <x:c r="P32" s="47" t="n">
        <x:f>J32*O32</x:f>
        <x:v>0</x:v>
      </x:c>
      <x:c r="Q32" s="46" t="n">
        <x:f>IF(C32="P0",0,IF(D32&lt;=3,0.05,IF(D32&lt;=14,0.1,IF(D32&lt;=45,0.15,0.2))))</x:f>
        <x:v>0</x:v>
      </x:c>
      <x:c r="R32" s="47" t="n">
        <x:f>J32*Q32</x:f>
        <x:v>0</x:v>
      </x:c>
      <x:c r="S32" s="20" t="str">
        <x:f>IF(D32&lt;E32,"closed",IF(D32&lt;'Paths'!$N$7,"initial","expanded"))</x:f>
        <x:v>expanded</x:v>
      </x:c>
      <x:c r="T32" s="72"/>
    </x:row>
    <x:row r="33">
      <x:c r="C33" s="20" t="str">
        <x:v>P0</x:v>
      </x:c>
      <x:c r="D33" s="20" t="n">
        <x:v>26</x:v>
      </x:c>
      <x:c r="E33" s="45" t="n">
        <x:f>IF('Controls'!$D$7="Reference",'Paths'!$J$7,'Paths'!$K$7)</x:f>
        <x:v>0</x:v>
      </x:c>
      <x:c r="F33" s="47" t="n">
        <x:f>IF(D33&lt;'Paths'!$N$7,IF('Controls'!$D$7="Reference",'Paths'!$L$7,'Paths'!$M$7),IF('Controls'!$D$7="Reference",'Paths'!$O$7,'Paths'!$P$7))</x:f>
        <x:v>0</x:v>
      </x:c>
      <x:c r="G33" s="46" t="n">
        <x:f>IF('Controls'!$D$7="Reference",1,IF(OR(D33=6,D33=7,D33=21,D33=46),'Paths'!$U$7,1))</x:f>
        <x:v>1</x:v>
      </x:c>
      <x:c r="H33" s="46" t="n">
        <x:f>IF('Controls'!$D$7="Reference",1,IF(OR(AND(D33&gt;=14,D33&lt;=16),AND(D33&gt;=34,D33&lt;=35),AND(D33&gt;=61,D33&lt;=63)),'Paths'!$V$7,1))</x:f>
        <x:v>1</x:v>
      </x:c>
      <x:c r="I33" s="46" t="n">
        <x:f>'Paths'!$W$7</x:f>
        <x:v>1</x:v>
      </x:c>
      <x:c r="J33" s="47" t="n">
        <x:f>IF(D33&lt;E33,0,MIN(F33*G33*H33*I33,IF('Paths'!$T$7&gt;0,MAX(0,'Paths'!$T$7-K32),1000000000)))</x:f>
        <x:v>0</x:v>
      </x:c>
      <x:c r="K33" s="47" t="n">
        <x:f>K32+J33</x:f>
        <x:v>125000</x:v>
      </x:c>
      <x:c r="L33" s="46" t="n">
        <x:f>IF(C33="P0",1,IF(D33&lt;=3,0.8,IF(D33&lt;=14,0.65,IF(D33&lt;=45,0.5,0.3))))</x:f>
        <x:v>1</x:v>
      </x:c>
      <x:c r="M33" s="47" t="n">
        <x:f>J33*L33</x:f>
        <x:v>0</x:v>
      </x:c>
      <x:c r="N33" s="47" t="n">
        <x:f>N32+M33</x:f>
        <x:v>125000</x:v>
      </x:c>
      <x:c r="O33" s="46" t="n">
        <x:f>IF(C33="P0",0,IF(D33&lt;=3,0.15,IF(D33&lt;=14,0.25,IF(D33&lt;=45,0.35,0.5))))</x:f>
        <x:v>0</x:v>
      </x:c>
      <x:c r="P33" s="47" t="n">
        <x:f>J33*O33</x:f>
        <x:v>0</x:v>
      </x:c>
      <x:c r="Q33" s="46" t="n">
        <x:f>IF(C33="P0",0,IF(D33&lt;=3,0.05,IF(D33&lt;=14,0.1,IF(D33&lt;=45,0.15,0.2))))</x:f>
        <x:v>0</x:v>
      </x:c>
      <x:c r="R33" s="47" t="n">
        <x:f>J33*Q33</x:f>
        <x:v>0</x:v>
      </x:c>
      <x:c r="S33" s="20" t="str">
        <x:f>IF(D33&lt;E33,"closed",IF(D33&lt;'Paths'!$N$7,"initial","expanded"))</x:f>
        <x:v>expanded</x:v>
      </x:c>
      <x:c r="T33" s="72"/>
    </x:row>
    <x:row r="34">
      <x:c r="C34" s="20" t="str">
        <x:v>P0</x:v>
      </x:c>
      <x:c r="D34" s="20" t="n">
        <x:v>27</x:v>
      </x:c>
      <x:c r="E34" s="45" t="n">
        <x:f>IF('Controls'!$D$7="Reference",'Paths'!$J$7,'Paths'!$K$7)</x:f>
        <x:v>0</x:v>
      </x:c>
      <x:c r="F34" s="47" t="n">
        <x:f>IF(D34&lt;'Paths'!$N$7,IF('Controls'!$D$7="Reference",'Paths'!$L$7,'Paths'!$M$7),IF('Controls'!$D$7="Reference",'Paths'!$O$7,'Paths'!$P$7))</x:f>
        <x:v>0</x:v>
      </x:c>
      <x:c r="G34" s="46" t="n">
        <x:f>IF('Controls'!$D$7="Reference",1,IF(OR(D34=6,D34=7,D34=21,D34=46),'Paths'!$U$7,1))</x:f>
        <x:v>1</x:v>
      </x:c>
      <x:c r="H34" s="46" t="n">
        <x:f>IF('Controls'!$D$7="Reference",1,IF(OR(AND(D34&gt;=14,D34&lt;=16),AND(D34&gt;=34,D34&lt;=35),AND(D34&gt;=61,D34&lt;=63)),'Paths'!$V$7,1))</x:f>
        <x:v>1</x:v>
      </x:c>
      <x:c r="I34" s="46" t="n">
        <x:f>'Paths'!$W$7</x:f>
        <x:v>1</x:v>
      </x:c>
      <x:c r="J34" s="47" t="n">
        <x:f>IF(D34&lt;E34,0,MIN(F34*G34*H34*I34,IF('Paths'!$T$7&gt;0,MAX(0,'Paths'!$T$7-K33),1000000000)))</x:f>
        <x:v>0</x:v>
      </x:c>
      <x:c r="K34" s="47" t="n">
        <x:f>K33+J34</x:f>
        <x:v>125000</x:v>
      </x:c>
      <x:c r="L34" s="46" t="n">
        <x:f>IF(C34="P0",1,IF(D34&lt;=3,0.8,IF(D34&lt;=14,0.65,IF(D34&lt;=45,0.5,0.3))))</x:f>
        <x:v>1</x:v>
      </x:c>
      <x:c r="M34" s="47" t="n">
        <x:f>J34*L34</x:f>
        <x:v>0</x:v>
      </x:c>
      <x:c r="N34" s="47" t="n">
        <x:f>N33+M34</x:f>
        <x:v>125000</x:v>
      </x:c>
      <x:c r="O34" s="46" t="n">
        <x:f>IF(C34="P0",0,IF(D34&lt;=3,0.15,IF(D34&lt;=14,0.25,IF(D34&lt;=45,0.35,0.5))))</x:f>
        <x:v>0</x:v>
      </x:c>
      <x:c r="P34" s="47" t="n">
        <x:f>J34*O34</x:f>
        <x:v>0</x:v>
      </x:c>
      <x:c r="Q34" s="46" t="n">
        <x:f>IF(C34="P0",0,IF(D34&lt;=3,0.05,IF(D34&lt;=14,0.1,IF(D34&lt;=45,0.15,0.2))))</x:f>
        <x:v>0</x:v>
      </x:c>
      <x:c r="R34" s="47" t="n">
        <x:f>J34*Q34</x:f>
        <x:v>0</x:v>
      </x:c>
      <x:c r="S34" s="20" t="str">
        <x:f>IF(D34&lt;E34,"closed",IF(D34&lt;'Paths'!$N$7,"initial","expanded"))</x:f>
        <x:v>expanded</x:v>
      </x:c>
      <x:c r="T34" s="72"/>
    </x:row>
    <x:row r="35">
      <x:c r="C35" s="20" t="str">
        <x:v>P0</x:v>
      </x:c>
      <x:c r="D35" s="20" t="n">
        <x:v>28</x:v>
      </x:c>
      <x:c r="E35" s="45" t="n">
        <x:f>IF('Controls'!$D$7="Reference",'Paths'!$J$7,'Paths'!$K$7)</x:f>
        <x:v>0</x:v>
      </x:c>
      <x:c r="F35" s="47" t="n">
        <x:f>IF(D35&lt;'Paths'!$N$7,IF('Controls'!$D$7="Reference",'Paths'!$L$7,'Paths'!$M$7),IF('Controls'!$D$7="Reference",'Paths'!$O$7,'Paths'!$P$7))</x:f>
        <x:v>0</x:v>
      </x:c>
      <x:c r="G35" s="46" t="n">
        <x:f>IF('Controls'!$D$7="Reference",1,IF(OR(D35=6,D35=7,D35=21,D35=46),'Paths'!$U$7,1))</x:f>
        <x:v>1</x:v>
      </x:c>
      <x:c r="H35" s="46" t="n">
        <x:f>IF('Controls'!$D$7="Reference",1,IF(OR(AND(D35&gt;=14,D35&lt;=16),AND(D35&gt;=34,D35&lt;=35),AND(D35&gt;=61,D35&lt;=63)),'Paths'!$V$7,1))</x:f>
        <x:v>1</x:v>
      </x:c>
      <x:c r="I35" s="46" t="n">
        <x:f>'Paths'!$W$7</x:f>
        <x:v>1</x:v>
      </x:c>
      <x:c r="J35" s="47" t="n">
        <x:f>IF(D35&lt;E35,0,MIN(F35*G35*H35*I35,IF('Paths'!$T$7&gt;0,MAX(0,'Paths'!$T$7-K34),1000000000)))</x:f>
        <x:v>0</x:v>
      </x:c>
      <x:c r="K35" s="47" t="n">
        <x:f>K34+J35</x:f>
        <x:v>125000</x:v>
      </x:c>
      <x:c r="L35" s="46" t="n">
        <x:f>IF(C35="P0",1,IF(D35&lt;=3,0.8,IF(D35&lt;=14,0.65,IF(D35&lt;=45,0.5,0.3))))</x:f>
        <x:v>1</x:v>
      </x:c>
      <x:c r="M35" s="47" t="n">
        <x:f>J35*L35</x:f>
        <x:v>0</x:v>
      </x:c>
      <x:c r="N35" s="47" t="n">
        <x:f>N34+M35</x:f>
        <x:v>125000</x:v>
      </x:c>
      <x:c r="O35" s="46" t="n">
        <x:f>IF(C35="P0",0,IF(D35&lt;=3,0.15,IF(D35&lt;=14,0.25,IF(D35&lt;=45,0.35,0.5))))</x:f>
        <x:v>0</x:v>
      </x:c>
      <x:c r="P35" s="47" t="n">
        <x:f>J35*O35</x:f>
        <x:v>0</x:v>
      </x:c>
      <x:c r="Q35" s="46" t="n">
        <x:f>IF(C35="P0",0,IF(D35&lt;=3,0.05,IF(D35&lt;=14,0.1,IF(D35&lt;=45,0.15,0.2))))</x:f>
        <x:v>0</x:v>
      </x:c>
      <x:c r="R35" s="47" t="n">
        <x:f>J35*Q35</x:f>
        <x:v>0</x:v>
      </x:c>
      <x:c r="S35" s="20" t="str">
        <x:f>IF(D35&lt;E35,"closed",IF(D35&lt;'Paths'!$N$7,"initial","expanded"))</x:f>
        <x:v>expanded</x:v>
      </x:c>
      <x:c r="T35" s="72"/>
    </x:row>
    <x:row r="36">
      <x:c r="C36" s="20" t="str">
        <x:v>P0</x:v>
      </x:c>
      <x:c r="D36" s="20" t="n">
        <x:v>29</x:v>
      </x:c>
      <x:c r="E36" s="45" t="n">
        <x:f>IF('Controls'!$D$7="Reference",'Paths'!$J$7,'Paths'!$K$7)</x:f>
        <x:v>0</x:v>
      </x:c>
      <x:c r="F36" s="47" t="n">
        <x:f>IF(D36&lt;'Paths'!$N$7,IF('Controls'!$D$7="Reference",'Paths'!$L$7,'Paths'!$M$7),IF('Controls'!$D$7="Reference",'Paths'!$O$7,'Paths'!$P$7))</x:f>
        <x:v>0</x:v>
      </x:c>
      <x:c r="G36" s="46" t="n">
        <x:f>IF('Controls'!$D$7="Reference",1,IF(OR(D36=6,D36=7,D36=21,D36=46),'Paths'!$U$7,1))</x:f>
        <x:v>1</x:v>
      </x:c>
      <x:c r="H36" s="46" t="n">
        <x:f>IF('Controls'!$D$7="Reference",1,IF(OR(AND(D36&gt;=14,D36&lt;=16),AND(D36&gt;=34,D36&lt;=35),AND(D36&gt;=61,D36&lt;=63)),'Paths'!$V$7,1))</x:f>
        <x:v>1</x:v>
      </x:c>
      <x:c r="I36" s="46" t="n">
        <x:f>'Paths'!$W$7</x:f>
        <x:v>1</x:v>
      </x:c>
      <x:c r="J36" s="47" t="n">
        <x:f>IF(D36&lt;E36,0,MIN(F36*G36*H36*I36,IF('Paths'!$T$7&gt;0,MAX(0,'Paths'!$T$7-K35),1000000000)))</x:f>
        <x:v>0</x:v>
      </x:c>
      <x:c r="K36" s="47" t="n">
        <x:f>K35+J36</x:f>
        <x:v>125000</x:v>
      </x:c>
      <x:c r="L36" s="46" t="n">
        <x:f>IF(C36="P0",1,IF(D36&lt;=3,0.8,IF(D36&lt;=14,0.65,IF(D36&lt;=45,0.5,0.3))))</x:f>
        <x:v>1</x:v>
      </x:c>
      <x:c r="M36" s="47" t="n">
        <x:f>J36*L36</x:f>
        <x:v>0</x:v>
      </x:c>
      <x:c r="N36" s="47" t="n">
        <x:f>N35+M36</x:f>
        <x:v>125000</x:v>
      </x:c>
      <x:c r="O36" s="46" t="n">
        <x:f>IF(C36="P0",0,IF(D36&lt;=3,0.15,IF(D36&lt;=14,0.25,IF(D36&lt;=45,0.35,0.5))))</x:f>
        <x:v>0</x:v>
      </x:c>
      <x:c r="P36" s="47" t="n">
        <x:f>J36*O36</x:f>
        <x:v>0</x:v>
      </x:c>
      <x:c r="Q36" s="46" t="n">
        <x:f>IF(C36="P0",0,IF(D36&lt;=3,0.05,IF(D36&lt;=14,0.1,IF(D36&lt;=45,0.15,0.2))))</x:f>
        <x:v>0</x:v>
      </x:c>
      <x:c r="R36" s="47" t="n">
        <x:f>J36*Q36</x:f>
        <x:v>0</x:v>
      </x:c>
      <x:c r="S36" s="20" t="str">
        <x:f>IF(D36&lt;E36,"closed",IF(D36&lt;'Paths'!$N$7,"initial","expanded"))</x:f>
        <x:v>expanded</x:v>
      </x:c>
      <x:c r="T36" s="72"/>
    </x:row>
    <x:row r="37">
      <x:c r="C37" s="20" t="str">
        <x:v>P0</x:v>
      </x:c>
      <x:c r="D37" s="20" t="n">
        <x:v>30</x:v>
      </x:c>
      <x:c r="E37" s="45" t="n">
        <x:f>IF('Controls'!$D$7="Reference",'Paths'!$J$7,'Paths'!$K$7)</x:f>
        <x:v>0</x:v>
      </x:c>
      <x:c r="F37" s="47" t="n">
        <x:f>IF(D37&lt;'Paths'!$N$7,IF('Controls'!$D$7="Reference",'Paths'!$L$7,'Paths'!$M$7),IF('Controls'!$D$7="Reference",'Paths'!$O$7,'Paths'!$P$7))</x:f>
        <x:v>0</x:v>
      </x:c>
      <x:c r="G37" s="46" t="n">
        <x:f>IF('Controls'!$D$7="Reference",1,IF(OR(D37=6,D37=7,D37=21,D37=46),'Paths'!$U$7,1))</x:f>
        <x:v>1</x:v>
      </x:c>
      <x:c r="H37" s="46" t="n">
        <x:f>IF('Controls'!$D$7="Reference",1,IF(OR(AND(D37&gt;=14,D37&lt;=16),AND(D37&gt;=34,D37&lt;=35),AND(D37&gt;=61,D37&lt;=63)),'Paths'!$V$7,1))</x:f>
        <x:v>1</x:v>
      </x:c>
      <x:c r="I37" s="46" t="n">
        <x:f>'Paths'!$W$7</x:f>
        <x:v>1</x:v>
      </x:c>
      <x:c r="J37" s="47" t="n">
        <x:f>IF(D37&lt;E37,0,MIN(F37*G37*H37*I37,IF('Paths'!$T$7&gt;0,MAX(0,'Paths'!$T$7-K36),1000000000)))</x:f>
        <x:v>0</x:v>
      </x:c>
      <x:c r="K37" s="47" t="n">
        <x:f>K36+J37</x:f>
        <x:v>125000</x:v>
      </x:c>
      <x:c r="L37" s="46" t="n">
        <x:f>IF(C37="P0",1,IF(D37&lt;=3,0.8,IF(D37&lt;=14,0.65,IF(D37&lt;=45,0.5,0.3))))</x:f>
        <x:v>1</x:v>
      </x:c>
      <x:c r="M37" s="47" t="n">
        <x:f>J37*L37</x:f>
        <x:v>0</x:v>
      </x:c>
      <x:c r="N37" s="47" t="n">
        <x:f>N36+M37</x:f>
        <x:v>125000</x:v>
      </x:c>
      <x:c r="O37" s="46" t="n">
        <x:f>IF(C37="P0",0,IF(D37&lt;=3,0.15,IF(D37&lt;=14,0.25,IF(D37&lt;=45,0.35,0.5))))</x:f>
        <x:v>0</x:v>
      </x:c>
      <x:c r="P37" s="47" t="n">
        <x:f>J37*O37</x:f>
        <x:v>0</x:v>
      </x:c>
      <x:c r="Q37" s="46" t="n">
        <x:f>IF(C37="P0",0,IF(D37&lt;=3,0.05,IF(D37&lt;=14,0.1,IF(D37&lt;=45,0.15,0.2))))</x:f>
        <x:v>0</x:v>
      </x:c>
      <x:c r="R37" s="47" t="n">
        <x:f>J37*Q37</x:f>
        <x:v>0</x:v>
      </x:c>
      <x:c r="S37" s="20" t="str">
        <x:f>IF(D37&lt;E37,"closed",IF(D37&lt;'Paths'!$N$7,"initial","expanded"))</x:f>
        <x:v>expanded</x:v>
      </x:c>
      <x:c r="T37" s="72"/>
    </x:row>
    <x:row r="38">
      <x:c r="C38" s="20" t="str">
        <x:v>P0</x:v>
      </x:c>
      <x:c r="D38" s="20" t="n">
        <x:v>31</x:v>
      </x:c>
      <x:c r="E38" s="45" t="n">
        <x:f>IF('Controls'!$D$7="Reference",'Paths'!$J$7,'Paths'!$K$7)</x:f>
        <x:v>0</x:v>
      </x:c>
      <x:c r="F38" s="47" t="n">
        <x:f>IF(D38&lt;'Paths'!$N$7,IF('Controls'!$D$7="Reference",'Paths'!$L$7,'Paths'!$M$7),IF('Controls'!$D$7="Reference",'Paths'!$O$7,'Paths'!$P$7))</x:f>
        <x:v>0</x:v>
      </x:c>
      <x:c r="G38" s="46" t="n">
        <x:f>IF('Controls'!$D$7="Reference",1,IF(OR(D38=6,D38=7,D38=21,D38=46),'Paths'!$U$7,1))</x:f>
        <x:v>1</x:v>
      </x:c>
      <x:c r="H38" s="46" t="n">
        <x:f>IF('Controls'!$D$7="Reference",1,IF(OR(AND(D38&gt;=14,D38&lt;=16),AND(D38&gt;=34,D38&lt;=35),AND(D38&gt;=61,D38&lt;=63)),'Paths'!$V$7,1))</x:f>
        <x:v>1</x:v>
      </x:c>
      <x:c r="I38" s="46" t="n">
        <x:f>'Paths'!$W$7</x:f>
        <x:v>1</x:v>
      </x:c>
      <x:c r="J38" s="47" t="n">
        <x:f>IF(D38&lt;E38,0,MIN(F38*G38*H38*I38,IF('Paths'!$T$7&gt;0,MAX(0,'Paths'!$T$7-K37),1000000000)))</x:f>
        <x:v>0</x:v>
      </x:c>
      <x:c r="K38" s="47" t="n">
        <x:f>K37+J38</x:f>
        <x:v>125000</x:v>
      </x:c>
      <x:c r="L38" s="46" t="n">
        <x:f>IF(C38="P0",1,IF(D38&lt;=3,0.8,IF(D38&lt;=14,0.65,IF(D38&lt;=45,0.5,0.3))))</x:f>
        <x:v>1</x:v>
      </x:c>
      <x:c r="M38" s="47" t="n">
        <x:f>J38*L38</x:f>
        <x:v>0</x:v>
      </x:c>
      <x:c r="N38" s="47" t="n">
        <x:f>N37+M38</x:f>
        <x:v>125000</x:v>
      </x:c>
      <x:c r="O38" s="46" t="n">
        <x:f>IF(C38="P0",0,IF(D38&lt;=3,0.15,IF(D38&lt;=14,0.25,IF(D38&lt;=45,0.35,0.5))))</x:f>
        <x:v>0</x:v>
      </x:c>
      <x:c r="P38" s="47" t="n">
        <x:f>J38*O38</x:f>
        <x:v>0</x:v>
      </x:c>
      <x:c r="Q38" s="46" t="n">
        <x:f>IF(C38="P0",0,IF(D38&lt;=3,0.05,IF(D38&lt;=14,0.1,IF(D38&lt;=45,0.15,0.2))))</x:f>
        <x:v>0</x:v>
      </x:c>
      <x:c r="R38" s="47" t="n">
        <x:f>J38*Q38</x:f>
        <x:v>0</x:v>
      </x:c>
      <x:c r="S38" s="20" t="str">
        <x:f>IF(D38&lt;E38,"closed",IF(D38&lt;'Paths'!$N$7,"initial","expanded"))</x:f>
        <x:v>expanded</x:v>
      </x:c>
      <x:c r="T38" s="72"/>
    </x:row>
    <x:row r="39">
      <x:c r="C39" s="20" t="str">
        <x:v>P0</x:v>
      </x:c>
      <x:c r="D39" s="20" t="n">
        <x:v>32</x:v>
      </x:c>
      <x:c r="E39" s="45" t="n">
        <x:f>IF('Controls'!$D$7="Reference",'Paths'!$J$7,'Paths'!$K$7)</x:f>
        <x:v>0</x:v>
      </x:c>
      <x:c r="F39" s="47" t="n">
        <x:f>IF(D39&lt;'Paths'!$N$7,IF('Controls'!$D$7="Reference",'Paths'!$L$7,'Paths'!$M$7),IF('Controls'!$D$7="Reference",'Paths'!$O$7,'Paths'!$P$7))</x:f>
        <x:v>0</x:v>
      </x:c>
      <x:c r="G39" s="46" t="n">
        <x:f>IF('Controls'!$D$7="Reference",1,IF(OR(D39=6,D39=7,D39=21,D39=46),'Paths'!$U$7,1))</x:f>
        <x:v>1</x:v>
      </x:c>
      <x:c r="H39" s="46" t="n">
        <x:f>IF('Controls'!$D$7="Reference",1,IF(OR(AND(D39&gt;=14,D39&lt;=16),AND(D39&gt;=34,D39&lt;=35),AND(D39&gt;=61,D39&lt;=63)),'Paths'!$V$7,1))</x:f>
        <x:v>1</x:v>
      </x:c>
      <x:c r="I39" s="46" t="n">
        <x:f>'Paths'!$W$7</x:f>
        <x:v>1</x:v>
      </x:c>
      <x:c r="J39" s="47" t="n">
        <x:f>IF(D39&lt;E39,0,MIN(F39*G39*H39*I39,IF('Paths'!$T$7&gt;0,MAX(0,'Paths'!$T$7-K38),1000000000)))</x:f>
        <x:v>0</x:v>
      </x:c>
      <x:c r="K39" s="47" t="n">
        <x:f>K38+J39</x:f>
        <x:v>125000</x:v>
      </x:c>
      <x:c r="L39" s="46" t="n">
        <x:f>IF(C39="P0",1,IF(D39&lt;=3,0.8,IF(D39&lt;=14,0.65,IF(D39&lt;=45,0.5,0.3))))</x:f>
        <x:v>1</x:v>
      </x:c>
      <x:c r="M39" s="47" t="n">
        <x:f>J39*L39</x:f>
        <x:v>0</x:v>
      </x:c>
      <x:c r="N39" s="47" t="n">
        <x:f>N38+M39</x:f>
        <x:v>125000</x:v>
      </x:c>
      <x:c r="O39" s="46" t="n">
        <x:f>IF(C39="P0",0,IF(D39&lt;=3,0.15,IF(D39&lt;=14,0.25,IF(D39&lt;=45,0.35,0.5))))</x:f>
        <x:v>0</x:v>
      </x:c>
      <x:c r="P39" s="47" t="n">
        <x:f>J39*O39</x:f>
        <x:v>0</x:v>
      </x:c>
      <x:c r="Q39" s="46" t="n">
        <x:f>IF(C39="P0",0,IF(D39&lt;=3,0.05,IF(D39&lt;=14,0.1,IF(D39&lt;=45,0.15,0.2))))</x:f>
        <x:v>0</x:v>
      </x:c>
      <x:c r="R39" s="47" t="n">
        <x:f>J39*Q39</x:f>
        <x:v>0</x:v>
      </x:c>
      <x:c r="S39" s="20" t="str">
        <x:f>IF(D39&lt;E39,"closed",IF(D39&lt;'Paths'!$N$7,"initial","expanded"))</x:f>
        <x:v>expanded</x:v>
      </x:c>
      <x:c r="T39" s="72"/>
    </x:row>
    <x:row r="40">
      <x:c r="C40" s="20" t="str">
        <x:v>P0</x:v>
      </x:c>
      <x:c r="D40" s="20" t="n">
        <x:v>33</x:v>
      </x:c>
      <x:c r="E40" s="45" t="n">
        <x:f>IF('Controls'!$D$7="Reference",'Paths'!$J$7,'Paths'!$K$7)</x:f>
        <x:v>0</x:v>
      </x:c>
      <x:c r="F40" s="47" t="n">
        <x:f>IF(D40&lt;'Paths'!$N$7,IF('Controls'!$D$7="Reference",'Paths'!$L$7,'Paths'!$M$7),IF('Controls'!$D$7="Reference",'Paths'!$O$7,'Paths'!$P$7))</x:f>
        <x:v>0</x:v>
      </x:c>
      <x:c r="G40" s="46" t="n">
        <x:f>IF('Controls'!$D$7="Reference",1,IF(OR(D40=6,D40=7,D40=21,D40=46),'Paths'!$U$7,1))</x:f>
        <x:v>1</x:v>
      </x:c>
      <x:c r="H40" s="46" t="n">
        <x:f>IF('Controls'!$D$7="Reference",1,IF(OR(AND(D40&gt;=14,D40&lt;=16),AND(D40&gt;=34,D40&lt;=35),AND(D40&gt;=61,D40&lt;=63)),'Paths'!$V$7,1))</x:f>
        <x:v>1</x:v>
      </x:c>
      <x:c r="I40" s="46" t="n">
        <x:f>'Paths'!$W$7</x:f>
        <x:v>1</x:v>
      </x:c>
      <x:c r="J40" s="47" t="n">
        <x:f>IF(D40&lt;E40,0,MIN(F40*G40*H40*I40,IF('Paths'!$T$7&gt;0,MAX(0,'Paths'!$T$7-K39),1000000000)))</x:f>
        <x:v>0</x:v>
      </x:c>
      <x:c r="K40" s="47" t="n">
        <x:f>K39+J40</x:f>
        <x:v>125000</x:v>
      </x:c>
      <x:c r="L40" s="46" t="n">
        <x:f>IF(C40="P0",1,IF(D40&lt;=3,0.8,IF(D40&lt;=14,0.65,IF(D40&lt;=45,0.5,0.3))))</x:f>
        <x:v>1</x:v>
      </x:c>
      <x:c r="M40" s="47" t="n">
        <x:f>J40*L40</x:f>
        <x:v>0</x:v>
      </x:c>
      <x:c r="N40" s="47" t="n">
        <x:f>N39+M40</x:f>
        <x:v>125000</x:v>
      </x:c>
      <x:c r="O40" s="46" t="n">
        <x:f>IF(C40="P0",0,IF(D40&lt;=3,0.15,IF(D40&lt;=14,0.25,IF(D40&lt;=45,0.35,0.5))))</x:f>
        <x:v>0</x:v>
      </x:c>
      <x:c r="P40" s="47" t="n">
        <x:f>J40*O40</x:f>
        <x:v>0</x:v>
      </x:c>
      <x:c r="Q40" s="46" t="n">
        <x:f>IF(C40="P0",0,IF(D40&lt;=3,0.05,IF(D40&lt;=14,0.1,IF(D40&lt;=45,0.15,0.2))))</x:f>
        <x:v>0</x:v>
      </x:c>
      <x:c r="R40" s="47" t="n">
        <x:f>J40*Q40</x:f>
        <x:v>0</x:v>
      </x:c>
      <x:c r="S40" s="20" t="str">
        <x:f>IF(D40&lt;E40,"closed",IF(D40&lt;'Paths'!$N$7,"initial","expanded"))</x:f>
        <x:v>expanded</x:v>
      </x:c>
      <x:c r="T40" s="72"/>
    </x:row>
    <x:row r="41">
      <x:c r="C41" s="20" t="str">
        <x:v>P0</x:v>
      </x:c>
      <x:c r="D41" s="20" t="n">
        <x:v>34</x:v>
      </x:c>
      <x:c r="E41" s="45" t="n">
        <x:f>IF('Controls'!$D$7="Reference",'Paths'!$J$7,'Paths'!$K$7)</x:f>
        <x:v>0</x:v>
      </x:c>
      <x:c r="F41" s="47" t="n">
        <x:f>IF(D41&lt;'Paths'!$N$7,IF('Controls'!$D$7="Reference",'Paths'!$L$7,'Paths'!$M$7),IF('Controls'!$D$7="Reference",'Paths'!$O$7,'Paths'!$P$7))</x:f>
        <x:v>0</x:v>
      </x:c>
      <x:c r="G41" s="46" t="n">
        <x:f>IF('Controls'!$D$7="Reference",1,IF(OR(D41=6,D41=7,D41=21,D41=46),'Paths'!$U$7,1))</x:f>
        <x:v>1</x:v>
      </x:c>
      <x:c r="H41" s="46" t="n">
        <x:f>IF('Controls'!$D$7="Reference",1,IF(OR(AND(D41&gt;=14,D41&lt;=16),AND(D41&gt;=34,D41&lt;=35),AND(D41&gt;=61,D41&lt;=63)),'Paths'!$V$7,1))</x:f>
        <x:v>1</x:v>
      </x:c>
      <x:c r="I41" s="46" t="n">
        <x:f>'Paths'!$W$7</x:f>
        <x:v>1</x:v>
      </x:c>
      <x:c r="J41" s="47" t="n">
        <x:f>IF(D41&lt;E41,0,MIN(F41*G41*H41*I41,IF('Paths'!$T$7&gt;0,MAX(0,'Paths'!$T$7-K40),1000000000)))</x:f>
        <x:v>0</x:v>
      </x:c>
      <x:c r="K41" s="47" t="n">
        <x:f>K40+J41</x:f>
        <x:v>125000</x:v>
      </x:c>
      <x:c r="L41" s="46" t="n">
        <x:f>IF(C41="P0",1,IF(D41&lt;=3,0.8,IF(D41&lt;=14,0.65,IF(D41&lt;=45,0.5,0.3))))</x:f>
        <x:v>1</x:v>
      </x:c>
      <x:c r="M41" s="47" t="n">
        <x:f>J41*L41</x:f>
        <x:v>0</x:v>
      </x:c>
      <x:c r="N41" s="47" t="n">
        <x:f>N40+M41</x:f>
        <x:v>125000</x:v>
      </x:c>
      <x:c r="O41" s="46" t="n">
        <x:f>IF(C41="P0",0,IF(D41&lt;=3,0.15,IF(D41&lt;=14,0.25,IF(D41&lt;=45,0.35,0.5))))</x:f>
        <x:v>0</x:v>
      </x:c>
      <x:c r="P41" s="47" t="n">
        <x:f>J41*O41</x:f>
        <x:v>0</x:v>
      </x:c>
      <x:c r="Q41" s="46" t="n">
        <x:f>IF(C41="P0",0,IF(D41&lt;=3,0.05,IF(D41&lt;=14,0.1,IF(D41&lt;=45,0.15,0.2))))</x:f>
        <x:v>0</x:v>
      </x:c>
      <x:c r="R41" s="47" t="n">
        <x:f>J41*Q41</x:f>
        <x:v>0</x:v>
      </x:c>
      <x:c r="S41" s="20" t="str">
        <x:f>IF(D41&lt;E41,"closed",IF(D41&lt;'Paths'!$N$7,"initial","expanded"))</x:f>
        <x:v>expanded</x:v>
      </x:c>
      <x:c r="T41" s="72"/>
    </x:row>
    <x:row r="42">
      <x:c r="C42" s="20" t="str">
        <x:v>P0</x:v>
      </x:c>
      <x:c r="D42" s="20" t="n">
        <x:v>35</x:v>
      </x:c>
      <x:c r="E42" s="45" t="n">
        <x:f>IF('Controls'!$D$7="Reference",'Paths'!$J$7,'Paths'!$K$7)</x:f>
        <x:v>0</x:v>
      </x:c>
      <x:c r="F42" s="47" t="n">
        <x:f>IF(D42&lt;'Paths'!$N$7,IF('Controls'!$D$7="Reference",'Paths'!$L$7,'Paths'!$M$7),IF('Controls'!$D$7="Reference",'Paths'!$O$7,'Paths'!$P$7))</x:f>
        <x:v>0</x:v>
      </x:c>
      <x:c r="G42" s="46" t="n">
        <x:f>IF('Controls'!$D$7="Reference",1,IF(OR(D42=6,D42=7,D42=21,D42=46),'Paths'!$U$7,1))</x:f>
        <x:v>1</x:v>
      </x:c>
      <x:c r="H42" s="46" t="n">
        <x:f>IF('Controls'!$D$7="Reference",1,IF(OR(AND(D42&gt;=14,D42&lt;=16),AND(D42&gt;=34,D42&lt;=35),AND(D42&gt;=61,D42&lt;=63)),'Paths'!$V$7,1))</x:f>
        <x:v>1</x:v>
      </x:c>
      <x:c r="I42" s="46" t="n">
        <x:f>'Paths'!$W$7</x:f>
        <x:v>1</x:v>
      </x:c>
      <x:c r="J42" s="47" t="n">
        <x:f>IF(D42&lt;E42,0,MIN(F42*G42*H42*I42,IF('Paths'!$T$7&gt;0,MAX(0,'Paths'!$T$7-K41),1000000000)))</x:f>
        <x:v>0</x:v>
      </x:c>
      <x:c r="K42" s="47" t="n">
        <x:f>K41+J42</x:f>
        <x:v>125000</x:v>
      </x:c>
      <x:c r="L42" s="46" t="n">
        <x:f>IF(C42="P0",1,IF(D42&lt;=3,0.8,IF(D42&lt;=14,0.65,IF(D42&lt;=45,0.5,0.3))))</x:f>
        <x:v>1</x:v>
      </x:c>
      <x:c r="M42" s="47" t="n">
        <x:f>J42*L42</x:f>
        <x:v>0</x:v>
      </x:c>
      <x:c r="N42" s="47" t="n">
        <x:f>N41+M42</x:f>
        <x:v>125000</x:v>
      </x:c>
      <x:c r="O42" s="46" t="n">
        <x:f>IF(C42="P0",0,IF(D42&lt;=3,0.15,IF(D42&lt;=14,0.25,IF(D42&lt;=45,0.35,0.5))))</x:f>
        <x:v>0</x:v>
      </x:c>
      <x:c r="P42" s="47" t="n">
        <x:f>J42*O42</x:f>
        <x:v>0</x:v>
      </x:c>
      <x:c r="Q42" s="46" t="n">
        <x:f>IF(C42="P0",0,IF(D42&lt;=3,0.05,IF(D42&lt;=14,0.1,IF(D42&lt;=45,0.15,0.2))))</x:f>
        <x:v>0</x:v>
      </x:c>
      <x:c r="R42" s="47" t="n">
        <x:f>J42*Q42</x:f>
        <x:v>0</x:v>
      </x:c>
      <x:c r="S42" s="20" t="str">
        <x:f>IF(D42&lt;E42,"closed",IF(D42&lt;'Paths'!$N$7,"initial","expanded"))</x:f>
        <x:v>expanded</x:v>
      </x:c>
      <x:c r="T42" s="72"/>
    </x:row>
    <x:row r="43">
      <x:c r="C43" s="20" t="str">
        <x:v>P0</x:v>
      </x:c>
      <x:c r="D43" s="20" t="n">
        <x:v>36</x:v>
      </x:c>
      <x:c r="E43" s="45" t="n">
        <x:f>IF('Controls'!$D$7="Reference",'Paths'!$J$7,'Paths'!$K$7)</x:f>
        <x:v>0</x:v>
      </x:c>
      <x:c r="F43" s="47" t="n">
        <x:f>IF(D43&lt;'Paths'!$N$7,IF('Controls'!$D$7="Reference",'Paths'!$L$7,'Paths'!$M$7),IF('Controls'!$D$7="Reference",'Paths'!$O$7,'Paths'!$P$7))</x:f>
        <x:v>0</x:v>
      </x:c>
      <x:c r="G43" s="46" t="n">
        <x:f>IF('Controls'!$D$7="Reference",1,IF(OR(D43=6,D43=7,D43=21,D43=46),'Paths'!$U$7,1))</x:f>
        <x:v>1</x:v>
      </x:c>
      <x:c r="H43" s="46" t="n">
        <x:f>IF('Controls'!$D$7="Reference",1,IF(OR(AND(D43&gt;=14,D43&lt;=16),AND(D43&gt;=34,D43&lt;=35),AND(D43&gt;=61,D43&lt;=63)),'Paths'!$V$7,1))</x:f>
        <x:v>1</x:v>
      </x:c>
      <x:c r="I43" s="46" t="n">
        <x:f>'Paths'!$W$7</x:f>
        <x:v>1</x:v>
      </x:c>
      <x:c r="J43" s="47" t="n">
        <x:f>IF(D43&lt;E43,0,MIN(F43*G43*H43*I43,IF('Paths'!$T$7&gt;0,MAX(0,'Paths'!$T$7-K42),1000000000)))</x:f>
        <x:v>0</x:v>
      </x:c>
      <x:c r="K43" s="47" t="n">
        <x:f>K42+J43</x:f>
        <x:v>125000</x:v>
      </x:c>
      <x:c r="L43" s="46" t="n">
        <x:f>IF(C43="P0",1,IF(D43&lt;=3,0.8,IF(D43&lt;=14,0.65,IF(D43&lt;=45,0.5,0.3))))</x:f>
        <x:v>1</x:v>
      </x:c>
      <x:c r="M43" s="47" t="n">
        <x:f>J43*L43</x:f>
        <x:v>0</x:v>
      </x:c>
      <x:c r="N43" s="47" t="n">
        <x:f>N42+M43</x:f>
        <x:v>125000</x:v>
      </x:c>
      <x:c r="O43" s="46" t="n">
        <x:f>IF(C43="P0",0,IF(D43&lt;=3,0.15,IF(D43&lt;=14,0.25,IF(D43&lt;=45,0.35,0.5))))</x:f>
        <x:v>0</x:v>
      </x:c>
      <x:c r="P43" s="47" t="n">
        <x:f>J43*O43</x:f>
        <x:v>0</x:v>
      </x:c>
      <x:c r="Q43" s="46" t="n">
        <x:f>IF(C43="P0",0,IF(D43&lt;=3,0.05,IF(D43&lt;=14,0.1,IF(D43&lt;=45,0.15,0.2))))</x:f>
        <x:v>0</x:v>
      </x:c>
      <x:c r="R43" s="47" t="n">
        <x:f>J43*Q43</x:f>
        <x:v>0</x:v>
      </x:c>
      <x:c r="S43" s="20" t="str">
        <x:f>IF(D43&lt;E43,"closed",IF(D43&lt;'Paths'!$N$7,"initial","expanded"))</x:f>
        <x:v>expanded</x:v>
      </x:c>
      <x:c r="T43" s="72"/>
    </x:row>
    <x:row r="44">
      <x:c r="C44" s="20" t="str">
        <x:v>P0</x:v>
      </x:c>
      <x:c r="D44" s="20" t="n">
        <x:v>37</x:v>
      </x:c>
      <x:c r="E44" s="45" t="n">
        <x:f>IF('Controls'!$D$7="Reference",'Paths'!$J$7,'Paths'!$K$7)</x:f>
        <x:v>0</x:v>
      </x:c>
      <x:c r="F44" s="47" t="n">
        <x:f>IF(D44&lt;'Paths'!$N$7,IF('Controls'!$D$7="Reference",'Paths'!$L$7,'Paths'!$M$7),IF('Controls'!$D$7="Reference",'Paths'!$O$7,'Paths'!$P$7))</x:f>
        <x:v>0</x:v>
      </x:c>
      <x:c r="G44" s="46" t="n">
        <x:f>IF('Controls'!$D$7="Reference",1,IF(OR(D44=6,D44=7,D44=21,D44=46),'Paths'!$U$7,1))</x:f>
        <x:v>1</x:v>
      </x:c>
      <x:c r="H44" s="46" t="n">
        <x:f>IF('Controls'!$D$7="Reference",1,IF(OR(AND(D44&gt;=14,D44&lt;=16),AND(D44&gt;=34,D44&lt;=35),AND(D44&gt;=61,D44&lt;=63)),'Paths'!$V$7,1))</x:f>
        <x:v>1</x:v>
      </x:c>
      <x:c r="I44" s="46" t="n">
        <x:f>'Paths'!$W$7</x:f>
        <x:v>1</x:v>
      </x:c>
      <x:c r="J44" s="47" t="n">
        <x:f>IF(D44&lt;E44,0,MIN(F44*G44*H44*I44,IF('Paths'!$T$7&gt;0,MAX(0,'Paths'!$T$7-K43),1000000000)))</x:f>
        <x:v>0</x:v>
      </x:c>
      <x:c r="K44" s="47" t="n">
        <x:f>K43+J44</x:f>
        <x:v>125000</x:v>
      </x:c>
      <x:c r="L44" s="46" t="n">
        <x:f>IF(C44="P0",1,IF(D44&lt;=3,0.8,IF(D44&lt;=14,0.65,IF(D44&lt;=45,0.5,0.3))))</x:f>
        <x:v>1</x:v>
      </x:c>
      <x:c r="M44" s="47" t="n">
        <x:f>J44*L44</x:f>
        <x:v>0</x:v>
      </x:c>
      <x:c r="N44" s="47" t="n">
        <x:f>N43+M44</x:f>
        <x:v>125000</x:v>
      </x:c>
      <x:c r="O44" s="46" t="n">
        <x:f>IF(C44="P0",0,IF(D44&lt;=3,0.15,IF(D44&lt;=14,0.25,IF(D44&lt;=45,0.35,0.5))))</x:f>
        <x:v>0</x:v>
      </x:c>
      <x:c r="P44" s="47" t="n">
        <x:f>J44*O44</x:f>
        <x:v>0</x:v>
      </x:c>
      <x:c r="Q44" s="46" t="n">
        <x:f>IF(C44="P0",0,IF(D44&lt;=3,0.05,IF(D44&lt;=14,0.1,IF(D44&lt;=45,0.15,0.2))))</x:f>
        <x:v>0</x:v>
      </x:c>
      <x:c r="R44" s="47" t="n">
        <x:f>J44*Q44</x:f>
        <x:v>0</x:v>
      </x:c>
      <x:c r="S44" s="20" t="str">
        <x:f>IF(D44&lt;E44,"closed",IF(D44&lt;'Paths'!$N$7,"initial","expanded"))</x:f>
        <x:v>expanded</x:v>
      </x:c>
      <x:c r="T44" s="72"/>
    </x:row>
    <x:row r="45">
      <x:c r="C45" s="20" t="str">
        <x:v>P0</x:v>
      </x:c>
      <x:c r="D45" s="20" t="n">
        <x:v>38</x:v>
      </x:c>
      <x:c r="E45" s="45" t="n">
        <x:f>IF('Controls'!$D$7="Reference",'Paths'!$J$7,'Paths'!$K$7)</x:f>
        <x:v>0</x:v>
      </x:c>
      <x:c r="F45" s="47" t="n">
        <x:f>IF(D45&lt;'Paths'!$N$7,IF('Controls'!$D$7="Reference",'Paths'!$L$7,'Paths'!$M$7),IF('Controls'!$D$7="Reference",'Paths'!$O$7,'Paths'!$P$7))</x:f>
        <x:v>0</x:v>
      </x:c>
      <x:c r="G45" s="46" t="n">
        <x:f>IF('Controls'!$D$7="Reference",1,IF(OR(D45=6,D45=7,D45=21,D45=46),'Paths'!$U$7,1))</x:f>
        <x:v>1</x:v>
      </x:c>
      <x:c r="H45" s="46" t="n">
        <x:f>IF('Controls'!$D$7="Reference",1,IF(OR(AND(D45&gt;=14,D45&lt;=16),AND(D45&gt;=34,D45&lt;=35),AND(D45&gt;=61,D45&lt;=63)),'Paths'!$V$7,1))</x:f>
        <x:v>1</x:v>
      </x:c>
      <x:c r="I45" s="46" t="n">
        <x:f>'Paths'!$W$7</x:f>
        <x:v>1</x:v>
      </x:c>
      <x:c r="J45" s="47" t="n">
        <x:f>IF(D45&lt;E45,0,MIN(F45*G45*H45*I45,IF('Paths'!$T$7&gt;0,MAX(0,'Paths'!$T$7-K44),1000000000)))</x:f>
        <x:v>0</x:v>
      </x:c>
      <x:c r="K45" s="47" t="n">
        <x:f>K44+J45</x:f>
        <x:v>125000</x:v>
      </x:c>
      <x:c r="L45" s="46" t="n">
        <x:f>IF(C45="P0",1,IF(D45&lt;=3,0.8,IF(D45&lt;=14,0.65,IF(D45&lt;=45,0.5,0.3))))</x:f>
        <x:v>1</x:v>
      </x:c>
      <x:c r="M45" s="47" t="n">
        <x:f>J45*L45</x:f>
        <x:v>0</x:v>
      </x:c>
      <x:c r="N45" s="47" t="n">
        <x:f>N44+M45</x:f>
        <x:v>125000</x:v>
      </x:c>
      <x:c r="O45" s="46" t="n">
        <x:f>IF(C45="P0",0,IF(D45&lt;=3,0.15,IF(D45&lt;=14,0.25,IF(D45&lt;=45,0.35,0.5))))</x:f>
        <x:v>0</x:v>
      </x:c>
      <x:c r="P45" s="47" t="n">
        <x:f>J45*O45</x:f>
        <x:v>0</x:v>
      </x:c>
      <x:c r="Q45" s="46" t="n">
        <x:f>IF(C45="P0",0,IF(D45&lt;=3,0.05,IF(D45&lt;=14,0.1,IF(D45&lt;=45,0.15,0.2))))</x:f>
        <x:v>0</x:v>
      </x:c>
      <x:c r="R45" s="47" t="n">
        <x:f>J45*Q45</x:f>
        <x:v>0</x:v>
      </x:c>
      <x:c r="S45" s="20" t="str">
        <x:f>IF(D45&lt;E45,"closed",IF(D45&lt;'Paths'!$N$7,"initial","expanded"))</x:f>
        <x:v>expanded</x:v>
      </x:c>
      <x:c r="T45" s="72"/>
    </x:row>
    <x:row r="46">
      <x:c r="C46" s="20" t="str">
        <x:v>P0</x:v>
      </x:c>
      <x:c r="D46" s="20" t="n">
        <x:v>39</x:v>
      </x:c>
      <x:c r="E46" s="45" t="n">
        <x:f>IF('Controls'!$D$7="Reference",'Paths'!$J$7,'Paths'!$K$7)</x:f>
        <x:v>0</x:v>
      </x:c>
      <x:c r="F46" s="47" t="n">
        <x:f>IF(D46&lt;'Paths'!$N$7,IF('Controls'!$D$7="Reference",'Paths'!$L$7,'Paths'!$M$7),IF('Controls'!$D$7="Reference",'Paths'!$O$7,'Paths'!$P$7))</x:f>
        <x:v>0</x:v>
      </x:c>
      <x:c r="G46" s="46" t="n">
        <x:f>IF('Controls'!$D$7="Reference",1,IF(OR(D46=6,D46=7,D46=21,D46=46),'Paths'!$U$7,1))</x:f>
        <x:v>1</x:v>
      </x:c>
      <x:c r="H46" s="46" t="n">
        <x:f>IF('Controls'!$D$7="Reference",1,IF(OR(AND(D46&gt;=14,D46&lt;=16),AND(D46&gt;=34,D46&lt;=35),AND(D46&gt;=61,D46&lt;=63)),'Paths'!$V$7,1))</x:f>
        <x:v>1</x:v>
      </x:c>
      <x:c r="I46" s="46" t="n">
        <x:f>'Paths'!$W$7</x:f>
        <x:v>1</x:v>
      </x:c>
      <x:c r="J46" s="47" t="n">
        <x:f>IF(D46&lt;E46,0,MIN(F46*G46*H46*I46,IF('Paths'!$T$7&gt;0,MAX(0,'Paths'!$T$7-K45),1000000000)))</x:f>
        <x:v>0</x:v>
      </x:c>
      <x:c r="K46" s="47" t="n">
        <x:f>K45+J46</x:f>
        <x:v>125000</x:v>
      </x:c>
      <x:c r="L46" s="46" t="n">
        <x:f>IF(C46="P0",1,IF(D46&lt;=3,0.8,IF(D46&lt;=14,0.65,IF(D46&lt;=45,0.5,0.3))))</x:f>
        <x:v>1</x:v>
      </x:c>
      <x:c r="M46" s="47" t="n">
        <x:f>J46*L46</x:f>
        <x:v>0</x:v>
      </x:c>
      <x:c r="N46" s="47" t="n">
        <x:f>N45+M46</x:f>
        <x:v>125000</x:v>
      </x:c>
      <x:c r="O46" s="46" t="n">
        <x:f>IF(C46="P0",0,IF(D46&lt;=3,0.15,IF(D46&lt;=14,0.25,IF(D46&lt;=45,0.35,0.5))))</x:f>
        <x:v>0</x:v>
      </x:c>
      <x:c r="P46" s="47" t="n">
        <x:f>J46*O46</x:f>
        <x:v>0</x:v>
      </x:c>
      <x:c r="Q46" s="46" t="n">
        <x:f>IF(C46="P0",0,IF(D46&lt;=3,0.05,IF(D46&lt;=14,0.1,IF(D46&lt;=45,0.15,0.2))))</x:f>
        <x:v>0</x:v>
      </x:c>
      <x:c r="R46" s="47" t="n">
        <x:f>J46*Q46</x:f>
        <x:v>0</x:v>
      </x:c>
      <x:c r="S46" s="20" t="str">
        <x:f>IF(D46&lt;E46,"closed",IF(D46&lt;'Paths'!$N$7,"initial","expanded"))</x:f>
        <x:v>expanded</x:v>
      </x:c>
      <x:c r="T46" s="72"/>
    </x:row>
    <x:row r="47">
      <x:c r="C47" s="20" t="str">
        <x:v>P0</x:v>
      </x:c>
      <x:c r="D47" s="20" t="n">
        <x:v>40</x:v>
      </x:c>
      <x:c r="E47" s="45" t="n">
        <x:f>IF('Controls'!$D$7="Reference",'Paths'!$J$7,'Paths'!$K$7)</x:f>
        <x:v>0</x:v>
      </x:c>
      <x:c r="F47" s="47" t="n">
        <x:f>IF(D47&lt;'Paths'!$N$7,IF('Controls'!$D$7="Reference",'Paths'!$L$7,'Paths'!$M$7),IF('Controls'!$D$7="Reference",'Paths'!$O$7,'Paths'!$P$7))</x:f>
        <x:v>0</x:v>
      </x:c>
      <x:c r="G47" s="46" t="n">
        <x:f>IF('Controls'!$D$7="Reference",1,IF(OR(D47=6,D47=7,D47=21,D47=46),'Paths'!$U$7,1))</x:f>
        <x:v>1</x:v>
      </x:c>
      <x:c r="H47" s="46" t="n">
        <x:f>IF('Controls'!$D$7="Reference",1,IF(OR(AND(D47&gt;=14,D47&lt;=16),AND(D47&gt;=34,D47&lt;=35),AND(D47&gt;=61,D47&lt;=63)),'Paths'!$V$7,1))</x:f>
        <x:v>1</x:v>
      </x:c>
      <x:c r="I47" s="46" t="n">
        <x:f>'Paths'!$W$7</x:f>
        <x:v>1</x:v>
      </x:c>
      <x:c r="J47" s="47" t="n">
        <x:f>IF(D47&lt;E47,0,MIN(F47*G47*H47*I47,IF('Paths'!$T$7&gt;0,MAX(0,'Paths'!$T$7-K46),1000000000)))</x:f>
        <x:v>0</x:v>
      </x:c>
      <x:c r="K47" s="47" t="n">
        <x:f>K46+J47</x:f>
        <x:v>125000</x:v>
      </x:c>
      <x:c r="L47" s="46" t="n">
        <x:f>IF(C47="P0",1,IF(D47&lt;=3,0.8,IF(D47&lt;=14,0.65,IF(D47&lt;=45,0.5,0.3))))</x:f>
        <x:v>1</x:v>
      </x:c>
      <x:c r="M47" s="47" t="n">
        <x:f>J47*L47</x:f>
        <x:v>0</x:v>
      </x:c>
      <x:c r="N47" s="47" t="n">
        <x:f>N46+M47</x:f>
        <x:v>125000</x:v>
      </x:c>
      <x:c r="O47" s="46" t="n">
        <x:f>IF(C47="P0",0,IF(D47&lt;=3,0.15,IF(D47&lt;=14,0.25,IF(D47&lt;=45,0.35,0.5))))</x:f>
        <x:v>0</x:v>
      </x:c>
      <x:c r="P47" s="47" t="n">
        <x:f>J47*O47</x:f>
        <x:v>0</x:v>
      </x:c>
      <x:c r="Q47" s="46" t="n">
        <x:f>IF(C47="P0",0,IF(D47&lt;=3,0.05,IF(D47&lt;=14,0.1,IF(D47&lt;=45,0.15,0.2))))</x:f>
        <x:v>0</x:v>
      </x:c>
      <x:c r="R47" s="47" t="n">
        <x:f>J47*Q47</x:f>
        <x:v>0</x:v>
      </x:c>
      <x:c r="S47" s="20" t="str">
        <x:f>IF(D47&lt;E47,"closed",IF(D47&lt;'Paths'!$N$7,"initial","expanded"))</x:f>
        <x:v>expanded</x:v>
      </x:c>
      <x:c r="T47" s="72"/>
    </x:row>
    <x:row r="48">
      <x:c r="C48" s="20" t="str">
        <x:v>P0</x:v>
      </x:c>
      <x:c r="D48" s="20" t="n">
        <x:v>41</x:v>
      </x:c>
      <x:c r="E48" s="45" t="n">
        <x:f>IF('Controls'!$D$7="Reference",'Paths'!$J$7,'Paths'!$K$7)</x:f>
        <x:v>0</x:v>
      </x:c>
      <x:c r="F48" s="47" t="n">
        <x:f>IF(D48&lt;'Paths'!$N$7,IF('Controls'!$D$7="Reference",'Paths'!$L$7,'Paths'!$M$7),IF('Controls'!$D$7="Reference",'Paths'!$O$7,'Paths'!$P$7))</x:f>
        <x:v>0</x:v>
      </x:c>
      <x:c r="G48" s="46" t="n">
        <x:f>IF('Controls'!$D$7="Reference",1,IF(OR(D48=6,D48=7,D48=21,D48=46),'Paths'!$U$7,1))</x:f>
        <x:v>1</x:v>
      </x:c>
      <x:c r="H48" s="46" t="n">
        <x:f>IF('Controls'!$D$7="Reference",1,IF(OR(AND(D48&gt;=14,D48&lt;=16),AND(D48&gt;=34,D48&lt;=35),AND(D48&gt;=61,D48&lt;=63)),'Paths'!$V$7,1))</x:f>
        <x:v>1</x:v>
      </x:c>
      <x:c r="I48" s="46" t="n">
        <x:f>'Paths'!$W$7</x:f>
        <x:v>1</x:v>
      </x:c>
      <x:c r="J48" s="47" t="n">
        <x:f>IF(D48&lt;E48,0,MIN(F48*G48*H48*I48,IF('Paths'!$T$7&gt;0,MAX(0,'Paths'!$T$7-K47),1000000000)))</x:f>
        <x:v>0</x:v>
      </x:c>
      <x:c r="K48" s="47" t="n">
        <x:f>K47+J48</x:f>
        <x:v>125000</x:v>
      </x:c>
      <x:c r="L48" s="46" t="n">
        <x:f>IF(C48="P0",1,IF(D48&lt;=3,0.8,IF(D48&lt;=14,0.65,IF(D48&lt;=45,0.5,0.3))))</x:f>
        <x:v>1</x:v>
      </x:c>
      <x:c r="M48" s="47" t="n">
        <x:f>J48*L48</x:f>
        <x:v>0</x:v>
      </x:c>
      <x:c r="N48" s="47" t="n">
        <x:f>N47+M48</x:f>
        <x:v>125000</x:v>
      </x:c>
      <x:c r="O48" s="46" t="n">
        <x:f>IF(C48="P0",0,IF(D48&lt;=3,0.15,IF(D48&lt;=14,0.25,IF(D48&lt;=45,0.35,0.5))))</x:f>
        <x:v>0</x:v>
      </x:c>
      <x:c r="P48" s="47" t="n">
        <x:f>J48*O48</x:f>
        <x:v>0</x:v>
      </x:c>
      <x:c r="Q48" s="46" t="n">
        <x:f>IF(C48="P0",0,IF(D48&lt;=3,0.05,IF(D48&lt;=14,0.1,IF(D48&lt;=45,0.15,0.2))))</x:f>
        <x:v>0</x:v>
      </x:c>
      <x:c r="R48" s="47" t="n">
        <x:f>J48*Q48</x:f>
        <x:v>0</x:v>
      </x:c>
      <x:c r="S48" s="20" t="str">
        <x:f>IF(D48&lt;E48,"closed",IF(D48&lt;'Paths'!$N$7,"initial","expanded"))</x:f>
        <x:v>expanded</x:v>
      </x:c>
      <x:c r="T48" s="72"/>
    </x:row>
    <x:row r="49">
      <x:c r="C49" s="20" t="str">
        <x:v>P0</x:v>
      </x:c>
      <x:c r="D49" s="20" t="n">
        <x:v>42</x:v>
      </x:c>
      <x:c r="E49" s="45" t="n">
        <x:f>IF('Controls'!$D$7="Reference",'Paths'!$J$7,'Paths'!$K$7)</x:f>
        <x:v>0</x:v>
      </x:c>
      <x:c r="F49" s="47" t="n">
        <x:f>IF(D49&lt;'Paths'!$N$7,IF('Controls'!$D$7="Reference",'Paths'!$L$7,'Paths'!$M$7),IF('Controls'!$D$7="Reference",'Paths'!$O$7,'Paths'!$P$7))</x:f>
        <x:v>0</x:v>
      </x:c>
      <x:c r="G49" s="46" t="n">
        <x:f>IF('Controls'!$D$7="Reference",1,IF(OR(D49=6,D49=7,D49=21,D49=46),'Paths'!$U$7,1))</x:f>
        <x:v>1</x:v>
      </x:c>
      <x:c r="H49" s="46" t="n">
        <x:f>IF('Controls'!$D$7="Reference",1,IF(OR(AND(D49&gt;=14,D49&lt;=16),AND(D49&gt;=34,D49&lt;=35),AND(D49&gt;=61,D49&lt;=63)),'Paths'!$V$7,1))</x:f>
        <x:v>1</x:v>
      </x:c>
      <x:c r="I49" s="46" t="n">
        <x:f>'Paths'!$W$7</x:f>
        <x:v>1</x:v>
      </x:c>
      <x:c r="J49" s="47" t="n">
        <x:f>IF(D49&lt;E49,0,MIN(F49*G49*H49*I49,IF('Paths'!$T$7&gt;0,MAX(0,'Paths'!$T$7-K48),1000000000)))</x:f>
        <x:v>0</x:v>
      </x:c>
      <x:c r="K49" s="47" t="n">
        <x:f>K48+J49</x:f>
        <x:v>125000</x:v>
      </x:c>
      <x:c r="L49" s="46" t="n">
        <x:f>IF(C49="P0",1,IF(D49&lt;=3,0.8,IF(D49&lt;=14,0.65,IF(D49&lt;=45,0.5,0.3))))</x:f>
        <x:v>1</x:v>
      </x:c>
      <x:c r="M49" s="47" t="n">
        <x:f>J49*L49</x:f>
        <x:v>0</x:v>
      </x:c>
      <x:c r="N49" s="47" t="n">
        <x:f>N48+M49</x:f>
        <x:v>125000</x:v>
      </x:c>
      <x:c r="O49" s="46" t="n">
        <x:f>IF(C49="P0",0,IF(D49&lt;=3,0.15,IF(D49&lt;=14,0.25,IF(D49&lt;=45,0.35,0.5))))</x:f>
        <x:v>0</x:v>
      </x:c>
      <x:c r="P49" s="47" t="n">
        <x:f>J49*O49</x:f>
        <x:v>0</x:v>
      </x:c>
      <x:c r="Q49" s="46" t="n">
        <x:f>IF(C49="P0",0,IF(D49&lt;=3,0.05,IF(D49&lt;=14,0.1,IF(D49&lt;=45,0.15,0.2))))</x:f>
        <x:v>0</x:v>
      </x:c>
      <x:c r="R49" s="47" t="n">
        <x:f>J49*Q49</x:f>
        <x:v>0</x:v>
      </x:c>
      <x:c r="S49" s="20" t="str">
        <x:f>IF(D49&lt;E49,"closed",IF(D49&lt;'Paths'!$N$7,"initial","expanded"))</x:f>
        <x:v>expanded</x:v>
      </x:c>
      <x:c r="T49" s="72"/>
    </x:row>
    <x:row r="50">
      <x:c r="C50" s="20" t="str">
        <x:v>P0</x:v>
      </x:c>
      <x:c r="D50" s="20" t="n">
        <x:v>43</x:v>
      </x:c>
      <x:c r="E50" s="45" t="n">
        <x:f>IF('Controls'!$D$7="Reference",'Paths'!$J$7,'Paths'!$K$7)</x:f>
        <x:v>0</x:v>
      </x:c>
      <x:c r="F50" s="47" t="n">
        <x:f>IF(D50&lt;'Paths'!$N$7,IF('Controls'!$D$7="Reference",'Paths'!$L$7,'Paths'!$M$7),IF('Controls'!$D$7="Reference",'Paths'!$O$7,'Paths'!$P$7))</x:f>
        <x:v>0</x:v>
      </x:c>
      <x:c r="G50" s="46" t="n">
        <x:f>IF('Controls'!$D$7="Reference",1,IF(OR(D50=6,D50=7,D50=21,D50=46),'Paths'!$U$7,1))</x:f>
        <x:v>1</x:v>
      </x:c>
      <x:c r="H50" s="46" t="n">
        <x:f>IF('Controls'!$D$7="Reference",1,IF(OR(AND(D50&gt;=14,D50&lt;=16),AND(D50&gt;=34,D50&lt;=35),AND(D50&gt;=61,D50&lt;=63)),'Paths'!$V$7,1))</x:f>
        <x:v>1</x:v>
      </x:c>
      <x:c r="I50" s="46" t="n">
        <x:f>'Paths'!$W$7</x:f>
        <x:v>1</x:v>
      </x:c>
      <x:c r="J50" s="47" t="n">
        <x:f>IF(D50&lt;E50,0,MIN(F50*G50*H50*I50,IF('Paths'!$T$7&gt;0,MAX(0,'Paths'!$T$7-K49),1000000000)))</x:f>
        <x:v>0</x:v>
      </x:c>
      <x:c r="K50" s="47" t="n">
        <x:f>K49+J50</x:f>
        <x:v>125000</x:v>
      </x:c>
      <x:c r="L50" s="46" t="n">
        <x:f>IF(C50="P0",1,IF(D50&lt;=3,0.8,IF(D50&lt;=14,0.65,IF(D50&lt;=45,0.5,0.3))))</x:f>
        <x:v>1</x:v>
      </x:c>
      <x:c r="M50" s="47" t="n">
        <x:f>J50*L50</x:f>
        <x:v>0</x:v>
      </x:c>
      <x:c r="N50" s="47" t="n">
        <x:f>N49+M50</x:f>
        <x:v>125000</x:v>
      </x:c>
      <x:c r="O50" s="46" t="n">
        <x:f>IF(C50="P0",0,IF(D50&lt;=3,0.15,IF(D50&lt;=14,0.25,IF(D50&lt;=45,0.35,0.5))))</x:f>
        <x:v>0</x:v>
      </x:c>
      <x:c r="P50" s="47" t="n">
        <x:f>J50*O50</x:f>
        <x:v>0</x:v>
      </x:c>
      <x:c r="Q50" s="46" t="n">
        <x:f>IF(C50="P0",0,IF(D50&lt;=3,0.05,IF(D50&lt;=14,0.1,IF(D50&lt;=45,0.15,0.2))))</x:f>
        <x:v>0</x:v>
      </x:c>
      <x:c r="R50" s="47" t="n">
        <x:f>J50*Q50</x:f>
        <x:v>0</x:v>
      </x:c>
      <x:c r="S50" s="20" t="str">
        <x:f>IF(D50&lt;E50,"closed",IF(D50&lt;'Paths'!$N$7,"initial","expanded"))</x:f>
        <x:v>expanded</x:v>
      </x:c>
      <x:c r="T50" s="72"/>
    </x:row>
    <x:row r="51">
      <x:c r="C51" s="20" t="str">
        <x:v>P0</x:v>
      </x:c>
      <x:c r="D51" s="20" t="n">
        <x:v>44</x:v>
      </x:c>
      <x:c r="E51" s="45" t="n">
        <x:f>IF('Controls'!$D$7="Reference",'Paths'!$J$7,'Paths'!$K$7)</x:f>
        <x:v>0</x:v>
      </x:c>
      <x:c r="F51" s="47" t="n">
        <x:f>IF(D51&lt;'Paths'!$N$7,IF('Controls'!$D$7="Reference",'Paths'!$L$7,'Paths'!$M$7),IF('Controls'!$D$7="Reference",'Paths'!$O$7,'Paths'!$P$7))</x:f>
        <x:v>0</x:v>
      </x:c>
      <x:c r="G51" s="46" t="n">
        <x:f>IF('Controls'!$D$7="Reference",1,IF(OR(D51=6,D51=7,D51=21,D51=46),'Paths'!$U$7,1))</x:f>
        <x:v>1</x:v>
      </x:c>
      <x:c r="H51" s="46" t="n">
        <x:f>IF('Controls'!$D$7="Reference",1,IF(OR(AND(D51&gt;=14,D51&lt;=16),AND(D51&gt;=34,D51&lt;=35),AND(D51&gt;=61,D51&lt;=63)),'Paths'!$V$7,1))</x:f>
        <x:v>1</x:v>
      </x:c>
      <x:c r="I51" s="46" t="n">
        <x:f>'Paths'!$W$7</x:f>
        <x:v>1</x:v>
      </x:c>
      <x:c r="J51" s="47" t="n">
        <x:f>IF(D51&lt;E51,0,MIN(F51*G51*H51*I51,IF('Paths'!$T$7&gt;0,MAX(0,'Paths'!$T$7-K50),1000000000)))</x:f>
        <x:v>0</x:v>
      </x:c>
      <x:c r="K51" s="47" t="n">
        <x:f>K50+J51</x:f>
        <x:v>125000</x:v>
      </x:c>
      <x:c r="L51" s="46" t="n">
        <x:f>IF(C51="P0",1,IF(D51&lt;=3,0.8,IF(D51&lt;=14,0.65,IF(D51&lt;=45,0.5,0.3))))</x:f>
        <x:v>1</x:v>
      </x:c>
      <x:c r="M51" s="47" t="n">
        <x:f>J51*L51</x:f>
        <x:v>0</x:v>
      </x:c>
      <x:c r="N51" s="47" t="n">
        <x:f>N50+M51</x:f>
        <x:v>125000</x:v>
      </x:c>
      <x:c r="O51" s="46" t="n">
        <x:f>IF(C51="P0",0,IF(D51&lt;=3,0.15,IF(D51&lt;=14,0.25,IF(D51&lt;=45,0.35,0.5))))</x:f>
        <x:v>0</x:v>
      </x:c>
      <x:c r="P51" s="47" t="n">
        <x:f>J51*O51</x:f>
        <x:v>0</x:v>
      </x:c>
      <x:c r="Q51" s="46" t="n">
        <x:f>IF(C51="P0",0,IF(D51&lt;=3,0.05,IF(D51&lt;=14,0.1,IF(D51&lt;=45,0.15,0.2))))</x:f>
        <x:v>0</x:v>
      </x:c>
      <x:c r="R51" s="47" t="n">
        <x:f>J51*Q51</x:f>
        <x:v>0</x:v>
      </x:c>
      <x:c r="S51" s="20" t="str">
        <x:f>IF(D51&lt;E51,"closed",IF(D51&lt;'Paths'!$N$7,"initial","expanded"))</x:f>
        <x:v>expanded</x:v>
      </x:c>
      <x:c r="T51" s="72"/>
    </x:row>
    <x:row r="52">
      <x:c r="C52" s="20" t="str">
        <x:v>P0</x:v>
      </x:c>
      <x:c r="D52" s="20" t="n">
        <x:v>45</x:v>
      </x:c>
      <x:c r="E52" s="45" t="n">
        <x:f>IF('Controls'!$D$7="Reference",'Paths'!$J$7,'Paths'!$K$7)</x:f>
        <x:v>0</x:v>
      </x:c>
      <x:c r="F52" s="47" t="n">
        <x:f>IF(D52&lt;'Paths'!$N$7,IF('Controls'!$D$7="Reference",'Paths'!$L$7,'Paths'!$M$7),IF('Controls'!$D$7="Reference",'Paths'!$O$7,'Paths'!$P$7))</x:f>
        <x:v>0</x:v>
      </x:c>
      <x:c r="G52" s="46" t="n">
        <x:f>IF('Controls'!$D$7="Reference",1,IF(OR(D52=6,D52=7,D52=21,D52=46),'Paths'!$U$7,1))</x:f>
        <x:v>1</x:v>
      </x:c>
      <x:c r="H52" s="46" t="n">
        <x:f>IF('Controls'!$D$7="Reference",1,IF(OR(AND(D52&gt;=14,D52&lt;=16),AND(D52&gt;=34,D52&lt;=35),AND(D52&gt;=61,D52&lt;=63)),'Paths'!$V$7,1))</x:f>
        <x:v>1</x:v>
      </x:c>
      <x:c r="I52" s="46" t="n">
        <x:f>'Paths'!$W$7</x:f>
        <x:v>1</x:v>
      </x:c>
      <x:c r="J52" s="47" t="n">
        <x:f>IF(D52&lt;E52,0,MIN(F52*G52*H52*I52,IF('Paths'!$T$7&gt;0,MAX(0,'Paths'!$T$7-K51),1000000000)))</x:f>
        <x:v>0</x:v>
      </x:c>
      <x:c r="K52" s="47" t="n">
        <x:f>K51+J52</x:f>
        <x:v>125000</x:v>
      </x:c>
      <x:c r="L52" s="46" t="n">
        <x:f>IF(C52="P0",1,IF(D52&lt;=3,0.8,IF(D52&lt;=14,0.65,IF(D52&lt;=45,0.5,0.3))))</x:f>
        <x:v>1</x:v>
      </x:c>
      <x:c r="M52" s="47" t="n">
        <x:f>J52*L52</x:f>
        <x:v>0</x:v>
      </x:c>
      <x:c r="N52" s="47" t="n">
        <x:f>N51+M52</x:f>
        <x:v>125000</x:v>
      </x:c>
      <x:c r="O52" s="46" t="n">
        <x:f>IF(C52="P0",0,IF(D52&lt;=3,0.15,IF(D52&lt;=14,0.25,IF(D52&lt;=45,0.35,0.5))))</x:f>
        <x:v>0</x:v>
      </x:c>
      <x:c r="P52" s="47" t="n">
        <x:f>J52*O52</x:f>
        <x:v>0</x:v>
      </x:c>
      <x:c r="Q52" s="46" t="n">
        <x:f>IF(C52="P0",0,IF(D52&lt;=3,0.05,IF(D52&lt;=14,0.1,IF(D52&lt;=45,0.15,0.2))))</x:f>
        <x:v>0</x:v>
      </x:c>
      <x:c r="R52" s="47" t="n">
        <x:f>J52*Q52</x:f>
        <x:v>0</x:v>
      </x:c>
      <x:c r="S52" s="20" t="str">
        <x:f>IF(D52&lt;E52,"closed",IF(D52&lt;'Paths'!$N$7,"initial","expanded"))</x:f>
        <x:v>expanded</x:v>
      </x:c>
      <x:c r="T52" s="72"/>
    </x:row>
    <x:row r="53">
      <x:c r="C53" s="20" t="str">
        <x:v>P0</x:v>
      </x:c>
      <x:c r="D53" s="20" t="n">
        <x:v>46</x:v>
      </x:c>
      <x:c r="E53" s="45" t="n">
        <x:f>IF('Controls'!$D$7="Reference",'Paths'!$J$7,'Paths'!$K$7)</x:f>
        <x:v>0</x:v>
      </x:c>
      <x:c r="F53" s="47" t="n">
        <x:f>IF(D53&lt;'Paths'!$N$7,IF('Controls'!$D$7="Reference",'Paths'!$L$7,'Paths'!$M$7),IF('Controls'!$D$7="Reference",'Paths'!$O$7,'Paths'!$P$7))</x:f>
        <x:v>0</x:v>
      </x:c>
      <x:c r="G53" s="46" t="n">
        <x:f>IF('Controls'!$D$7="Reference",1,IF(OR(D53=6,D53=7,D53=21,D53=46),'Paths'!$U$7,1))</x:f>
        <x:v>1</x:v>
      </x:c>
      <x:c r="H53" s="46" t="n">
        <x:f>IF('Controls'!$D$7="Reference",1,IF(OR(AND(D53&gt;=14,D53&lt;=16),AND(D53&gt;=34,D53&lt;=35),AND(D53&gt;=61,D53&lt;=63)),'Paths'!$V$7,1))</x:f>
        <x:v>1</x:v>
      </x:c>
      <x:c r="I53" s="46" t="n">
        <x:f>'Paths'!$W$7</x:f>
        <x:v>1</x:v>
      </x:c>
      <x:c r="J53" s="47" t="n">
        <x:f>IF(D53&lt;E53,0,MIN(F53*G53*H53*I53,IF('Paths'!$T$7&gt;0,MAX(0,'Paths'!$T$7-K52),1000000000)))</x:f>
        <x:v>0</x:v>
      </x:c>
      <x:c r="K53" s="47" t="n">
        <x:f>K52+J53</x:f>
        <x:v>125000</x:v>
      </x:c>
      <x:c r="L53" s="46" t="n">
        <x:f>IF(C53="P0",1,IF(D53&lt;=3,0.8,IF(D53&lt;=14,0.65,IF(D53&lt;=45,0.5,0.3))))</x:f>
        <x:v>1</x:v>
      </x:c>
      <x:c r="M53" s="47" t="n">
        <x:f>J53*L53</x:f>
        <x:v>0</x:v>
      </x:c>
      <x:c r="N53" s="47" t="n">
        <x:f>N52+M53</x:f>
        <x:v>125000</x:v>
      </x:c>
      <x:c r="O53" s="46" t="n">
        <x:f>IF(C53="P0",0,IF(D53&lt;=3,0.15,IF(D53&lt;=14,0.25,IF(D53&lt;=45,0.35,0.5))))</x:f>
        <x:v>0</x:v>
      </x:c>
      <x:c r="P53" s="47" t="n">
        <x:f>J53*O53</x:f>
        <x:v>0</x:v>
      </x:c>
      <x:c r="Q53" s="46" t="n">
        <x:f>IF(C53="P0",0,IF(D53&lt;=3,0.05,IF(D53&lt;=14,0.1,IF(D53&lt;=45,0.15,0.2))))</x:f>
        <x:v>0</x:v>
      </x:c>
      <x:c r="R53" s="47" t="n">
        <x:f>J53*Q53</x:f>
        <x:v>0</x:v>
      </x:c>
      <x:c r="S53" s="20" t="str">
        <x:f>IF(D53&lt;E53,"closed",IF(D53&lt;'Paths'!$N$7,"initial","expanded"))</x:f>
        <x:v>expanded</x:v>
      </x:c>
      <x:c r="T53" s="72"/>
    </x:row>
    <x:row r="54">
      <x:c r="C54" s="20" t="str">
        <x:v>P0</x:v>
      </x:c>
      <x:c r="D54" s="20" t="n">
        <x:v>47</x:v>
      </x:c>
      <x:c r="E54" s="45" t="n">
        <x:f>IF('Controls'!$D$7="Reference",'Paths'!$J$7,'Paths'!$K$7)</x:f>
        <x:v>0</x:v>
      </x:c>
      <x:c r="F54" s="47" t="n">
        <x:f>IF(D54&lt;'Paths'!$N$7,IF('Controls'!$D$7="Reference",'Paths'!$L$7,'Paths'!$M$7),IF('Controls'!$D$7="Reference",'Paths'!$O$7,'Paths'!$P$7))</x:f>
        <x:v>0</x:v>
      </x:c>
      <x:c r="G54" s="46" t="n">
        <x:f>IF('Controls'!$D$7="Reference",1,IF(OR(D54=6,D54=7,D54=21,D54=46),'Paths'!$U$7,1))</x:f>
        <x:v>1</x:v>
      </x:c>
      <x:c r="H54" s="46" t="n">
        <x:f>IF('Controls'!$D$7="Reference",1,IF(OR(AND(D54&gt;=14,D54&lt;=16),AND(D54&gt;=34,D54&lt;=35),AND(D54&gt;=61,D54&lt;=63)),'Paths'!$V$7,1))</x:f>
        <x:v>1</x:v>
      </x:c>
      <x:c r="I54" s="46" t="n">
        <x:f>'Paths'!$W$7</x:f>
        <x:v>1</x:v>
      </x:c>
      <x:c r="J54" s="47" t="n">
        <x:f>IF(D54&lt;E54,0,MIN(F54*G54*H54*I54,IF('Paths'!$T$7&gt;0,MAX(0,'Paths'!$T$7-K53),1000000000)))</x:f>
        <x:v>0</x:v>
      </x:c>
      <x:c r="K54" s="47" t="n">
        <x:f>K53+J54</x:f>
        <x:v>125000</x:v>
      </x:c>
      <x:c r="L54" s="46" t="n">
        <x:f>IF(C54="P0",1,IF(D54&lt;=3,0.8,IF(D54&lt;=14,0.65,IF(D54&lt;=45,0.5,0.3))))</x:f>
        <x:v>1</x:v>
      </x:c>
      <x:c r="M54" s="47" t="n">
        <x:f>J54*L54</x:f>
        <x:v>0</x:v>
      </x:c>
      <x:c r="N54" s="47" t="n">
        <x:f>N53+M54</x:f>
        <x:v>125000</x:v>
      </x:c>
      <x:c r="O54" s="46" t="n">
        <x:f>IF(C54="P0",0,IF(D54&lt;=3,0.15,IF(D54&lt;=14,0.25,IF(D54&lt;=45,0.35,0.5))))</x:f>
        <x:v>0</x:v>
      </x:c>
      <x:c r="P54" s="47" t="n">
        <x:f>J54*O54</x:f>
        <x:v>0</x:v>
      </x:c>
      <x:c r="Q54" s="46" t="n">
        <x:f>IF(C54="P0",0,IF(D54&lt;=3,0.05,IF(D54&lt;=14,0.1,IF(D54&lt;=45,0.15,0.2))))</x:f>
        <x:v>0</x:v>
      </x:c>
      <x:c r="R54" s="47" t="n">
        <x:f>J54*Q54</x:f>
        <x:v>0</x:v>
      </x:c>
      <x:c r="S54" s="20" t="str">
        <x:f>IF(D54&lt;E54,"closed",IF(D54&lt;'Paths'!$N$7,"initial","expanded"))</x:f>
        <x:v>expanded</x:v>
      </x:c>
      <x:c r="T54" s="72"/>
    </x:row>
    <x:row r="55">
      <x:c r="C55" s="20" t="str">
        <x:v>P0</x:v>
      </x:c>
      <x:c r="D55" s="20" t="n">
        <x:v>48</x:v>
      </x:c>
      <x:c r="E55" s="45" t="n">
        <x:f>IF('Controls'!$D$7="Reference",'Paths'!$J$7,'Paths'!$K$7)</x:f>
        <x:v>0</x:v>
      </x:c>
      <x:c r="F55" s="47" t="n">
        <x:f>IF(D55&lt;'Paths'!$N$7,IF('Controls'!$D$7="Reference",'Paths'!$L$7,'Paths'!$M$7),IF('Controls'!$D$7="Reference",'Paths'!$O$7,'Paths'!$P$7))</x:f>
        <x:v>0</x:v>
      </x:c>
      <x:c r="G55" s="46" t="n">
        <x:f>IF('Controls'!$D$7="Reference",1,IF(OR(D55=6,D55=7,D55=21,D55=46),'Paths'!$U$7,1))</x:f>
        <x:v>1</x:v>
      </x:c>
      <x:c r="H55" s="46" t="n">
        <x:f>IF('Controls'!$D$7="Reference",1,IF(OR(AND(D55&gt;=14,D55&lt;=16),AND(D55&gt;=34,D55&lt;=35),AND(D55&gt;=61,D55&lt;=63)),'Paths'!$V$7,1))</x:f>
        <x:v>1</x:v>
      </x:c>
      <x:c r="I55" s="46" t="n">
        <x:f>'Paths'!$W$7</x:f>
        <x:v>1</x:v>
      </x:c>
      <x:c r="J55" s="47" t="n">
        <x:f>IF(D55&lt;E55,0,MIN(F55*G55*H55*I55,IF('Paths'!$T$7&gt;0,MAX(0,'Paths'!$T$7-K54),1000000000)))</x:f>
        <x:v>0</x:v>
      </x:c>
      <x:c r="K55" s="47" t="n">
        <x:f>K54+J55</x:f>
        <x:v>125000</x:v>
      </x:c>
      <x:c r="L55" s="46" t="n">
        <x:f>IF(C55="P0",1,IF(D55&lt;=3,0.8,IF(D55&lt;=14,0.65,IF(D55&lt;=45,0.5,0.3))))</x:f>
        <x:v>1</x:v>
      </x:c>
      <x:c r="M55" s="47" t="n">
        <x:f>J55*L55</x:f>
        <x:v>0</x:v>
      </x:c>
      <x:c r="N55" s="47" t="n">
        <x:f>N54+M55</x:f>
        <x:v>125000</x:v>
      </x:c>
      <x:c r="O55" s="46" t="n">
        <x:f>IF(C55="P0",0,IF(D55&lt;=3,0.15,IF(D55&lt;=14,0.25,IF(D55&lt;=45,0.35,0.5))))</x:f>
        <x:v>0</x:v>
      </x:c>
      <x:c r="P55" s="47" t="n">
        <x:f>J55*O55</x:f>
        <x:v>0</x:v>
      </x:c>
      <x:c r="Q55" s="46" t="n">
        <x:f>IF(C55="P0",0,IF(D55&lt;=3,0.05,IF(D55&lt;=14,0.1,IF(D55&lt;=45,0.15,0.2))))</x:f>
        <x:v>0</x:v>
      </x:c>
      <x:c r="R55" s="47" t="n">
        <x:f>J55*Q55</x:f>
        <x:v>0</x:v>
      </x:c>
      <x:c r="S55" s="20" t="str">
        <x:f>IF(D55&lt;E55,"closed",IF(D55&lt;'Paths'!$N$7,"initial","expanded"))</x:f>
        <x:v>expanded</x:v>
      </x:c>
      <x:c r="T55" s="72"/>
    </x:row>
    <x:row r="56">
      <x:c r="C56" s="20" t="str">
        <x:v>P0</x:v>
      </x:c>
      <x:c r="D56" s="20" t="n">
        <x:v>49</x:v>
      </x:c>
      <x:c r="E56" s="45" t="n">
        <x:f>IF('Controls'!$D$7="Reference",'Paths'!$J$7,'Paths'!$K$7)</x:f>
        <x:v>0</x:v>
      </x:c>
      <x:c r="F56" s="47" t="n">
        <x:f>IF(D56&lt;'Paths'!$N$7,IF('Controls'!$D$7="Reference",'Paths'!$L$7,'Paths'!$M$7),IF('Controls'!$D$7="Reference",'Paths'!$O$7,'Paths'!$P$7))</x:f>
        <x:v>0</x:v>
      </x:c>
      <x:c r="G56" s="46" t="n">
        <x:f>IF('Controls'!$D$7="Reference",1,IF(OR(D56=6,D56=7,D56=21,D56=46),'Paths'!$U$7,1))</x:f>
        <x:v>1</x:v>
      </x:c>
      <x:c r="H56" s="46" t="n">
        <x:f>IF('Controls'!$D$7="Reference",1,IF(OR(AND(D56&gt;=14,D56&lt;=16),AND(D56&gt;=34,D56&lt;=35),AND(D56&gt;=61,D56&lt;=63)),'Paths'!$V$7,1))</x:f>
        <x:v>1</x:v>
      </x:c>
      <x:c r="I56" s="46" t="n">
        <x:f>'Paths'!$W$7</x:f>
        <x:v>1</x:v>
      </x:c>
      <x:c r="J56" s="47" t="n">
        <x:f>IF(D56&lt;E56,0,MIN(F56*G56*H56*I56,IF('Paths'!$T$7&gt;0,MAX(0,'Paths'!$T$7-K55),1000000000)))</x:f>
        <x:v>0</x:v>
      </x:c>
      <x:c r="K56" s="47" t="n">
        <x:f>K55+J56</x:f>
        <x:v>125000</x:v>
      </x:c>
      <x:c r="L56" s="46" t="n">
        <x:f>IF(C56="P0",1,IF(D56&lt;=3,0.8,IF(D56&lt;=14,0.65,IF(D56&lt;=45,0.5,0.3))))</x:f>
        <x:v>1</x:v>
      </x:c>
      <x:c r="M56" s="47" t="n">
        <x:f>J56*L56</x:f>
        <x:v>0</x:v>
      </x:c>
      <x:c r="N56" s="47" t="n">
        <x:f>N55+M56</x:f>
        <x:v>125000</x:v>
      </x:c>
      <x:c r="O56" s="46" t="n">
        <x:f>IF(C56="P0",0,IF(D56&lt;=3,0.15,IF(D56&lt;=14,0.25,IF(D56&lt;=45,0.35,0.5))))</x:f>
        <x:v>0</x:v>
      </x:c>
      <x:c r="P56" s="47" t="n">
        <x:f>J56*O56</x:f>
        <x:v>0</x:v>
      </x:c>
      <x:c r="Q56" s="46" t="n">
        <x:f>IF(C56="P0",0,IF(D56&lt;=3,0.05,IF(D56&lt;=14,0.1,IF(D56&lt;=45,0.15,0.2))))</x:f>
        <x:v>0</x:v>
      </x:c>
      <x:c r="R56" s="47" t="n">
        <x:f>J56*Q56</x:f>
        <x:v>0</x:v>
      </x:c>
      <x:c r="S56" s="20" t="str">
        <x:f>IF(D56&lt;E56,"closed",IF(D56&lt;'Paths'!$N$7,"initial","expanded"))</x:f>
        <x:v>expanded</x:v>
      </x:c>
      <x:c r="T56" s="72"/>
    </x:row>
    <x:row r="57">
      <x:c r="C57" s="20" t="str">
        <x:v>P0</x:v>
      </x:c>
      <x:c r="D57" s="20" t="n">
        <x:v>50</x:v>
      </x:c>
      <x:c r="E57" s="45" t="n">
        <x:f>IF('Controls'!$D$7="Reference",'Paths'!$J$7,'Paths'!$K$7)</x:f>
        <x:v>0</x:v>
      </x:c>
      <x:c r="F57" s="47" t="n">
        <x:f>IF(D57&lt;'Paths'!$N$7,IF('Controls'!$D$7="Reference",'Paths'!$L$7,'Paths'!$M$7),IF('Controls'!$D$7="Reference",'Paths'!$O$7,'Paths'!$P$7))</x:f>
        <x:v>0</x:v>
      </x:c>
      <x:c r="G57" s="46" t="n">
        <x:f>IF('Controls'!$D$7="Reference",1,IF(OR(D57=6,D57=7,D57=21,D57=46),'Paths'!$U$7,1))</x:f>
        <x:v>1</x:v>
      </x:c>
      <x:c r="H57" s="46" t="n">
        <x:f>IF('Controls'!$D$7="Reference",1,IF(OR(AND(D57&gt;=14,D57&lt;=16),AND(D57&gt;=34,D57&lt;=35),AND(D57&gt;=61,D57&lt;=63)),'Paths'!$V$7,1))</x:f>
        <x:v>1</x:v>
      </x:c>
      <x:c r="I57" s="46" t="n">
        <x:f>'Paths'!$W$7</x:f>
        <x:v>1</x:v>
      </x:c>
      <x:c r="J57" s="47" t="n">
        <x:f>IF(D57&lt;E57,0,MIN(F57*G57*H57*I57,IF('Paths'!$T$7&gt;0,MAX(0,'Paths'!$T$7-K56),1000000000)))</x:f>
        <x:v>0</x:v>
      </x:c>
      <x:c r="K57" s="47" t="n">
        <x:f>K56+J57</x:f>
        <x:v>125000</x:v>
      </x:c>
      <x:c r="L57" s="46" t="n">
        <x:f>IF(C57="P0",1,IF(D57&lt;=3,0.8,IF(D57&lt;=14,0.65,IF(D57&lt;=45,0.5,0.3))))</x:f>
        <x:v>1</x:v>
      </x:c>
      <x:c r="M57" s="47" t="n">
        <x:f>J57*L57</x:f>
        <x:v>0</x:v>
      </x:c>
      <x:c r="N57" s="47" t="n">
        <x:f>N56+M57</x:f>
        <x:v>125000</x:v>
      </x:c>
      <x:c r="O57" s="46" t="n">
        <x:f>IF(C57="P0",0,IF(D57&lt;=3,0.15,IF(D57&lt;=14,0.25,IF(D57&lt;=45,0.35,0.5))))</x:f>
        <x:v>0</x:v>
      </x:c>
      <x:c r="P57" s="47" t="n">
        <x:f>J57*O57</x:f>
        <x:v>0</x:v>
      </x:c>
      <x:c r="Q57" s="46" t="n">
        <x:f>IF(C57="P0",0,IF(D57&lt;=3,0.05,IF(D57&lt;=14,0.1,IF(D57&lt;=45,0.15,0.2))))</x:f>
        <x:v>0</x:v>
      </x:c>
      <x:c r="R57" s="47" t="n">
        <x:f>J57*Q57</x:f>
        <x:v>0</x:v>
      </x:c>
      <x:c r="S57" s="20" t="str">
        <x:f>IF(D57&lt;E57,"closed",IF(D57&lt;'Paths'!$N$7,"initial","expanded"))</x:f>
        <x:v>expanded</x:v>
      </x:c>
      <x:c r="T57" s="72"/>
    </x:row>
    <x:row r="58">
      <x:c r="C58" s="20" t="str">
        <x:v>P0</x:v>
      </x:c>
      <x:c r="D58" s="20" t="n">
        <x:v>51</x:v>
      </x:c>
      <x:c r="E58" s="45" t="n">
        <x:f>IF('Controls'!$D$7="Reference",'Paths'!$J$7,'Paths'!$K$7)</x:f>
        <x:v>0</x:v>
      </x:c>
      <x:c r="F58" s="47" t="n">
        <x:f>IF(D58&lt;'Paths'!$N$7,IF('Controls'!$D$7="Reference",'Paths'!$L$7,'Paths'!$M$7),IF('Controls'!$D$7="Reference",'Paths'!$O$7,'Paths'!$P$7))</x:f>
        <x:v>0</x:v>
      </x:c>
      <x:c r="G58" s="46" t="n">
        <x:f>IF('Controls'!$D$7="Reference",1,IF(OR(D58=6,D58=7,D58=21,D58=46),'Paths'!$U$7,1))</x:f>
        <x:v>1</x:v>
      </x:c>
      <x:c r="H58" s="46" t="n">
        <x:f>IF('Controls'!$D$7="Reference",1,IF(OR(AND(D58&gt;=14,D58&lt;=16),AND(D58&gt;=34,D58&lt;=35),AND(D58&gt;=61,D58&lt;=63)),'Paths'!$V$7,1))</x:f>
        <x:v>1</x:v>
      </x:c>
      <x:c r="I58" s="46" t="n">
        <x:f>'Paths'!$W$7</x:f>
        <x:v>1</x:v>
      </x:c>
      <x:c r="J58" s="47" t="n">
        <x:f>IF(D58&lt;E58,0,MIN(F58*G58*H58*I58,IF('Paths'!$T$7&gt;0,MAX(0,'Paths'!$T$7-K57),1000000000)))</x:f>
        <x:v>0</x:v>
      </x:c>
      <x:c r="K58" s="47" t="n">
        <x:f>K57+J58</x:f>
        <x:v>125000</x:v>
      </x:c>
      <x:c r="L58" s="46" t="n">
        <x:f>IF(C58="P0",1,IF(D58&lt;=3,0.8,IF(D58&lt;=14,0.65,IF(D58&lt;=45,0.5,0.3))))</x:f>
        <x:v>1</x:v>
      </x:c>
      <x:c r="M58" s="47" t="n">
        <x:f>J58*L58</x:f>
        <x:v>0</x:v>
      </x:c>
      <x:c r="N58" s="47" t="n">
        <x:f>N57+M58</x:f>
        <x:v>125000</x:v>
      </x:c>
      <x:c r="O58" s="46" t="n">
        <x:f>IF(C58="P0",0,IF(D58&lt;=3,0.15,IF(D58&lt;=14,0.25,IF(D58&lt;=45,0.35,0.5))))</x:f>
        <x:v>0</x:v>
      </x:c>
      <x:c r="P58" s="47" t="n">
        <x:f>J58*O58</x:f>
        <x:v>0</x:v>
      </x:c>
      <x:c r="Q58" s="46" t="n">
        <x:f>IF(C58="P0",0,IF(D58&lt;=3,0.05,IF(D58&lt;=14,0.1,IF(D58&lt;=45,0.15,0.2))))</x:f>
        <x:v>0</x:v>
      </x:c>
      <x:c r="R58" s="47" t="n">
        <x:f>J58*Q58</x:f>
        <x:v>0</x:v>
      </x:c>
      <x:c r="S58" s="20" t="str">
        <x:f>IF(D58&lt;E58,"closed",IF(D58&lt;'Paths'!$N$7,"initial","expanded"))</x:f>
        <x:v>expanded</x:v>
      </x:c>
      <x:c r="T58" s="72"/>
    </x:row>
    <x:row r="59">
      <x:c r="C59" s="20" t="str">
        <x:v>P0</x:v>
      </x:c>
      <x:c r="D59" s="20" t="n">
        <x:v>52</x:v>
      </x:c>
      <x:c r="E59" s="45" t="n">
        <x:f>IF('Controls'!$D$7="Reference",'Paths'!$J$7,'Paths'!$K$7)</x:f>
        <x:v>0</x:v>
      </x:c>
      <x:c r="F59" s="47" t="n">
        <x:f>IF(D59&lt;'Paths'!$N$7,IF('Controls'!$D$7="Reference",'Paths'!$L$7,'Paths'!$M$7),IF('Controls'!$D$7="Reference",'Paths'!$O$7,'Paths'!$P$7))</x:f>
        <x:v>0</x:v>
      </x:c>
      <x:c r="G59" s="46" t="n">
        <x:f>IF('Controls'!$D$7="Reference",1,IF(OR(D59=6,D59=7,D59=21,D59=46),'Paths'!$U$7,1))</x:f>
        <x:v>1</x:v>
      </x:c>
      <x:c r="H59" s="46" t="n">
        <x:f>IF('Controls'!$D$7="Reference",1,IF(OR(AND(D59&gt;=14,D59&lt;=16),AND(D59&gt;=34,D59&lt;=35),AND(D59&gt;=61,D59&lt;=63)),'Paths'!$V$7,1))</x:f>
        <x:v>1</x:v>
      </x:c>
      <x:c r="I59" s="46" t="n">
        <x:f>'Paths'!$W$7</x:f>
        <x:v>1</x:v>
      </x:c>
      <x:c r="J59" s="47" t="n">
        <x:f>IF(D59&lt;E59,0,MIN(F59*G59*H59*I59,IF('Paths'!$T$7&gt;0,MAX(0,'Paths'!$T$7-K58),1000000000)))</x:f>
        <x:v>0</x:v>
      </x:c>
      <x:c r="K59" s="47" t="n">
        <x:f>K58+J59</x:f>
        <x:v>125000</x:v>
      </x:c>
      <x:c r="L59" s="46" t="n">
        <x:f>IF(C59="P0",1,IF(D59&lt;=3,0.8,IF(D59&lt;=14,0.65,IF(D59&lt;=45,0.5,0.3))))</x:f>
        <x:v>1</x:v>
      </x:c>
      <x:c r="M59" s="47" t="n">
        <x:f>J59*L59</x:f>
        <x:v>0</x:v>
      </x:c>
      <x:c r="N59" s="47" t="n">
        <x:f>N58+M59</x:f>
        <x:v>125000</x:v>
      </x:c>
      <x:c r="O59" s="46" t="n">
        <x:f>IF(C59="P0",0,IF(D59&lt;=3,0.15,IF(D59&lt;=14,0.25,IF(D59&lt;=45,0.35,0.5))))</x:f>
        <x:v>0</x:v>
      </x:c>
      <x:c r="P59" s="47" t="n">
        <x:f>J59*O59</x:f>
        <x:v>0</x:v>
      </x:c>
      <x:c r="Q59" s="46" t="n">
        <x:f>IF(C59="P0",0,IF(D59&lt;=3,0.05,IF(D59&lt;=14,0.1,IF(D59&lt;=45,0.15,0.2))))</x:f>
        <x:v>0</x:v>
      </x:c>
      <x:c r="R59" s="47" t="n">
        <x:f>J59*Q59</x:f>
        <x:v>0</x:v>
      </x:c>
      <x:c r="S59" s="20" t="str">
        <x:f>IF(D59&lt;E59,"closed",IF(D59&lt;'Paths'!$N$7,"initial","expanded"))</x:f>
        <x:v>expanded</x:v>
      </x:c>
      <x:c r="T59" s="72"/>
    </x:row>
    <x:row r="60">
      <x:c r="C60" s="20" t="str">
        <x:v>P0</x:v>
      </x:c>
      <x:c r="D60" s="20" t="n">
        <x:v>53</x:v>
      </x:c>
      <x:c r="E60" s="45" t="n">
        <x:f>IF('Controls'!$D$7="Reference",'Paths'!$J$7,'Paths'!$K$7)</x:f>
        <x:v>0</x:v>
      </x:c>
      <x:c r="F60" s="47" t="n">
        <x:f>IF(D60&lt;'Paths'!$N$7,IF('Controls'!$D$7="Reference",'Paths'!$L$7,'Paths'!$M$7),IF('Controls'!$D$7="Reference",'Paths'!$O$7,'Paths'!$P$7))</x:f>
        <x:v>0</x:v>
      </x:c>
      <x:c r="G60" s="46" t="n">
        <x:f>IF('Controls'!$D$7="Reference",1,IF(OR(D60=6,D60=7,D60=21,D60=46),'Paths'!$U$7,1))</x:f>
        <x:v>1</x:v>
      </x:c>
      <x:c r="H60" s="46" t="n">
        <x:f>IF('Controls'!$D$7="Reference",1,IF(OR(AND(D60&gt;=14,D60&lt;=16),AND(D60&gt;=34,D60&lt;=35),AND(D60&gt;=61,D60&lt;=63)),'Paths'!$V$7,1))</x:f>
        <x:v>1</x:v>
      </x:c>
      <x:c r="I60" s="46" t="n">
        <x:f>'Paths'!$W$7</x:f>
        <x:v>1</x:v>
      </x:c>
      <x:c r="J60" s="47" t="n">
        <x:f>IF(D60&lt;E60,0,MIN(F60*G60*H60*I60,IF('Paths'!$T$7&gt;0,MAX(0,'Paths'!$T$7-K59),1000000000)))</x:f>
        <x:v>0</x:v>
      </x:c>
      <x:c r="K60" s="47" t="n">
        <x:f>K59+J60</x:f>
        <x:v>125000</x:v>
      </x:c>
      <x:c r="L60" s="46" t="n">
        <x:f>IF(C60="P0",1,IF(D60&lt;=3,0.8,IF(D60&lt;=14,0.65,IF(D60&lt;=45,0.5,0.3))))</x:f>
        <x:v>1</x:v>
      </x:c>
      <x:c r="M60" s="47" t="n">
        <x:f>J60*L60</x:f>
        <x:v>0</x:v>
      </x:c>
      <x:c r="N60" s="47" t="n">
        <x:f>N59+M60</x:f>
        <x:v>125000</x:v>
      </x:c>
      <x:c r="O60" s="46" t="n">
        <x:f>IF(C60="P0",0,IF(D60&lt;=3,0.15,IF(D60&lt;=14,0.25,IF(D60&lt;=45,0.35,0.5))))</x:f>
        <x:v>0</x:v>
      </x:c>
      <x:c r="P60" s="47" t="n">
        <x:f>J60*O60</x:f>
        <x:v>0</x:v>
      </x:c>
      <x:c r="Q60" s="46" t="n">
        <x:f>IF(C60="P0",0,IF(D60&lt;=3,0.05,IF(D60&lt;=14,0.1,IF(D60&lt;=45,0.15,0.2))))</x:f>
        <x:v>0</x:v>
      </x:c>
      <x:c r="R60" s="47" t="n">
        <x:f>J60*Q60</x:f>
        <x:v>0</x:v>
      </x:c>
      <x:c r="S60" s="20" t="str">
        <x:f>IF(D60&lt;E60,"closed",IF(D60&lt;'Paths'!$N$7,"initial","expanded"))</x:f>
        <x:v>expanded</x:v>
      </x:c>
      <x:c r="T60" s="72"/>
    </x:row>
    <x:row r="61">
      <x:c r="C61" s="20" t="str">
        <x:v>P0</x:v>
      </x:c>
      <x:c r="D61" s="20" t="n">
        <x:v>54</x:v>
      </x:c>
      <x:c r="E61" s="45" t="n">
        <x:f>IF('Controls'!$D$7="Reference",'Paths'!$J$7,'Paths'!$K$7)</x:f>
        <x:v>0</x:v>
      </x:c>
      <x:c r="F61" s="47" t="n">
        <x:f>IF(D61&lt;'Paths'!$N$7,IF('Controls'!$D$7="Reference",'Paths'!$L$7,'Paths'!$M$7),IF('Controls'!$D$7="Reference",'Paths'!$O$7,'Paths'!$P$7))</x:f>
        <x:v>0</x:v>
      </x:c>
      <x:c r="G61" s="46" t="n">
        <x:f>IF('Controls'!$D$7="Reference",1,IF(OR(D61=6,D61=7,D61=21,D61=46),'Paths'!$U$7,1))</x:f>
        <x:v>1</x:v>
      </x:c>
      <x:c r="H61" s="46" t="n">
        <x:f>IF('Controls'!$D$7="Reference",1,IF(OR(AND(D61&gt;=14,D61&lt;=16),AND(D61&gt;=34,D61&lt;=35),AND(D61&gt;=61,D61&lt;=63)),'Paths'!$V$7,1))</x:f>
        <x:v>1</x:v>
      </x:c>
      <x:c r="I61" s="46" t="n">
        <x:f>'Paths'!$W$7</x:f>
        <x:v>1</x:v>
      </x:c>
      <x:c r="J61" s="47" t="n">
        <x:f>IF(D61&lt;E61,0,MIN(F61*G61*H61*I61,IF('Paths'!$T$7&gt;0,MAX(0,'Paths'!$T$7-K60),1000000000)))</x:f>
        <x:v>0</x:v>
      </x:c>
      <x:c r="K61" s="47" t="n">
        <x:f>K60+J61</x:f>
        <x:v>125000</x:v>
      </x:c>
      <x:c r="L61" s="46" t="n">
        <x:f>IF(C61="P0",1,IF(D61&lt;=3,0.8,IF(D61&lt;=14,0.65,IF(D61&lt;=45,0.5,0.3))))</x:f>
        <x:v>1</x:v>
      </x:c>
      <x:c r="M61" s="47" t="n">
        <x:f>J61*L61</x:f>
        <x:v>0</x:v>
      </x:c>
      <x:c r="N61" s="47" t="n">
        <x:f>N60+M61</x:f>
        <x:v>125000</x:v>
      </x:c>
      <x:c r="O61" s="46" t="n">
        <x:f>IF(C61="P0",0,IF(D61&lt;=3,0.15,IF(D61&lt;=14,0.25,IF(D61&lt;=45,0.35,0.5))))</x:f>
        <x:v>0</x:v>
      </x:c>
      <x:c r="P61" s="47" t="n">
        <x:f>J61*O61</x:f>
        <x:v>0</x:v>
      </x:c>
      <x:c r="Q61" s="46" t="n">
        <x:f>IF(C61="P0",0,IF(D61&lt;=3,0.05,IF(D61&lt;=14,0.1,IF(D61&lt;=45,0.15,0.2))))</x:f>
        <x:v>0</x:v>
      </x:c>
      <x:c r="R61" s="47" t="n">
        <x:f>J61*Q61</x:f>
        <x:v>0</x:v>
      </x:c>
      <x:c r="S61" s="20" t="str">
        <x:f>IF(D61&lt;E61,"closed",IF(D61&lt;'Paths'!$N$7,"initial","expanded"))</x:f>
        <x:v>expanded</x:v>
      </x:c>
      <x:c r="T61" s="72"/>
    </x:row>
    <x:row r="62">
      <x:c r="C62" s="20" t="str">
        <x:v>P0</x:v>
      </x:c>
      <x:c r="D62" s="20" t="n">
        <x:v>55</x:v>
      </x:c>
      <x:c r="E62" s="45" t="n">
        <x:f>IF('Controls'!$D$7="Reference",'Paths'!$J$7,'Paths'!$K$7)</x:f>
        <x:v>0</x:v>
      </x:c>
      <x:c r="F62" s="47" t="n">
        <x:f>IF(D62&lt;'Paths'!$N$7,IF('Controls'!$D$7="Reference",'Paths'!$L$7,'Paths'!$M$7),IF('Controls'!$D$7="Reference",'Paths'!$O$7,'Paths'!$P$7))</x:f>
        <x:v>0</x:v>
      </x:c>
      <x:c r="G62" s="46" t="n">
        <x:f>IF('Controls'!$D$7="Reference",1,IF(OR(D62=6,D62=7,D62=21,D62=46),'Paths'!$U$7,1))</x:f>
        <x:v>1</x:v>
      </x:c>
      <x:c r="H62" s="46" t="n">
        <x:f>IF('Controls'!$D$7="Reference",1,IF(OR(AND(D62&gt;=14,D62&lt;=16),AND(D62&gt;=34,D62&lt;=35),AND(D62&gt;=61,D62&lt;=63)),'Paths'!$V$7,1))</x:f>
        <x:v>1</x:v>
      </x:c>
      <x:c r="I62" s="46" t="n">
        <x:f>'Paths'!$W$7</x:f>
        <x:v>1</x:v>
      </x:c>
      <x:c r="J62" s="47" t="n">
        <x:f>IF(D62&lt;E62,0,MIN(F62*G62*H62*I62,IF('Paths'!$T$7&gt;0,MAX(0,'Paths'!$T$7-K61),1000000000)))</x:f>
        <x:v>0</x:v>
      </x:c>
      <x:c r="K62" s="47" t="n">
        <x:f>K61+J62</x:f>
        <x:v>125000</x:v>
      </x:c>
      <x:c r="L62" s="46" t="n">
        <x:f>IF(C62="P0",1,IF(D62&lt;=3,0.8,IF(D62&lt;=14,0.65,IF(D62&lt;=45,0.5,0.3))))</x:f>
        <x:v>1</x:v>
      </x:c>
      <x:c r="M62" s="47" t="n">
        <x:f>J62*L62</x:f>
        <x:v>0</x:v>
      </x:c>
      <x:c r="N62" s="47" t="n">
        <x:f>N61+M62</x:f>
        <x:v>125000</x:v>
      </x:c>
      <x:c r="O62" s="46" t="n">
        <x:f>IF(C62="P0",0,IF(D62&lt;=3,0.15,IF(D62&lt;=14,0.25,IF(D62&lt;=45,0.35,0.5))))</x:f>
        <x:v>0</x:v>
      </x:c>
      <x:c r="P62" s="47" t="n">
        <x:f>J62*O62</x:f>
        <x:v>0</x:v>
      </x:c>
      <x:c r="Q62" s="46" t="n">
        <x:f>IF(C62="P0",0,IF(D62&lt;=3,0.05,IF(D62&lt;=14,0.1,IF(D62&lt;=45,0.15,0.2))))</x:f>
        <x:v>0</x:v>
      </x:c>
      <x:c r="R62" s="47" t="n">
        <x:f>J62*Q62</x:f>
        <x:v>0</x:v>
      </x:c>
      <x:c r="S62" s="20" t="str">
        <x:f>IF(D62&lt;E62,"closed",IF(D62&lt;'Paths'!$N$7,"initial","expanded"))</x:f>
        <x:v>expanded</x:v>
      </x:c>
      <x:c r="T62" s="72"/>
    </x:row>
    <x:row r="63">
      <x:c r="C63" s="20" t="str">
        <x:v>P0</x:v>
      </x:c>
      <x:c r="D63" s="20" t="n">
        <x:v>56</x:v>
      </x:c>
      <x:c r="E63" s="45" t="n">
        <x:f>IF('Controls'!$D$7="Reference",'Paths'!$J$7,'Paths'!$K$7)</x:f>
        <x:v>0</x:v>
      </x:c>
      <x:c r="F63" s="47" t="n">
        <x:f>IF(D63&lt;'Paths'!$N$7,IF('Controls'!$D$7="Reference",'Paths'!$L$7,'Paths'!$M$7),IF('Controls'!$D$7="Reference",'Paths'!$O$7,'Paths'!$P$7))</x:f>
        <x:v>0</x:v>
      </x:c>
      <x:c r="G63" s="46" t="n">
        <x:f>IF('Controls'!$D$7="Reference",1,IF(OR(D63=6,D63=7,D63=21,D63=46),'Paths'!$U$7,1))</x:f>
        <x:v>1</x:v>
      </x:c>
      <x:c r="H63" s="46" t="n">
        <x:f>IF('Controls'!$D$7="Reference",1,IF(OR(AND(D63&gt;=14,D63&lt;=16),AND(D63&gt;=34,D63&lt;=35),AND(D63&gt;=61,D63&lt;=63)),'Paths'!$V$7,1))</x:f>
        <x:v>1</x:v>
      </x:c>
      <x:c r="I63" s="46" t="n">
        <x:f>'Paths'!$W$7</x:f>
        <x:v>1</x:v>
      </x:c>
      <x:c r="J63" s="47" t="n">
        <x:f>IF(D63&lt;E63,0,MIN(F63*G63*H63*I63,IF('Paths'!$T$7&gt;0,MAX(0,'Paths'!$T$7-K62),1000000000)))</x:f>
        <x:v>0</x:v>
      </x:c>
      <x:c r="K63" s="47" t="n">
        <x:f>K62+J63</x:f>
        <x:v>125000</x:v>
      </x:c>
      <x:c r="L63" s="46" t="n">
        <x:f>IF(C63="P0",1,IF(D63&lt;=3,0.8,IF(D63&lt;=14,0.65,IF(D63&lt;=45,0.5,0.3))))</x:f>
        <x:v>1</x:v>
      </x:c>
      <x:c r="M63" s="47" t="n">
        <x:f>J63*L63</x:f>
        <x:v>0</x:v>
      </x:c>
      <x:c r="N63" s="47" t="n">
        <x:f>N62+M63</x:f>
        <x:v>125000</x:v>
      </x:c>
      <x:c r="O63" s="46" t="n">
        <x:f>IF(C63="P0",0,IF(D63&lt;=3,0.15,IF(D63&lt;=14,0.25,IF(D63&lt;=45,0.35,0.5))))</x:f>
        <x:v>0</x:v>
      </x:c>
      <x:c r="P63" s="47" t="n">
        <x:f>J63*O63</x:f>
        <x:v>0</x:v>
      </x:c>
      <x:c r="Q63" s="46" t="n">
        <x:f>IF(C63="P0",0,IF(D63&lt;=3,0.05,IF(D63&lt;=14,0.1,IF(D63&lt;=45,0.15,0.2))))</x:f>
        <x:v>0</x:v>
      </x:c>
      <x:c r="R63" s="47" t="n">
        <x:f>J63*Q63</x:f>
        <x:v>0</x:v>
      </x:c>
      <x:c r="S63" s="20" t="str">
        <x:f>IF(D63&lt;E63,"closed",IF(D63&lt;'Paths'!$N$7,"initial","expanded"))</x:f>
        <x:v>expanded</x:v>
      </x:c>
      <x:c r="T63" s="72"/>
    </x:row>
    <x:row r="64">
      <x:c r="C64" s="20" t="str">
        <x:v>P0</x:v>
      </x:c>
      <x:c r="D64" s="20" t="n">
        <x:v>57</x:v>
      </x:c>
      <x:c r="E64" s="45" t="n">
        <x:f>IF('Controls'!$D$7="Reference",'Paths'!$J$7,'Paths'!$K$7)</x:f>
        <x:v>0</x:v>
      </x:c>
      <x:c r="F64" s="47" t="n">
        <x:f>IF(D64&lt;'Paths'!$N$7,IF('Controls'!$D$7="Reference",'Paths'!$L$7,'Paths'!$M$7),IF('Controls'!$D$7="Reference",'Paths'!$O$7,'Paths'!$P$7))</x:f>
        <x:v>0</x:v>
      </x:c>
      <x:c r="G64" s="46" t="n">
        <x:f>IF('Controls'!$D$7="Reference",1,IF(OR(D64=6,D64=7,D64=21,D64=46),'Paths'!$U$7,1))</x:f>
        <x:v>1</x:v>
      </x:c>
      <x:c r="H64" s="46" t="n">
        <x:f>IF('Controls'!$D$7="Reference",1,IF(OR(AND(D64&gt;=14,D64&lt;=16),AND(D64&gt;=34,D64&lt;=35),AND(D64&gt;=61,D64&lt;=63)),'Paths'!$V$7,1))</x:f>
        <x:v>1</x:v>
      </x:c>
      <x:c r="I64" s="46" t="n">
        <x:f>'Paths'!$W$7</x:f>
        <x:v>1</x:v>
      </x:c>
      <x:c r="J64" s="47" t="n">
        <x:f>IF(D64&lt;E64,0,MIN(F64*G64*H64*I64,IF('Paths'!$T$7&gt;0,MAX(0,'Paths'!$T$7-K63),1000000000)))</x:f>
        <x:v>0</x:v>
      </x:c>
      <x:c r="K64" s="47" t="n">
        <x:f>K63+J64</x:f>
        <x:v>125000</x:v>
      </x:c>
      <x:c r="L64" s="46" t="n">
        <x:f>IF(C64="P0",1,IF(D64&lt;=3,0.8,IF(D64&lt;=14,0.65,IF(D64&lt;=45,0.5,0.3))))</x:f>
        <x:v>1</x:v>
      </x:c>
      <x:c r="M64" s="47" t="n">
        <x:f>J64*L64</x:f>
        <x:v>0</x:v>
      </x:c>
      <x:c r="N64" s="47" t="n">
        <x:f>N63+M64</x:f>
        <x:v>125000</x:v>
      </x:c>
      <x:c r="O64" s="46" t="n">
        <x:f>IF(C64="P0",0,IF(D64&lt;=3,0.15,IF(D64&lt;=14,0.25,IF(D64&lt;=45,0.35,0.5))))</x:f>
        <x:v>0</x:v>
      </x:c>
      <x:c r="P64" s="47" t="n">
        <x:f>J64*O64</x:f>
        <x:v>0</x:v>
      </x:c>
      <x:c r="Q64" s="46" t="n">
        <x:f>IF(C64="P0",0,IF(D64&lt;=3,0.05,IF(D64&lt;=14,0.1,IF(D64&lt;=45,0.15,0.2))))</x:f>
        <x:v>0</x:v>
      </x:c>
      <x:c r="R64" s="47" t="n">
        <x:f>J64*Q64</x:f>
        <x:v>0</x:v>
      </x:c>
      <x:c r="S64" s="20" t="str">
        <x:f>IF(D64&lt;E64,"closed",IF(D64&lt;'Paths'!$N$7,"initial","expanded"))</x:f>
        <x:v>expanded</x:v>
      </x:c>
      <x:c r="T64" s="72"/>
    </x:row>
    <x:row r="65">
      <x:c r="C65" s="20" t="str">
        <x:v>P0</x:v>
      </x:c>
      <x:c r="D65" s="20" t="n">
        <x:v>58</x:v>
      </x:c>
      <x:c r="E65" s="45" t="n">
        <x:f>IF('Controls'!$D$7="Reference",'Paths'!$J$7,'Paths'!$K$7)</x:f>
        <x:v>0</x:v>
      </x:c>
      <x:c r="F65" s="47" t="n">
        <x:f>IF(D65&lt;'Paths'!$N$7,IF('Controls'!$D$7="Reference",'Paths'!$L$7,'Paths'!$M$7),IF('Controls'!$D$7="Reference",'Paths'!$O$7,'Paths'!$P$7))</x:f>
        <x:v>0</x:v>
      </x:c>
      <x:c r="G65" s="46" t="n">
        <x:f>IF('Controls'!$D$7="Reference",1,IF(OR(D65=6,D65=7,D65=21,D65=46),'Paths'!$U$7,1))</x:f>
        <x:v>1</x:v>
      </x:c>
      <x:c r="H65" s="46" t="n">
        <x:f>IF('Controls'!$D$7="Reference",1,IF(OR(AND(D65&gt;=14,D65&lt;=16),AND(D65&gt;=34,D65&lt;=35),AND(D65&gt;=61,D65&lt;=63)),'Paths'!$V$7,1))</x:f>
        <x:v>1</x:v>
      </x:c>
      <x:c r="I65" s="46" t="n">
        <x:f>'Paths'!$W$7</x:f>
        <x:v>1</x:v>
      </x:c>
      <x:c r="J65" s="47" t="n">
        <x:f>IF(D65&lt;E65,0,MIN(F65*G65*H65*I65,IF('Paths'!$T$7&gt;0,MAX(0,'Paths'!$T$7-K64),1000000000)))</x:f>
        <x:v>0</x:v>
      </x:c>
      <x:c r="K65" s="47" t="n">
        <x:f>K64+J65</x:f>
        <x:v>125000</x:v>
      </x:c>
      <x:c r="L65" s="46" t="n">
        <x:f>IF(C65="P0",1,IF(D65&lt;=3,0.8,IF(D65&lt;=14,0.65,IF(D65&lt;=45,0.5,0.3))))</x:f>
        <x:v>1</x:v>
      </x:c>
      <x:c r="M65" s="47" t="n">
        <x:f>J65*L65</x:f>
        <x:v>0</x:v>
      </x:c>
      <x:c r="N65" s="47" t="n">
        <x:f>N64+M65</x:f>
        <x:v>125000</x:v>
      </x:c>
      <x:c r="O65" s="46" t="n">
        <x:f>IF(C65="P0",0,IF(D65&lt;=3,0.15,IF(D65&lt;=14,0.25,IF(D65&lt;=45,0.35,0.5))))</x:f>
        <x:v>0</x:v>
      </x:c>
      <x:c r="P65" s="47" t="n">
        <x:f>J65*O65</x:f>
        <x:v>0</x:v>
      </x:c>
      <x:c r="Q65" s="46" t="n">
        <x:f>IF(C65="P0",0,IF(D65&lt;=3,0.05,IF(D65&lt;=14,0.1,IF(D65&lt;=45,0.15,0.2))))</x:f>
        <x:v>0</x:v>
      </x:c>
      <x:c r="R65" s="47" t="n">
        <x:f>J65*Q65</x:f>
        <x:v>0</x:v>
      </x:c>
      <x:c r="S65" s="20" t="str">
        <x:f>IF(D65&lt;E65,"closed",IF(D65&lt;'Paths'!$N$7,"initial","expanded"))</x:f>
        <x:v>expanded</x:v>
      </x:c>
      <x:c r="T65" s="72"/>
    </x:row>
    <x:row r="66">
      <x:c r="C66" s="20" t="str">
        <x:v>P0</x:v>
      </x:c>
      <x:c r="D66" s="20" t="n">
        <x:v>59</x:v>
      </x:c>
      <x:c r="E66" s="45" t="n">
        <x:f>IF('Controls'!$D$7="Reference",'Paths'!$J$7,'Paths'!$K$7)</x:f>
        <x:v>0</x:v>
      </x:c>
      <x:c r="F66" s="47" t="n">
        <x:f>IF(D66&lt;'Paths'!$N$7,IF('Controls'!$D$7="Reference",'Paths'!$L$7,'Paths'!$M$7),IF('Controls'!$D$7="Reference",'Paths'!$O$7,'Paths'!$P$7))</x:f>
        <x:v>0</x:v>
      </x:c>
      <x:c r="G66" s="46" t="n">
        <x:f>IF('Controls'!$D$7="Reference",1,IF(OR(D66=6,D66=7,D66=21,D66=46),'Paths'!$U$7,1))</x:f>
        <x:v>1</x:v>
      </x:c>
      <x:c r="H66" s="46" t="n">
        <x:f>IF('Controls'!$D$7="Reference",1,IF(OR(AND(D66&gt;=14,D66&lt;=16),AND(D66&gt;=34,D66&lt;=35),AND(D66&gt;=61,D66&lt;=63)),'Paths'!$V$7,1))</x:f>
        <x:v>1</x:v>
      </x:c>
      <x:c r="I66" s="46" t="n">
        <x:f>'Paths'!$W$7</x:f>
        <x:v>1</x:v>
      </x:c>
      <x:c r="J66" s="47" t="n">
        <x:f>IF(D66&lt;E66,0,MIN(F66*G66*H66*I66,IF('Paths'!$T$7&gt;0,MAX(0,'Paths'!$T$7-K65),1000000000)))</x:f>
        <x:v>0</x:v>
      </x:c>
      <x:c r="K66" s="47" t="n">
        <x:f>K65+J66</x:f>
        <x:v>125000</x:v>
      </x:c>
      <x:c r="L66" s="46" t="n">
        <x:f>IF(C66="P0",1,IF(D66&lt;=3,0.8,IF(D66&lt;=14,0.65,IF(D66&lt;=45,0.5,0.3))))</x:f>
        <x:v>1</x:v>
      </x:c>
      <x:c r="M66" s="47" t="n">
        <x:f>J66*L66</x:f>
        <x:v>0</x:v>
      </x:c>
      <x:c r="N66" s="47" t="n">
        <x:f>N65+M66</x:f>
        <x:v>125000</x:v>
      </x:c>
      <x:c r="O66" s="46" t="n">
        <x:f>IF(C66="P0",0,IF(D66&lt;=3,0.15,IF(D66&lt;=14,0.25,IF(D66&lt;=45,0.35,0.5))))</x:f>
        <x:v>0</x:v>
      </x:c>
      <x:c r="P66" s="47" t="n">
        <x:f>J66*O66</x:f>
        <x:v>0</x:v>
      </x:c>
      <x:c r="Q66" s="46" t="n">
        <x:f>IF(C66="P0",0,IF(D66&lt;=3,0.05,IF(D66&lt;=14,0.1,IF(D66&lt;=45,0.15,0.2))))</x:f>
        <x:v>0</x:v>
      </x:c>
      <x:c r="R66" s="47" t="n">
        <x:f>J66*Q66</x:f>
        <x:v>0</x:v>
      </x:c>
      <x:c r="S66" s="20" t="str">
        <x:f>IF(D66&lt;E66,"closed",IF(D66&lt;'Paths'!$N$7,"initial","expanded"))</x:f>
        <x:v>expanded</x:v>
      </x:c>
      <x:c r="T66" s="72"/>
    </x:row>
    <x:row r="67">
      <x:c r="C67" s="20" t="str">
        <x:v>P0</x:v>
      </x:c>
      <x:c r="D67" s="20" t="n">
        <x:v>60</x:v>
      </x:c>
      <x:c r="E67" s="45" t="n">
        <x:f>IF('Controls'!$D$7="Reference",'Paths'!$J$7,'Paths'!$K$7)</x:f>
        <x:v>0</x:v>
      </x:c>
      <x:c r="F67" s="47" t="n">
        <x:f>IF(D67&lt;'Paths'!$N$7,IF('Controls'!$D$7="Reference",'Paths'!$L$7,'Paths'!$M$7),IF('Controls'!$D$7="Reference",'Paths'!$O$7,'Paths'!$P$7))</x:f>
        <x:v>0</x:v>
      </x:c>
      <x:c r="G67" s="46" t="n">
        <x:f>IF('Controls'!$D$7="Reference",1,IF(OR(D67=6,D67=7,D67=21,D67=46),'Paths'!$U$7,1))</x:f>
        <x:v>1</x:v>
      </x:c>
      <x:c r="H67" s="46" t="n">
        <x:f>IF('Controls'!$D$7="Reference",1,IF(OR(AND(D67&gt;=14,D67&lt;=16),AND(D67&gt;=34,D67&lt;=35),AND(D67&gt;=61,D67&lt;=63)),'Paths'!$V$7,1))</x:f>
        <x:v>1</x:v>
      </x:c>
      <x:c r="I67" s="46" t="n">
        <x:f>'Paths'!$W$7</x:f>
        <x:v>1</x:v>
      </x:c>
      <x:c r="J67" s="47" t="n">
        <x:f>IF(D67&lt;E67,0,MIN(F67*G67*H67*I67,IF('Paths'!$T$7&gt;0,MAX(0,'Paths'!$T$7-K66),1000000000)))</x:f>
        <x:v>0</x:v>
      </x:c>
      <x:c r="K67" s="47" t="n">
        <x:f>K66+J67</x:f>
        <x:v>125000</x:v>
      </x:c>
      <x:c r="L67" s="46" t="n">
        <x:f>IF(C67="P0",1,IF(D67&lt;=3,0.8,IF(D67&lt;=14,0.65,IF(D67&lt;=45,0.5,0.3))))</x:f>
        <x:v>1</x:v>
      </x:c>
      <x:c r="M67" s="47" t="n">
        <x:f>J67*L67</x:f>
        <x:v>0</x:v>
      </x:c>
      <x:c r="N67" s="47" t="n">
        <x:f>N66+M67</x:f>
        <x:v>125000</x:v>
      </x:c>
      <x:c r="O67" s="46" t="n">
        <x:f>IF(C67="P0",0,IF(D67&lt;=3,0.15,IF(D67&lt;=14,0.25,IF(D67&lt;=45,0.35,0.5))))</x:f>
        <x:v>0</x:v>
      </x:c>
      <x:c r="P67" s="47" t="n">
        <x:f>J67*O67</x:f>
        <x:v>0</x:v>
      </x:c>
      <x:c r="Q67" s="46" t="n">
        <x:f>IF(C67="P0",0,IF(D67&lt;=3,0.05,IF(D67&lt;=14,0.1,IF(D67&lt;=45,0.15,0.2))))</x:f>
        <x:v>0</x:v>
      </x:c>
      <x:c r="R67" s="47" t="n">
        <x:f>J67*Q67</x:f>
        <x:v>0</x:v>
      </x:c>
      <x:c r="S67" s="20" t="str">
        <x:f>IF(D67&lt;E67,"closed",IF(D67&lt;'Paths'!$N$7,"initial","expanded"))</x:f>
        <x:v>expanded</x:v>
      </x:c>
      <x:c r="T67" s="72"/>
    </x:row>
    <x:row r="68">
      <x:c r="C68" s="20" t="str">
        <x:v>P0</x:v>
      </x:c>
      <x:c r="D68" s="20" t="n">
        <x:v>61</x:v>
      </x:c>
      <x:c r="E68" s="45" t="n">
        <x:f>IF('Controls'!$D$7="Reference",'Paths'!$J$7,'Paths'!$K$7)</x:f>
        <x:v>0</x:v>
      </x:c>
      <x:c r="F68" s="47" t="n">
        <x:f>IF(D68&lt;'Paths'!$N$7,IF('Controls'!$D$7="Reference",'Paths'!$L$7,'Paths'!$M$7),IF('Controls'!$D$7="Reference",'Paths'!$O$7,'Paths'!$P$7))</x:f>
        <x:v>0</x:v>
      </x:c>
      <x:c r="G68" s="46" t="n">
        <x:f>IF('Controls'!$D$7="Reference",1,IF(OR(D68=6,D68=7,D68=21,D68=46),'Paths'!$U$7,1))</x:f>
        <x:v>1</x:v>
      </x:c>
      <x:c r="H68" s="46" t="n">
        <x:f>IF('Controls'!$D$7="Reference",1,IF(OR(AND(D68&gt;=14,D68&lt;=16),AND(D68&gt;=34,D68&lt;=35),AND(D68&gt;=61,D68&lt;=63)),'Paths'!$V$7,1))</x:f>
        <x:v>1</x:v>
      </x:c>
      <x:c r="I68" s="46" t="n">
        <x:f>'Paths'!$W$7</x:f>
        <x:v>1</x:v>
      </x:c>
      <x:c r="J68" s="47" t="n">
        <x:f>IF(D68&lt;E68,0,MIN(F68*G68*H68*I68,IF('Paths'!$T$7&gt;0,MAX(0,'Paths'!$T$7-K67),1000000000)))</x:f>
        <x:v>0</x:v>
      </x:c>
      <x:c r="K68" s="47" t="n">
        <x:f>K67+J68</x:f>
        <x:v>125000</x:v>
      </x:c>
      <x:c r="L68" s="46" t="n">
        <x:f>IF(C68="P0",1,IF(D68&lt;=3,0.8,IF(D68&lt;=14,0.65,IF(D68&lt;=45,0.5,0.3))))</x:f>
        <x:v>1</x:v>
      </x:c>
      <x:c r="M68" s="47" t="n">
        <x:f>J68*L68</x:f>
        <x:v>0</x:v>
      </x:c>
      <x:c r="N68" s="47" t="n">
        <x:f>N67+M68</x:f>
        <x:v>125000</x:v>
      </x:c>
      <x:c r="O68" s="46" t="n">
        <x:f>IF(C68="P0",0,IF(D68&lt;=3,0.15,IF(D68&lt;=14,0.25,IF(D68&lt;=45,0.35,0.5))))</x:f>
        <x:v>0</x:v>
      </x:c>
      <x:c r="P68" s="47" t="n">
        <x:f>J68*O68</x:f>
        <x:v>0</x:v>
      </x:c>
      <x:c r="Q68" s="46" t="n">
        <x:f>IF(C68="P0",0,IF(D68&lt;=3,0.05,IF(D68&lt;=14,0.1,IF(D68&lt;=45,0.15,0.2))))</x:f>
        <x:v>0</x:v>
      </x:c>
      <x:c r="R68" s="47" t="n">
        <x:f>J68*Q68</x:f>
        <x:v>0</x:v>
      </x:c>
      <x:c r="S68" s="20" t="str">
        <x:f>IF(D68&lt;E68,"closed",IF(D68&lt;'Paths'!$N$7,"initial","expanded"))</x:f>
        <x:v>expanded</x:v>
      </x:c>
      <x:c r="T68" s="72"/>
    </x:row>
    <x:row r="69">
      <x:c r="C69" s="20" t="str">
        <x:v>P0</x:v>
      </x:c>
      <x:c r="D69" s="20" t="n">
        <x:v>62</x:v>
      </x:c>
      <x:c r="E69" s="45" t="n">
        <x:f>IF('Controls'!$D$7="Reference",'Paths'!$J$7,'Paths'!$K$7)</x:f>
        <x:v>0</x:v>
      </x:c>
      <x:c r="F69" s="47" t="n">
        <x:f>IF(D69&lt;'Paths'!$N$7,IF('Controls'!$D$7="Reference",'Paths'!$L$7,'Paths'!$M$7),IF('Controls'!$D$7="Reference",'Paths'!$O$7,'Paths'!$P$7))</x:f>
        <x:v>0</x:v>
      </x:c>
      <x:c r="G69" s="46" t="n">
        <x:f>IF('Controls'!$D$7="Reference",1,IF(OR(D69=6,D69=7,D69=21,D69=46),'Paths'!$U$7,1))</x:f>
        <x:v>1</x:v>
      </x:c>
      <x:c r="H69" s="46" t="n">
        <x:f>IF('Controls'!$D$7="Reference",1,IF(OR(AND(D69&gt;=14,D69&lt;=16),AND(D69&gt;=34,D69&lt;=35),AND(D69&gt;=61,D69&lt;=63)),'Paths'!$V$7,1))</x:f>
        <x:v>1</x:v>
      </x:c>
      <x:c r="I69" s="46" t="n">
        <x:f>'Paths'!$W$7</x:f>
        <x:v>1</x:v>
      </x:c>
      <x:c r="J69" s="47" t="n">
        <x:f>IF(D69&lt;E69,0,MIN(F69*G69*H69*I69,IF('Paths'!$T$7&gt;0,MAX(0,'Paths'!$T$7-K68),1000000000)))</x:f>
        <x:v>0</x:v>
      </x:c>
      <x:c r="K69" s="47" t="n">
        <x:f>K68+J69</x:f>
        <x:v>125000</x:v>
      </x:c>
      <x:c r="L69" s="46" t="n">
        <x:f>IF(C69="P0",1,IF(D69&lt;=3,0.8,IF(D69&lt;=14,0.65,IF(D69&lt;=45,0.5,0.3))))</x:f>
        <x:v>1</x:v>
      </x:c>
      <x:c r="M69" s="47" t="n">
        <x:f>J69*L69</x:f>
        <x:v>0</x:v>
      </x:c>
      <x:c r="N69" s="47" t="n">
        <x:f>N68+M69</x:f>
        <x:v>125000</x:v>
      </x:c>
      <x:c r="O69" s="46" t="n">
        <x:f>IF(C69="P0",0,IF(D69&lt;=3,0.15,IF(D69&lt;=14,0.25,IF(D69&lt;=45,0.35,0.5))))</x:f>
        <x:v>0</x:v>
      </x:c>
      <x:c r="P69" s="47" t="n">
        <x:f>J69*O69</x:f>
        <x:v>0</x:v>
      </x:c>
      <x:c r="Q69" s="46" t="n">
        <x:f>IF(C69="P0",0,IF(D69&lt;=3,0.05,IF(D69&lt;=14,0.1,IF(D69&lt;=45,0.15,0.2))))</x:f>
        <x:v>0</x:v>
      </x:c>
      <x:c r="R69" s="47" t="n">
        <x:f>J69*Q69</x:f>
        <x:v>0</x:v>
      </x:c>
      <x:c r="S69" s="20" t="str">
        <x:f>IF(D69&lt;E69,"closed",IF(D69&lt;'Paths'!$N$7,"initial","expanded"))</x:f>
        <x:v>expanded</x:v>
      </x:c>
      <x:c r="T69" s="72"/>
    </x:row>
    <x:row r="70">
      <x:c r="C70" s="20" t="str">
        <x:v>P0</x:v>
      </x:c>
      <x:c r="D70" s="20" t="n">
        <x:v>63</x:v>
      </x:c>
      <x:c r="E70" s="45" t="n">
        <x:f>IF('Controls'!$D$7="Reference",'Paths'!$J$7,'Paths'!$K$7)</x:f>
        <x:v>0</x:v>
      </x:c>
      <x:c r="F70" s="47" t="n">
        <x:f>IF(D70&lt;'Paths'!$N$7,IF('Controls'!$D$7="Reference",'Paths'!$L$7,'Paths'!$M$7),IF('Controls'!$D$7="Reference",'Paths'!$O$7,'Paths'!$P$7))</x:f>
        <x:v>0</x:v>
      </x:c>
      <x:c r="G70" s="46" t="n">
        <x:f>IF('Controls'!$D$7="Reference",1,IF(OR(D70=6,D70=7,D70=21,D70=46),'Paths'!$U$7,1))</x:f>
        <x:v>1</x:v>
      </x:c>
      <x:c r="H70" s="46" t="n">
        <x:f>IF('Controls'!$D$7="Reference",1,IF(OR(AND(D70&gt;=14,D70&lt;=16),AND(D70&gt;=34,D70&lt;=35),AND(D70&gt;=61,D70&lt;=63)),'Paths'!$V$7,1))</x:f>
        <x:v>1</x:v>
      </x:c>
      <x:c r="I70" s="46" t="n">
        <x:f>'Paths'!$W$7</x:f>
        <x:v>1</x:v>
      </x:c>
      <x:c r="J70" s="47" t="n">
        <x:f>IF(D70&lt;E70,0,MIN(F70*G70*H70*I70,IF('Paths'!$T$7&gt;0,MAX(0,'Paths'!$T$7-K69),1000000000)))</x:f>
        <x:v>0</x:v>
      </x:c>
      <x:c r="K70" s="47" t="n">
        <x:f>K69+J70</x:f>
        <x:v>125000</x:v>
      </x:c>
      <x:c r="L70" s="46" t="n">
        <x:f>IF(C70="P0",1,IF(D70&lt;=3,0.8,IF(D70&lt;=14,0.65,IF(D70&lt;=45,0.5,0.3))))</x:f>
        <x:v>1</x:v>
      </x:c>
      <x:c r="M70" s="47" t="n">
        <x:f>J70*L70</x:f>
        <x:v>0</x:v>
      </x:c>
      <x:c r="N70" s="47" t="n">
        <x:f>N69+M70</x:f>
        <x:v>125000</x:v>
      </x:c>
      <x:c r="O70" s="46" t="n">
        <x:f>IF(C70="P0",0,IF(D70&lt;=3,0.15,IF(D70&lt;=14,0.25,IF(D70&lt;=45,0.35,0.5))))</x:f>
        <x:v>0</x:v>
      </x:c>
      <x:c r="P70" s="47" t="n">
        <x:f>J70*O70</x:f>
        <x:v>0</x:v>
      </x:c>
      <x:c r="Q70" s="46" t="n">
        <x:f>IF(C70="P0",0,IF(D70&lt;=3,0.05,IF(D70&lt;=14,0.1,IF(D70&lt;=45,0.15,0.2))))</x:f>
        <x:v>0</x:v>
      </x:c>
      <x:c r="R70" s="47" t="n">
        <x:f>J70*Q70</x:f>
        <x:v>0</x:v>
      </x:c>
      <x:c r="S70" s="20" t="str">
        <x:f>IF(D70&lt;E70,"closed",IF(D70&lt;'Paths'!$N$7,"initial","expanded"))</x:f>
        <x:v>expanded</x:v>
      </x:c>
      <x:c r="T70" s="72"/>
    </x:row>
    <x:row r="71">
      <x:c r="C71" s="20" t="str">
        <x:v>P0</x:v>
      </x:c>
      <x:c r="D71" s="20" t="n">
        <x:v>64</x:v>
      </x:c>
      <x:c r="E71" s="45" t="n">
        <x:f>IF('Controls'!$D$7="Reference",'Paths'!$J$7,'Paths'!$K$7)</x:f>
        <x:v>0</x:v>
      </x:c>
      <x:c r="F71" s="47" t="n">
        <x:f>IF(D71&lt;'Paths'!$N$7,IF('Controls'!$D$7="Reference",'Paths'!$L$7,'Paths'!$M$7),IF('Controls'!$D$7="Reference",'Paths'!$O$7,'Paths'!$P$7))</x:f>
        <x:v>0</x:v>
      </x:c>
      <x:c r="G71" s="46" t="n">
        <x:f>IF('Controls'!$D$7="Reference",1,IF(OR(D71=6,D71=7,D71=21,D71=46),'Paths'!$U$7,1))</x:f>
        <x:v>1</x:v>
      </x:c>
      <x:c r="H71" s="46" t="n">
        <x:f>IF('Controls'!$D$7="Reference",1,IF(OR(AND(D71&gt;=14,D71&lt;=16),AND(D71&gt;=34,D71&lt;=35),AND(D71&gt;=61,D71&lt;=63)),'Paths'!$V$7,1))</x:f>
        <x:v>1</x:v>
      </x:c>
      <x:c r="I71" s="46" t="n">
        <x:f>'Paths'!$W$7</x:f>
        <x:v>1</x:v>
      </x:c>
      <x:c r="J71" s="47" t="n">
        <x:f>IF(D71&lt;E71,0,MIN(F71*G71*H71*I71,IF('Paths'!$T$7&gt;0,MAX(0,'Paths'!$T$7-K70),1000000000)))</x:f>
        <x:v>0</x:v>
      </x:c>
      <x:c r="K71" s="47" t="n">
        <x:f>K70+J71</x:f>
        <x:v>125000</x:v>
      </x:c>
      <x:c r="L71" s="46" t="n">
        <x:f>IF(C71="P0",1,IF(D71&lt;=3,0.8,IF(D71&lt;=14,0.65,IF(D71&lt;=45,0.5,0.3))))</x:f>
        <x:v>1</x:v>
      </x:c>
      <x:c r="M71" s="47" t="n">
        <x:f>J71*L71</x:f>
        <x:v>0</x:v>
      </x:c>
      <x:c r="N71" s="47" t="n">
        <x:f>N70+M71</x:f>
        <x:v>125000</x:v>
      </x:c>
      <x:c r="O71" s="46" t="n">
        <x:f>IF(C71="P0",0,IF(D71&lt;=3,0.15,IF(D71&lt;=14,0.25,IF(D71&lt;=45,0.35,0.5))))</x:f>
        <x:v>0</x:v>
      </x:c>
      <x:c r="P71" s="47" t="n">
        <x:f>J71*O71</x:f>
        <x:v>0</x:v>
      </x:c>
      <x:c r="Q71" s="46" t="n">
        <x:f>IF(C71="P0",0,IF(D71&lt;=3,0.05,IF(D71&lt;=14,0.1,IF(D71&lt;=45,0.15,0.2))))</x:f>
        <x:v>0</x:v>
      </x:c>
      <x:c r="R71" s="47" t="n">
        <x:f>J71*Q71</x:f>
        <x:v>0</x:v>
      </x:c>
      <x:c r="S71" s="20" t="str">
        <x:f>IF(D71&lt;E71,"closed",IF(D71&lt;'Paths'!$N$7,"initial","expanded"))</x:f>
        <x:v>expanded</x:v>
      </x:c>
      <x:c r="T71" s="72"/>
    </x:row>
    <x:row r="72">
      <x:c r="C72" s="20" t="str">
        <x:v>P0</x:v>
      </x:c>
      <x:c r="D72" s="20" t="n">
        <x:v>65</x:v>
      </x:c>
      <x:c r="E72" s="45" t="n">
        <x:f>IF('Controls'!$D$7="Reference",'Paths'!$J$7,'Paths'!$K$7)</x:f>
        <x:v>0</x:v>
      </x:c>
      <x:c r="F72" s="47" t="n">
        <x:f>IF(D72&lt;'Paths'!$N$7,IF('Controls'!$D$7="Reference",'Paths'!$L$7,'Paths'!$M$7),IF('Controls'!$D$7="Reference",'Paths'!$O$7,'Paths'!$P$7))</x:f>
        <x:v>0</x:v>
      </x:c>
      <x:c r="G72" s="46" t="n">
        <x:f>IF('Controls'!$D$7="Reference",1,IF(OR(D72=6,D72=7,D72=21,D72=46),'Paths'!$U$7,1))</x:f>
        <x:v>1</x:v>
      </x:c>
      <x:c r="H72" s="46" t="n">
        <x:f>IF('Controls'!$D$7="Reference",1,IF(OR(AND(D72&gt;=14,D72&lt;=16),AND(D72&gt;=34,D72&lt;=35),AND(D72&gt;=61,D72&lt;=63)),'Paths'!$V$7,1))</x:f>
        <x:v>1</x:v>
      </x:c>
      <x:c r="I72" s="46" t="n">
        <x:f>'Paths'!$W$7</x:f>
        <x:v>1</x:v>
      </x:c>
      <x:c r="J72" s="47" t="n">
        <x:f>IF(D72&lt;E72,0,MIN(F72*G72*H72*I72,IF('Paths'!$T$7&gt;0,MAX(0,'Paths'!$T$7-K71),1000000000)))</x:f>
        <x:v>0</x:v>
      </x:c>
      <x:c r="K72" s="47" t="n">
        <x:f>K71+J72</x:f>
        <x:v>125000</x:v>
      </x:c>
      <x:c r="L72" s="46" t="n">
        <x:f>IF(C72="P0",1,IF(D72&lt;=3,0.8,IF(D72&lt;=14,0.65,IF(D72&lt;=45,0.5,0.3))))</x:f>
        <x:v>1</x:v>
      </x:c>
      <x:c r="M72" s="47" t="n">
        <x:f>J72*L72</x:f>
        <x:v>0</x:v>
      </x:c>
      <x:c r="N72" s="47" t="n">
        <x:f>N71+M72</x:f>
        <x:v>125000</x:v>
      </x:c>
      <x:c r="O72" s="46" t="n">
        <x:f>IF(C72="P0",0,IF(D72&lt;=3,0.15,IF(D72&lt;=14,0.25,IF(D72&lt;=45,0.35,0.5))))</x:f>
        <x:v>0</x:v>
      </x:c>
      <x:c r="P72" s="47" t="n">
        <x:f>J72*O72</x:f>
        <x:v>0</x:v>
      </x:c>
      <x:c r="Q72" s="46" t="n">
        <x:f>IF(C72="P0",0,IF(D72&lt;=3,0.05,IF(D72&lt;=14,0.1,IF(D72&lt;=45,0.15,0.2))))</x:f>
        <x:v>0</x:v>
      </x:c>
      <x:c r="R72" s="47" t="n">
        <x:f>J72*Q72</x:f>
        <x:v>0</x:v>
      </x:c>
      <x:c r="S72" s="20" t="str">
        <x:f>IF(D72&lt;E72,"closed",IF(D72&lt;'Paths'!$N$7,"initial","expanded"))</x:f>
        <x:v>expanded</x:v>
      </x:c>
      <x:c r="T72" s="72"/>
    </x:row>
    <x:row r="73">
      <x:c r="C73" s="20" t="str">
        <x:v>P0</x:v>
      </x:c>
      <x:c r="D73" s="20" t="n">
        <x:v>66</x:v>
      </x:c>
      <x:c r="E73" s="45" t="n">
        <x:f>IF('Controls'!$D$7="Reference",'Paths'!$J$7,'Paths'!$K$7)</x:f>
        <x:v>0</x:v>
      </x:c>
      <x:c r="F73" s="47" t="n">
        <x:f>IF(D73&lt;'Paths'!$N$7,IF('Controls'!$D$7="Reference",'Paths'!$L$7,'Paths'!$M$7),IF('Controls'!$D$7="Reference",'Paths'!$O$7,'Paths'!$P$7))</x:f>
        <x:v>0</x:v>
      </x:c>
      <x:c r="G73" s="46" t="n">
        <x:f>IF('Controls'!$D$7="Reference",1,IF(OR(D73=6,D73=7,D73=21,D73=46),'Paths'!$U$7,1))</x:f>
        <x:v>1</x:v>
      </x:c>
      <x:c r="H73" s="46" t="n">
        <x:f>IF('Controls'!$D$7="Reference",1,IF(OR(AND(D73&gt;=14,D73&lt;=16),AND(D73&gt;=34,D73&lt;=35),AND(D73&gt;=61,D73&lt;=63)),'Paths'!$V$7,1))</x:f>
        <x:v>1</x:v>
      </x:c>
      <x:c r="I73" s="46" t="n">
        <x:f>'Paths'!$W$7</x:f>
        <x:v>1</x:v>
      </x:c>
      <x:c r="J73" s="47" t="n">
        <x:f>IF(D73&lt;E73,0,MIN(F73*G73*H73*I73,IF('Paths'!$T$7&gt;0,MAX(0,'Paths'!$T$7-K72),1000000000)))</x:f>
        <x:v>0</x:v>
      </x:c>
      <x:c r="K73" s="47" t="n">
        <x:f>K72+J73</x:f>
        <x:v>125000</x:v>
      </x:c>
      <x:c r="L73" s="46" t="n">
        <x:f>IF(C73="P0",1,IF(D73&lt;=3,0.8,IF(D73&lt;=14,0.65,IF(D73&lt;=45,0.5,0.3))))</x:f>
        <x:v>1</x:v>
      </x:c>
      <x:c r="M73" s="47" t="n">
        <x:f>J73*L73</x:f>
        <x:v>0</x:v>
      </x:c>
      <x:c r="N73" s="47" t="n">
        <x:f>N72+M73</x:f>
        <x:v>125000</x:v>
      </x:c>
      <x:c r="O73" s="46" t="n">
        <x:f>IF(C73="P0",0,IF(D73&lt;=3,0.15,IF(D73&lt;=14,0.25,IF(D73&lt;=45,0.35,0.5))))</x:f>
        <x:v>0</x:v>
      </x:c>
      <x:c r="P73" s="47" t="n">
        <x:f>J73*O73</x:f>
        <x:v>0</x:v>
      </x:c>
      <x:c r="Q73" s="46" t="n">
        <x:f>IF(C73="P0",0,IF(D73&lt;=3,0.05,IF(D73&lt;=14,0.1,IF(D73&lt;=45,0.15,0.2))))</x:f>
        <x:v>0</x:v>
      </x:c>
      <x:c r="R73" s="47" t="n">
        <x:f>J73*Q73</x:f>
        <x:v>0</x:v>
      </x:c>
      <x:c r="S73" s="20" t="str">
        <x:f>IF(D73&lt;E73,"closed",IF(D73&lt;'Paths'!$N$7,"initial","expanded"))</x:f>
        <x:v>expanded</x:v>
      </x:c>
      <x:c r="T73" s="72"/>
    </x:row>
    <x:row r="74">
      <x:c r="C74" s="20" t="str">
        <x:v>P0</x:v>
      </x:c>
      <x:c r="D74" s="20" t="n">
        <x:v>67</x:v>
      </x:c>
      <x:c r="E74" s="45" t="n">
        <x:f>IF('Controls'!$D$7="Reference",'Paths'!$J$7,'Paths'!$K$7)</x:f>
        <x:v>0</x:v>
      </x:c>
      <x:c r="F74" s="47" t="n">
        <x:f>IF(D74&lt;'Paths'!$N$7,IF('Controls'!$D$7="Reference",'Paths'!$L$7,'Paths'!$M$7),IF('Controls'!$D$7="Reference",'Paths'!$O$7,'Paths'!$P$7))</x:f>
        <x:v>0</x:v>
      </x:c>
      <x:c r="G74" s="46" t="n">
        <x:f>IF('Controls'!$D$7="Reference",1,IF(OR(D74=6,D74=7,D74=21,D74=46),'Paths'!$U$7,1))</x:f>
        <x:v>1</x:v>
      </x:c>
      <x:c r="H74" s="46" t="n">
        <x:f>IF('Controls'!$D$7="Reference",1,IF(OR(AND(D74&gt;=14,D74&lt;=16),AND(D74&gt;=34,D74&lt;=35),AND(D74&gt;=61,D74&lt;=63)),'Paths'!$V$7,1))</x:f>
        <x:v>1</x:v>
      </x:c>
      <x:c r="I74" s="46" t="n">
        <x:f>'Paths'!$W$7</x:f>
        <x:v>1</x:v>
      </x:c>
      <x:c r="J74" s="47" t="n">
        <x:f>IF(D74&lt;E74,0,MIN(F74*G74*H74*I74,IF('Paths'!$T$7&gt;0,MAX(0,'Paths'!$T$7-K73),1000000000)))</x:f>
        <x:v>0</x:v>
      </x:c>
      <x:c r="K74" s="47" t="n">
        <x:f>K73+J74</x:f>
        <x:v>125000</x:v>
      </x:c>
      <x:c r="L74" s="46" t="n">
        <x:f>IF(C74="P0",1,IF(D74&lt;=3,0.8,IF(D74&lt;=14,0.65,IF(D74&lt;=45,0.5,0.3))))</x:f>
        <x:v>1</x:v>
      </x:c>
      <x:c r="M74" s="47" t="n">
        <x:f>J74*L74</x:f>
        <x:v>0</x:v>
      </x:c>
      <x:c r="N74" s="47" t="n">
        <x:f>N73+M74</x:f>
        <x:v>125000</x:v>
      </x:c>
      <x:c r="O74" s="46" t="n">
        <x:f>IF(C74="P0",0,IF(D74&lt;=3,0.15,IF(D74&lt;=14,0.25,IF(D74&lt;=45,0.35,0.5))))</x:f>
        <x:v>0</x:v>
      </x:c>
      <x:c r="P74" s="47" t="n">
        <x:f>J74*O74</x:f>
        <x:v>0</x:v>
      </x:c>
      <x:c r="Q74" s="46" t="n">
        <x:f>IF(C74="P0",0,IF(D74&lt;=3,0.05,IF(D74&lt;=14,0.1,IF(D74&lt;=45,0.15,0.2))))</x:f>
        <x:v>0</x:v>
      </x:c>
      <x:c r="R74" s="47" t="n">
        <x:f>J74*Q74</x:f>
        <x:v>0</x:v>
      </x:c>
      <x:c r="S74" s="20" t="str">
        <x:f>IF(D74&lt;E74,"closed",IF(D74&lt;'Paths'!$N$7,"initial","expanded"))</x:f>
        <x:v>expanded</x:v>
      </x:c>
      <x:c r="T74" s="72"/>
    </x:row>
    <x:row r="75">
      <x:c r="C75" s="20" t="str">
        <x:v>P0</x:v>
      </x:c>
      <x:c r="D75" s="20" t="n">
        <x:v>68</x:v>
      </x:c>
      <x:c r="E75" s="45" t="n">
        <x:f>IF('Controls'!$D$7="Reference",'Paths'!$J$7,'Paths'!$K$7)</x:f>
        <x:v>0</x:v>
      </x:c>
      <x:c r="F75" s="47" t="n">
        <x:f>IF(D75&lt;'Paths'!$N$7,IF('Controls'!$D$7="Reference",'Paths'!$L$7,'Paths'!$M$7),IF('Controls'!$D$7="Reference",'Paths'!$O$7,'Paths'!$P$7))</x:f>
        <x:v>0</x:v>
      </x:c>
      <x:c r="G75" s="46" t="n">
        <x:f>IF('Controls'!$D$7="Reference",1,IF(OR(D75=6,D75=7,D75=21,D75=46),'Paths'!$U$7,1))</x:f>
        <x:v>1</x:v>
      </x:c>
      <x:c r="H75" s="46" t="n">
        <x:f>IF('Controls'!$D$7="Reference",1,IF(OR(AND(D75&gt;=14,D75&lt;=16),AND(D75&gt;=34,D75&lt;=35),AND(D75&gt;=61,D75&lt;=63)),'Paths'!$V$7,1))</x:f>
        <x:v>1</x:v>
      </x:c>
      <x:c r="I75" s="46" t="n">
        <x:f>'Paths'!$W$7</x:f>
        <x:v>1</x:v>
      </x:c>
      <x:c r="J75" s="47" t="n">
        <x:f>IF(D75&lt;E75,0,MIN(F75*G75*H75*I75,IF('Paths'!$T$7&gt;0,MAX(0,'Paths'!$T$7-K74),1000000000)))</x:f>
        <x:v>0</x:v>
      </x:c>
      <x:c r="K75" s="47" t="n">
        <x:f>K74+J75</x:f>
        <x:v>125000</x:v>
      </x:c>
      <x:c r="L75" s="46" t="n">
        <x:f>IF(C75="P0",1,IF(D75&lt;=3,0.8,IF(D75&lt;=14,0.65,IF(D75&lt;=45,0.5,0.3))))</x:f>
        <x:v>1</x:v>
      </x:c>
      <x:c r="M75" s="47" t="n">
        <x:f>J75*L75</x:f>
        <x:v>0</x:v>
      </x:c>
      <x:c r="N75" s="47" t="n">
        <x:f>N74+M75</x:f>
        <x:v>125000</x:v>
      </x:c>
      <x:c r="O75" s="46" t="n">
        <x:f>IF(C75="P0",0,IF(D75&lt;=3,0.15,IF(D75&lt;=14,0.25,IF(D75&lt;=45,0.35,0.5))))</x:f>
        <x:v>0</x:v>
      </x:c>
      <x:c r="P75" s="47" t="n">
        <x:f>J75*O75</x:f>
        <x:v>0</x:v>
      </x:c>
      <x:c r="Q75" s="46" t="n">
        <x:f>IF(C75="P0",0,IF(D75&lt;=3,0.05,IF(D75&lt;=14,0.1,IF(D75&lt;=45,0.15,0.2))))</x:f>
        <x:v>0</x:v>
      </x:c>
      <x:c r="R75" s="47" t="n">
        <x:f>J75*Q75</x:f>
        <x:v>0</x:v>
      </x:c>
      <x:c r="S75" s="20" t="str">
        <x:f>IF(D75&lt;E75,"closed",IF(D75&lt;'Paths'!$N$7,"initial","expanded"))</x:f>
        <x:v>expanded</x:v>
      </x:c>
      <x:c r="T75" s="72"/>
    </x:row>
    <x:row r="76">
      <x:c r="C76" s="20" t="str">
        <x:v>P0</x:v>
      </x:c>
      <x:c r="D76" s="20" t="n">
        <x:v>69</x:v>
      </x:c>
      <x:c r="E76" s="45" t="n">
        <x:f>IF('Controls'!$D$7="Reference",'Paths'!$J$7,'Paths'!$K$7)</x:f>
        <x:v>0</x:v>
      </x:c>
      <x:c r="F76" s="47" t="n">
        <x:f>IF(D76&lt;'Paths'!$N$7,IF('Controls'!$D$7="Reference",'Paths'!$L$7,'Paths'!$M$7),IF('Controls'!$D$7="Reference",'Paths'!$O$7,'Paths'!$P$7))</x:f>
        <x:v>0</x:v>
      </x:c>
      <x:c r="G76" s="46" t="n">
        <x:f>IF('Controls'!$D$7="Reference",1,IF(OR(D76=6,D76=7,D76=21,D76=46),'Paths'!$U$7,1))</x:f>
        <x:v>1</x:v>
      </x:c>
      <x:c r="H76" s="46" t="n">
        <x:f>IF('Controls'!$D$7="Reference",1,IF(OR(AND(D76&gt;=14,D76&lt;=16),AND(D76&gt;=34,D76&lt;=35),AND(D76&gt;=61,D76&lt;=63)),'Paths'!$V$7,1))</x:f>
        <x:v>1</x:v>
      </x:c>
      <x:c r="I76" s="46" t="n">
        <x:f>'Paths'!$W$7</x:f>
        <x:v>1</x:v>
      </x:c>
      <x:c r="J76" s="47" t="n">
        <x:f>IF(D76&lt;E76,0,MIN(F76*G76*H76*I76,IF('Paths'!$T$7&gt;0,MAX(0,'Paths'!$T$7-K75),1000000000)))</x:f>
        <x:v>0</x:v>
      </x:c>
      <x:c r="K76" s="47" t="n">
        <x:f>K75+J76</x:f>
        <x:v>125000</x:v>
      </x:c>
      <x:c r="L76" s="46" t="n">
        <x:f>IF(C76="P0",1,IF(D76&lt;=3,0.8,IF(D76&lt;=14,0.65,IF(D76&lt;=45,0.5,0.3))))</x:f>
        <x:v>1</x:v>
      </x:c>
      <x:c r="M76" s="47" t="n">
        <x:f>J76*L76</x:f>
        <x:v>0</x:v>
      </x:c>
      <x:c r="N76" s="47" t="n">
        <x:f>N75+M76</x:f>
        <x:v>125000</x:v>
      </x:c>
      <x:c r="O76" s="46" t="n">
        <x:f>IF(C76="P0",0,IF(D76&lt;=3,0.15,IF(D76&lt;=14,0.25,IF(D76&lt;=45,0.35,0.5))))</x:f>
        <x:v>0</x:v>
      </x:c>
      <x:c r="P76" s="47" t="n">
        <x:f>J76*O76</x:f>
        <x:v>0</x:v>
      </x:c>
      <x:c r="Q76" s="46" t="n">
        <x:f>IF(C76="P0",0,IF(D76&lt;=3,0.05,IF(D76&lt;=14,0.1,IF(D76&lt;=45,0.15,0.2))))</x:f>
        <x:v>0</x:v>
      </x:c>
      <x:c r="R76" s="47" t="n">
        <x:f>J76*Q76</x:f>
        <x:v>0</x:v>
      </x:c>
      <x:c r="S76" s="20" t="str">
        <x:f>IF(D76&lt;E76,"closed",IF(D76&lt;'Paths'!$N$7,"initial","expanded"))</x:f>
        <x:v>expanded</x:v>
      </x:c>
      <x:c r="T76" s="72"/>
    </x:row>
    <x:row r="77">
      <x:c r="C77" s="20" t="str">
        <x:v>P0</x:v>
      </x:c>
      <x:c r="D77" s="20" t="n">
        <x:v>70</x:v>
      </x:c>
      <x:c r="E77" s="45" t="n">
        <x:f>IF('Controls'!$D$7="Reference",'Paths'!$J$7,'Paths'!$K$7)</x:f>
        <x:v>0</x:v>
      </x:c>
      <x:c r="F77" s="47" t="n">
        <x:f>IF(D77&lt;'Paths'!$N$7,IF('Controls'!$D$7="Reference",'Paths'!$L$7,'Paths'!$M$7),IF('Controls'!$D$7="Reference",'Paths'!$O$7,'Paths'!$P$7))</x:f>
        <x:v>0</x:v>
      </x:c>
      <x:c r="G77" s="46" t="n">
        <x:f>IF('Controls'!$D$7="Reference",1,IF(OR(D77=6,D77=7,D77=21,D77=46),'Paths'!$U$7,1))</x:f>
        <x:v>1</x:v>
      </x:c>
      <x:c r="H77" s="46" t="n">
        <x:f>IF('Controls'!$D$7="Reference",1,IF(OR(AND(D77&gt;=14,D77&lt;=16),AND(D77&gt;=34,D77&lt;=35),AND(D77&gt;=61,D77&lt;=63)),'Paths'!$V$7,1))</x:f>
        <x:v>1</x:v>
      </x:c>
      <x:c r="I77" s="46" t="n">
        <x:f>'Paths'!$W$7</x:f>
        <x:v>1</x:v>
      </x:c>
      <x:c r="J77" s="47" t="n">
        <x:f>IF(D77&lt;E77,0,MIN(F77*G77*H77*I77,IF('Paths'!$T$7&gt;0,MAX(0,'Paths'!$T$7-K76),1000000000)))</x:f>
        <x:v>0</x:v>
      </x:c>
      <x:c r="K77" s="47" t="n">
        <x:f>K76+J77</x:f>
        <x:v>125000</x:v>
      </x:c>
      <x:c r="L77" s="46" t="n">
        <x:f>IF(C77="P0",1,IF(D77&lt;=3,0.8,IF(D77&lt;=14,0.65,IF(D77&lt;=45,0.5,0.3))))</x:f>
        <x:v>1</x:v>
      </x:c>
      <x:c r="M77" s="47" t="n">
        <x:f>J77*L77</x:f>
        <x:v>0</x:v>
      </x:c>
      <x:c r="N77" s="47" t="n">
        <x:f>N76+M77</x:f>
        <x:v>125000</x:v>
      </x:c>
      <x:c r="O77" s="46" t="n">
        <x:f>IF(C77="P0",0,IF(D77&lt;=3,0.15,IF(D77&lt;=14,0.25,IF(D77&lt;=45,0.35,0.5))))</x:f>
        <x:v>0</x:v>
      </x:c>
      <x:c r="P77" s="47" t="n">
        <x:f>J77*O77</x:f>
        <x:v>0</x:v>
      </x:c>
      <x:c r="Q77" s="46" t="n">
        <x:f>IF(C77="P0",0,IF(D77&lt;=3,0.05,IF(D77&lt;=14,0.1,IF(D77&lt;=45,0.15,0.2))))</x:f>
        <x:v>0</x:v>
      </x:c>
      <x:c r="R77" s="47" t="n">
        <x:f>J77*Q77</x:f>
        <x:v>0</x:v>
      </x:c>
      <x:c r="S77" s="20" t="str">
        <x:f>IF(D77&lt;E77,"closed",IF(D77&lt;'Paths'!$N$7,"initial","expanded"))</x:f>
        <x:v>expanded</x:v>
      </x:c>
      <x:c r="T77" s="72"/>
    </x:row>
    <x:row r="78">
      <x:c r="C78" s="20" t="str">
        <x:v>P0</x:v>
      </x:c>
      <x:c r="D78" s="20" t="n">
        <x:v>71</x:v>
      </x:c>
      <x:c r="E78" s="45" t="n">
        <x:f>IF('Controls'!$D$7="Reference",'Paths'!$J$7,'Paths'!$K$7)</x:f>
        <x:v>0</x:v>
      </x:c>
      <x:c r="F78" s="47" t="n">
        <x:f>IF(D78&lt;'Paths'!$N$7,IF('Controls'!$D$7="Reference",'Paths'!$L$7,'Paths'!$M$7),IF('Controls'!$D$7="Reference",'Paths'!$O$7,'Paths'!$P$7))</x:f>
        <x:v>0</x:v>
      </x:c>
      <x:c r="G78" s="46" t="n">
        <x:f>IF('Controls'!$D$7="Reference",1,IF(OR(D78=6,D78=7,D78=21,D78=46),'Paths'!$U$7,1))</x:f>
        <x:v>1</x:v>
      </x:c>
      <x:c r="H78" s="46" t="n">
        <x:f>IF('Controls'!$D$7="Reference",1,IF(OR(AND(D78&gt;=14,D78&lt;=16),AND(D78&gt;=34,D78&lt;=35),AND(D78&gt;=61,D78&lt;=63)),'Paths'!$V$7,1))</x:f>
        <x:v>1</x:v>
      </x:c>
      <x:c r="I78" s="46" t="n">
        <x:f>'Paths'!$W$7</x:f>
        <x:v>1</x:v>
      </x:c>
      <x:c r="J78" s="47" t="n">
        <x:f>IF(D78&lt;E78,0,MIN(F78*G78*H78*I78,IF('Paths'!$T$7&gt;0,MAX(0,'Paths'!$T$7-K77),1000000000)))</x:f>
        <x:v>0</x:v>
      </x:c>
      <x:c r="K78" s="47" t="n">
        <x:f>K77+J78</x:f>
        <x:v>125000</x:v>
      </x:c>
      <x:c r="L78" s="46" t="n">
        <x:f>IF(C78="P0",1,IF(D78&lt;=3,0.8,IF(D78&lt;=14,0.65,IF(D78&lt;=45,0.5,0.3))))</x:f>
        <x:v>1</x:v>
      </x:c>
      <x:c r="M78" s="47" t="n">
        <x:f>J78*L78</x:f>
        <x:v>0</x:v>
      </x:c>
      <x:c r="N78" s="47" t="n">
        <x:f>N77+M78</x:f>
        <x:v>125000</x:v>
      </x:c>
      <x:c r="O78" s="46" t="n">
        <x:f>IF(C78="P0",0,IF(D78&lt;=3,0.15,IF(D78&lt;=14,0.25,IF(D78&lt;=45,0.35,0.5))))</x:f>
        <x:v>0</x:v>
      </x:c>
      <x:c r="P78" s="47" t="n">
        <x:f>J78*O78</x:f>
        <x:v>0</x:v>
      </x:c>
      <x:c r="Q78" s="46" t="n">
        <x:f>IF(C78="P0",0,IF(D78&lt;=3,0.05,IF(D78&lt;=14,0.1,IF(D78&lt;=45,0.15,0.2))))</x:f>
        <x:v>0</x:v>
      </x:c>
      <x:c r="R78" s="47" t="n">
        <x:f>J78*Q78</x:f>
        <x:v>0</x:v>
      </x:c>
      <x:c r="S78" s="20" t="str">
        <x:f>IF(D78&lt;E78,"closed",IF(D78&lt;'Paths'!$N$7,"initial","expanded"))</x:f>
        <x:v>expanded</x:v>
      </x:c>
      <x:c r="T78" s="72"/>
    </x:row>
    <x:row r="79">
      <x:c r="C79" s="20" t="str">
        <x:v>P0</x:v>
      </x:c>
      <x:c r="D79" s="20" t="n">
        <x:v>72</x:v>
      </x:c>
      <x:c r="E79" s="45" t="n">
        <x:f>IF('Controls'!$D$7="Reference",'Paths'!$J$7,'Paths'!$K$7)</x:f>
        <x:v>0</x:v>
      </x:c>
      <x:c r="F79" s="47" t="n">
        <x:f>IF(D79&lt;'Paths'!$N$7,IF('Controls'!$D$7="Reference",'Paths'!$L$7,'Paths'!$M$7),IF('Controls'!$D$7="Reference",'Paths'!$O$7,'Paths'!$P$7))</x:f>
        <x:v>0</x:v>
      </x:c>
      <x:c r="G79" s="46" t="n">
        <x:f>IF('Controls'!$D$7="Reference",1,IF(OR(D79=6,D79=7,D79=21,D79=46),'Paths'!$U$7,1))</x:f>
        <x:v>1</x:v>
      </x:c>
      <x:c r="H79" s="46" t="n">
        <x:f>IF('Controls'!$D$7="Reference",1,IF(OR(AND(D79&gt;=14,D79&lt;=16),AND(D79&gt;=34,D79&lt;=35),AND(D79&gt;=61,D79&lt;=63)),'Paths'!$V$7,1))</x:f>
        <x:v>1</x:v>
      </x:c>
      <x:c r="I79" s="46" t="n">
        <x:f>'Paths'!$W$7</x:f>
        <x:v>1</x:v>
      </x:c>
      <x:c r="J79" s="47" t="n">
        <x:f>IF(D79&lt;E79,0,MIN(F79*G79*H79*I79,IF('Paths'!$T$7&gt;0,MAX(0,'Paths'!$T$7-K78),1000000000)))</x:f>
        <x:v>0</x:v>
      </x:c>
      <x:c r="K79" s="47" t="n">
        <x:f>K78+J79</x:f>
        <x:v>125000</x:v>
      </x:c>
      <x:c r="L79" s="46" t="n">
        <x:f>IF(C79="P0",1,IF(D79&lt;=3,0.8,IF(D79&lt;=14,0.65,IF(D79&lt;=45,0.5,0.3))))</x:f>
        <x:v>1</x:v>
      </x:c>
      <x:c r="M79" s="47" t="n">
        <x:f>J79*L79</x:f>
        <x:v>0</x:v>
      </x:c>
      <x:c r="N79" s="47" t="n">
        <x:f>N78+M79</x:f>
        <x:v>125000</x:v>
      </x:c>
      <x:c r="O79" s="46" t="n">
        <x:f>IF(C79="P0",0,IF(D79&lt;=3,0.15,IF(D79&lt;=14,0.25,IF(D79&lt;=45,0.35,0.5))))</x:f>
        <x:v>0</x:v>
      </x:c>
      <x:c r="P79" s="47" t="n">
        <x:f>J79*O79</x:f>
        <x:v>0</x:v>
      </x:c>
      <x:c r="Q79" s="46" t="n">
        <x:f>IF(C79="P0",0,IF(D79&lt;=3,0.05,IF(D79&lt;=14,0.1,IF(D79&lt;=45,0.15,0.2))))</x:f>
        <x:v>0</x:v>
      </x:c>
      <x:c r="R79" s="47" t="n">
        <x:f>J79*Q79</x:f>
        <x:v>0</x:v>
      </x:c>
      <x:c r="S79" s="20" t="str">
        <x:f>IF(D79&lt;E79,"closed",IF(D79&lt;'Paths'!$N$7,"initial","expanded"))</x:f>
        <x:v>expanded</x:v>
      </x:c>
      <x:c r="T79" s="72"/>
    </x:row>
    <x:row r="80">
      <x:c r="C80" s="20" t="str">
        <x:v>P0</x:v>
      </x:c>
      <x:c r="D80" s="20" t="n">
        <x:v>73</x:v>
      </x:c>
      <x:c r="E80" s="45" t="n">
        <x:f>IF('Controls'!$D$7="Reference",'Paths'!$J$7,'Paths'!$K$7)</x:f>
        <x:v>0</x:v>
      </x:c>
      <x:c r="F80" s="47" t="n">
        <x:f>IF(D80&lt;'Paths'!$N$7,IF('Controls'!$D$7="Reference",'Paths'!$L$7,'Paths'!$M$7),IF('Controls'!$D$7="Reference",'Paths'!$O$7,'Paths'!$P$7))</x:f>
        <x:v>0</x:v>
      </x:c>
      <x:c r="G80" s="46" t="n">
        <x:f>IF('Controls'!$D$7="Reference",1,IF(OR(D80=6,D80=7,D80=21,D80=46),'Paths'!$U$7,1))</x:f>
        <x:v>1</x:v>
      </x:c>
      <x:c r="H80" s="46" t="n">
        <x:f>IF('Controls'!$D$7="Reference",1,IF(OR(AND(D80&gt;=14,D80&lt;=16),AND(D80&gt;=34,D80&lt;=35),AND(D80&gt;=61,D80&lt;=63)),'Paths'!$V$7,1))</x:f>
        <x:v>1</x:v>
      </x:c>
      <x:c r="I80" s="46" t="n">
        <x:f>'Paths'!$W$7</x:f>
        <x:v>1</x:v>
      </x:c>
      <x:c r="J80" s="47" t="n">
        <x:f>IF(D80&lt;E80,0,MIN(F80*G80*H80*I80,IF('Paths'!$T$7&gt;0,MAX(0,'Paths'!$T$7-K79),1000000000)))</x:f>
        <x:v>0</x:v>
      </x:c>
      <x:c r="K80" s="47" t="n">
        <x:f>K79+J80</x:f>
        <x:v>125000</x:v>
      </x:c>
      <x:c r="L80" s="46" t="n">
        <x:f>IF(C80="P0",1,IF(D80&lt;=3,0.8,IF(D80&lt;=14,0.65,IF(D80&lt;=45,0.5,0.3))))</x:f>
        <x:v>1</x:v>
      </x:c>
      <x:c r="M80" s="47" t="n">
        <x:f>J80*L80</x:f>
        <x:v>0</x:v>
      </x:c>
      <x:c r="N80" s="47" t="n">
        <x:f>N79+M80</x:f>
        <x:v>125000</x:v>
      </x:c>
      <x:c r="O80" s="46" t="n">
        <x:f>IF(C80="P0",0,IF(D80&lt;=3,0.15,IF(D80&lt;=14,0.25,IF(D80&lt;=45,0.35,0.5))))</x:f>
        <x:v>0</x:v>
      </x:c>
      <x:c r="P80" s="47" t="n">
        <x:f>J80*O80</x:f>
        <x:v>0</x:v>
      </x:c>
      <x:c r="Q80" s="46" t="n">
        <x:f>IF(C80="P0",0,IF(D80&lt;=3,0.05,IF(D80&lt;=14,0.1,IF(D80&lt;=45,0.15,0.2))))</x:f>
        <x:v>0</x:v>
      </x:c>
      <x:c r="R80" s="47" t="n">
        <x:f>J80*Q80</x:f>
        <x:v>0</x:v>
      </x:c>
      <x:c r="S80" s="20" t="str">
        <x:f>IF(D80&lt;E80,"closed",IF(D80&lt;'Paths'!$N$7,"initial","expanded"))</x:f>
        <x:v>expanded</x:v>
      </x:c>
      <x:c r="T80" s="72"/>
    </x:row>
    <x:row r="81">
      <x:c r="C81" s="20" t="str">
        <x:v>P0</x:v>
      </x:c>
      <x:c r="D81" s="20" t="n">
        <x:v>74</x:v>
      </x:c>
      <x:c r="E81" s="45" t="n">
        <x:f>IF('Controls'!$D$7="Reference",'Paths'!$J$7,'Paths'!$K$7)</x:f>
        <x:v>0</x:v>
      </x:c>
      <x:c r="F81" s="47" t="n">
        <x:f>IF(D81&lt;'Paths'!$N$7,IF('Controls'!$D$7="Reference",'Paths'!$L$7,'Paths'!$M$7),IF('Controls'!$D$7="Reference",'Paths'!$O$7,'Paths'!$P$7))</x:f>
        <x:v>0</x:v>
      </x:c>
      <x:c r="G81" s="46" t="n">
        <x:f>IF('Controls'!$D$7="Reference",1,IF(OR(D81=6,D81=7,D81=21,D81=46),'Paths'!$U$7,1))</x:f>
        <x:v>1</x:v>
      </x:c>
      <x:c r="H81" s="46" t="n">
        <x:f>IF('Controls'!$D$7="Reference",1,IF(OR(AND(D81&gt;=14,D81&lt;=16),AND(D81&gt;=34,D81&lt;=35),AND(D81&gt;=61,D81&lt;=63)),'Paths'!$V$7,1))</x:f>
        <x:v>1</x:v>
      </x:c>
      <x:c r="I81" s="46" t="n">
        <x:f>'Paths'!$W$7</x:f>
        <x:v>1</x:v>
      </x:c>
      <x:c r="J81" s="47" t="n">
        <x:f>IF(D81&lt;E81,0,MIN(F81*G81*H81*I81,IF('Paths'!$T$7&gt;0,MAX(0,'Paths'!$T$7-K80),1000000000)))</x:f>
        <x:v>0</x:v>
      </x:c>
      <x:c r="K81" s="47" t="n">
        <x:f>K80+J81</x:f>
        <x:v>125000</x:v>
      </x:c>
      <x:c r="L81" s="46" t="n">
        <x:f>IF(C81="P0",1,IF(D81&lt;=3,0.8,IF(D81&lt;=14,0.65,IF(D81&lt;=45,0.5,0.3))))</x:f>
        <x:v>1</x:v>
      </x:c>
      <x:c r="M81" s="47" t="n">
        <x:f>J81*L81</x:f>
        <x:v>0</x:v>
      </x:c>
      <x:c r="N81" s="47" t="n">
        <x:f>N80+M81</x:f>
        <x:v>125000</x:v>
      </x:c>
      <x:c r="O81" s="46" t="n">
        <x:f>IF(C81="P0",0,IF(D81&lt;=3,0.15,IF(D81&lt;=14,0.25,IF(D81&lt;=45,0.35,0.5))))</x:f>
        <x:v>0</x:v>
      </x:c>
      <x:c r="P81" s="47" t="n">
        <x:f>J81*O81</x:f>
        <x:v>0</x:v>
      </x:c>
      <x:c r="Q81" s="46" t="n">
        <x:f>IF(C81="P0",0,IF(D81&lt;=3,0.05,IF(D81&lt;=14,0.1,IF(D81&lt;=45,0.15,0.2))))</x:f>
        <x:v>0</x:v>
      </x:c>
      <x:c r="R81" s="47" t="n">
        <x:f>J81*Q81</x:f>
        <x:v>0</x:v>
      </x:c>
      <x:c r="S81" s="20" t="str">
        <x:f>IF(D81&lt;E81,"closed",IF(D81&lt;'Paths'!$N$7,"initial","expanded"))</x:f>
        <x:v>expanded</x:v>
      </x:c>
      <x:c r="T81" s="72"/>
    </x:row>
    <x:row r="82">
      <x:c r="C82" s="20" t="str">
        <x:v>P0</x:v>
      </x:c>
      <x:c r="D82" s="20" t="n">
        <x:v>75</x:v>
      </x:c>
      <x:c r="E82" s="45" t="n">
        <x:f>IF('Controls'!$D$7="Reference",'Paths'!$J$7,'Paths'!$K$7)</x:f>
        <x:v>0</x:v>
      </x:c>
      <x:c r="F82" s="47" t="n">
        <x:f>IF(D82&lt;'Paths'!$N$7,IF('Controls'!$D$7="Reference",'Paths'!$L$7,'Paths'!$M$7),IF('Controls'!$D$7="Reference",'Paths'!$O$7,'Paths'!$P$7))</x:f>
        <x:v>0</x:v>
      </x:c>
      <x:c r="G82" s="46" t="n">
        <x:f>IF('Controls'!$D$7="Reference",1,IF(OR(D82=6,D82=7,D82=21,D82=46),'Paths'!$U$7,1))</x:f>
        <x:v>1</x:v>
      </x:c>
      <x:c r="H82" s="46" t="n">
        <x:f>IF('Controls'!$D$7="Reference",1,IF(OR(AND(D82&gt;=14,D82&lt;=16),AND(D82&gt;=34,D82&lt;=35),AND(D82&gt;=61,D82&lt;=63)),'Paths'!$V$7,1))</x:f>
        <x:v>1</x:v>
      </x:c>
      <x:c r="I82" s="46" t="n">
        <x:f>'Paths'!$W$7</x:f>
        <x:v>1</x:v>
      </x:c>
      <x:c r="J82" s="47" t="n">
        <x:f>IF(D82&lt;E82,0,MIN(F82*G82*H82*I82,IF('Paths'!$T$7&gt;0,MAX(0,'Paths'!$T$7-K81),1000000000)))</x:f>
        <x:v>0</x:v>
      </x:c>
      <x:c r="K82" s="47" t="n">
        <x:f>K81+J82</x:f>
        <x:v>125000</x:v>
      </x:c>
      <x:c r="L82" s="46" t="n">
        <x:f>IF(C82="P0",1,IF(D82&lt;=3,0.8,IF(D82&lt;=14,0.65,IF(D82&lt;=45,0.5,0.3))))</x:f>
        <x:v>1</x:v>
      </x:c>
      <x:c r="M82" s="47" t="n">
        <x:f>J82*L82</x:f>
        <x:v>0</x:v>
      </x:c>
      <x:c r="N82" s="47" t="n">
        <x:f>N81+M82</x:f>
        <x:v>125000</x:v>
      </x:c>
      <x:c r="O82" s="46" t="n">
        <x:f>IF(C82="P0",0,IF(D82&lt;=3,0.15,IF(D82&lt;=14,0.25,IF(D82&lt;=45,0.35,0.5))))</x:f>
        <x:v>0</x:v>
      </x:c>
      <x:c r="P82" s="47" t="n">
        <x:f>J82*O82</x:f>
        <x:v>0</x:v>
      </x:c>
      <x:c r="Q82" s="46" t="n">
        <x:f>IF(C82="P0",0,IF(D82&lt;=3,0.05,IF(D82&lt;=14,0.1,IF(D82&lt;=45,0.15,0.2))))</x:f>
        <x:v>0</x:v>
      </x:c>
      <x:c r="R82" s="47" t="n">
        <x:f>J82*Q82</x:f>
        <x:v>0</x:v>
      </x:c>
      <x:c r="S82" s="20" t="str">
        <x:f>IF(D82&lt;E82,"closed",IF(D82&lt;'Paths'!$N$7,"initial","expanded"))</x:f>
        <x:v>expanded</x:v>
      </x:c>
      <x:c r="T82" s="72"/>
    </x:row>
    <x:row r="83">
      <x:c r="C83" s="20" t="str">
        <x:v>P0</x:v>
      </x:c>
      <x:c r="D83" s="20" t="n">
        <x:v>76</x:v>
      </x:c>
      <x:c r="E83" s="45" t="n">
        <x:f>IF('Controls'!$D$7="Reference",'Paths'!$J$7,'Paths'!$K$7)</x:f>
        <x:v>0</x:v>
      </x:c>
      <x:c r="F83" s="47" t="n">
        <x:f>IF(D83&lt;'Paths'!$N$7,IF('Controls'!$D$7="Reference",'Paths'!$L$7,'Paths'!$M$7),IF('Controls'!$D$7="Reference",'Paths'!$O$7,'Paths'!$P$7))</x:f>
        <x:v>0</x:v>
      </x:c>
      <x:c r="G83" s="46" t="n">
        <x:f>IF('Controls'!$D$7="Reference",1,IF(OR(D83=6,D83=7,D83=21,D83=46),'Paths'!$U$7,1))</x:f>
        <x:v>1</x:v>
      </x:c>
      <x:c r="H83" s="46" t="n">
        <x:f>IF('Controls'!$D$7="Reference",1,IF(OR(AND(D83&gt;=14,D83&lt;=16),AND(D83&gt;=34,D83&lt;=35),AND(D83&gt;=61,D83&lt;=63)),'Paths'!$V$7,1))</x:f>
        <x:v>1</x:v>
      </x:c>
      <x:c r="I83" s="46" t="n">
        <x:f>'Paths'!$W$7</x:f>
        <x:v>1</x:v>
      </x:c>
      <x:c r="J83" s="47" t="n">
        <x:f>IF(D83&lt;E83,0,MIN(F83*G83*H83*I83,IF('Paths'!$T$7&gt;0,MAX(0,'Paths'!$T$7-K82),1000000000)))</x:f>
        <x:v>0</x:v>
      </x:c>
      <x:c r="K83" s="47" t="n">
        <x:f>K82+J83</x:f>
        <x:v>125000</x:v>
      </x:c>
      <x:c r="L83" s="46" t="n">
        <x:f>IF(C83="P0",1,IF(D83&lt;=3,0.8,IF(D83&lt;=14,0.65,IF(D83&lt;=45,0.5,0.3))))</x:f>
        <x:v>1</x:v>
      </x:c>
      <x:c r="M83" s="47" t="n">
        <x:f>J83*L83</x:f>
        <x:v>0</x:v>
      </x:c>
      <x:c r="N83" s="47" t="n">
        <x:f>N82+M83</x:f>
        <x:v>125000</x:v>
      </x:c>
      <x:c r="O83" s="46" t="n">
        <x:f>IF(C83="P0",0,IF(D83&lt;=3,0.15,IF(D83&lt;=14,0.25,IF(D83&lt;=45,0.35,0.5))))</x:f>
        <x:v>0</x:v>
      </x:c>
      <x:c r="P83" s="47" t="n">
        <x:f>J83*O83</x:f>
        <x:v>0</x:v>
      </x:c>
      <x:c r="Q83" s="46" t="n">
        <x:f>IF(C83="P0",0,IF(D83&lt;=3,0.05,IF(D83&lt;=14,0.1,IF(D83&lt;=45,0.15,0.2))))</x:f>
        <x:v>0</x:v>
      </x:c>
      <x:c r="R83" s="47" t="n">
        <x:f>J83*Q83</x:f>
        <x:v>0</x:v>
      </x:c>
      <x:c r="S83" s="20" t="str">
        <x:f>IF(D83&lt;E83,"closed",IF(D83&lt;'Paths'!$N$7,"initial","expanded"))</x:f>
        <x:v>expanded</x:v>
      </x:c>
      <x:c r="T83" s="72"/>
    </x:row>
    <x:row r="84">
      <x:c r="C84" s="20" t="str">
        <x:v>P0</x:v>
      </x:c>
      <x:c r="D84" s="20" t="n">
        <x:v>77</x:v>
      </x:c>
      <x:c r="E84" s="45" t="n">
        <x:f>IF('Controls'!$D$7="Reference",'Paths'!$J$7,'Paths'!$K$7)</x:f>
        <x:v>0</x:v>
      </x:c>
      <x:c r="F84" s="47" t="n">
        <x:f>IF(D84&lt;'Paths'!$N$7,IF('Controls'!$D$7="Reference",'Paths'!$L$7,'Paths'!$M$7),IF('Controls'!$D$7="Reference",'Paths'!$O$7,'Paths'!$P$7))</x:f>
        <x:v>0</x:v>
      </x:c>
      <x:c r="G84" s="46" t="n">
        <x:f>IF('Controls'!$D$7="Reference",1,IF(OR(D84=6,D84=7,D84=21,D84=46),'Paths'!$U$7,1))</x:f>
        <x:v>1</x:v>
      </x:c>
      <x:c r="H84" s="46" t="n">
        <x:f>IF('Controls'!$D$7="Reference",1,IF(OR(AND(D84&gt;=14,D84&lt;=16),AND(D84&gt;=34,D84&lt;=35),AND(D84&gt;=61,D84&lt;=63)),'Paths'!$V$7,1))</x:f>
        <x:v>1</x:v>
      </x:c>
      <x:c r="I84" s="46" t="n">
        <x:f>'Paths'!$W$7</x:f>
        <x:v>1</x:v>
      </x:c>
      <x:c r="J84" s="47" t="n">
        <x:f>IF(D84&lt;E84,0,MIN(F84*G84*H84*I84,IF('Paths'!$T$7&gt;0,MAX(0,'Paths'!$T$7-K83),1000000000)))</x:f>
        <x:v>0</x:v>
      </x:c>
      <x:c r="K84" s="47" t="n">
        <x:f>K83+J84</x:f>
        <x:v>125000</x:v>
      </x:c>
      <x:c r="L84" s="46" t="n">
        <x:f>IF(C84="P0",1,IF(D84&lt;=3,0.8,IF(D84&lt;=14,0.65,IF(D84&lt;=45,0.5,0.3))))</x:f>
        <x:v>1</x:v>
      </x:c>
      <x:c r="M84" s="47" t="n">
        <x:f>J84*L84</x:f>
        <x:v>0</x:v>
      </x:c>
      <x:c r="N84" s="47" t="n">
        <x:f>N83+M84</x:f>
        <x:v>125000</x:v>
      </x:c>
      <x:c r="O84" s="46" t="n">
        <x:f>IF(C84="P0",0,IF(D84&lt;=3,0.15,IF(D84&lt;=14,0.25,IF(D84&lt;=45,0.35,0.5))))</x:f>
        <x:v>0</x:v>
      </x:c>
      <x:c r="P84" s="47" t="n">
        <x:f>J84*O84</x:f>
        <x:v>0</x:v>
      </x:c>
      <x:c r="Q84" s="46" t="n">
        <x:f>IF(C84="P0",0,IF(D84&lt;=3,0.05,IF(D84&lt;=14,0.1,IF(D84&lt;=45,0.15,0.2))))</x:f>
        <x:v>0</x:v>
      </x:c>
      <x:c r="R84" s="47" t="n">
        <x:f>J84*Q84</x:f>
        <x:v>0</x:v>
      </x:c>
      <x:c r="S84" s="20" t="str">
        <x:f>IF(D84&lt;E84,"closed",IF(D84&lt;'Paths'!$N$7,"initial","expanded"))</x:f>
        <x:v>expanded</x:v>
      </x:c>
      <x:c r="T84" s="72"/>
    </x:row>
    <x:row r="85">
      <x:c r="C85" s="20" t="str">
        <x:v>P0</x:v>
      </x:c>
      <x:c r="D85" s="20" t="n">
        <x:v>78</x:v>
      </x:c>
      <x:c r="E85" s="45" t="n">
        <x:f>IF('Controls'!$D$7="Reference",'Paths'!$J$7,'Paths'!$K$7)</x:f>
        <x:v>0</x:v>
      </x:c>
      <x:c r="F85" s="47" t="n">
        <x:f>IF(D85&lt;'Paths'!$N$7,IF('Controls'!$D$7="Reference",'Paths'!$L$7,'Paths'!$M$7),IF('Controls'!$D$7="Reference",'Paths'!$O$7,'Paths'!$P$7))</x:f>
        <x:v>0</x:v>
      </x:c>
      <x:c r="G85" s="46" t="n">
        <x:f>IF('Controls'!$D$7="Reference",1,IF(OR(D85=6,D85=7,D85=21,D85=46),'Paths'!$U$7,1))</x:f>
        <x:v>1</x:v>
      </x:c>
      <x:c r="H85" s="46" t="n">
        <x:f>IF('Controls'!$D$7="Reference",1,IF(OR(AND(D85&gt;=14,D85&lt;=16),AND(D85&gt;=34,D85&lt;=35),AND(D85&gt;=61,D85&lt;=63)),'Paths'!$V$7,1))</x:f>
        <x:v>1</x:v>
      </x:c>
      <x:c r="I85" s="46" t="n">
        <x:f>'Paths'!$W$7</x:f>
        <x:v>1</x:v>
      </x:c>
      <x:c r="J85" s="47" t="n">
        <x:f>IF(D85&lt;E85,0,MIN(F85*G85*H85*I85,IF('Paths'!$T$7&gt;0,MAX(0,'Paths'!$T$7-K84),1000000000)))</x:f>
        <x:v>0</x:v>
      </x:c>
      <x:c r="K85" s="47" t="n">
        <x:f>K84+J85</x:f>
        <x:v>125000</x:v>
      </x:c>
      <x:c r="L85" s="46" t="n">
        <x:f>IF(C85="P0",1,IF(D85&lt;=3,0.8,IF(D85&lt;=14,0.65,IF(D85&lt;=45,0.5,0.3))))</x:f>
        <x:v>1</x:v>
      </x:c>
      <x:c r="M85" s="47" t="n">
        <x:f>J85*L85</x:f>
        <x:v>0</x:v>
      </x:c>
      <x:c r="N85" s="47" t="n">
        <x:f>N84+M85</x:f>
        <x:v>125000</x:v>
      </x:c>
      <x:c r="O85" s="46" t="n">
        <x:f>IF(C85="P0",0,IF(D85&lt;=3,0.15,IF(D85&lt;=14,0.25,IF(D85&lt;=45,0.35,0.5))))</x:f>
        <x:v>0</x:v>
      </x:c>
      <x:c r="P85" s="47" t="n">
        <x:f>J85*O85</x:f>
        <x:v>0</x:v>
      </x:c>
      <x:c r="Q85" s="46" t="n">
        <x:f>IF(C85="P0",0,IF(D85&lt;=3,0.05,IF(D85&lt;=14,0.1,IF(D85&lt;=45,0.15,0.2))))</x:f>
        <x:v>0</x:v>
      </x:c>
      <x:c r="R85" s="47" t="n">
        <x:f>J85*Q85</x:f>
        <x:v>0</x:v>
      </x:c>
      <x:c r="S85" s="20" t="str">
        <x:f>IF(D85&lt;E85,"closed",IF(D85&lt;'Paths'!$N$7,"initial","expanded"))</x:f>
        <x:v>expanded</x:v>
      </x:c>
      <x:c r="T85" s="72"/>
    </x:row>
    <x:row r="86">
      <x:c r="C86" s="20" t="str">
        <x:v>P0</x:v>
      </x:c>
      <x:c r="D86" s="20" t="n">
        <x:v>79</x:v>
      </x:c>
      <x:c r="E86" s="45" t="n">
        <x:f>IF('Controls'!$D$7="Reference",'Paths'!$J$7,'Paths'!$K$7)</x:f>
        <x:v>0</x:v>
      </x:c>
      <x:c r="F86" s="47" t="n">
        <x:f>IF(D86&lt;'Paths'!$N$7,IF('Controls'!$D$7="Reference",'Paths'!$L$7,'Paths'!$M$7),IF('Controls'!$D$7="Reference",'Paths'!$O$7,'Paths'!$P$7))</x:f>
        <x:v>0</x:v>
      </x:c>
      <x:c r="G86" s="46" t="n">
        <x:f>IF('Controls'!$D$7="Reference",1,IF(OR(D86=6,D86=7,D86=21,D86=46),'Paths'!$U$7,1))</x:f>
        <x:v>1</x:v>
      </x:c>
      <x:c r="H86" s="46" t="n">
        <x:f>IF('Controls'!$D$7="Reference",1,IF(OR(AND(D86&gt;=14,D86&lt;=16),AND(D86&gt;=34,D86&lt;=35),AND(D86&gt;=61,D86&lt;=63)),'Paths'!$V$7,1))</x:f>
        <x:v>1</x:v>
      </x:c>
      <x:c r="I86" s="46" t="n">
        <x:f>'Paths'!$W$7</x:f>
        <x:v>1</x:v>
      </x:c>
      <x:c r="J86" s="47" t="n">
        <x:f>IF(D86&lt;E86,0,MIN(F86*G86*H86*I86,IF('Paths'!$T$7&gt;0,MAX(0,'Paths'!$T$7-K85),1000000000)))</x:f>
        <x:v>0</x:v>
      </x:c>
      <x:c r="K86" s="47" t="n">
        <x:f>K85+J86</x:f>
        <x:v>125000</x:v>
      </x:c>
      <x:c r="L86" s="46" t="n">
        <x:f>IF(C86="P0",1,IF(D86&lt;=3,0.8,IF(D86&lt;=14,0.65,IF(D86&lt;=45,0.5,0.3))))</x:f>
        <x:v>1</x:v>
      </x:c>
      <x:c r="M86" s="47" t="n">
        <x:f>J86*L86</x:f>
        <x:v>0</x:v>
      </x:c>
      <x:c r="N86" s="47" t="n">
        <x:f>N85+M86</x:f>
        <x:v>125000</x:v>
      </x:c>
      <x:c r="O86" s="46" t="n">
        <x:f>IF(C86="P0",0,IF(D86&lt;=3,0.15,IF(D86&lt;=14,0.25,IF(D86&lt;=45,0.35,0.5))))</x:f>
        <x:v>0</x:v>
      </x:c>
      <x:c r="P86" s="47" t="n">
        <x:f>J86*O86</x:f>
        <x:v>0</x:v>
      </x:c>
      <x:c r="Q86" s="46" t="n">
        <x:f>IF(C86="P0",0,IF(D86&lt;=3,0.05,IF(D86&lt;=14,0.1,IF(D86&lt;=45,0.15,0.2))))</x:f>
        <x:v>0</x:v>
      </x:c>
      <x:c r="R86" s="47" t="n">
        <x:f>J86*Q86</x:f>
        <x:v>0</x:v>
      </x:c>
      <x:c r="S86" s="20" t="str">
        <x:f>IF(D86&lt;E86,"closed",IF(D86&lt;'Paths'!$N$7,"initial","expanded"))</x:f>
        <x:v>expanded</x:v>
      </x:c>
      <x:c r="T86" s="72"/>
    </x:row>
    <x:row r="87">
      <x:c r="C87" s="20" t="str">
        <x:v>P0</x:v>
      </x:c>
      <x:c r="D87" s="20" t="n">
        <x:v>80</x:v>
      </x:c>
      <x:c r="E87" s="45" t="n">
        <x:f>IF('Controls'!$D$7="Reference",'Paths'!$J$7,'Paths'!$K$7)</x:f>
        <x:v>0</x:v>
      </x:c>
      <x:c r="F87" s="47" t="n">
        <x:f>IF(D87&lt;'Paths'!$N$7,IF('Controls'!$D$7="Reference",'Paths'!$L$7,'Paths'!$M$7),IF('Controls'!$D$7="Reference",'Paths'!$O$7,'Paths'!$P$7))</x:f>
        <x:v>0</x:v>
      </x:c>
      <x:c r="G87" s="46" t="n">
        <x:f>IF('Controls'!$D$7="Reference",1,IF(OR(D87=6,D87=7,D87=21,D87=46),'Paths'!$U$7,1))</x:f>
        <x:v>1</x:v>
      </x:c>
      <x:c r="H87" s="46" t="n">
        <x:f>IF('Controls'!$D$7="Reference",1,IF(OR(AND(D87&gt;=14,D87&lt;=16),AND(D87&gt;=34,D87&lt;=35),AND(D87&gt;=61,D87&lt;=63)),'Paths'!$V$7,1))</x:f>
        <x:v>1</x:v>
      </x:c>
      <x:c r="I87" s="46" t="n">
        <x:f>'Paths'!$W$7</x:f>
        <x:v>1</x:v>
      </x:c>
      <x:c r="J87" s="47" t="n">
        <x:f>IF(D87&lt;E87,0,MIN(F87*G87*H87*I87,IF('Paths'!$T$7&gt;0,MAX(0,'Paths'!$T$7-K86),1000000000)))</x:f>
        <x:v>0</x:v>
      </x:c>
      <x:c r="K87" s="47" t="n">
        <x:f>K86+J87</x:f>
        <x:v>125000</x:v>
      </x:c>
      <x:c r="L87" s="46" t="n">
        <x:f>IF(C87="P0",1,IF(D87&lt;=3,0.8,IF(D87&lt;=14,0.65,IF(D87&lt;=45,0.5,0.3))))</x:f>
        <x:v>1</x:v>
      </x:c>
      <x:c r="M87" s="47" t="n">
        <x:f>J87*L87</x:f>
        <x:v>0</x:v>
      </x:c>
      <x:c r="N87" s="47" t="n">
        <x:f>N86+M87</x:f>
        <x:v>125000</x:v>
      </x:c>
      <x:c r="O87" s="46" t="n">
        <x:f>IF(C87="P0",0,IF(D87&lt;=3,0.15,IF(D87&lt;=14,0.25,IF(D87&lt;=45,0.35,0.5))))</x:f>
        <x:v>0</x:v>
      </x:c>
      <x:c r="P87" s="47" t="n">
        <x:f>J87*O87</x:f>
        <x:v>0</x:v>
      </x:c>
      <x:c r="Q87" s="46" t="n">
        <x:f>IF(C87="P0",0,IF(D87&lt;=3,0.05,IF(D87&lt;=14,0.1,IF(D87&lt;=45,0.15,0.2))))</x:f>
        <x:v>0</x:v>
      </x:c>
      <x:c r="R87" s="47" t="n">
        <x:f>J87*Q87</x:f>
        <x:v>0</x:v>
      </x:c>
      <x:c r="S87" s="20" t="str">
        <x:f>IF(D87&lt;E87,"closed",IF(D87&lt;'Paths'!$N$7,"initial","expanded"))</x:f>
        <x:v>expanded</x:v>
      </x:c>
      <x:c r="T87" s="72"/>
    </x:row>
    <x:row r="88">
      <x:c r="C88" s="20" t="str">
        <x:v>P0</x:v>
      </x:c>
      <x:c r="D88" s="20" t="n">
        <x:v>81</x:v>
      </x:c>
      <x:c r="E88" s="45" t="n">
        <x:f>IF('Controls'!$D$7="Reference",'Paths'!$J$7,'Paths'!$K$7)</x:f>
        <x:v>0</x:v>
      </x:c>
      <x:c r="F88" s="47" t="n">
        <x:f>IF(D88&lt;'Paths'!$N$7,IF('Controls'!$D$7="Reference",'Paths'!$L$7,'Paths'!$M$7),IF('Controls'!$D$7="Reference",'Paths'!$O$7,'Paths'!$P$7))</x:f>
        <x:v>0</x:v>
      </x:c>
      <x:c r="G88" s="46" t="n">
        <x:f>IF('Controls'!$D$7="Reference",1,IF(OR(D88=6,D88=7,D88=21,D88=46),'Paths'!$U$7,1))</x:f>
        <x:v>1</x:v>
      </x:c>
      <x:c r="H88" s="46" t="n">
        <x:f>IF('Controls'!$D$7="Reference",1,IF(OR(AND(D88&gt;=14,D88&lt;=16),AND(D88&gt;=34,D88&lt;=35),AND(D88&gt;=61,D88&lt;=63)),'Paths'!$V$7,1))</x:f>
        <x:v>1</x:v>
      </x:c>
      <x:c r="I88" s="46" t="n">
        <x:f>'Paths'!$W$7</x:f>
        <x:v>1</x:v>
      </x:c>
      <x:c r="J88" s="47" t="n">
        <x:f>IF(D88&lt;E88,0,MIN(F88*G88*H88*I88,IF('Paths'!$T$7&gt;0,MAX(0,'Paths'!$T$7-K87),1000000000)))</x:f>
        <x:v>0</x:v>
      </x:c>
      <x:c r="K88" s="47" t="n">
        <x:f>K87+J88</x:f>
        <x:v>125000</x:v>
      </x:c>
      <x:c r="L88" s="46" t="n">
        <x:f>IF(C88="P0",1,IF(D88&lt;=3,0.8,IF(D88&lt;=14,0.65,IF(D88&lt;=45,0.5,0.3))))</x:f>
        <x:v>1</x:v>
      </x:c>
      <x:c r="M88" s="47" t="n">
        <x:f>J88*L88</x:f>
        <x:v>0</x:v>
      </x:c>
      <x:c r="N88" s="47" t="n">
        <x:f>N87+M88</x:f>
        <x:v>125000</x:v>
      </x:c>
      <x:c r="O88" s="46" t="n">
        <x:f>IF(C88="P0",0,IF(D88&lt;=3,0.15,IF(D88&lt;=14,0.25,IF(D88&lt;=45,0.35,0.5))))</x:f>
        <x:v>0</x:v>
      </x:c>
      <x:c r="P88" s="47" t="n">
        <x:f>J88*O88</x:f>
        <x:v>0</x:v>
      </x:c>
      <x:c r="Q88" s="46" t="n">
        <x:f>IF(C88="P0",0,IF(D88&lt;=3,0.05,IF(D88&lt;=14,0.1,IF(D88&lt;=45,0.15,0.2))))</x:f>
        <x:v>0</x:v>
      </x:c>
      <x:c r="R88" s="47" t="n">
        <x:f>J88*Q88</x:f>
        <x:v>0</x:v>
      </x:c>
      <x:c r="S88" s="20" t="str">
        <x:f>IF(D88&lt;E88,"closed",IF(D88&lt;'Paths'!$N$7,"initial","expanded"))</x:f>
        <x:v>expanded</x:v>
      </x:c>
      <x:c r="T88" s="72"/>
    </x:row>
    <x:row r="89">
      <x:c r="C89" s="20" t="str">
        <x:v>P0</x:v>
      </x:c>
      <x:c r="D89" s="20" t="n">
        <x:v>82</x:v>
      </x:c>
      <x:c r="E89" s="45" t="n">
        <x:f>IF('Controls'!$D$7="Reference",'Paths'!$J$7,'Paths'!$K$7)</x:f>
        <x:v>0</x:v>
      </x:c>
      <x:c r="F89" s="47" t="n">
        <x:f>IF(D89&lt;'Paths'!$N$7,IF('Controls'!$D$7="Reference",'Paths'!$L$7,'Paths'!$M$7),IF('Controls'!$D$7="Reference",'Paths'!$O$7,'Paths'!$P$7))</x:f>
        <x:v>0</x:v>
      </x:c>
      <x:c r="G89" s="46" t="n">
        <x:f>IF('Controls'!$D$7="Reference",1,IF(OR(D89=6,D89=7,D89=21,D89=46),'Paths'!$U$7,1))</x:f>
        <x:v>1</x:v>
      </x:c>
      <x:c r="H89" s="46" t="n">
        <x:f>IF('Controls'!$D$7="Reference",1,IF(OR(AND(D89&gt;=14,D89&lt;=16),AND(D89&gt;=34,D89&lt;=35),AND(D89&gt;=61,D89&lt;=63)),'Paths'!$V$7,1))</x:f>
        <x:v>1</x:v>
      </x:c>
      <x:c r="I89" s="46" t="n">
        <x:f>'Paths'!$W$7</x:f>
        <x:v>1</x:v>
      </x:c>
      <x:c r="J89" s="47" t="n">
        <x:f>IF(D89&lt;E89,0,MIN(F89*G89*H89*I89,IF('Paths'!$T$7&gt;0,MAX(0,'Paths'!$T$7-K88),1000000000)))</x:f>
        <x:v>0</x:v>
      </x:c>
      <x:c r="K89" s="47" t="n">
        <x:f>K88+J89</x:f>
        <x:v>125000</x:v>
      </x:c>
      <x:c r="L89" s="46" t="n">
        <x:f>IF(C89="P0",1,IF(D89&lt;=3,0.8,IF(D89&lt;=14,0.65,IF(D89&lt;=45,0.5,0.3))))</x:f>
        <x:v>1</x:v>
      </x:c>
      <x:c r="M89" s="47" t="n">
        <x:f>J89*L89</x:f>
        <x:v>0</x:v>
      </x:c>
      <x:c r="N89" s="47" t="n">
        <x:f>N88+M89</x:f>
        <x:v>125000</x:v>
      </x:c>
      <x:c r="O89" s="46" t="n">
        <x:f>IF(C89="P0",0,IF(D89&lt;=3,0.15,IF(D89&lt;=14,0.25,IF(D89&lt;=45,0.35,0.5))))</x:f>
        <x:v>0</x:v>
      </x:c>
      <x:c r="P89" s="47" t="n">
        <x:f>J89*O89</x:f>
        <x:v>0</x:v>
      </x:c>
      <x:c r="Q89" s="46" t="n">
        <x:f>IF(C89="P0",0,IF(D89&lt;=3,0.05,IF(D89&lt;=14,0.1,IF(D89&lt;=45,0.15,0.2))))</x:f>
        <x:v>0</x:v>
      </x:c>
      <x:c r="R89" s="47" t="n">
        <x:f>J89*Q89</x:f>
        <x:v>0</x:v>
      </x:c>
      <x:c r="S89" s="20" t="str">
        <x:f>IF(D89&lt;E89,"closed",IF(D89&lt;'Paths'!$N$7,"initial","expanded"))</x:f>
        <x:v>expanded</x:v>
      </x:c>
      <x:c r="T89" s="72"/>
    </x:row>
    <x:row r="90">
      <x:c r="C90" s="20" t="str">
        <x:v>P0</x:v>
      </x:c>
      <x:c r="D90" s="20" t="n">
        <x:v>83</x:v>
      </x:c>
      <x:c r="E90" s="45" t="n">
        <x:f>IF('Controls'!$D$7="Reference",'Paths'!$J$7,'Paths'!$K$7)</x:f>
        <x:v>0</x:v>
      </x:c>
      <x:c r="F90" s="47" t="n">
        <x:f>IF(D90&lt;'Paths'!$N$7,IF('Controls'!$D$7="Reference",'Paths'!$L$7,'Paths'!$M$7),IF('Controls'!$D$7="Reference",'Paths'!$O$7,'Paths'!$P$7))</x:f>
        <x:v>0</x:v>
      </x:c>
      <x:c r="G90" s="46" t="n">
        <x:f>IF('Controls'!$D$7="Reference",1,IF(OR(D90=6,D90=7,D90=21,D90=46),'Paths'!$U$7,1))</x:f>
        <x:v>1</x:v>
      </x:c>
      <x:c r="H90" s="46" t="n">
        <x:f>IF('Controls'!$D$7="Reference",1,IF(OR(AND(D90&gt;=14,D90&lt;=16),AND(D90&gt;=34,D90&lt;=35),AND(D90&gt;=61,D90&lt;=63)),'Paths'!$V$7,1))</x:f>
        <x:v>1</x:v>
      </x:c>
      <x:c r="I90" s="46" t="n">
        <x:f>'Paths'!$W$7</x:f>
        <x:v>1</x:v>
      </x:c>
      <x:c r="J90" s="47" t="n">
        <x:f>IF(D90&lt;E90,0,MIN(F90*G90*H90*I90,IF('Paths'!$T$7&gt;0,MAX(0,'Paths'!$T$7-K89),1000000000)))</x:f>
        <x:v>0</x:v>
      </x:c>
      <x:c r="K90" s="47" t="n">
        <x:f>K89+J90</x:f>
        <x:v>125000</x:v>
      </x:c>
      <x:c r="L90" s="46" t="n">
        <x:f>IF(C90="P0",1,IF(D90&lt;=3,0.8,IF(D90&lt;=14,0.65,IF(D90&lt;=45,0.5,0.3))))</x:f>
        <x:v>1</x:v>
      </x:c>
      <x:c r="M90" s="47" t="n">
        <x:f>J90*L90</x:f>
        <x:v>0</x:v>
      </x:c>
      <x:c r="N90" s="47" t="n">
        <x:f>N89+M90</x:f>
        <x:v>125000</x:v>
      </x:c>
      <x:c r="O90" s="46" t="n">
        <x:f>IF(C90="P0",0,IF(D90&lt;=3,0.15,IF(D90&lt;=14,0.25,IF(D90&lt;=45,0.35,0.5))))</x:f>
        <x:v>0</x:v>
      </x:c>
      <x:c r="P90" s="47" t="n">
        <x:f>J90*O90</x:f>
        <x:v>0</x:v>
      </x:c>
      <x:c r="Q90" s="46" t="n">
        <x:f>IF(C90="P0",0,IF(D90&lt;=3,0.05,IF(D90&lt;=14,0.1,IF(D90&lt;=45,0.15,0.2))))</x:f>
        <x:v>0</x:v>
      </x:c>
      <x:c r="R90" s="47" t="n">
        <x:f>J90*Q90</x:f>
        <x:v>0</x:v>
      </x:c>
      <x:c r="S90" s="20" t="str">
        <x:f>IF(D90&lt;E90,"closed",IF(D90&lt;'Paths'!$N$7,"initial","expanded"))</x:f>
        <x:v>expanded</x:v>
      </x:c>
      <x:c r="T90" s="72"/>
    </x:row>
    <x:row r="91">
      <x:c r="C91" s="20" t="str">
        <x:v>P0</x:v>
      </x:c>
      <x:c r="D91" s="20" t="n">
        <x:v>84</x:v>
      </x:c>
      <x:c r="E91" s="45" t="n">
        <x:f>IF('Controls'!$D$7="Reference",'Paths'!$J$7,'Paths'!$K$7)</x:f>
        <x:v>0</x:v>
      </x:c>
      <x:c r="F91" s="47" t="n">
        <x:f>IF(D91&lt;'Paths'!$N$7,IF('Controls'!$D$7="Reference",'Paths'!$L$7,'Paths'!$M$7),IF('Controls'!$D$7="Reference",'Paths'!$O$7,'Paths'!$P$7))</x:f>
        <x:v>0</x:v>
      </x:c>
      <x:c r="G91" s="46" t="n">
        <x:f>IF('Controls'!$D$7="Reference",1,IF(OR(D91=6,D91=7,D91=21,D91=46),'Paths'!$U$7,1))</x:f>
        <x:v>1</x:v>
      </x:c>
      <x:c r="H91" s="46" t="n">
        <x:f>IF('Controls'!$D$7="Reference",1,IF(OR(AND(D91&gt;=14,D91&lt;=16),AND(D91&gt;=34,D91&lt;=35),AND(D91&gt;=61,D91&lt;=63)),'Paths'!$V$7,1))</x:f>
        <x:v>1</x:v>
      </x:c>
      <x:c r="I91" s="46" t="n">
        <x:f>'Paths'!$W$7</x:f>
        <x:v>1</x:v>
      </x:c>
      <x:c r="J91" s="47" t="n">
        <x:f>IF(D91&lt;E91,0,MIN(F91*G91*H91*I91,IF('Paths'!$T$7&gt;0,MAX(0,'Paths'!$T$7-K90),1000000000)))</x:f>
        <x:v>0</x:v>
      </x:c>
      <x:c r="K91" s="47" t="n">
        <x:f>K90+J91</x:f>
        <x:v>125000</x:v>
      </x:c>
      <x:c r="L91" s="46" t="n">
        <x:f>IF(C91="P0",1,IF(D91&lt;=3,0.8,IF(D91&lt;=14,0.65,IF(D91&lt;=45,0.5,0.3))))</x:f>
        <x:v>1</x:v>
      </x:c>
      <x:c r="M91" s="47" t="n">
        <x:f>J91*L91</x:f>
        <x:v>0</x:v>
      </x:c>
      <x:c r="N91" s="47" t="n">
        <x:f>N90+M91</x:f>
        <x:v>125000</x:v>
      </x:c>
      <x:c r="O91" s="46" t="n">
        <x:f>IF(C91="P0",0,IF(D91&lt;=3,0.15,IF(D91&lt;=14,0.25,IF(D91&lt;=45,0.35,0.5))))</x:f>
        <x:v>0</x:v>
      </x:c>
      <x:c r="P91" s="47" t="n">
        <x:f>J91*O91</x:f>
        <x:v>0</x:v>
      </x:c>
      <x:c r="Q91" s="46" t="n">
        <x:f>IF(C91="P0",0,IF(D91&lt;=3,0.05,IF(D91&lt;=14,0.1,IF(D91&lt;=45,0.15,0.2))))</x:f>
        <x:v>0</x:v>
      </x:c>
      <x:c r="R91" s="47" t="n">
        <x:f>J91*Q91</x:f>
        <x:v>0</x:v>
      </x:c>
      <x:c r="S91" s="20" t="str">
        <x:f>IF(D91&lt;E91,"closed",IF(D91&lt;'Paths'!$N$7,"initial","expanded"))</x:f>
        <x:v>expanded</x:v>
      </x:c>
      <x:c r="T91" s="72"/>
    </x:row>
    <x:row r="92">
      <x:c r="C92" s="20" t="str">
        <x:v>P0</x:v>
      </x:c>
      <x:c r="D92" s="20" t="n">
        <x:v>85</x:v>
      </x:c>
      <x:c r="E92" s="45" t="n">
        <x:f>IF('Controls'!$D$7="Reference",'Paths'!$J$7,'Paths'!$K$7)</x:f>
        <x:v>0</x:v>
      </x:c>
      <x:c r="F92" s="47" t="n">
        <x:f>IF(D92&lt;'Paths'!$N$7,IF('Controls'!$D$7="Reference",'Paths'!$L$7,'Paths'!$M$7),IF('Controls'!$D$7="Reference",'Paths'!$O$7,'Paths'!$P$7))</x:f>
        <x:v>0</x:v>
      </x:c>
      <x:c r="G92" s="46" t="n">
        <x:f>IF('Controls'!$D$7="Reference",1,IF(OR(D92=6,D92=7,D92=21,D92=46),'Paths'!$U$7,1))</x:f>
        <x:v>1</x:v>
      </x:c>
      <x:c r="H92" s="46" t="n">
        <x:f>IF('Controls'!$D$7="Reference",1,IF(OR(AND(D92&gt;=14,D92&lt;=16),AND(D92&gt;=34,D92&lt;=35),AND(D92&gt;=61,D92&lt;=63)),'Paths'!$V$7,1))</x:f>
        <x:v>1</x:v>
      </x:c>
      <x:c r="I92" s="46" t="n">
        <x:f>'Paths'!$W$7</x:f>
        <x:v>1</x:v>
      </x:c>
      <x:c r="J92" s="47" t="n">
        <x:f>IF(D92&lt;E92,0,MIN(F92*G92*H92*I92,IF('Paths'!$T$7&gt;0,MAX(0,'Paths'!$T$7-K91),1000000000)))</x:f>
        <x:v>0</x:v>
      </x:c>
      <x:c r="K92" s="47" t="n">
        <x:f>K91+J92</x:f>
        <x:v>125000</x:v>
      </x:c>
      <x:c r="L92" s="46" t="n">
        <x:f>IF(C92="P0",1,IF(D92&lt;=3,0.8,IF(D92&lt;=14,0.65,IF(D92&lt;=45,0.5,0.3))))</x:f>
        <x:v>1</x:v>
      </x:c>
      <x:c r="M92" s="47" t="n">
        <x:f>J92*L92</x:f>
        <x:v>0</x:v>
      </x:c>
      <x:c r="N92" s="47" t="n">
        <x:f>N91+M92</x:f>
        <x:v>125000</x:v>
      </x:c>
      <x:c r="O92" s="46" t="n">
        <x:f>IF(C92="P0",0,IF(D92&lt;=3,0.15,IF(D92&lt;=14,0.25,IF(D92&lt;=45,0.35,0.5))))</x:f>
        <x:v>0</x:v>
      </x:c>
      <x:c r="P92" s="47" t="n">
        <x:f>J92*O92</x:f>
        <x:v>0</x:v>
      </x:c>
      <x:c r="Q92" s="46" t="n">
        <x:f>IF(C92="P0",0,IF(D92&lt;=3,0.05,IF(D92&lt;=14,0.1,IF(D92&lt;=45,0.15,0.2))))</x:f>
        <x:v>0</x:v>
      </x:c>
      <x:c r="R92" s="47" t="n">
        <x:f>J92*Q92</x:f>
        <x:v>0</x:v>
      </x:c>
      <x:c r="S92" s="20" t="str">
        <x:f>IF(D92&lt;E92,"closed",IF(D92&lt;'Paths'!$N$7,"initial","expanded"))</x:f>
        <x:v>expanded</x:v>
      </x:c>
      <x:c r="T92" s="72"/>
    </x:row>
    <x:row r="93">
      <x:c r="C93" s="20" t="str">
        <x:v>P0</x:v>
      </x:c>
      <x:c r="D93" s="20" t="n">
        <x:v>86</x:v>
      </x:c>
      <x:c r="E93" s="45" t="n">
        <x:f>IF('Controls'!$D$7="Reference",'Paths'!$J$7,'Paths'!$K$7)</x:f>
        <x:v>0</x:v>
      </x:c>
      <x:c r="F93" s="47" t="n">
        <x:f>IF(D93&lt;'Paths'!$N$7,IF('Controls'!$D$7="Reference",'Paths'!$L$7,'Paths'!$M$7),IF('Controls'!$D$7="Reference",'Paths'!$O$7,'Paths'!$P$7))</x:f>
        <x:v>0</x:v>
      </x:c>
      <x:c r="G93" s="46" t="n">
        <x:f>IF('Controls'!$D$7="Reference",1,IF(OR(D93=6,D93=7,D93=21,D93=46),'Paths'!$U$7,1))</x:f>
        <x:v>1</x:v>
      </x:c>
      <x:c r="H93" s="46" t="n">
        <x:f>IF('Controls'!$D$7="Reference",1,IF(OR(AND(D93&gt;=14,D93&lt;=16),AND(D93&gt;=34,D93&lt;=35),AND(D93&gt;=61,D93&lt;=63)),'Paths'!$V$7,1))</x:f>
        <x:v>1</x:v>
      </x:c>
      <x:c r="I93" s="46" t="n">
        <x:f>'Paths'!$W$7</x:f>
        <x:v>1</x:v>
      </x:c>
      <x:c r="J93" s="47" t="n">
        <x:f>IF(D93&lt;E93,0,MIN(F93*G93*H93*I93,IF('Paths'!$T$7&gt;0,MAX(0,'Paths'!$T$7-K92),1000000000)))</x:f>
        <x:v>0</x:v>
      </x:c>
      <x:c r="K93" s="47" t="n">
        <x:f>K92+J93</x:f>
        <x:v>125000</x:v>
      </x:c>
      <x:c r="L93" s="46" t="n">
        <x:f>IF(C93="P0",1,IF(D93&lt;=3,0.8,IF(D93&lt;=14,0.65,IF(D93&lt;=45,0.5,0.3))))</x:f>
        <x:v>1</x:v>
      </x:c>
      <x:c r="M93" s="47" t="n">
        <x:f>J93*L93</x:f>
        <x:v>0</x:v>
      </x:c>
      <x:c r="N93" s="47" t="n">
        <x:f>N92+M93</x:f>
        <x:v>125000</x:v>
      </x:c>
      <x:c r="O93" s="46" t="n">
        <x:f>IF(C93="P0",0,IF(D93&lt;=3,0.15,IF(D93&lt;=14,0.25,IF(D93&lt;=45,0.35,0.5))))</x:f>
        <x:v>0</x:v>
      </x:c>
      <x:c r="P93" s="47" t="n">
        <x:f>J93*O93</x:f>
        <x:v>0</x:v>
      </x:c>
      <x:c r="Q93" s="46" t="n">
        <x:f>IF(C93="P0",0,IF(D93&lt;=3,0.05,IF(D93&lt;=14,0.1,IF(D93&lt;=45,0.15,0.2))))</x:f>
        <x:v>0</x:v>
      </x:c>
      <x:c r="R93" s="47" t="n">
        <x:f>J93*Q93</x:f>
        <x:v>0</x:v>
      </x:c>
      <x:c r="S93" s="20" t="str">
        <x:f>IF(D93&lt;E93,"closed",IF(D93&lt;'Paths'!$N$7,"initial","expanded"))</x:f>
        <x:v>expanded</x:v>
      </x:c>
      <x:c r="T93" s="72"/>
    </x:row>
    <x:row r="94">
      <x:c r="C94" s="20" t="str">
        <x:v>P0</x:v>
      </x:c>
      <x:c r="D94" s="20" t="n">
        <x:v>87</x:v>
      </x:c>
      <x:c r="E94" s="45" t="n">
        <x:f>IF('Controls'!$D$7="Reference",'Paths'!$J$7,'Paths'!$K$7)</x:f>
        <x:v>0</x:v>
      </x:c>
      <x:c r="F94" s="47" t="n">
        <x:f>IF(D94&lt;'Paths'!$N$7,IF('Controls'!$D$7="Reference",'Paths'!$L$7,'Paths'!$M$7),IF('Controls'!$D$7="Reference",'Paths'!$O$7,'Paths'!$P$7))</x:f>
        <x:v>0</x:v>
      </x:c>
      <x:c r="G94" s="46" t="n">
        <x:f>IF('Controls'!$D$7="Reference",1,IF(OR(D94=6,D94=7,D94=21,D94=46),'Paths'!$U$7,1))</x:f>
        <x:v>1</x:v>
      </x:c>
      <x:c r="H94" s="46" t="n">
        <x:f>IF('Controls'!$D$7="Reference",1,IF(OR(AND(D94&gt;=14,D94&lt;=16),AND(D94&gt;=34,D94&lt;=35),AND(D94&gt;=61,D94&lt;=63)),'Paths'!$V$7,1))</x:f>
        <x:v>1</x:v>
      </x:c>
      <x:c r="I94" s="46" t="n">
        <x:f>'Paths'!$W$7</x:f>
        <x:v>1</x:v>
      </x:c>
      <x:c r="J94" s="47" t="n">
        <x:f>IF(D94&lt;E94,0,MIN(F94*G94*H94*I94,IF('Paths'!$T$7&gt;0,MAX(0,'Paths'!$T$7-K93),1000000000)))</x:f>
        <x:v>0</x:v>
      </x:c>
      <x:c r="K94" s="47" t="n">
        <x:f>K93+J94</x:f>
        <x:v>125000</x:v>
      </x:c>
      <x:c r="L94" s="46" t="n">
        <x:f>IF(C94="P0",1,IF(D94&lt;=3,0.8,IF(D94&lt;=14,0.65,IF(D94&lt;=45,0.5,0.3))))</x:f>
        <x:v>1</x:v>
      </x:c>
      <x:c r="M94" s="47" t="n">
        <x:f>J94*L94</x:f>
        <x:v>0</x:v>
      </x:c>
      <x:c r="N94" s="47" t="n">
        <x:f>N93+M94</x:f>
        <x:v>125000</x:v>
      </x:c>
      <x:c r="O94" s="46" t="n">
        <x:f>IF(C94="P0",0,IF(D94&lt;=3,0.15,IF(D94&lt;=14,0.25,IF(D94&lt;=45,0.35,0.5))))</x:f>
        <x:v>0</x:v>
      </x:c>
      <x:c r="P94" s="47" t="n">
        <x:f>J94*O94</x:f>
        <x:v>0</x:v>
      </x:c>
      <x:c r="Q94" s="46" t="n">
        <x:f>IF(C94="P0",0,IF(D94&lt;=3,0.05,IF(D94&lt;=14,0.1,IF(D94&lt;=45,0.15,0.2))))</x:f>
        <x:v>0</x:v>
      </x:c>
      <x:c r="R94" s="47" t="n">
        <x:f>J94*Q94</x:f>
        <x:v>0</x:v>
      </x:c>
      <x:c r="S94" s="20" t="str">
        <x:f>IF(D94&lt;E94,"closed",IF(D94&lt;'Paths'!$N$7,"initial","expanded"))</x:f>
        <x:v>expanded</x:v>
      </x:c>
      <x:c r="T94" s="72"/>
    </x:row>
    <x:row r="95">
      <x:c r="C95" s="20" t="str">
        <x:v>P0</x:v>
      </x:c>
      <x:c r="D95" s="20" t="n">
        <x:v>88</x:v>
      </x:c>
      <x:c r="E95" s="45" t="n">
        <x:f>IF('Controls'!$D$7="Reference",'Paths'!$J$7,'Paths'!$K$7)</x:f>
        <x:v>0</x:v>
      </x:c>
      <x:c r="F95" s="47" t="n">
        <x:f>IF(D95&lt;'Paths'!$N$7,IF('Controls'!$D$7="Reference",'Paths'!$L$7,'Paths'!$M$7),IF('Controls'!$D$7="Reference",'Paths'!$O$7,'Paths'!$P$7))</x:f>
        <x:v>0</x:v>
      </x:c>
      <x:c r="G95" s="46" t="n">
        <x:f>IF('Controls'!$D$7="Reference",1,IF(OR(D95=6,D95=7,D95=21,D95=46),'Paths'!$U$7,1))</x:f>
        <x:v>1</x:v>
      </x:c>
      <x:c r="H95" s="46" t="n">
        <x:f>IF('Controls'!$D$7="Reference",1,IF(OR(AND(D95&gt;=14,D95&lt;=16),AND(D95&gt;=34,D95&lt;=35),AND(D95&gt;=61,D95&lt;=63)),'Paths'!$V$7,1))</x:f>
        <x:v>1</x:v>
      </x:c>
      <x:c r="I95" s="46" t="n">
        <x:f>'Paths'!$W$7</x:f>
        <x:v>1</x:v>
      </x:c>
      <x:c r="J95" s="47" t="n">
        <x:f>IF(D95&lt;E95,0,MIN(F95*G95*H95*I95,IF('Paths'!$T$7&gt;0,MAX(0,'Paths'!$T$7-K94),1000000000)))</x:f>
        <x:v>0</x:v>
      </x:c>
      <x:c r="K95" s="47" t="n">
        <x:f>K94+J95</x:f>
        <x:v>125000</x:v>
      </x:c>
      <x:c r="L95" s="46" t="n">
        <x:f>IF(C95="P0",1,IF(D95&lt;=3,0.8,IF(D95&lt;=14,0.65,IF(D95&lt;=45,0.5,0.3))))</x:f>
        <x:v>1</x:v>
      </x:c>
      <x:c r="M95" s="47" t="n">
        <x:f>J95*L95</x:f>
        <x:v>0</x:v>
      </x:c>
      <x:c r="N95" s="47" t="n">
        <x:f>N94+M95</x:f>
        <x:v>125000</x:v>
      </x:c>
      <x:c r="O95" s="46" t="n">
        <x:f>IF(C95="P0",0,IF(D95&lt;=3,0.15,IF(D95&lt;=14,0.25,IF(D95&lt;=45,0.35,0.5))))</x:f>
        <x:v>0</x:v>
      </x:c>
      <x:c r="P95" s="47" t="n">
        <x:f>J95*O95</x:f>
        <x:v>0</x:v>
      </x:c>
      <x:c r="Q95" s="46" t="n">
        <x:f>IF(C95="P0",0,IF(D95&lt;=3,0.05,IF(D95&lt;=14,0.1,IF(D95&lt;=45,0.15,0.2))))</x:f>
        <x:v>0</x:v>
      </x:c>
      <x:c r="R95" s="47" t="n">
        <x:f>J95*Q95</x:f>
        <x:v>0</x:v>
      </x:c>
      <x:c r="S95" s="20" t="str">
        <x:f>IF(D95&lt;E95,"closed",IF(D95&lt;'Paths'!$N$7,"initial","expanded"))</x:f>
        <x:v>expanded</x:v>
      </x:c>
      <x:c r="T95" s="72"/>
    </x:row>
    <x:row r="96">
      <x:c r="C96" s="20" t="str">
        <x:v>P0</x:v>
      </x:c>
      <x:c r="D96" s="20" t="n">
        <x:v>89</x:v>
      </x:c>
      <x:c r="E96" s="45" t="n">
        <x:f>IF('Controls'!$D$7="Reference",'Paths'!$J$7,'Paths'!$K$7)</x:f>
        <x:v>0</x:v>
      </x:c>
      <x:c r="F96" s="47" t="n">
        <x:f>IF(D96&lt;'Paths'!$N$7,IF('Controls'!$D$7="Reference",'Paths'!$L$7,'Paths'!$M$7),IF('Controls'!$D$7="Reference",'Paths'!$O$7,'Paths'!$P$7))</x:f>
        <x:v>0</x:v>
      </x:c>
      <x:c r="G96" s="46" t="n">
        <x:f>IF('Controls'!$D$7="Reference",1,IF(OR(D96=6,D96=7,D96=21,D96=46),'Paths'!$U$7,1))</x:f>
        <x:v>1</x:v>
      </x:c>
      <x:c r="H96" s="46" t="n">
        <x:f>IF('Controls'!$D$7="Reference",1,IF(OR(AND(D96&gt;=14,D96&lt;=16),AND(D96&gt;=34,D96&lt;=35),AND(D96&gt;=61,D96&lt;=63)),'Paths'!$V$7,1))</x:f>
        <x:v>1</x:v>
      </x:c>
      <x:c r="I96" s="46" t="n">
        <x:f>'Paths'!$W$7</x:f>
        <x:v>1</x:v>
      </x:c>
      <x:c r="J96" s="47" t="n">
        <x:f>IF(D96&lt;E96,0,MIN(F96*G96*H96*I96,IF('Paths'!$T$7&gt;0,MAX(0,'Paths'!$T$7-K95),1000000000)))</x:f>
        <x:v>0</x:v>
      </x:c>
      <x:c r="K96" s="47" t="n">
        <x:f>K95+J96</x:f>
        <x:v>125000</x:v>
      </x:c>
      <x:c r="L96" s="46" t="n">
        <x:f>IF(C96="P0",1,IF(D96&lt;=3,0.8,IF(D96&lt;=14,0.65,IF(D96&lt;=45,0.5,0.3))))</x:f>
        <x:v>1</x:v>
      </x:c>
      <x:c r="M96" s="47" t="n">
        <x:f>J96*L96</x:f>
        <x:v>0</x:v>
      </x:c>
      <x:c r="N96" s="47" t="n">
        <x:f>N95+M96</x:f>
        <x:v>125000</x:v>
      </x:c>
      <x:c r="O96" s="46" t="n">
        <x:f>IF(C96="P0",0,IF(D96&lt;=3,0.15,IF(D96&lt;=14,0.25,IF(D96&lt;=45,0.35,0.5))))</x:f>
        <x:v>0</x:v>
      </x:c>
      <x:c r="P96" s="47" t="n">
        <x:f>J96*O96</x:f>
        <x:v>0</x:v>
      </x:c>
      <x:c r="Q96" s="46" t="n">
        <x:f>IF(C96="P0",0,IF(D96&lt;=3,0.05,IF(D96&lt;=14,0.1,IF(D96&lt;=45,0.15,0.2))))</x:f>
        <x:v>0</x:v>
      </x:c>
      <x:c r="R96" s="47" t="n">
        <x:f>J96*Q96</x:f>
        <x:v>0</x:v>
      </x:c>
      <x:c r="S96" s="20" t="str">
        <x:f>IF(D96&lt;E96,"closed",IF(D96&lt;'Paths'!$N$7,"initial","expanded"))</x:f>
        <x:v>expanded</x:v>
      </x:c>
      <x:c r="T96" s="72"/>
    </x:row>
    <x:row r="97">
      <x:c r="C97" s="20" t="str">
        <x:v>P0</x:v>
      </x:c>
      <x:c r="D97" s="20" t="n">
        <x:v>90</x:v>
      </x:c>
      <x:c r="E97" s="45" t="n">
        <x:f>IF('Controls'!$D$7="Reference",'Paths'!$J$7,'Paths'!$K$7)</x:f>
        <x:v>0</x:v>
      </x:c>
      <x:c r="F97" s="47" t="n">
        <x:f>IF(D97&lt;'Paths'!$N$7,IF('Controls'!$D$7="Reference",'Paths'!$L$7,'Paths'!$M$7),IF('Controls'!$D$7="Reference",'Paths'!$O$7,'Paths'!$P$7))</x:f>
        <x:v>0</x:v>
      </x:c>
      <x:c r="G97" s="46" t="n">
        <x:f>IF('Controls'!$D$7="Reference",1,IF(OR(D97=6,D97=7,D97=21,D97=46),'Paths'!$U$7,1))</x:f>
        <x:v>1</x:v>
      </x:c>
      <x:c r="H97" s="46" t="n">
        <x:f>IF('Controls'!$D$7="Reference",1,IF(OR(AND(D97&gt;=14,D97&lt;=16),AND(D97&gt;=34,D97&lt;=35),AND(D97&gt;=61,D97&lt;=63)),'Paths'!$V$7,1))</x:f>
        <x:v>1</x:v>
      </x:c>
      <x:c r="I97" s="46" t="n">
        <x:f>'Paths'!$W$7</x:f>
        <x:v>1</x:v>
      </x:c>
      <x:c r="J97" s="47" t="n">
        <x:f>IF(D97&lt;E97,0,MIN(F97*G97*H97*I97,IF('Paths'!$T$7&gt;0,MAX(0,'Paths'!$T$7-K96),1000000000)))</x:f>
        <x:v>0</x:v>
      </x:c>
      <x:c r="K97" s="47" t="n">
        <x:f>K96+J97</x:f>
        <x:v>125000</x:v>
      </x:c>
      <x:c r="L97" s="46" t="n">
        <x:f>IF(C97="P0",1,IF(D97&lt;=3,0.8,IF(D97&lt;=14,0.65,IF(D97&lt;=45,0.5,0.3))))</x:f>
        <x:v>1</x:v>
      </x:c>
      <x:c r="M97" s="47" t="n">
        <x:f>J97*L97</x:f>
        <x:v>0</x:v>
      </x:c>
      <x:c r="N97" s="47" t="n">
        <x:f>N96+M97</x:f>
        <x:v>125000</x:v>
      </x:c>
      <x:c r="O97" s="46" t="n">
        <x:f>IF(C97="P0",0,IF(D97&lt;=3,0.15,IF(D97&lt;=14,0.25,IF(D97&lt;=45,0.35,0.5))))</x:f>
        <x:v>0</x:v>
      </x:c>
      <x:c r="P97" s="47" t="n">
        <x:f>J97*O97</x:f>
        <x:v>0</x:v>
      </x:c>
      <x:c r="Q97" s="46" t="n">
        <x:f>IF(C97="P0",0,IF(D97&lt;=3,0.05,IF(D97&lt;=14,0.1,IF(D97&lt;=45,0.15,0.2))))</x:f>
        <x:v>0</x:v>
      </x:c>
      <x:c r="R97" s="47" t="n">
        <x:f>J97*Q97</x:f>
        <x:v>0</x:v>
      </x:c>
      <x:c r="S97" s="20" t="str">
        <x:f>IF(D97&lt;E97,"closed",IF(D97&lt;'Paths'!$N$7,"initial","expanded"))</x:f>
        <x:v>expanded</x:v>
      </x:c>
      <x:c r="T97" s="72"/>
    </x:row>
    <x:row r="98">
      <x:c r="C98" s="20" t="str">
        <x:v>P1</x:v>
      </x:c>
      <x:c r="D98" s="20" t="n">
        <x:v>0</x:v>
      </x:c>
      <x:c r="E98" s="45" t="n">
        <x:f>IF('Controls'!$D$7="Reference",'Paths'!$J$8,'Paths'!$K$8)</x:f>
        <x:v>1</x:v>
      </x:c>
      <x:c r="F98" s="47" t="n">
        <x:f>IF(D98&lt;'Paths'!$N$8,IF('Controls'!$D$7="Reference",'Paths'!$L$8,'Paths'!$M$8),IF('Controls'!$D$7="Reference",'Paths'!$O$8,'Paths'!$P$8))</x:f>
        <x:v>15000</x:v>
      </x:c>
      <x:c r="G98" s="46" t="n">
        <x:f>IF('Controls'!$D$7="Reference",1,IF(OR(D98=6,D98=7,D98=21,D98=46),'Paths'!$U$8,1))</x:f>
        <x:v>1</x:v>
      </x:c>
      <x:c r="H98" s="46" t="n">
        <x:f>IF('Controls'!$D$7="Reference",1,IF(OR(AND(D98&gt;=14,D98&lt;=16),AND(D98&gt;=34,D98&lt;=35),AND(D98&gt;=61,D98&lt;=63)),'Paths'!$V$8,1))</x:f>
        <x:v>1</x:v>
      </x:c>
      <x:c r="I98" s="46" t="n">
        <x:f>'Paths'!$W$8</x:f>
        <x:v>0.92</x:v>
      </x:c>
      <x:c r="J98" s="47" t="n">
        <x:f>IF(D98&lt;E98,0,MIN(F98*G98*H98*I98,IF('Paths'!$T$8&gt;0,MAX(0,'Paths'!$T$8-0),1000000000)))</x:f>
        <x:v>0</x:v>
      </x:c>
      <x:c r="K98" s="47" t="n">
        <x:f>0+J98</x:f>
        <x:v>0</x:v>
      </x:c>
      <x:c r="L98" s="46" t="n">
        <x:f>IF(C98="P0",1,IF(D98&lt;=3,0.8,IF(D98&lt;=14,0.65,IF(D98&lt;=45,0.5,0.3))))</x:f>
        <x:v>0.8</x:v>
      </x:c>
      <x:c r="M98" s="47" t="n">
        <x:f>J98*L98</x:f>
        <x:v>0</x:v>
      </x:c>
      <x:c r="N98" s="47" t="n">
        <x:f>0+M98</x:f>
        <x:v>0</x:v>
      </x:c>
      <x:c r="O98" s="46" t="n">
        <x:f>IF(C98="P0",0,IF(D98&lt;=3,0.15,IF(D98&lt;=14,0.25,IF(D98&lt;=45,0.35,0.5))))</x:f>
        <x:v>0.15</x:v>
      </x:c>
      <x:c r="P98" s="47" t="n">
        <x:f>J98*O98</x:f>
        <x:v>0</x:v>
      </x:c>
      <x:c r="Q98" s="46" t="n">
        <x:f>IF(C98="P0",0,IF(D98&lt;=3,0.05,IF(D98&lt;=14,0.1,IF(D98&lt;=45,0.15,0.2))))</x:f>
        <x:v>0.05</x:v>
      </x:c>
      <x:c r="R98" s="47" t="n">
        <x:f>J98*Q98</x:f>
        <x:v>0</x:v>
      </x:c>
      <x:c r="S98" s="20" t="str">
        <x:f>IF(D98&lt;E98,"closed",IF(D98&lt;'Paths'!$N$8,"initial","expanded"))</x:f>
        <x:v>closed</x:v>
      </x:c>
      <x:c r="T98" s="72"/>
    </x:row>
    <x:row r="99">
      <x:c r="C99" s="20" t="str">
        <x:v>P1</x:v>
      </x:c>
      <x:c r="D99" s="20" t="n">
        <x:v>1</x:v>
      </x:c>
      <x:c r="E99" s="45" t="n">
        <x:f>IF('Controls'!$D$7="Reference",'Paths'!$J$8,'Paths'!$K$8)</x:f>
        <x:v>1</x:v>
      </x:c>
      <x:c r="F99" s="47" t="n">
        <x:f>IF(D99&lt;'Paths'!$N$8,IF('Controls'!$D$7="Reference",'Paths'!$L$8,'Paths'!$M$8),IF('Controls'!$D$7="Reference",'Paths'!$O$8,'Paths'!$P$8))</x:f>
        <x:v>15000</x:v>
      </x:c>
      <x:c r="G99" s="46" t="n">
        <x:f>IF('Controls'!$D$7="Reference",1,IF(OR(D99=6,D99=7,D99=21,D99=46),'Paths'!$U$8,1))</x:f>
        <x:v>1</x:v>
      </x:c>
      <x:c r="H99" s="46" t="n">
        <x:f>IF('Controls'!$D$7="Reference",1,IF(OR(AND(D99&gt;=14,D99&lt;=16),AND(D99&gt;=34,D99&lt;=35),AND(D99&gt;=61,D99&lt;=63)),'Paths'!$V$8,1))</x:f>
        <x:v>1</x:v>
      </x:c>
      <x:c r="I99" s="46" t="n">
        <x:f>'Paths'!$W$8</x:f>
        <x:v>0.92</x:v>
      </x:c>
      <x:c r="J99" s="47" t="n">
        <x:f>IF(D99&lt;E99,0,MIN(F99*G99*H99*I99,IF('Paths'!$T$8&gt;0,MAX(0,'Paths'!$T$8-K98),1000000000)))</x:f>
        <x:v>13800</x:v>
      </x:c>
      <x:c r="K99" s="47" t="n">
        <x:f>K98+J99</x:f>
        <x:v>13800</x:v>
      </x:c>
      <x:c r="L99" s="46" t="n">
        <x:f>IF(C99="P0",1,IF(D99&lt;=3,0.8,IF(D99&lt;=14,0.65,IF(D99&lt;=45,0.5,0.3))))</x:f>
        <x:v>0.8</x:v>
      </x:c>
      <x:c r="M99" s="47" t="n">
        <x:f>J99*L99</x:f>
        <x:v>11040</x:v>
      </x:c>
      <x:c r="N99" s="47" t="n">
        <x:f>N98+M99</x:f>
        <x:v>11040</x:v>
      </x:c>
      <x:c r="O99" s="46" t="n">
        <x:f>IF(C99="P0",0,IF(D99&lt;=3,0.15,IF(D99&lt;=14,0.25,IF(D99&lt;=45,0.35,0.5))))</x:f>
        <x:v>0.15</x:v>
      </x:c>
      <x:c r="P99" s="47" t="n">
        <x:f>J99*O99</x:f>
        <x:v>2070</x:v>
      </x:c>
      <x:c r="Q99" s="46" t="n">
        <x:f>IF(C99="P0",0,IF(D99&lt;=3,0.05,IF(D99&lt;=14,0.1,IF(D99&lt;=45,0.15,0.2))))</x:f>
        <x:v>0.05</x:v>
      </x:c>
      <x:c r="R99" s="47" t="n">
        <x:f>J99*Q99</x:f>
        <x:v>690</x:v>
      </x:c>
      <x:c r="S99" s="20" t="str">
        <x:f>IF(D99&lt;E99,"closed",IF(D99&lt;'Paths'!$N$8,"initial","expanded"))</x:f>
        <x:v>initial</x:v>
      </x:c>
      <x:c r="T99" s="72"/>
    </x:row>
    <x:row r="100">
      <x:c r="C100" s="20" t="str">
        <x:v>P1</x:v>
      </x:c>
      <x:c r="D100" s="20" t="n">
        <x:v>2</x:v>
      </x:c>
      <x:c r="E100" s="45" t="n">
        <x:f>IF('Controls'!$D$7="Reference",'Paths'!$J$8,'Paths'!$K$8)</x:f>
        <x:v>1</x:v>
      </x:c>
      <x:c r="F100" s="47" t="n">
        <x:f>IF(D100&lt;'Paths'!$N$8,IF('Controls'!$D$7="Reference",'Paths'!$L$8,'Paths'!$M$8),IF('Controls'!$D$7="Reference",'Paths'!$O$8,'Paths'!$P$8))</x:f>
        <x:v>15000</x:v>
      </x:c>
      <x:c r="G100" s="46" t="n">
        <x:f>IF('Controls'!$D$7="Reference",1,IF(OR(D100=6,D100=7,D100=21,D100=46),'Paths'!$U$8,1))</x:f>
        <x:v>1</x:v>
      </x:c>
      <x:c r="H100" s="46" t="n">
        <x:f>IF('Controls'!$D$7="Reference",1,IF(OR(AND(D100&gt;=14,D100&lt;=16),AND(D100&gt;=34,D100&lt;=35),AND(D100&gt;=61,D100&lt;=63)),'Paths'!$V$8,1))</x:f>
        <x:v>1</x:v>
      </x:c>
      <x:c r="I100" s="46" t="n">
        <x:f>'Paths'!$W$8</x:f>
        <x:v>0.92</x:v>
      </x:c>
      <x:c r="J100" s="47" t="n">
        <x:f>IF(D100&lt;E100,0,MIN(F100*G100*H100*I100,IF('Paths'!$T$8&gt;0,MAX(0,'Paths'!$T$8-K99),1000000000)))</x:f>
        <x:v>13800</x:v>
      </x:c>
      <x:c r="K100" s="47" t="n">
        <x:f>K99+J100</x:f>
        <x:v>27600</x:v>
      </x:c>
      <x:c r="L100" s="46" t="n">
        <x:f>IF(C100="P0",1,IF(D100&lt;=3,0.8,IF(D100&lt;=14,0.65,IF(D100&lt;=45,0.5,0.3))))</x:f>
        <x:v>0.8</x:v>
      </x:c>
      <x:c r="M100" s="47" t="n">
        <x:f>J100*L100</x:f>
        <x:v>11040</x:v>
      </x:c>
      <x:c r="N100" s="47" t="n">
        <x:f>N99+M100</x:f>
        <x:v>22080</x:v>
      </x:c>
      <x:c r="O100" s="46" t="n">
        <x:f>IF(C100="P0",0,IF(D100&lt;=3,0.15,IF(D100&lt;=14,0.25,IF(D100&lt;=45,0.35,0.5))))</x:f>
        <x:v>0.15</x:v>
      </x:c>
      <x:c r="P100" s="47" t="n">
        <x:f>J100*O100</x:f>
        <x:v>2070</x:v>
      </x:c>
      <x:c r="Q100" s="46" t="n">
        <x:f>IF(C100="P0",0,IF(D100&lt;=3,0.05,IF(D100&lt;=14,0.1,IF(D100&lt;=45,0.15,0.2))))</x:f>
        <x:v>0.05</x:v>
      </x:c>
      <x:c r="R100" s="47" t="n">
        <x:f>J100*Q100</x:f>
        <x:v>690</x:v>
      </x:c>
      <x:c r="S100" s="20" t="str">
        <x:f>IF(D100&lt;E100,"closed",IF(D100&lt;'Paths'!$N$8,"initial","expanded"))</x:f>
        <x:v>initial</x:v>
      </x:c>
      <x:c r="T100" s="72"/>
    </x:row>
    <x:row r="101">
      <x:c r="C101" s="20" t="str">
        <x:v>P1</x:v>
      </x:c>
      <x:c r="D101" s="20" t="n">
        <x:v>3</x:v>
      </x:c>
      <x:c r="E101" s="45" t="n">
        <x:f>IF('Controls'!$D$7="Reference",'Paths'!$J$8,'Paths'!$K$8)</x:f>
        <x:v>1</x:v>
      </x:c>
      <x:c r="F101" s="47" t="n">
        <x:f>IF(D101&lt;'Paths'!$N$8,IF('Controls'!$D$7="Reference",'Paths'!$L$8,'Paths'!$M$8),IF('Controls'!$D$7="Reference",'Paths'!$O$8,'Paths'!$P$8))</x:f>
        <x:v>15000</x:v>
      </x:c>
      <x:c r="G101" s="46" t="n">
        <x:f>IF('Controls'!$D$7="Reference",1,IF(OR(D101=6,D101=7,D101=21,D101=46),'Paths'!$U$8,1))</x:f>
        <x:v>1</x:v>
      </x:c>
      <x:c r="H101" s="46" t="n">
        <x:f>IF('Controls'!$D$7="Reference",1,IF(OR(AND(D101&gt;=14,D101&lt;=16),AND(D101&gt;=34,D101&lt;=35),AND(D101&gt;=61,D101&lt;=63)),'Paths'!$V$8,1))</x:f>
        <x:v>1</x:v>
      </x:c>
      <x:c r="I101" s="46" t="n">
        <x:f>'Paths'!$W$8</x:f>
        <x:v>0.92</x:v>
      </x:c>
      <x:c r="J101" s="47" t="n">
        <x:f>IF(D101&lt;E101,0,MIN(F101*G101*H101*I101,IF('Paths'!$T$8&gt;0,MAX(0,'Paths'!$T$8-K100),1000000000)))</x:f>
        <x:v>13800</x:v>
      </x:c>
      <x:c r="K101" s="47" t="n">
        <x:f>K100+J101</x:f>
        <x:v>41400</x:v>
      </x:c>
      <x:c r="L101" s="46" t="n">
        <x:f>IF(C101="P0",1,IF(D101&lt;=3,0.8,IF(D101&lt;=14,0.65,IF(D101&lt;=45,0.5,0.3))))</x:f>
        <x:v>0.8</x:v>
      </x:c>
      <x:c r="M101" s="47" t="n">
        <x:f>J101*L101</x:f>
        <x:v>11040</x:v>
      </x:c>
      <x:c r="N101" s="47" t="n">
        <x:f>N100+M101</x:f>
        <x:v>33120</x:v>
      </x:c>
      <x:c r="O101" s="46" t="n">
        <x:f>IF(C101="P0",0,IF(D101&lt;=3,0.15,IF(D101&lt;=14,0.25,IF(D101&lt;=45,0.35,0.5))))</x:f>
        <x:v>0.15</x:v>
      </x:c>
      <x:c r="P101" s="47" t="n">
        <x:f>J101*O101</x:f>
        <x:v>2070</x:v>
      </x:c>
      <x:c r="Q101" s="46" t="n">
        <x:f>IF(C101="P0",0,IF(D101&lt;=3,0.05,IF(D101&lt;=14,0.1,IF(D101&lt;=45,0.15,0.2))))</x:f>
        <x:v>0.05</x:v>
      </x:c>
      <x:c r="R101" s="47" t="n">
        <x:f>J101*Q101</x:f>
        <x:v>690</x:v>
      </x:c>
      <x:c r="S101" s="20" t="str">
        <x:f>IF(D101&lt;E101,"closed",IF(D101&lt;'Paths'!$N$8,"initial","expanded"))</x:f>
        <x:v>initial</x:v>
      </x:c>
      <x:c r="T101" s="72"/>
    </x:row>
    <x:row r="102">
      <x:c r="C102" s="20" t="str">
        <x:v>P1</x:v>
      </x:c>
      <x:c r="D102" s="20" t="n">
        <x:v>4</x:v>
      </x:c>
      <x:c r="E102" s="45" t="n">
        <x:f>IF('Controls'!$D$7="Reference",'Paths'!$J$8,'Paths'!$K$8)</x:f>
        <x:v>1</x:v>
      </x:c>
      <x:c r="F102" s="47" t="n">
        <x:f>IF(D102&lt;'Paths'!$N$8,IF('Controls'!$D$7="Reference",'Paths'!$L$8,'Paths'!$M$8),IF('Controls'!$D$7="Reference",'Paths'!$O$8,'Paths'!$P$8))</x:f>
        <x:v>15000</x:v>
      </x:c>
      <x:c r="G102" s="46" t="n">
        <x:f>IF('Controls'!$D$7="Reference",1,IF(OR(D102=6,D102=7,D102=21,D102=46),'Paths'!$U$8,1))</x:f>
        <x:v>1</x:v>
      </x:c>
      <x:c r="H102" s="46" t="n">
        <x:f>IF('Controls'!$D$7="Reference",1,IF(OR(AND(D102&gt;=14,D102&lt;=16),AND(D102&gt;=34,D102&lt;=35),AND(D102&gt;=61,D102&lt;=63)),'Paths'!$V$8,1))</x:f>
        <x:v>1</x:v>
      </x:c>
      <x:c r="I102" s="46" t="n">
        <x:f>'Paths'!$W$8</x:f>
        <x:v>0.92</x:v>
      </x:c>
      <x:c r="J102" s="47" t="n">
        <x:f>IF(D102&lt;E102,0,MIN(F102*G102*H102*I102,IF('Paths'!$T$8&gt;0,MAX(0,'Paths'!$T$8-K101),1000000000)))</x:f>
        <x:v>13800</x:v>
      </x:c>
      <x:c r="K102" s="47" t="n">
        <x:f>K101+J102</x:f>
        <x:v>55200</x:v>
      </x:c>
      <x:c r="L102" s="46" t="n">
        <x:f>IF(C102="P0",1,IF(D102&lt;=3,0.8,IF(D102&lt;=14,0.65,IF(D102&lt;=45,0.5,0.3))))</x:f>
        <x:v>0.65</x:v>
      </x:c>
      <x:c r="M102" s="47" t="n">
        <x:f>J102*L102</x:f>
        <x:v>8970</x:v>
      </x:c>
      <x:c r="N102" s="47" t="n">
        <x:f>N101+M102</x:f>
        <x:v>42090</x:v>
      </x:c>
      <x:c r="O102" s="46" t="n">
        <x:f>IF(C102="P0",0,IF(D102&lt;=3,0.15,IF(D102&lt;=14,0.25,IF(D102&lt;=45,0.35,0.5))))</x:f>
        <x:v>0.25</x:v>
      </x:c>
      <x:c r="P102" s="47" t="n">
        <x:f>J102*O102</x:f>
        <x:v>3450</x:v>
      </x:c>
      <x:c r="Q102" s="46" t="n">
        <x:f>IF(C102="P0",0,IF(D102&lt;=3,0.05,IF(D102&lt;=14,0.1,IF(D102&lt;=45,0.15,0.2))))</x:f>
        <x:v>0.1</x:v>
      </x:c>
      <x:c r="R102" s="47" t="n">
        <x:f>J102*Q102</x:f>
        <x:v>1380</x:v>
      </x:c>
      <x:c r="S102" s="20" t="str">
        <x:f>IF(D102&lt;E102,"closed",IF(D102&lt;'Paths'!$N$8,"initial","expanded"))</x:f>
        <x:v>initial</x:v>
      </x:c>
      <x:c r="T102" s="72"/>
    </x:row>
    <x:row r="103">
      <x:c r="C103" s="20" t="str">
        <x:v>P1</x:v>
      </x:c>
      <x:c r="D103" s="20" t="n">
        <x:v>5</x:v>
      </x:c>
      <x:c r="E103" s="45" t="n">
        <x:f>IF('Controls'!$D$7="Reference",'Paths'!$J$8,'Paths'!$K$8)</x:f>
        <x:v>1</x:v>
      </x:c>
      <x:c r="F103" s="47" t="n">
        <x:f>IF(D103&lt;'Paths'!$N$8,IF('Controls'!$D$7="Reference",'Paths'!$L$8,'Paths'!$M$8),IF('Controls'!$D$7="Reference",'Paths'!$O$8,'Paths'!$P$8))</x:f>
        <x:v>15000</x:v>
      </x:c>
      <x:c r="G103" s="46" t="n">
        <x:f>IF('Controls'!$D$7="Reference",1,IF(OR(D103=6,D103=7,D103=21,D103=46),'Paths'!$U$8,1))</x:f>
        <x:v>1</x:v>
      </x:c>
      <x:c r="H103" s="46" t="n">
        <x:f>IF('Controls'!$D$7="Reference",1,IF(OR(AND(D103&gt;=14,D103&lt;=16),AND(D103&gt;=34,D103&lt;=35),AND(D103&gt;=61,D103&lt;=63)),'Paths'!$V$8,1))</x:f>
        <x:v>1</x:v>
      </x:c>
      <x:c r="I103" s="46" t="n">
        <x:f>'Paths'!$W$8</x:f>
        <x:v>0.92</x:v>
      </x:c>
      <x:c r="J103" s="47" t="n">
        <x:f>IF(D103&lt;E103,0,MIN(F103*G103*H103*I103,IF('Paths'!$T$8&gt;0,MAX(0,'Paths'!$T$8-K102),1000000000)))</x:f>
        <x:v>13800</x:v>
      </x:c>
      <x:c r="K103" s="47" t="n">
        <x:f>K102+J103</x:f>
        <x:v>69000</x:v>
      </x:c>
      <x:c r="L103" s="46" t="n">
        <x:f>IF(C103="P0",1,IF(D103&lt;=3,0.8,IF(D103&lt;=14,0.65,IF(D103&lt;=45,0.5,0.3))))</x:f>
        <x:v>0.65</x:v>
      </x:c>
      <x:c r="M103" s="47" t="n">
        <x:f>J103*L103</x:f>
        <x:v>8970</x:v>
      </x:c>
      <x:c r="N103" s="47" t="n">
        <x:f>N102+M103</x:f>
        <x:v>51060</x:v>
      </x:c>
      <x:c r="O103" s="46" t="n">
        <x:f>IF(C103="P0",0,IF(D103&lt;=3,0.15,IF(D103&lt;=14,0.25,IF(D103&lt;=45,0.35,0.5))))</x:f>
        <x:v>0.25</x:v>
      </x:c>
      <x:c r="P103" s="47" t="n">
        <x:f>J103*O103</x:f>
        <x:v>3450</x:v>
      </x:c>
      <x:c r="Q103" s="46" t="n">
        <x:f>IF(C103="P0",0,IF(D103&lt;=3,0.05,IF(D103&lt;=14,0.1,IF(D103&lt;=45,0.15,0.2))))</x:f>
        <x:v>0.1</x:v>
      </x:c>
      <x:c r="R103" s="47" t="n">
        <x:f>J103*Q103</x:f>
        <x:v>1380</x:v>
      </x:c>
      <x:c r="S103" s="20" t="str">
        <x:f>IF(D103&lt;E103,"closed",IF(D103&lt;'Paths'!$N$8,"initial","expanded"))</x:f>
        <x:v>initial</x:v>
      </x:c>
      <x:c r="T103" s="72"/>
    </x:row>
    <x:row r="104">
      <x:c r="C104" s="20" t="str">
        <x:v>P1</x:v>
      </x:c>
      <x:c r="D104" s="20" t="n">
        <x:v>6</x:v>
      </x:c>
      <x:c r="E104" s="45" t="n">
        <x:f>IF('Controls'!$D$7="Reference",'Paths'!$J$8,'Paths'!$K$8)</x:f>
        <x:v>1</x:v>
      </x:c>
      <x:c r="F104" s="47" t="n">
        <x:f>IF(D104&lt;'Paths'!$N$8,IF('Controls'!$D$7="Reference",'Paths'!$L$8,'Paths'!$M$8),IF('Controls'!$D$7="Reference",'Paths'!$O$8,'Paths'!$P$8))</x:f>
        <x:v>15000</x:v>
      </x:c>
      <x:c r="G104" s="46" t="n">
        <x:f>IF('Controls'!$D$7="Reference",1,IF(OR(D104=6,D104=7,D104=21,D104=46),'Paths'!$U$8,1))</x:f>
        <x:v>0.7</x:v>
      </x:c>
      <x:c r="H104" s="46" t="n">
        <x:f>IF('Controls'!$D$7="Reference",1,IF(OR(AND(D104&gt;=14,D104&lt;=16),AND(D104&gt;=34,D104&lt;=35),AND(D104&gt;=61,D104&lt;=63)),'Paths'!$V$8,1))</x:f>
        <x:v>1</x:v>
      </x:c>
      <x:c r="I104" s="46" t="n">
        <x:f>'Paths'!$W$8</x:f>
        <x:v>0.92</x:v>
      </x:c>
      <x:c r="J104" s="47" t="n">
        <x:f>IF(D104&lt;E104,0,MIN(F104*G104*H104*I104,IF('Paths'!$T$8&gt;0,MAX(0,'Paths'!$T$8-K103),1000000000)))</x:f>
        <x:v>9660</x:v>
      </x:c>
      <x:c r="K104" s="47" t="n">
        <x:f>K103+J104</x:f>
        <x:v>78660</x:v>
      </x:c>
      <x:c r="L104" s="46" t="n">
        <x:f>IF(C104="P0",1,IF(D104&lt;=3,0.8,IF(D104&lt;=14,0.65,IF(D104&lt;=45,0.5,0.3))))</x:f>
        <x:v>0.65</x:v>
      </x:c>
      <x:c r="M104" s="47" t="n">
        <x:f>J104*L104</x:f>
        <x:v>6279</x:v>
      </x:c>
      <x:c r="N104" s="47" t="n">
        <x:f>N103+M104</x:f>
        <x:v>57339</x:v>
      </x:c>
      <x:c r="O104" s="46" t="n">
        <x:f>IF(C104="P0",0,IF(D104&lt;=3,0.15,IF(D104&lt;=14,0.25,IF(D104&lt;=45,0.35,0.5))))</x:f>
        <x:v>0.25</x:v>
      </x:c>
      <x:c r="P104" s="47" t="n">
        <x:f>J104*O104</x:f>
        <x:v>2415</x:v>
      </x:c>
      <x:c r="Q104" s="46" t="n">
        <x:f>IF(C104="P0",0,IF(D104&lt;=3,0.05,IF(D104&lt;=14,0.1,IF(D104&lt;=45,0.15,0.2))))</x:f>
        <x:v>0.1</x:v>
      </x:c>
      <x:c r="R104" s="47" t="n">
        <x:f>J104*Q104</x:f>
        <x:v>966</x:v>
      </x:c>
      <x:c r="S104" s="20" t="str">
        <x:f>IF(D104&lt;E104,"closed",IF(D104&lt;'Paths'!$N$8,"initial","expanded"))</x:f>
        <x:v>initial</x:v>
      </x:c>
      <x:c r="T104" s="72"/>
    </x:row>
    <x:row r="105">
      <x:c r="C105" s="20" t="str">
        <x:v>P1</x:v>
      </x:c>
      <x:c r="D105" s="20" t="n">
        <x:v>7</x:v>
      </x:c>
      <x:c r="E105" s="45" t="n">
        <x:f>IF('Controls'!$D$7="Reference",'Paths'!$J$8,'Paths'!$K$8)</x:f>
        <x:v>1</x:v>
      </x:c>
      <x:c r="F105" s="47" t="n">
        <x:f>IF(D105&lt;'Paths'!$N$8,IF('Controls'!$D$7="Reference",'Paths'!$L$8,'Paths'!$M$8),IF('Controls'!$D$7="Reference",'Paths'!$O$8,'Paths'!$P$8))</x:f>
        <x:v>15000</x:v>
      </x:c>
      <x:c r="G105" s="46" t="n">
        <x:f>IF('Controls'!$D$7="Reference",1,IF(OR(D105=6,D105=7,D105=21,D105=46),'Paths'!$U$8,1))</x:f>
        <x:v>0.7</x:v>
      </x:c>
      <x:c r="H105" s="46" t="n">
        <x:f>IF('Controls'!$D$7="Reference",1,IF(OR(AND(D105&gt;=14,D105&lt;=16),AND(D105&gt;=34,D105&lt;=35),AND(D105&gt;=61,D105&lt;=63)),'Paths'!$V$8,1))</x:f>
        <x:v>1</x:v>
      </x:c>
      <x:c r="I105" s="46" t="n">
        <x:f>'Paths'!$W$8</x:f>
        <x:v>0.92</x:v>
      </x:c>
      <x:c r="J105" s="47" t="n">
        <x:f>IF(D105&lt;E105,0,MIN(F105*G105*H105*I105,IF('Paths'!$T$8&gt;0,MAX(0,'Paths'!$T$8-K104),1000000000)))</x:f>
        <x:v>9660</x:v>
      </x:c>
      <x:c r="K105" s="47" t="n">
        <x:f>K104+J105</x:f>
        <x:v>88320</x:v>
      </x:c>
      <x:c r="L105" s="46" t="n">
        <x:f>IF(C105="P0",1,IF(D105&lt;=3,0.8,IF(D105&lt;=14,0.65,IF(D105&lt;=45,0.5,0.3))))</x:f>
        <x:v>0.65</x:v>
      </x:c>
      <x:c r="M105" s="47" t="n">
        <x:f>J105*L105</x:f>
        <x:v>6279</x:v>
      </x:c>
      <x:c r="N105" s="47" t="n">
        <x:f>N104+M105</x:f>
        <x:v>63618</x:v>
      </x:c>
      <x:c r="O105" s="46" t="n">
        <x:f>IF(C105="P0",0,IF(D105&lt;=3,0.15,IF(D105&lt;=14,0.25,IF(D105&lt;=45,0.35,0.5))))</x:f>
        <x:v>0.25</x:v>
      </x:c>
      <x:c r="P105" s="47" t="n">
        <x:f>J105*O105</x:f>
        <x:v>2415</x:v>
      </x:c>
      <x:c r="Q105" s="46" t="n">
        <x:f>IF(C105="P0",0,IF(D105&lt;=3,0.05,IF(D105&lt;=14,0.1,IF(D105&lt;=45,0.15,0.2))))</x:f>
        <x:v>0.1</x:v>
      </x:c>
      <x:c r="R105" s="47" t="n">
        <x:f>J105*Q105</x:f>
        <x:v>966</x:v>
      </x:c>
      <x:c r="S105" s="20" t="str">
        <x:f>IF(D105&lt;E105,"closed",IF(D105&lt;'Paths'!$N$8,"initial","expanded"))</x:f>
        <x:v>initial</x:v>
      </x:c>
      <x:c r="T105" s="72"/>
    </x:row>
    <x:row r="106">
      <x:c r="C106" s="20" t="str">
        <x:v>P1</x:v>
      </x:c>
      <x:c r="D106" s="20" t="n">
        <x:v>8</x:v>
      </x:c>
      <x:c r="E106" s="45" t="n">
        <x:f>IF('Controls'!$D$7="Reference",'Paths'!$J$8,'Paths'!$K$8)</x:f>
        <x:v>1</x:v>
      </x:c>
      <x:c r="F106" s="47" t="n">
        <x:f>IF(D106&lt;'Paths'!$N$8,IF('Controls'!$D$7="Reference",'Paths'!$L$8,'Paths'!$M$8),IF('Controls'!$D$7="Reference",'Paths'!$O$8,'Paths'!$P$8))</x:f>
        <x:v>15000</x:v>
      </x:c>
      <x:c r="G106" s="46" t="n">
        <x:f>IF('Controls'!$D$7="Reference",1,IF(OR(D106=6,D106=7,D106=21,D106=46),'Paths'!$U$8,1))</x:f>
        <x:v>1</x:v>
      </x:c>
      <x:c r="H106" s="46" t="n">
        <x:f>IF('Controls'!$D$7="Reference",1,IF(OR(AND(D106&gt;=14,D106&lt;=16),AND(D106&gt;=34,D106&lt;=35),AND(D106&gt;=61,D106&lt;=63)),'Paths'!$V$8,1))</x:f>
        <x:v>1</x:v>
      </x:c>
      <x:c r="I106" s="46" t="n">
        <x:f>'Paths'!$W$8</x:f>
        <x:v>0.92</x:v>
      </x:c>
      <x:c r="J106" s="47" t="n">
        <x:f>IF(D106&lt;E106,0,MIN(F106*G106*H106*I106,IF('Paths'!$T$8&gt;0,MAX(0,'Paths'!$T$8-K105),1000000000)))</x:f>
        <x:v>13800</x:v>
      </x:c>
      <x:c r="K106" s="47" t="n">
        <x:f>K105+J106</x:f>
        <x:v>102120</x:v>
      </x:c>
      <x:c r="L106" s="46" t="n">
        <x:f>IF(C106="P0",1,IF(D106&lt;=3,0.8,IF(D106&lt;=14,0.65,IF(D106&lt;=45,0.5,0.3))))</x:f>
        <x:v>0.65</x:v>
      </x:c>
      <x:c r="M106" s="47" t="n">
        <x:f>J106*L106</x:f>
        <x:v>8970</x:v>
      </x:c>
      <x:c r="N106" s="47" t="n">
        <x:f>N105+M106</x:f>
        <x:v>72588</x:v>
      </x:c>
      <x:c r="O106" s="46" t="n">
        <x:f>IF(C106="P0",0,IF(D106&lt;=3,0.15,IF(D106&lt;=14,0.25,IF(D106&lt;=45,0.35,0.5))))</x:f>
        <x:v>0.25</x:v>
      </x:c>
      <x:c r="P106" s="47" t="n">
        <x:f>J106*O106</x:f>
        <x:v>3450</x:v>
      </x:c>
      <x:c r="Q106" s="46" t="n">
        <x:f>IF(C106="P0",0,IF(D106&lt;=3,0.05,IF(D106&lt;=14,0.1,IF(D106&lt;=45,0.15,0.2))))</x:f>
        <x:v>0.1</x:v>
      </x:c>
      <x:c r="R106" s="47" t="n">
        <x:f>J106*Q106</x:f>
        <x:v>1380</x:v>
      </x:c>
      <x:c r="S106" s="20" t="str">
        <x:f>IF(D106&lt;E106,"closed",IF(D106&lt;'Paths'!$N$8,"initial","expanded"))</x:f>
        <x:v>initial</x:v>
      </x:c>
      <x:c r="T106" s="72"/>
    </x:row>
    <x:row r="107">
      <x:c r="C107" s="20" t="str">
        <x:v>P1</x:v>
      </x:c>
      <x:c r="D107" s="20" t="n">
        <x:v>9</x:v>
      </x:c>
      <x:c r="E107" s="45" t="n">
        <x:f>IF('Controls'!$D$7="Reference",'Paths'!$J$8,'Paths'!$K$8)</x:f>
        <x:v>1</x:v>
      </x:c>
      <x:c r="F107" s="47" t="n">
        <x:f>IF(D107&lt;'Paths'!$N$8,IF('Controls'!$D$7="Reference",'Paths'!$L$8,'Paths'!$M$8),IF('Controls'!$D$7="Reference",'Paths'!$O$8,'Paths'!$P$8))</x:f>
        <x:v>15000</x:v>
      </x:c>
      <x:c r="G107" s="46" t="n">
        <x:f>IF('Controls'!$D$7="Reference",1,IF(OR(D107=6,D107=7,D107=21,D107=46),'Paths'!$U$8,1))</x:f>
        <x:v>1</x:v>
      </x:c>
      <x:c r="H107" s="46" t="n">
        <x:f>IF('Controls'!$D$7="Reference",1,IF(OR(AND(D107&gt;=14,D107&lt;=16),AND(D107&gt;=34,D107&lt;=35),AND(D107&gt;=61,D107&lt;=63)),'Paths'!$V$8,1))</x:f>
        <x:v>1</x:v>
      </x:c>
      <x:c r="I107" s="46" t="n">
        <x:f>'Paths'!$W$8</x:f>
        <x:v>0.92</x:v>
      </x:c>
      <x:c r="J107" s="47" t="n">
        <x:f>IF(D107&lt;E107,0,MIN(F107*G107*H107*I107,IF('Paths'!$T$8&gt;0,MAX(0,'Paths'!$T$8-K106),1000000000)))</x:f>
        <x:v>13800</x:v>
      </x:c>
      <x:c r="K107" s="47" t="n">
        <x:f>K106+J107</x:f>
        <x:v>115920</x:v>
      </x:c>
      <x:c r="L107" s="46" t="n">
        <x:f>IF(C107="P0",1,IF(D107&lt;=3,0.8,IF(D107&lt;=14,0.65,IF(D107&lt;=45,0.5,0.3))))</x:f>
        <x:v>0.65</x:v>
      </x:c>
      <x:c r="M107" s="47" t="n">
        <x:f>J107*L107</x:f>
        <x:v>8970</x:v>
      </x:c>
      <x:c r="N107" s="47" t="n">
        <x:f>N106+M107</x:f>
        <x:v>81558</x:v>
      </x:c>
      <x:c r="O107" s="46" t="n">
        <x:f>IF(C107="P0",0,IF(D107&lt;=3,0.15,IF(D107&lt;=14,0.25,IF(D107&lt;=45,0.35,0.5))))</x:f>
        <x:v>0.25</x:v>
      </x:c>
      <x:c r="P107" s="47" t="n">
        <x:f>J107*O107</x:f>
        <x:v>3450</x:v>
      </x:c>
      <x:c r="Q107" s="46" t="n">
        <x:f>IF(C107="P0",0,IF(D107&lt;=3,0.05,IF(D107&lt;=14,0.1,IF(D107&lt;=45,0.15,0.2))))</x:f>
        <x:v>0.1</x:v>
      </x:c>
      <x:c r="R107" s="47" t="n">
        <x:f>J107*Q107</x:f>
        <x:v>1380</x:v>
      </x:c>
      <x:c r="S107" s="20" t="str">
        <x:f>IF(D107&lt;E107,"closed",IF(D107&lt;'Paths'!$N$8,"initial","expanded"))</x:f>
        <x:v>initial</x:v>
      </x:c>
      <x:c r="T107" s="72"/>
    </x:row>
    <x:row r="108">
      <x:c r="C108" s="20" t="str">
        <x:v>P1</x:v>
      </x:c>
      <x:c r="D108" s="20" t="n">
        <x:v>10</x:v>
      </x:c>
      <x:c r="E108" s="45" t="n">
        <x:f>IF('Controls'!$D$7="Reference",'Paths'!$J$8,'Paths'!$K$8)</x:f>
        <x:v>1</x:v>
      </x:c>
      <x:c r="F108" s="47" t="n">
        <x:f>IF(D108&lt;'Paths'!$N$8,IF('Controls'!$D$7="Reference",'Paths'!$L$8,'Paths'!$M$8),IF('Controls'!$D$7="Reference",'Paths'!$O$8,'Paths'!$P$8))</x:f>
        <x:v>20000</x:v>
      </x:c>
      <x:c r="G108" s="46" t="n">
        <x:f>IF('Controls'!$D$7="Reference",1,IF(OR(D108=6,D108=7,D108=21,D108=46),'Paths'!$U$8,1))</x:f>
        <x:v>1</x:v>
      </x:c>
      <x:c r="H108" s="46" t="n">
        <x:f>IF('Controls'!$D$7="Reference",1,IF(OR(AND(D108&gt;=14,D108&lt;=16),AND(D108&gt;=34,D108&lt;=35),AND(D108&gt;=61,D108&lt;=63)),'Paths'!$V$8,1))</x:f>
        <x:v>1</x:v>
      </x:c>
      <x:c r="I108" s="46" t="n">
        <x:f>'Paths'!$W$8</x:f>
        <x:v>0.92</x:v>
      </x:c>
      <x:c r="J108" s="47" t="n">
        <x:f>IF(D108&lt;E108,0,MIN(F108*G108*H108*I108,IF('Paths'!$T$8&gt;0,MAX(0,'Paths'!$T$8-K107),1000000000)))</x:f>
        <x:v>18400</x:v>
      </x:c>
      <x:c r="K108" s="47" t="n">
        <x:f>K107+J108</x:f>
        <x:v>134320</x:v>
      </x:c>
      <x:c r="L108" s="46" t="n">
        <x:f>IF(C108="P0",1,IF(D108&lt;=3,0.8,IF(D108&lt;=14,0.65,IF(D108&lt;=45,0.5,0.3))))</x:f>
        <x:v>0.65</x:v>
      </x:c>
      <x:c r="M108" s="47" t="n">
        <x:f>J108*L108</x:f>
        <x:v>11960</x:v>
      </x:c>
      <x:c r="N108" s="47" t="n">
        <x:f>N107+M108</x:f>
        <x:v>93518</x:v>
      </x:c>
      <x:c r="O108" s="46" t="n">
        <x:f>IF(C108="P0",0,IF(D108&lt;=3,0.15,IF(D108&lt;=14,0.25,IF(D108&lt;=45,0.35,0.5))))</x:f>
        <x:v>0.25</x:v>
      </x:c>
      <x:c r="P108" s="47" t="n">
        <x:f>J108*O108</x:f>
        <x:v>4600</x:v>
      </x:c>
      <x:c r="Q108" s="46" t="n">
        <x:f>IF(C108="P0",0,IF(D108&lt;=3,0.05,IF(D108&lt;=14,0.1,IF(D108&lt;=45,0.15,0.2))))</x:f>
        <x:v>0.1</x:v>
      </x:c>
      <x:c r="R108" s="47" t="n">
        <x:f>J108*Q108</x:f>
        <x:v>1840</x:v>
      </x:c>
      <x:c r="S108" s="20" t="str">
        <x:f>IF(D108&lt;E108,"closed",IF(D108&lt;'Paths'!$N$8,"initial","expanded"))</x:f>
        <x:v>expanded</x:v>
      </x:c>
      <x:c r="T108" s="72"/>
    </x:row>
    <x:row r="109">
      <x:c r="C109" s="20" t="str">
        <x:v>P1</x:v>
      </x:c>
      <x:c r="D109" s="20" t="n">
        <x:v>11</x:v>
      </x:c>
      <x:c r="E109" s="45" t="n">
        <x:f>IF('Controls'!$D$7="Reference",'Paths'!$J$8,'Paths'!$K$8)</x:f>
        <x:v>1</x:v>
      </x:c>
      <x:c r="F109" s="47" t="n">
        <x:f>IF(D109&lt;'Paths'!$N$8,IF('Controls'!$D$7="Reference",'Paths'!$L$8,'Paths'!$M$8),IF('Controls'!$D$7="Reference",'Paths'!$O$8,'Paths'!$P$8))</x:f>
        <x:v>20000</x:v>
      </x:c>
      <x:c r="G109" s="46" t="n">
        <x:f>IF('Controls'!$D$7="Reference",1,IF(OR(D109=6,D109=7,D109=21,D109=46),'Paths'!$U$8,1))</x:f>
        <x:v>1</x:v>
      </x:c>
      <x:c r="H109" s="46" t="n">
        <x:f>IF('Controls'!$D$7="Reference",1,IF(OR(AND(D109&gt;=14,D109&lt;=16),AND(D109&gt;=34,D109&lt;=35),AND(D109&gt;=61,D109&lt;=63)),'Paths'!$V$8,1))</x:f>
        <x:v>1</x:v>
      </x:c>
      <x:c r="I109" s="46" t="n">
        <x:f>'Paths'!$W$8</x:f>
        <x:v>0.92</x:v>
      </x:c>
      <x:c r="J109" s="47" t="n">
        <x:f>IF(D109&lt;E109,0,MIN(F109*G109*H109*I109,IF('Paths'!$T$8&gt;0,MAX(0,'Paths'!$T$8-K108),1000000000)))</x:f>
        <x:v>18400</x:v>
      </x:c>
      <x:c r="K109" s="47" t="n">
        <x:f>K108+J109</x:f>
        <x:v>152720</x:v>
      </x:c>
      <x:c r="L109" s="46" t="n">
        <x:f>IF(C109="P0",1,IF(D109&lt;=3,0.8,IF(D109&lt;=14,0.65,IF(D109&lt;=45,0.5,0.3))))</x:f>
        <x:v>0.65</x:v>
      </x:c>
      <x:c r="M109" s="47" t="n">
        <x:f>J109*L109</x:f>
        <x:v>11960</x:v>
      </x:c>
      <x:c r="N109" s="47" t="n">
        <x:f>N108+M109</x:f>
        <x:v>105478</x:v>
      </x:c>
      <x:c r="O109" s="46" t="n">
        <x:f>IF(C109="P0",0,IF(D109&lt;=3,0.15,IF(D109&lt;=14,0.25,IF(D109&lt;=45,0.35,0.5))))</x:f>
        <x:v>0.25</x:v>
      </x:c>
      <x:c r="P109" s="47" t="n">
        <x:f>J109*O109</x:f>
        <x:v>4600</x:v>
      </x:c>
      <x:c r="Q109" s="46" t="n">
        <x:f>IF(C109="P0",0,IF(D109&lt;=3,0.05,IF(D109&lt;=14,0.1,IF(D109&lt;=45,0.15,0.2))))</x:f>
        <x:v>0.1</x:v>
      </x:c>
      <x:c r="R109" s="47" t="n">
        <x:f>J109*Q109</x:f>
        <x:v>1840</x:v>
      </x:c>
      <x:c r="S109" s="20" t="str">
        <x:f>IF(D109&lt;E109,"closed",IF(D109&lt;'Paths'!$N$8,"initial","expanded"))</x:f>
        <x:v>expanded</x:v>
      </x:c>
      <x:c r="T109" s="72"/>
    </x:row>
    <x:row r="110">
      <x:c r="C110" s="20" t="str">
        <x:v>P1</x:v>
      </x:c>
      <x:c r="D110" s="20" t="n">
        <x:v>12</x:v>
      </x:c>
      <x:c r="E110" s="45" t="n">
        <x:f>IF('Controls'!$D$7="Reference",'Paths'!$J$8,'Paths'!$K$8)</x:f>
        <x:v>1</x:v>
      </x:c>
      <x:c r="F110" s="47" t="n">
        <x:f>IF(D110&lt;'Paths'!$N$8,IF('Controls'!$D$7="Reference",'Paths'!$L$8,'Paths'!$M$8),IF('Controls'!$D$7="Reference",'Paths'!$O$8,'Paths'!$P$8))</x:f>
        <x:v>20000</x:v>
      </x:c>
      <x:c r="G110" s="46" t="n">
        <x:f>IF('Controls'!$D$7="Reference",1,IF(OR(D110=6,D110=7,D110=21,D110=46),'Paths'!$U$8,1))</x:f>
        <x:v>1</x:v>
      </x:c>
      <x:c r="H110" s="46" t="n">
        <x:f>IF('Controls'!$D$7="Reference",1,IF(OR(AND(D110&gt;=14,D110&lt;=16),AND(D110&gt;=34,D110&lt;=35),AND(D110&gt;=61,D110&lt;=63)),'Paths'!$V$8,1))</x:f>
        <x:v>1</x:v>
      </x:c>
      <x:c r="I110" s="46" t="n">
        <x:f>'Paths'!$W$8</x:f>
        <x:v>0.92</x:v>
      </x:c>
      <x:c r="J110" s="47" t="n">
        <x:f>IF(D110&lt;E110,0,MIN(F110*G110*H110*I110,IF('Paths'!$T$8&gt;0,MAX(0,'Paths'!$T$8-K109),1000000000)))</x:f>
        <x:v>18400</x:v>
      </x:c>
      <x:c r="K110" s="47" t="n">
        <x:f>K109+J110</x:f>
        <x:v>171120</x:v>
      </x:c>
      <x:c r="L110" s="46" t="n">
        <x:f>IF(C110="P0",1,IF(D110&lt;=3,0.8,IF(D110&lt;=14,0.65,IF(D110&lt;=45,0.5,0.3))))</x:f>
        <x:v>0.65</x:v>
      </x:c>
      <x:c r="M110" s="47" t="n">
        <x:f>J110*L110</x:f>
        <x:v>11960</x:v>
      </x:c>
      <x:c r="N110" s="47" t="n">
        <x:f>N109+M110</x:f>
        <x:v>117438</x:v>
      </x:c>
      <x:c r="O110" s="46" t="n">
        <x:f>IF(C110="P0",0,IF(D110&lt;=3,0.15,IF(D110&lt;=14,0.25,IF(D110&lt;=45,0.35,0.5))))</x:f>
        <x:v>0.25</x:v>
      </x:c>
      <x:c r="P110" s="47" t="n">
        <x:f>J110*O110</x:f>
        <x:v>4600</x:v>
      </x:c>
      <x:c r="Q110" s="46" t="n">
        <x:f>IF(C110="P0",0,IF(D110&lt;=3,0.05,IF(D110&lt;=14,0.1,IF(D110&lt;=45,0.15,0.2))))</x:f>
        <x:v>0.1</x:v>
      </x:c>
      <x:c r="R110" s="47" t="n">
        <x:f>J110*Q110</x:f>
        <x:v>1840</x:v>
      </x:c>
      <x:c r="S110" s="20" t="str">
        <x:f>IF(D110&lt;E110,"closed",IF(D110&lt;'Paths'!$N$8,"initial","expanded"))</x:f>
        <x:v>expanded</x:v>
      </x:c>
      <x:c r="T110" s="72"/>
    </x:row>
    <x:row r="111">
      <x:c r="C111" s="20" t="str">
        <x:v>P1</x:v>
      </x:c>
      <x:c r="D111" s="20" t="n">
        <x:v>13</x:v>
      </x:c>
      <x:c r="E111" s="45" t="n">
        <x:f>IF('Controls'!$D$7="Reference",'Paths'!$J$8,'Paths'!$K$8)</x:f>
        <x:v>1</x:v>
      </x:c>
      <x:c r="F111" s="47" t="n">
        <x:f>IF(D111&lt;'Paths'!$N$8,IF('Controls'!$D$7="Reference",'Paths'!$L$8,'Paths'!$M$8),IF('Controls'!$D$7="Reference",'Paths'!$O$8,'Paths'!$P$8))</x:f>
        <x:v>20000</x:v>
      </x:c>
      <x:c r="G111" s="46" t="n">
        <x:f>IF('Controls'!$D$7="Reference",1,IF(OR(D111=6,D111=7,D111=21,D111=46),'Paths'!$U$8,1))</x:f>
        <x:v>1</x:v>
      </x:c>
      <x:c r="H111" s="46" t="n">
        <x:f>IF('Controls'!$D$7="Reference",1,IF(OR(AND(D111&gt;=14,D111&lt;=16),AND(D111&gt;=34,D111&lt;=35),AND(D111&gt;=61,D111&lt;=63)),'Paths'!$V$8,1))</x:f>
        <x:v>1</x:v>
      </x:c>
      <x:c r="I111" s="46" t="n">
        <x:f>'Paths'!$W$8</x:f>
        <x:v>0.92</x:v>
      </x:c>
      <x:c r="J111" s="47" t="n">
        <x:f>IF(D111&lt;E111,0,MIN(F111*G111*H111*I111,IF('Paths'!$T$8&gt;0,MAX(0,'Paths'!$T$8-K110),1000000000)))</x:f>
        <x:v>18400</x:v>
      </x:c>
      <x:c r="K111" s="47" t="n">
        <x:f>K110+J111</x:f>
        <x:v>189520</x:v>
      </x:c>
      <x:c r="L111" s="46" t="n">
        <x:f>IF(C111="P0",1,IF(D111&lt;=3,0.8,IF(D111&lt;=14,0.65,IF(D111&lt;=45,0.5,0.3))))</x:f>
        <x:v>0.65</x:v>
      </x:c>
      <x:c r="M111" s="47" t="n">
        <x:f>J111*L111</x:f>
        <x:v>11960</x:v>
      </x:c>
      <x:c r="N111" s="47" t="n">
        <x:f>N110+M111</x:f>
        <x:v>129398</x:v>
      </x:c>
      <x:c r="O111" s="46" t="n">
        <x:f>IF(C111="P0",0,IF(D111&lt;=3,0.15,IF(D111&lt;=14,0.25,IF(D111&lt;=45,0.35,0.5))))</x:f>
        <x:v>0.25</x:v>
      </x:c>
      <x:c r="P111" s="47" t="n">
        <x:f>J111*O111</x:f>
        <x:v>4600</x:v>
      </x:c>
      <x:c r="Q111" s="46" t="n">
        <x:f>IF(C111="P0",0,IF(D111&lt;=3,0.05,IF(D111&lt;=14,0.1,IF(D111&lt;=45,0.15,0.2))))</x:f>
        <x:v>0.1</x:v>
      </x:c>
      <x:c r="R111" s="47" t="n">
        <x:f>J111*Q111</x:f>
        <x:v>1840</x:v>
      </x:c>
      <x:c r="S111" s="20" t="str">
        <x:f>IF(D111&lt;E111,"closed",IF(D111&lt;'Paths'!$N$8,"initial","expanded"))</x:f>
        <x:v>expanded</x:v>
      </x:c>
      <x:c r="T111" s="72"/>
    </x:row>
    <x:row r="112">
      <x:c r="C112" s="20" t="str">
        <x:v>P1</x:v>
      </x:c>
      <x:c r="D112" s="20" t="n">
        <x:v>14</x:v>
      </x:c>
      <x:c r="E112" s="45" t="n">
        <x:f>IF('Controls'!$D$7="Reference",'Paths'!$J$8,'Paths'!$K$8)</x:f>
        <x:v>1</x:v>
      </x:c>
      <x:c r="F112" s="47" t="n">
        <x:f>IF(D112&lt;'Paths'!$N$8,IF('Controls'!$D$7="Reference",'Paths'!$L$8,'Paths'!$M$8),IF('Controls'!$D$7="Reference",'Paths'!$O$8,'Paths'!$P$8))</x:f>
        <x:v>20000</x:v>
      </x:c>
      <x:c r="G112" s="46" t="n">
        <x:f>IF('Controls'!$D$7="Reference",1,IF(OR(D112=6,D112=7,D112=21,D112=46),'Paths'!$U$8,1))</x:f>
        <x:v>1</x:v>
      </x:c>
      <x:c r="H112" s="46" t="n">
        <x:f>IF('Controls'!$D$7="Reference",1,IF(OR(AND(D112&gt;=14,D112&lt;=16),AND(D112&gt;=34,D112&lt;=35),AND(D112&gt;=61,D112&lt;=63)),'Paths'!$V$8,1))</x:f>
        <x:v>0.7</x:v>
      </x:c>
      <x:c r="I112" s="46" t="n">
        <x:f>'Paths'!$W$8</x:f>
        <x:v>0.92</x:v>
      </x:c>
      <x:c r="J112" s="47" t="n">
        <x:f>IF(D112&lt;E112,0,MIN(F112*G112*H112*I112,IF('Paths'!$T$8&gt;0,MAX(0,'Paths'!$T$8-K111),1000000000)))</x:f>
        <x:v>12880</x:v>
      </x:c>
      <x:c r="K112" s="47" t="n">
        <x:f>K111+J112</x:f>
        <x:v>202400</x:v>
      </x:c>
      <x:c r="L112" s="46" t="n">
        <x:f>IF(C112="P0",1,IF(D112&lt;=3,0.8,IF(D112&lt;=14,0.65,IF(D112&lt;=45,0.5,0.3))))</x:f>
        <x:v>0.65</x:v>
      </x:c>
      <x:c r="M112" s="47" t="n">
        <x:f>J112*L112</x:f>
        <x:v>8372</x:v>
      </x:c>
      <x:c r="N112" s="47" t="n">
        <x:f>N111+M112</x:f>
        <x:v>137770</x:v>
      </x:c>
      <x:c r="O112" s="46" t="n">
        <x:f>IF(C112="P0",0,IF(D112&lt;=3,0.15,IF(D112&lt;=14,0.25,IF(D112&lt;=45,0.35,0.5))))</x:f>
        <x:v>0.25</x:v>
      </x:c>
      <x:c r="P112" s="47" t="n">
        <x:f>J112*O112</x:f>
        <x:v>3220</x:v>
      </x:c>
      <x:c r="Q112" s="46" t="n">
        <x:f>IF(C112="P0",0,IF(D112&lt;=3,0.05,IF(D112&lt;=14,0.1,IF(D112&lt;=45,0.15,0.2))))</x:f>
        <x:v>0.1</x:v>
      </x:c>
      <x:c r="R112" s="47" t="n">
        <x:f>J112*Q112</x:f>
        <x:v>1288</x:v>
      </x:c>
      <x:c r="S112" s="20" t="str">
        <x:f>IF(D112&lt;E112,"closed",IF(D112&lt;'Paths'!$N$8,"initial","expanded"))</x:f>
        <x:v>expanded</x:v>
      </x:c>
      <x:c r="T112" s="72"/>
    </x:row>
    <x:row r="113">
      <x:c r="C113" s="20" t="str">
        <x:v>P1</x:v>
      </x:c>
      <x:c r="D113" s="20" t="n">
        <x:v>15</x:v>
      </x:c>
      <x:c r="E113" s="45" t="n">
        <x:f>IF('Controls'!$D$7="Reference",'Paths'!$J$8,'Paths'!$K$8)</x:f>
        <x:v>1</x:v>
      </x:c>
      <x:c r="F113" s="47" t="n">
        <x:f>IF(D113&lt;'Paths'!$N$8,IF('Controls'!$D$7="Reference",'Paths'!$L$8,'Paths'!$M$8),IF('Controls'!$D$7="Reference",'Paths'!$O$8,'Paths'!$P$8))</x:f>
        <x:v>20000</x:v>
      </x:c>
      <x:c r="G113" s="46" t="n">
        <x:f>IF('Controls'!$D$7="Reference",1,IF(OR(D113=6,D113=7,D113=21,D113=46),'Paths'!$U$8,1))</x:f>
        <x:v>1</x:v>
      </x:c>
      <x:c r="H113" s="46" t="n">
        <x:f>IF('Controls'!$D$7="Reference",1,IF(OR(AND(D113&gt;=14,D113&lt;=16),AND(D113&gt;=34,D113&lt;=35),AND(D113&gt;=61,D113&lt;=63)),'Paths'!$V$8,1))</x:f>
        <x:v>0.7</x:v>
      </x:c>
      <x:c r="I113" s="46" t="n">
        <x:f>'Paths'!$W$8</x:f>
        <x:v>0.92</x:v>
      </x:c>
      <x:c r="J113" s="47" t="n">
        <x:f>IF(D113&lt;E113,0,MIN(F113*G113*H113*I113,IF('Paths'!$T$8&gt;0,MAX(0,'Paths'!$T$8-K112),1000000000)))</x:f>
        <x:v>12880</x:v>
      </x:c>
      <x:c r="K113" s="47" t="n">
        <x:f>K112+J113</x:f>
        <x:v>215280</x:v>
      </x:c>
      <x:c r="L113" s="46" t="n">
        <x:f>IF(C113="P0",1,IF(D113&lt;=3,0.8,IF(D113&lt;=14,0.65,IF(D113&lt;=45,0.5,0.3))))</x:f>
        <x:v>0.5</x:v>
      </x:c>
      <x:c r="M113" s="47" t="n">
        <x:f>J113*L113</x:f>
        <x:v>6440</x:v>
      </x:c>
      <x:c r="N113" s="47" t="n">
        <x:f>N112+M113</x:f>
        <x:v>144210</x:v>
      </x:c>
      <x:c r="O113" s="46" t="n">
        <x:f>IF(C113="P0",0,IF(D113&lt;=3,0.15,IF(D113&lt;=14,0.25,IF(D113&lt;=45,0.35,0.5))))</x:f>
        <x:v>0.35</x:v>
      </x:c>
      <x:c r="P113" s="47" t="n">
        <x:f>J113*O113</x:f>
        <x:v>4508</x:v>
      </x:c>
      <x:c r="Q113" s="46" t="n">
        <x:f>IF(C113="P0",0,IF(D113&lt;=3,0.05,IF(D113&lt;=14,0.1,IF(D113&lt;=45,0.15,0.2))))</x:f>
        <x:v>0.15</x:v>
      </x:c>
      <x:c r="R113" s="47" t="n">
        <x:f>J113*Q113</x:f>
        <x:v>1932</x:v>
      </x:c>
      <x:c r="S113" s="20" t="str">
        <x:f>IF(D113&lt;E113,"closed",IF(D113&lt;'Paths'!$N$8,"initial","expanded"))</x:f>
        <x:v>expanded</x:v>
      </x:c>
      <x:c r="T113" s="72"/>
    </x:row>
    <x:row r="114">
      <x:c r="C114" s="20" t="str">
        <x:v>P1</x:v>
      </x:c>
      <x:c r="D114" s="20" t="n">
        <x:v>16</x:v>
      </x:c>
      <x:c r="E114" s="45" t="n">
        <x:f>IF('Controls'!$D$7="Reference",'Paths'!$J$8,'Paths'!$K$8)</x:f>
        <x:v>1</x:v>
      </x:c>
      <x:c r="F114" s="47" t="n">
        <x:f>IF(D114&lt;'Paths'!$N$8,IF('Controls'!$D$7="Reference",'Paths'!$L$8,'Paths'!$M$8),IF('Controls'!$D$7="Reference",'Paths'!$O$8,'Paths'!$P$8))</x:f>
        <x:v>20000</x:v>
      </x:c>
      <x:c r="G114" s="46" t="n">
        <x:f>IF('Controls'!$D$7="Reference",1,IF(OR(D114=6,D114=7,D114=21,D114=46),'Paths'!$U$8,1))</x:f>
        <x:v>1</x:v>
      </x:c>
      <x:c r="H114" s="46" t="n">
        <x:f>IF('Controls'!$D$7="Reference",1,IF(OR(AND(D114&gt;=14,D114&lt;=16),AND(D114&gt;=34,D114&lt;=35),AND(D114&gt;=61,D114&lt;=63)),'Paths'!$V$8,1))</x:f>
        <x:v>0.7</x:v>
      </x:c>
      <x:c r="I114" s="46" t="n">
        <x:f>'Paths'!$W$8</x:f>
        <x:v>0.92</x:v>
      </x:c>
      <x:c r="J114" s="47" t="n">
        <x:f>IF(D114&lt;E114,0,MIN(F114*G114*H114*I114,IF('Paths'!$T$8&gt;0,MAX(0,'Paths'!$T$8-K113),1000000000)))</x:f>
        <x:v>12880</x:v>
      </x:c>
      <x:c r="K114" s="47" t="n">
        <x:f>K113+J114</x:f>
        <x:v>228160</x:v>
      </x:c>
      <x:c r="L114" s="46" t="n">
        <x:f>IF(C114="P0",1,IF(D114&lt;=3,0.8,IF(D114&lt;=14,0.65,IF(D114&lt;=45,0.5,0.3))))</x:f>
        <x:v>0.5</x:v>
      </x:c>
      <x:c r="M114" s="47" t="n">
        <x:f>J114*L114</x:f>
        <x:v>6440</x:v>
      </x:c>
      <x:c r="N114" s="47" t="n">
        <x:f>N113+M114</x:f>
        <x:v>150650</x:v>
      </x:c>
      <x:c r="O114" s="46" t="n">
        <x:f>IF(C114="P0",0,IF(D114&lt;=3,0.15,IF(D114&lt;=14,0.25,IF(D114&lt;=45,0.35,0.5))))</x:f>
        <x:v>0.35</x:v>
      </x:c>
      <x:c r="P114" s="47" t="n">
        <x:f>J114*O114</x:f>
        <x:v>4508</x:v>
      </x:c>
      <x:c r="Q114" s="46" t="n">
        <x:f>IF(C114="P0",0,IF(D114&lt;=3,0.05,IF(D114&lt;=14,0.1,IF(D114&lt;=45,0.15,0.2))))</x:f>
        <x:v>0.15</x:v>
      </x:c>
      <x:c r="R114" s="47" t="n">
        <x:f>J114*Q114</x:f>
        <x:v>1932</x:v>
      </x:c>
      <x:c r="S114" s="20" t="str">
        <x:f>IF(D114&lt;E114,"closed",IF(D114&lt;'Paths'!$N$8,"initial","expanded"))</x:f>
        <x:v>expanded</x:v>
      </x:c>
      <x:c r="T114" s="72"/>
    </x:row>
    <x:row r="115">
      <x:c r="C115" s="20" t="str">
        <x:v>P1</x:v>
      </x:c>
      <x:c r="D115" s="20" t="n">
        <x:v>17</x:v>
      </x:c>
      <x:c r="E115" s="45" t="n">
        <x:f>IF('Controls'!$D$7="Reference",'Paths'!$J$8,'Paths'!$K$8)</x:f>
        <x:v>1</x:v>
      </x:c>
      <x:c r="F115" s="47" t="n">
        <x:f>IF(D115&lt;'Paths'!$N$8,IF('Controls'!$D$7="Reference",'Paths'!$L$8,'Paths'!$M$8),IF('Controls'!$D$7="Reference",'Paths'!$O$8,'Paths'!$P$8))</x:f>
        <x:v>20000</x:v>
      </x:c>
      <x:c r="G115" s="46" t="n">
        <x:f>IF('Controls'!$D$7="Reference",1,IF(OR(D115=6,D115=7,D115=21,D115=46),'Paths'!$U$8,1))</x:f>
        <x:v>1</x:v>
      </x:c>
      <x:c r="H115" s="46" t="n">
        <x:f>IF('Controls'!$D$7="Reference",1,IF(OR(AND(D115&gt;=14,D115&lt;=16),AND(D115&gt;=34,D115&lt;=35),AND(D115&gt;=61,D115&lt;=63)),'Paths'!$V$8,1))</x:f>
        <x:v>1</x:v>
      </x:c>
      <x:c r="I115" s="46" t="n">
        <x:f>'Paths'!$W$8</x:f>
        <x:v>0.92</x:v>
      </x:c>
      <x:c r="J115" s="47" t="n">
        <x:f>IF(D115&lt;E115,0,MIN(F115*G115*H115*I115,IF('Paths'!$T$8&gt;0,MAX(0,'Paths'!$T$8-K114),1000000000)))</x:f>
        <x:v>18400</x:v>
      </x:c>
      <x:c r="K115" s="47" t="n">
        <x:f>K114+J115</x:f>
        <x:v>246560</x:v>
      </x:c>
      <x:c r="L115" s="46" t="n">
        <x:f>IF(C115="P0",1,IF(D115&lt;=3,0.8,IF(D115&lt;=14,0.65,IF(D115&lt;=45,0.5,0.3))))</x:f>
        <x:v>0.5</x:v>
      </x:c>
      <x:c r="M115" s="47" t="n">
        <x:f>J115*L115</x:f>
        <x:v>9200</x:v>
      </x:c>
      <x:c r="N115" s="47" t="n">
        <x:f>N114+M115</x:f>
        <x:v>159850</x:v>
      </x:c>
      <x:c r="O115" s="46" t="n">
        <x:f>IF(C115="P0",0,IF(D115&lt;=3,0.15,IF(D115&lt;=14,0.25,IF(D115&lt;=45,0.35,0.5))))</x:f>
        <x:v>0.35</x:v>
      </x:c>
      <x:c r="P115" s="47" t="n">
        <x:f>J115*O115</x:f>
        <x:v>6440</x:v>
      </x:c>
      <x:c r="Q115" s="46" t="n">
        <x:f>IF(C115="P0",0,IF(D115&lt;=3,0.05,IF(D115&lt;=14,0.1,IF(D115&lt;=45,0.15,0.2))))</x:f>
        <x:v>0.15</x:v>
      </x:c>
      <x:c r="R115" s="47" t="n">
        <x:f>J115*Q115</x:f>
        <x:v>2760</x:v>
      </x:c>
      <x:c r="S115" s="20" t="str">
        <x:f>IF(D115&lt;E115,"closed",IF(D115&lt;'Paths'!$N$8,"initial","expanded"))</x:f>
        <x:v>expanded</x:v>
      </x:c>
      <x:c r="T115" s="72"/>
    </x:row>
    <x:row r="116">
      <x:c r="C116" s="20" t="str">
        <x:v>P1</x:v>
      </x:c>
      <x:c r="D116" s="20" t="n">
        <x:v>18</x:v>
      </x:c>
      <x:c r="E116" s="45" t="n">
        <x:f>IF('Controls'!$D$7="Reference",'Paths'!$J$8,'Paths'!$K$8)</x:f>
        <x:v>1</x:v>
      </x:c>
      <x:c r="F116" s="47" t="n">
        <x:f>IF(D116&lt;'Paths'!$N$8,IF('Controls'!$D$7="Reference",'Paths'!$L$8,'Paths'!$M$8),IF('Controls'!$D$7="Reference",'Paths'!$O$8,'Paths'!$P$8))</x:f>
        <x:v>20000</x:v>
      </x:c>
      <x:c r="G116" s="46" t="n">
        <x:f>IF('Controls'!$D$7="Reference",1,IF(OR(D116=6,D116=7,D116=21,D116=46),'Paths'!$U$8,1))</x:f>
        <x:v>1</x:v>
      </x:c>
      <x:c r="H116" s="46" t="n">
        <x:f>IF('Controls'!$D$7="Reference",1,IF(OR(AND(D116&gt;=14,D116&lt;=16),AND(D116&gt;=34,D116&lt;=35),AND(D116&gt;=61,D116&lt;=63)),'Paths'!$V$8,1))</x:f>
        <x:v>1</x:v>
      </x:c>
      <x:c r="I116" s="46" t="n">
        <x:f>'Paths'!$W$8</x:f>
        <x:v>0.92</x:v>
      </x:c>
      <x:c r="J116" s="47" t="n">
        <x:f>IF(D116&lt;E116,0,MIN(F116*G116*H116*I116,IF('Paths'!$T$8&gt;0,MAX(0,'Paths'!$T$8-K115),1000000000)))</x:f>
        <x:v>18400</x:v>
      </x:c>
      <x:c r="K116" s="47" t="n">
        <x:f>K115+J116</x:f>
        <x:v>264960</x:v>
      </x:c>
      <x:c r="L116" s="46" t="n">
        <x:f>IF(C116="P0",1,IF(D116&lt;=3,0.8,IF(D116&lt;=14,0.65,IF(D116&lt;=45,0.5,0.3))))</x:f>
        <x:v>0.5</x:v>
      </x:c>
      <x:c r="M116" s="47" t="n">
        <x:f>J116*L116</x:f>
        <x:v>9200</x:v>
      </x:c>
      <x:c r="N116" s="47" t="n">
        <x:f>N115+M116</x:f>
        <x:v>169050</x:v>
      </x:c>
      <x:c r="O116" s="46" t="n">
        <x:f>IF(C116="P0",0,IF(D116&lt;=3,0.15,IF(D116&lt;=14,0.25,IF(D116&lt;=45,0.35,0.5))))</x:f>
        <x:v>0.35</x:v>
      </x:c>
      <x:c r="P116" s="47" t="n">
        <x:f>J116*O116</x:f>
        <x:v>6440</x:v>
      </x:c>
      <x:c r="Q116" s="46" t="n">
        <x:f>IF(C116="P0",0,IF(D116&lt;=3,0.05,IF(D116&lt;=14,0.1,IF(D116&lt;=45,0.15,0.2))))</x:f>
        <x:v>0.15</x:v>
      </x:c>
      <x:c r="R116" s="47" t="n">
        <x:f>J116*Q116</x:f>
        <x:v>2760</x:v>
      </x:c>
      <x:c r="S116" s="20" t="str">
        <x:f>IF(D116&lt;E116,"closed",IF(D116&lt;'Paths'!$N$8,"initial","expanded"))</x:f>
        <x:v>expanded</x:v>
      </x:c>
      <x:c r="T116" s="72"/>
    </x:row>
    <x:row r="117">
      <x:c r="C117" s="20" t="str">
        <x:v>P1</x:v>
      </x:c>
      <x:c r="D117" s="20" t="n">
        <x:v>19</x:v>
      </x:c>
      <x:c r="E117" s="45" t="n">
        <x:f>IF('Controls'!$D$7="Reference",'Paths'!$J$8,'Paths'!$K$8)</x:f>
        <x:v>1</x:v>
      </x:c>
      <x:c r="F117" s="47" t="n">
        <x:f>IF(D117&lt;'Paths'!$N$8,IF('Controls'!$D$7="Reference",'Paths'!$L$8,'Paths'!$M$8),IF('Controls'!$D$7="Reference",'Paths'!$O$8,'Paths'!$P$8))</x:f>
        <x:v>20000</x:v>
      </x:c>
      <x:c r="G117" s="46" t="n">
        <x:f>IF('Controls'!$D$7="Reference",1,IF(OR(D117=6,D117=7,D117=21,D117=46),'Paths'!$U$8,1))</x:f>
        <x:v>1</x:v>
      </x:c>
      <x:c r="H117" s="46" t="n">
        <x:f>IF('Controls'!$D$7="Reference",1,IF(OR(AND(D117&gt;=14,D117&lt;=16),AND(D117&gt;=34,D117&lt;=35),AND(D117&gt;=61,D117&lt;=63)),'Paths'!$V$8,1))</x:f>
        <x:v>1</x:v>
      </x:c>
      <x:c r="I117" s="46" t="n">
        <x:f>'Paths'!$W$8</x:f>
        <x:v>0.92</x:v>
      </x:c>
      <x:c r="J117" s="47" t="n">
        <x:f>IF(D117&lt;E117,0,MIN(F117*G117*H117*I117,IF('Paths'!$T$8&gt;0,MAX(0,'Paths'!$T$8-K116),1000000000)))</x:f>
        <x:v>18400</x:v>
      </x:c>
      <x:c r="K117" s="47" t="n">
        <x:f>K116+J117</x:f>
        <x:v>283360</x:v>
      </x:c>
      <x:c r="L117" s="46" t="n">
        <x:f>IF(C117="P0",1,IF(D117&lt;=3,0.8,IF(D117&lt;=14,0.65,IF(D117&lt;=45,0.5,0.3))))</x:f>
        <x:v>0.5</x:v>
      </x:c>
      <x:c r="M117" s="47" t="n">
        <x:f>J117*L117</x:f>
        <x:v>9200</x:v>
      </x:c>
      <x:c r="N117" s="47" t="n">
        <x:f>N116+M117</x:f>
        <x:v>178250</x:v>
      </x:c>
      <x:c r="O117" s="46" t="n">
        <x:f>IF(C117="P0",0,IF(D117&lt;=3,0.15,IF(D117&lt;=14,0.25,IF(D117&lt;=45,0.35,0.5))))</x:f>
        <x:v>0.35</x:v>
      </x:c>
      <x:c r="P117" s="47" t="n">
        <x:f>J117*O117</x:f>
        <x:v>6440</x:v>
      </x:c>
      <x:c r="Q117" s="46" t="n">
        <x:f>IF(C117="P0",0,IF(D117&lt;=3,0.05,IF(D117&lt;=14,0.1,IF(D117&lt;=45,0.15,0.2))))</x:f>
        <x:v>0.15</x:v>
      </x:c>
      <x:c r="R117" s="47" t="n">
        <x:f>J117*Q117</x:f>
        <x:v>2760</x:v>
      </x:c>
      <x:c r="S117" s="20" t="str">
        <x:f>IF(D117&lt;E117,"closed",IF(D117&lt;'Paths'!$N$8,"initial","expanded"))</x:f>
        <x:v>expanded</x:v>
      </x:c>
      <x:c r="T117" s="72"/>
    </x:row>
    <x:row r="118">
      <x:c r="C118" s="20" t="str">
        <x:v>P1</x:v>
      </x:c>
      <x:c r="D118" s="20" t="n">
        <x:v>20</x:v>
      </x:c>
      <x:c r="E118" s="45" t="n">
        <x:f>IF('Controls'!$D$7="Reference",'Paths'!$J$8,'Paths'!$K$8)</x:f>
        <x:v>1</x:v>
      </x:c>
      <x:c r="F118" s="47" t="n">
        <x:f>IF(D118&lt;'Paths'!$N$8,IF('Controls'!$D$7="Reference",'Paths'!$L$8,'Paths'!$M$8),IF('Controls'!$D$7="Reference",'Paths'!$O$8,'Paths'!$P$8))</x:f>
        <x:v>20000</x:v>
      </x:c>
      <x:c r="G118" s="46" t="n">
        <x:f>IF('Controls'!$D$7="Reference",1,IF(OR(D118=6,D118=7,D118=21,D118=46),'Paths'!$U$8,1))</x:f>
        <x:v>1</x:v>
      </x:c>
      <x:c r="H118" s="46" t="n">
        <x:f>IF('Controls'!$D$7="Reference",1,IF(OR(AND(D118&gt;=14,D118&lt;=16),AND(D118&gt;=34,D118&lt;=35),AND(D118&gt;=61,D118&lt;=63)),'Paths'!$V$8,1))</x:f>
        <x:v>1</x:v>
      </x:c>
      <x:c r="I118" s="46" t="n">
        <x:f>'Paths'!$W$8</x:f>
        <x:v>0.92</x:v>
      </x:c>
      <x:c r="J118" s="47" t="n">
        <x:f>IF(D118&lt;E118,0,MIN(F118*G118*H118*I118,IF('Paths'!$T$8&gt;0,MAX(0,'Paths'!$T$8-K117),1000000000)))</x:f>
        <x:v>18400</x:v>
      </x:c>
      <x:c r="K118" s="47" t="n">
        <x:f>K117+J118</x:f>
        <x:v>301760</x:v>
      </x:c>
      <x:c r="L118" s="46" t="n">
        <x:f>IF(C118="P0",1,IF(D118&lt;=3,0.8,IF(D118&lt;=14,0.65,IF(D118&lt;=45,0.5,0.3))))</x:f>
        <x:v>0.5</x:v>
      </x:c>
      <x:c r="M118" s="47" t="n">
        <x:f>J118*L118</x:f>
        <x:v>9200</x:v>
      </x:c>
      <x:c r="N118" s="47" t="n">
        <x:f>N117+M118</x:f>
        <x:v>187450</x:v>
      </x:c>
      <x:c r="O118" s="46" t="n">
        <x:f>IF(C118="P0",0,IF(D118&lt;=3,0.15,IF(D118&lt;=14,0.25,IF(D118&lt;=45,0.35,0.5))))</x:f>
        <x:v>0.35</x:v>
      </x:c>
      <x:c r="P118" s="47" t="n">
        <x:f>J118*O118</x:f>
        <x:v>6440</x:v>
      </x:c>
      <x:c r="Q118" s="46" t="n">
        <x:f>IF(C118="P0",0,IF(D118&lt;=3,0.05,IF(D118&lt;=14,0.1,IF(D118&lt;=45,0.15,0.2))))</x:f>
        <x:v>0.15</x:v>
      </x:c>
      <x:c r="R118" s="47" t="n">
        <x:f>J118*Q118</x:f>
        <x:v>2760</x:v>
      </x:c>
      <x:c r="S118" s="20" t="str">
        <x:f>IF(D118&lt;E118,"closed",IF(D118&lt;'Paths'!$N$8,"initial","expanded"))</x:f>
        <x:v>expanded</x:v>
      </x:c>
      <x:c r="T118" s="72"/>
    </x:row>
    <x:row r="119">
      <x:c r="C119" s="20" t="str">
        <x:v>P1</x:v>
      </x:c>
      <x:c r="D119" s="20" t="n">
        <x:v>21</x:v>
      </x:c>
      <x:c r="E119" s="45" t="n">
        <x:f>IF('Controls'!$D$7="Reference",'Paths'!$J$8,'Paths'!$K$8)</x:f>
        <x:v>1</x:v>
      </x:c>
      <x:c r="F119" s="47" t="n">
        <x:f>IF(D119&lt;'Paths'!$N$8,IF('Controls'!$D$7="Reference",'Paths'!$L$8,'Paths'!$M$8),IF('Controls'!$D$7="Reference",'Paths'!$O$8,'Paths'!$P$8))</x:f>
        <x:v>20000</x:v>
      </x:c>
      <x:c r="G119" s="46" t="n">
        <x:f>IF('Controls'!$D$7="Reference",1,IF(OR(D119=6,D119=7,D119=21,D119=46),'Paths'!$U$8,1))</x:f>
        <x:v>0.7</x:v>
      </x:c>
      <x:c r="H119" s="46" t="n">
        <x:f>IF('Controls'!$D$7="Reference",1,IF(OR(AND(D119&gt;=14,D119&lt;=16),AND(D119&gt;=34,D119&lt;=35),AND(D119&gt;=61,D119&lt;=63)),'Paths'!$V$8,1))</x:f>
        <x:v>1</x:v>
      </x:c>
      <x:c r="I119" s="46" t="n">
        <x:f>'Paths'!$W$8</x:f>
        <x:v>0.92</x:v>
      </x:c>
      <x:c r="J119" s="47" t="n">
        <x:f>IF(D119&lt;E119,0,MIN(F119*G119*H119*I119,IF('Paths'!$T$8&gt;0,MAX(0,'Paths'!$T$8-K118),1000000000)))</x:f>
        <x:v>12880</x:v>
      </x:c>
      <x:c r="K119" s="47" t="n">
        <x:f>K118+J119</x:f>
        <x:v>314640</x:v>
      </x:c>
      <x:c r="L119" s="46" t="n">
        <x:f>IF(C119="P0",1,IF(D119&lt;=3,0.8,IF(D119&lt;=14,0.65,IF(D119&lt;=45,0.5,0.3))))</x:f>
        <x:v>0.5</x:v>
      </x:c>
      <x:c r="M119" s="47" t="n">
        <x:f>J119*L119</x:f>
        <x:v>6440</x:v>
      </x:c>
      <x:c r="N119" s="47" t="n">
        <x:f>N118+M119</x:f>
        <x:v>193890</x:v>
      </x:c>
      <x:c r="O119" s="46" t="n">
        <x:f>IF(C119="P0",0,IF(D119&lt;=3,0.15,IF(D119&lt;=14,0.25,IF(D119&lt;=45,0.35,0.5))))</x:f>
        <x:v>0.35</x:v>
      </x:c>
      <x:c r="P119" s="47" t="n">
        <x:f>J119*O119</x:f>
        <x:v>4508</x:v>
      </x:c>
      <x:c r="Q119" s="46" t="n">
        <x:f>IF(C119="P0",0,IF(D119&lt;=3,0.05,IF(D119&lt;=14,0.1,IF(D119&lt;=45,0.15,0.2))))</x:f>
        <x:v>0.15</x:v>
      </x:c>
      <x:c r="R119" s="47" t="n">
        <x:f>J119*Q119</x:f>
        <x:v>1932</x:v>
      </x:c>
      <x:c r="S119" s="20" t="str">
        <x:f>IF(D119&lt;E119,"closed",IF(D119&lt;'Paths'!$N$8,"initial","expanded"))</x:f>
        <x:v>expanded</x:v>
      </x:c>
      <x:c r="T119" s="72"/>
    </x:row>
    <x:row r="120">
      <x:c r="C120" s="20" t="str">
        <x:v>P1</x:v>
      </x:c>
      <x:c r="D120" s="20" t="n">
        <x:v>22</x:v>
      </x:c>
      <x:c r="E120" s="45" t="n">
        <x:f>IF('Controls'!$D$7="Reference",'Paths'!$J$8,'Paths'!$K$8)</x:f>
        <x:v>1</x:v>
      </x:c>
      <x:c r="F120" s="47" t="n">
        <x:f>IF(D120&lt;'Paths'!$N$8,IF('Controls'!$D$7="Reference",'Paths'!$L$8,'Paths'!$M$8),IF('Controls'!$D$7="Reference",'Paths'!$O$8,'Paths'!$P$8))</x:f>
        <x:v>20000</x:v>
      </x:c>
      <x:c r="G120" s="46" t="n">
        <x:f>IF('Controls'!$D$7="Reference",1,IF(OR(D120=6,D120=7,D120=21,D120=46),'Paths'!$U$8,1))</x:f>
        <x:v>1</x:v>
      </x:c>
      <x:c r="H120" s="46" t="n">
        <x:f>IF('Controls'!$D$7="Reference",1,IF(OR(AND(D120&gt;=14,D120&lt;=16),AND(D120&gt;=34,D120&lt;=35),AND(D120&gt;=61,D120&lt;=63)),'Paths'!$V$8,1))</x:f>
        <x:v>1</x:v>
      </x:c>
      <x:c r="I120" s="46" t="n">
        <x:f>'Paths'!$W$8</x:f>
        <x:v>0.92</x:v>
      </x:c>
      <x:c r="J120" s="47" t="n">
        <x:f>IF(D120&lt;E120,0,MIN(F120*G120*H120*I120,IF('Paths'!$T$8&gt;0,MAX(0,'Paths'!$T$8-K119),1000000000)))</x:f>
        <x:v>18400</x:v>
      </x:c>
      <x:c r="K120" s="47" t="n">
        <x:f>K119+J120</x:f>
        <x:v>333040</x:v>
      </x:c>
      <x:c r="L120" s="46" t="n">
        <x:f>IF(C120="P0",1,IF(D120&lt;=3,0.8,IF(D120&lt;=14,0.65,IF(D120&lt;=45,0.5,0.3))))</x:f>
        <x:v>0.5</x:v>
      </x:c>
      <x:c r="M120" s="47" t="n">
        <x:f>J120*L120</x:f>
        <x:v>9200</x:v>
      </x:c>
      <x:c r="N120" s="47" t="n">
        <x:f>N119+M120</x:f>
        <x:v>203090</x:v>
      </x:c>
      <x:c r="O120" s="46" t="n">
        <x:f>IF(C120="P0",0,IF(D120&lt;=3,0.15,IF(D120&lt;=14,0.25,IF(D120&lt;=45,0.35,0.5))))</x:f>
        <x:v>0.35</x:v>
      </x:c>
      <x:c r="P120" s="47" t="n">
        <x:f>J120*O120</x:f>
        <x:v>6440</x:v>
      </x:c>
      <x:c r="Q120" s="46" t="n">
        <x:f>IF(C120="P0",0,IF(D120&lt;=3,0.05,IF(D120&lt;=14,0.1,IF(D120&lt;=45,0.15,0.2))))</x:f>
        <x:v>0.15</x:v>
      </x:c>
      <x:c r="R120" s="47" t="n">
        <x:f>J120*Q120</x:f>
        <x:v>2760</x:v>
      </x:c>
      <x:c r="S120" s="20" t="str">
        <x:f>IF(D120&lt;E120,"closed",IF(D120&lt;'Paths'!$N$8,"initial","expanded"))</x:f>
        <x:v>expanded</x:v>
      </x:c>
      <x:c r="T120" s="72"/>
    </x:row>
    <x:row r="121">
      <x:c r="C121" s="20" t="str">
        <x:v>P1</x:v>
      </x:c>
      <x:c r="D121" s="20" t="n">
        <x:v>23</x:v>
      </x:c>
      <x:c r="E121" s="45" t="n">
        <x:f>IF('Controls'!$D$7="Reference",'Paths'!$J$8,'Paths'!$K$8)</x:f>
        <x:v>1</x:v>
      </x:c>
      <x:c r="F121" s="47" t="n">
        <x:f>IF(D121&lt;'Paths'!$N$8,IF('Controls'!$D$7="Reference",'Paths'!$L$8,'Paths'!$M$8),IF('Controls'!$D$7="Reference",'Paths'!$O$8,'Paths'!$P$8))</x:f>
        <x:v>20000</x:v>
      </x:c>
      <x:c r="G121" s="46" t="n">
        <x:f>IF('Controls'!$D$7="Reference",1,IF(OR(D121=6,D121=7,D121=21,D121=46),'Paths'!$U$8,1))</x:f>
        <x:v>1</x:v>
      </x:c>
      <x:c r="H121" s="46" t="n">
        <x:f>IF('Controls'!$D$7="Reference",1,IF(OR(AND(D121&gt;=14,D121&lt;=16),AND(D121&gt;=34,D121&lt;=35),AND(D121&gt;=61,D121&lt;=63)),'Paths'!$V$8,1))</x:f>
        <x:v>1</x:v>
      </x:c>
      <x:c r="I121" s="46" t="n">
        <x:f>'Paths'!$W$8</x:f>
        <x:v>0.92</x:v>
      </x:c>
      <x:c r="J121" s="47" t="n">
        <x:f>IF(D121&lt;E121,0,MIN(F121*G121*H121*I121,IF('Paths'!$T$8&gt;0,MAX(0,'Paths'!$T$8-K120),1000000000)))</x:f>
        <x:v>18400</x:v>
      </x:c>
      <x:c r="K121" s="47" t="n">
        <x:f>K120+J121</x:f>
        <x:v>351440</x:v>
      </x:c>
      <x:c r="L121" s="46" t="n">
        <x:f>IF(C121="P0",1,IF(D121&lt;=3,0.8,IF(D121&lt;=14,0.65,IF(D121&lt;=45,0.5,0.3))))</x:f>
        <x:v>0.5</x:v>
      </x:c>
      <x:c r="M121" s="47" t="n">
        <x:f>J121*L121</x:f>
        <x:v>9200</x:v>
      </x:c>
      <x:c r="N121" s="47" t="n">
        <x:f>N120+M121</x:f>
        <x:v>212290</x:v>
      </x:c>
      <x:c r="O121" s="46" t="n">
        <x:f>IF(C121="P0",0,IF(D121&lt;=3,0.15,IF(D121&lt;=14,0.25,IF(D121&lt;=45,0.35,0.5))))</x:f>
        <x:v>0.35</x:v>
      </x:c>
      <x:c r="P121" s="47" t="n">
        <x:f>J121*O121</x:f>
        <x:v>6440</x:v>
      </x:c>
      <x:c r="Q121" s="46" t="n">
        <x:f>IF(C121="P0",0,IF(D121&lt;=3,0.05,IF(D121&lt;=14,0.1,IF(D121&lt;=45,0.15,0.2))))</x:f>
        <x:v>0.15</x:v>
      </x:c>
      <x:c r="R121" s="47" t="n">
        <x:f>J121*Q121</x:f>
        <x:v>2760</x:v>
      </x:c>
      <x:c r="S121" s="20" t="str">
        <x:f>IF(D121&lt;E121,"closed",IF(D121&lt;'Paths'!$N$8,"initial","expanded"))</x:f>
        <x:v>expanded</x:v>
      </x:c>
      <x:c r="T121" s="72"/>
    </x:row>
    <x:row r="122">
      <x:c r="C122" s="20" t="str">
        <x:v>P1</x:v>
      </x:c>
      <x:c r="D122" s="20" t="n">
        <x:v>24</x:v>
      </x:c>
      <x:c r="E122" s="45" t="n">
        <x:f>IF('Controls'!$D$7="Reference",'Paths'!$J$8,'Paths'!$K$8)</x:f>
        <x:v>1</x:v>
      </x:c>
      <x:c r="F122" s="47" t="n">
        <x:f>IF(D122&lt;'Paths'!$N$8,IF('Controls'!$D$7="Reference",'Paths'!$L$8,'Paths'!$M$8),IF('Controls'!$D$7="Reference",'Paths'!$O$8,'Paths'!$P$8))</x:f>
        <x:v>20000</x:v>
      </x:c>
      <x:c r="G122" s="46" t="n">
        <x:f>IF('Controls'!$D$7="Reference",1,IF(OR(D122=6,D122=7,D122=21,D122=46),'Paths'!$U$8,1))</x:f>
        <x:v>1</x:v>
      </x:c>
      <x:c r="H122" s="46" t="n">
        <x:f>IF('Controls'!$D$7="Reference",1,IF(OR(AND(D122&gt;=14,D122&lt;=16),AND(D122&gt;=34,D122&lt;=35),AND(D122&gt;=61,D122&lt;=63)),'Paths'!$V$8,1))</x:f>
        <x:v>1</x:v>
      </x:c>
      <x:c r="I122" s="46" t="n">
        <x:f>'Paths'!$W$8</x:f>
        <x:v>0.92</x:v>
      </x:c>
      <x:c r="J122" s="47" t="n">
        <x:f>IF(D122&lt;E122,0,MIN(F122*G122*H122*I122,IF('Paths'!$T$8&gt;0,MAX(0,'Paths'!$T$8-K121),1000000000)))</x:f>
        <x:v>18400</x:v>
      </x:c>
      <x:c r="K122" s="47" t="n">
        <x:f>K121+J122</x:f>
        <x:v>369840</x:v>
      </x:c>
      <x:c r="L122" s="46" t="n">
        <x:f>IF(C122="P0",1,IF(D122&lt;=3,0.8,IF(D122&lt;=14,0.65,IF(D122&lt;=45,0.5,0.3))))</x:f>
        <x:v>0.5</x:v>
      </x:c>
      <x:c r="M122" s="47" t="n">
        <x:f>J122*L122</x:f>
        <x:v>9200</x:v>
      </x:c>
      <x:c r="N122" s="47" t="n">
        <x:f>N121+M122</x:f>
        <x:v>221490</x:v>
      </x:c>
      <x:c r="O122" s="46" t="n">
        <x:f>IF(C122="P0",0,IF(D122&lt;=3,0.15,IF(D122&lt;=14,0.25,IF(D122&lt;=45,0.35,0.5))))</x:f>
        <x:v>0.35</x:v>
      </x:c>
      <x:c r="P122" s="47" t="n">
        <x:f>J122*O122</x:f>
        <x:v>6440</x:v>
      </x:c>
      <x:c r="Q122" s="46" t="n">
        <x:f>IF(C122="P0",0,IF(D122&lt;=3,0.05,IF(D122&lt;=14,0.1,IF(D122&lt;=45,0.15,0.2))))</x:f>
        <x:v>0.15</x:v>
      </x:c>
      <x:c r="R122" s="47" t="n">
        <x:f>J122*Q122</x:f>
        <x:v>2760</x:v>
      </x:c>
      <x:c r="S122" s="20" t="str">
        <x:f>IF(D122&lt;E122,"closed",IF(D122&lt;'Paths'!$N$8,"initial","expanded"))</x:f>
        <x:v>expanded</x:v>
      </x:c>
      <x:c r="T122" s="72"/>
    </x:row>
    <x:row r="123">
      <x:c r="C123" s="20" t="str">
        <x:v>P1</x:v>
      </x:c>
      <x:c r="D123" s="20" t="n">
        <x:v>25</x:v>
      </x:c>
      <x:c r="E123" s="45" t="n">
        <x:f>IF('Controls'!$D$7="Reference",'Paths'!$J$8,'Paths'!$K$8)</x:f>
        <x:v>1</x:v>
      </x:c>
      <x:c r="F123" s="47" t="n">
        <x:f>IF(D123&lt;'Paths'!$N$8,IF('Controls'!$D$7="Reference",'Paths'!$L$8,'Paths'!$M$8),IF('Controls'!$D$7="Reference",'Paths'!$O$8,'Paths'!$P$8))</x:f>
        <x:v>20000</x:v>
      </x:c>
      <x:c r="G123" s="46" t="n">
        <x:f>IF('Controls'!$D$7="Reference",1,IF(OR(D123=6,D123=7,D123=21,D123=46),'Paths'!$U$8,1))</x:f>
        <x:v>1</x:v>
      </x:c>
      <x:c r="H123" s="46" t="n">
        <x:f>IF('Controls'!$D$7="Reference",1,IF(OR(AND(D123&gt;=14,D123&lt;=16),AND(D123&gt;=34,D123&lt;=35),AND(D123&gt;=61,D123&lt;=63)),'Paths'!$V$8,1))</x:f>
        <x:v>1</x:v>
      </x:c>
      <x:c r="I123" s="46" t="n">
        <x:f>'Paths'!$W$8</x:f>
        <x:v>0.92</x:v>
      </x:c>
      <x:c r="J123" s="47" t="n">
        <x:f>IF(D123&lt;E123,0,MIN(F123*G123*H123*I123,IF('Paths'!$T$8&gt;0,MAX(0,'Paths'!$T$8-K122),1000000000)))</x:f>
        <x:v>18400</x:v>
      </x:c>
      <x:c r="K123" s="47" t="n">
        <x:f>K122+J123</x:f>
        <x:v>388240</x:v>
      </x:c>
      <x:c r="L123" s="46" t="n">
        <x:f>IF(C123="P0",1,IF(D123&lt;=3,0.8,IF(D123&lt;=14,0.65,IF(D123&lt;=45,0.5,0.3))))</x:f>
        <x:v>0.5</x:v>
      </x:c>
      <x:c r="M123" s="47" t="n">
        <x:f>J123*L123</x:f>
        <x:v>9200</x:v>
      </x:c>
      <x:c r="N123" s="47" t="n">
        <x:f>N122+M123</x:f>
        <x:v>230690</x:v>
      </x:c>
      <x:c r="O123" s="46" t="n">
        <x:f>IF(C123="P0",0,IF(D123&lt;=3,0.15,IF(D123&lt;=14,0.25,IF(D123&lt;=45,0.35,0.5))))</x:f>
        <x:v>0.35</x:v>
      </x:c>
      <x:c r="P123" s="47" t="n">
        <x:f>J123*O123</x:f>
        <x:v>6440</x:v>
      </x:c>
      <x:c r="Q123" s="46" t="n">
        <x:f>IF(C123="P0",0,IF(D123&lt;=3,0.05,IF(D123&lt;=14,0.1,IF(D123&lt;=45,0.15,0.2))))</x:f>
        <x:v>0.15</x:v>
      </x:c>
      <x:c r="R123" s="47" t="n">
        <x:f>J123*Q123</x:f>
        <x:v>2760</x:v>
      </x:c>
      <x:c r="S123" s="20" t="str">
        <x:f>IF(D123&lt;E123,"closed",IF(D123&lt;'Paths'!$N$8,"initial","expanded"))</x:f>
        <x:v>expanded</x:v>
      </x:c>
      <x:c r="T123" s="72"/>
    </x:row>
    <x:row r="124">
      <x:c r="C124" s="20" t="str">
        <x:v>P1</x:v>
      </x:c>
      <x:c r="D124" s="20" t="n">
        <x:v>26</x:v>
      </x:c>
      <x:c r="E124" s="45" t="n">
        <x:f>IF('Controls'!$D$7="Reference",'Paths'!$J$8,'Paths'!$K$8)</x:f>
        <x:v>1</x:v>
      </x:c>
      <x:c r="F124" s="47" t="n">
        <x:f>IF(D124&lt;'Paths'!$N$8,IF('Controls'!$D$7="Reference",'Paths'!$L$8,'Paths'!$M$8),IF('Controls'!$D$7="Reference",'Paths'!$O$8,'Paths'!$P$8))</x:f>
        <x:v>20000</x:v>
      </x:c>
      <x:c r="G124" s="46" t="n">
        <x:f>IF('Controls'!$D$7="Reference",1,IF(OR(D124=6,D124=7,D124=21,D124=46),'Paths'!$U$8,1))</x:f>
        <x:v>1</x:v>
      </x:c>
      <x:c r="H124" s="46" t="n">
        <x:f>IF('Controls'!$D$7="Reference",1,IF(OR(AND(D124&gt;=14,D124&lt;=16),AND(D124&gt;=34,D124&lt;=35),AND(D124&gt;=61,D124&lt;=63)),'Paths'!$V$8,1))</x:f>
        <x:v>1</x:v>
      </x:c>
      <x:c r="I124" s="46" t="n">
        <x:f>'Paths'!$W$8</x:f>
        <x:v>0.92</x:v>
      </x:c>
      <x:c r="J124" s="47" t="n">
        <x:f>IF(D124&lt;E124,0,MIN(F124*G124*H124*I124,IF('Paths'!$T$8&gt;0,MAX(0,'Paths'!$T$8-K123),1000000000)))</x:f>
        <x:v>18400</x:v>
      </x:c>
      <x:c r="K124" s="47" t="n">
        <x:f>K123+J124</x:f>
        <x:v>406640</x:v>
      </x:c>
      <x:c r="L124" s="46" t="n">
        <x:f>IF(C124="P0",1,IF(D124&lt;=3,0.8,IF(D124&lt;=14,0.65,IF(D124&lt;=45,0.5,0.3))))</x:f>
        <x:v>0.5</x:v>
      </x:c>
      <x:c r="M124" s="47" t="n">
        <x:f>J124*L124</x:f>
        <x:v>9200</x:v>
      </x:c>
      <x:c r="N124" s="47" t="n">
        <x:f>N123+M124</x:f>
        <x:v>239890</x:v>
      </x:c>
      <x:c r="O124" s="46" t="n">
        <x:f>IF(C124="P0",0,IF(D124&lt;=3,0.15,IF(D124&lt;=14,0.25,IF(D124&lt;=45,0.35,0.5))))</x:f>
        <x:v>0.35</x:v>
      </x:c>
      <x:c r="P124" s="47" t="n">
        <x:f>J124*O124</x:f>
        <x:v>6440</x:v>
      </x:c>
      <x:c r="Q124" s="46" t="n">
        <x:f>IF(C124="P0",0,IF(D124&lt;=3,0.05,IF(D124&lt;=14,0.1,IF(D124&lt;=45,0.15,0.2))))</x:f>
        <x:v>0.15</x:v>
      </x:c>
      <x:c r="R124" s="47" t="n">
        <x:f>J124*Q124</x:f>
        <x:v>2760</x:v>
      </x:c>
      <x:c r="S124" s="20" t="str">
        <x:f>IF(D124&lt;E124,"closed",IF(D124&lt;'Paths'!$N$8,"initial","expanded"))</x:f>
        <x:v>expanded</x:v>
      </x:c>
      <x:c r="T124" s="72"/>
    </x:row>
    <x:row r="125">
      <x:c r="C125" s="20" t="str">
        <x:v>P1</x:v>
      </x:c>
      <x:c r="D125" s="20" t="n">
        <x:v>27</x:v>
      </x:c>
      <x:c r="E125" s="45" t="n">
        <x:f>IF('Controls'!$D$7="Reference",'Paths'!$J$8,'Paths'!$K$8)</x:f>
        <x:v>1</x:v>
      </x:c>
      <x:c r="F125" s="47" t="n">
        <x:f>IF(D125&lt;'Paths'!$N$8,IF('Controls'!$D$7="Reference",'Paths'!$L$8,'Paths'!$M$8),IF('Controls'!$D$7="Reference",'Paths'!$O$8,'Paths'!$P$8))</x:f>
        <x:v>20000</x:v>
      </x:c>
      <x:c r="G125" s="46" t="n">
        <x:f>IF('Controls'!$D$7="Reference",1,IF(OR(D125=6,D125=7,D125=21,D125=46),'Paths'!$U$8,1))</x:f>
        <x:v>1</x:v>
      </x:c>
      <x:c r="H125" s="46" t="n">
        <x:f>IF('Controls'!$D$7="Reference",1,IF(OR(AND(D125&gt;=14,D125&lt;=16),AND(D125&gt;=34,D125&lt;=35),AND(D125&gt;=61,D125&lt;=63)),'Paths'!$V$8,1))</x:f>
        <x:v>1</x:v>
      </x:c>
      <x:c r="I125" s="46" t="n">
        <x:f>'Paths'!$W$8</x:f>
        <x:v>0.92</x:v>
      </x:c>
      <x:c r="J125" s="47" t="n">
        <x:f>IF(D125&lt;E125,0,MIN(F125*G125*H125*I125,IF('Paths'!$T$8&gt;0,MAX(0,'Paths'!$T$8-K124),1000000000)))</x:f>
        <x:v>18400</x:v>
      </x:c>
      <x:c r="K125" s="47" t="n">
        <x:f>K124+J125</x:f>
        <x:v>425040</x:v>
      </x:c>
      <x:c r="L125" s="46" t="n">
        <x:f>IF(C125="P0",1,IF(D125&lt;=3,0.8,IF(D125&lt;=14,0.65,IF(D125&lt;=45,0.5,0.3))))</x:f>
        <x:v>0.5</x:v>
      </x:c>
      <x:c r="M125" s="47" t="n">
        <x:f>J125*L125</x:f>
        <x:v>9200</x:v>
      </x:c>
      <x:c r="N125" s="47" t="n">
        <x:f>N124+M125</x:f>
        <x:v>249090</x:v>
      </x:c>
      <x:c r="O125" s="46" t="n">
        <x:f>IF(C125="P0",0,IF(D125&lt;=3,0.15,IF(D125&lt;=14,0.25,IF(D125&lt;=45,0.35,0.5))))</x:f>
        <x:v>0.35</x:v>
      </x:c>
      <x:c r="P125" s="47" t="n">
        <x:f>J125*O125</x:f>
        <x:v>6440</x:v>
      </x:c>
      <x:c r="Q125" s="46" t="n">
        <x:f>IF(C125="P0",0,IF(D125&lt;=3,0.05,IF(D125&lt;=14,0.1,IF(D125&lt;=45,0.15,0.2))))</x:f>
        <x:v>0.15</x:v>
      </x:c>
      <x:c r="R125" s="47" t="n">
        <x:f>J125*Q125</x:f>
        <x:v>2760</x:v>
      </x:c>
      <x:c r="S125" s="20" t="str">
        <x:f>IF(D125&lt;E125,"closed",IF(D125&lt;'Paths'!$N$8,"initial","expanded"))</x:f>
        <x:v>expanded</x:v>
      </x:c>
      <x:c r="T125" s="72"/>
    </x:row>
    <x:row r="126">
      <x:c r="C126" s="20" t="str">
        <x:v>P1</x:v>
      </x:c>
      <x:c r="D126" s="20" t="n">
        <x:v>28</x:v>
      </x:c>
      <x:c r="E126" s="45" t="n">
        <x:f>IF('Controls'!$D$7="Reference",'Paths'!$J$8,'Paths'!$K$8)</x:f>
        <x:v>1</x:v>
      </x:c>
      <x:c r="F126" s="47" t="n">
        <x:f>IF(D126&lt;'Paths'!$N$8,IF('Controls'!$D$7="Reference",'Paths'!$L$8,'Paths'!$M$8),IF('Controls'!$D$7="Reference",'Paths'!$O$8,'Paths'!$P$8))</x:f>
        <x:v>20000</x:v>
      </x:c>
      <x:c r="G126" s="46" t="n">
        <x:f>IF('Controls'!$D$7="Reference",1,IF(OR(D126=6,D126=7,D126=21,D126=46),'Paths'!$U$8,1))</x:f>
        <x:v>1</x:v>
      </x:c>
      <x:c r="H126" s="46" t="n">
        <x:f>IF('Controls'!$D$7="Reference",1,IF(OR(AND(D126&gt;=14,D126&lt;=16),AND(D126&gt;=34,D126&lt;=35),AND(D126&gt;=61,D126&lt;=63)),'Paths'!$V$8,1))</x:f>
        <x:v>1</x:v>
      </x:c>
      <x:c r="I126" s="46" t="n">
        <x:f>'Paths'!$W$8</x:f>
        <x:v>0.92</x:v>
      </x:c>
      <x:c r="J126" s="47" t="n">
        <x:f>IF(D126&lt;E126,0,MIN(F126*G126*H126*I126,IF('Paths'!$T$8&gt;0,MAX(0,'Paths'!$T$8-K125),1000000000)))</x:f>
        <x:v>18400</x:v>
      </x:c>
      <x:c r="K126" s="47" t="n">
        <x:f>K125+J126</x:f>
        <x:v>443440</x:v>
      </x:c>
      <x:c r="L126" s="46" t="n">
        <x:f>IF(C126="P0",1,IF(D126&lt;=3,0.8,IF(D126&lt;=14,0.65,IF(D126&lt;=45,0.5,0.3))))</x:f>
        <x:v>0.5</x:v>
      </x:c>
      <x:c r="M126" s="47" t="n">
        <x:f>J126*L126</x:f>
        <x:v>9200</x:v>
      </x:c>
      <x:c r="N126" s="47" t="n">
        <x:f>N125+M126</x:f>
        <x:v>258290</x:v>
      </x:c>
      <x:c r="O126" s="46" t="n">
        <x:f>IF(C126="P0",0,IF(D126&lt;=3,0.15,IF(D126&lt;=14,0.25,IF(D126&lt;=45,0.35,0.5))))</x:f>
        <x:v>0.35</x:v>
      </x:c>
      <x:c r="P126" s="47" t="n">
        <x:f>J126*O126</x:f>
        <x:v>6440</x:v>
      </x:c>
      <x:c r="Q126" s="46" t="n">
        <x:f>IF(C126="P0",0,IF(D126&lt;=3,0.05,IF(D126&lt;=14,0.1,IF(D126&lt;=45,0.15,0.2))))</x:f>
        <x:v>0.15</x:v>
      </x:c>
      <x:c r="R126" s="47" t="n">
        <x:f>J126*Q126</x:f>
        <x:v>2760</x:v>
      </x:c>
      <x:c r="S126" s="20" t="str">
        <x:f>IF(D126&lt;E126,"closed",IF(D126&lt;'Paths'!$N$8,"initial","expanded"))</x:f>
        <x:v>expanded</x:v>
      </x:c>
      <x:c r="T126" s="72"/>
    </x:row>
    <x:row r="127">
      <x:c r="C127" s="20" t="str">
        <x:v>P1</x:v>
      </x:c>
      <x:c r="D127" s="20" t="n">
        <x:v>29</x:v>
      </x:c>
      <x:c r="E127" s="45" t="n">
        <x:f>IF('Controls'!$D$7="Reference",'Paths'!$J$8,'Paths'!$K$8)</x:f>
        <x:v>1</x:v>
      </x:c>
      <x:c r="F127" s="47" t="n">
        <x:f>IF(D127&lt;'Paths'!$N$8,IF('Controls'!$D$7="Reference",'Paths'!$L$8,'Paths'!$M$8),IF('Controls'!$D$7="Reference",'Paths'!$O$8,'Paths'!$P$8))</x:f>
        <x:v>20000</x:v>
      </x:c>
      <x:c r="G127" s="46" t="n">
        <x:f>IF('Controls'!$D$7="Reference",1,IF(OR(D127=6,D127=7,D127=21,D127=46),'Paths'!$U$8,1))</x:f>
        <x:v>1</x:v>
      </x:c>
      <x:c r="H127" s="46" t="n">
        <x:f>IF('Controls'!$D$7="Reference",1,IF(OR(AND(D127&gt;=14,D127&lt;=16),AND(D127&gt;=34,D127&lt;=35),AND(D127&gt;=61,D127&lt;=63)),'Paths'!$V$8,1))</x:f>
        <x:v>1</x:v>
      </x:c>
      <x:c r="I127" s="46" t="n">
        <x:f>'Paths'!$W$8</x:f>
        <x:v>0.92</x:v>
      </x:c>
      <x:c r="J127" s="47" t="n">
        <x:f>IF(D127&lt;E127,0,MIN(F127*G127*H127*I127,IF('Paths'!$T$8&gt;0,MAX(0,'Paths'!$T$8-K126),1000000000)))</x:f>
        <x:v>18400</x:v>
      </x:c>
      <x:c r="K127" s="47" t="n">
        <x:f>K126+J127</x:f>
        <x:v>461840</x:v>
      </x:c>
      <x:c r="L127" s="46" t="n">
        <x:f>IF(C127="P0",1,IF(D127&lt;=3,0.8,IF(D127&lt;=14,0.65,IF(D127&lt;=45,0.5,0.3))))</x:f>
        <x:v>0.5</x:v>
      </x:c>
      <x:c r="M127" s="47" t="n">
        <x:f>J127*L127</x:f>
        <x:v>9200</x:v>
      </x:c>
      <x:c r="N127" s="47" t="n">
        <x:f>N126+M127</x:f>
        <x:v>267490</x:v>
      </x:c>
      <x:c r="O127" s="46" t="n">
        <x:f>IF(C127="P0",0,IF(D127&lt;=3,0.15,IF(D127&lt;=14,0.25,IF(D127&lt;=45,0.35,0.5))))</x:f>
        <x:v>0.35</x:v>
      </x:c>
      <x:c r="P127" s="47" t="n">
        <x:f>J127*O127</x:f>
        <x:v>6440</x:v>
      </x:c>
      <x:c r="Q127" s="46" t="n">
        <x:f>IF(C127="P0",0,IF(D127&lt;=3,0.05,IF(D127&lt;=14,0.1,IF(D127&lt;=45,0.15,0.2))))</x:f>
        <x:v>0.15</x:v>
      </x:c>
      <x:c r="R127" s="47" t="n">
        <x:f>J127*Q127</x:f>
        <x:v>2760</x:v>
      </x:c>
      <x:c r="S127" s="20" t="str">
        <x:f>IF(D127&lt;E127,"closed",IF(D127&lt;'Paths'!$N$8,"initial","expanded"))</x:f>
        <x:v>expanded</x:v>
      </x:c>
      <x:c r="T127" s="72"/>
    </x:row>
    <x:row r="128">
      <x:c r="C128" s="20" t="str">
        <x:v>P1</x:v>
      </x:c>
      <x:c r="D128" s="20" t="n">
        <x:v>30</x:v>
      </x:c>
      <x:c r="E128" s="45" t="n">
        <x:f>IF('Controls'!$D$7="Reference",'Paths'!$J$8,'Paths'!$K$8)</x:f>
        <x:v>1</x:v>
      </x:c>
      <x:c r="F128" s="47" t="n">
        <x:f>IF(D128&lt;'Paths'!$N$8,IF('Controls'!$D$7="Reference",'Paths'!$L$8,'Paths'!$M$8),IF('Controls'!$D$7="Reference",'Paths'!$O$8,'Paths'!$P$8))</x:f>
        <x:v>20000</x:v>
      </x:c>
      <x:c r="G128" s="46" t="n">
        <x:f>IF('Controls'!$D$7="Reference",1,IF(OR(D128=6,D128=7,D128=21,D128=46),'Paths'!$U$8,1))</x:f>
        <x:v>1</x:v>
      </x:c>
      <x:c r="H128" s="46" t="n">
        <x:f>IF('Controls'!$D$7="Reference",1,IF(OR(AND(D128&gt;=14,D128&lt;=16),AND(D128&gt;=34,D128&lt;=35),AND(D128&gt;=61,D128&lt;=63)),'Paths'!$V$8,1))</x:f>
        <x:v>1</x:v>
      </x:c>
      <x:c r="I128" s="46" t="n">
        <x:f>'Paths'!$W$8</x:f>
        <x:v>0.92</x:v>
      </x:c>
      <x:c r="J128" s="47" t="n">
        <x:f>IF(D128&lt;E128,0,MIN(F128*G128*H128*I128,IF('Paths'!$T$8&gt;0,MAX(0,'Paths'!$T$8-K127),1000000000)))</x:f>
        <x:v>18400</x:v>
      </x:c>
      <x:c r="K128" s="47" t="n">
        <x:f>K127+J128</x:f>
        <x:v>480240</x:v>
      </x:c>
      <x:c r="L128" s="46" t="n">
        <x:f>IF(C128="P0",1,IF(D128&lt;=3,0.8,IF(D128&lt;=14,0.65,IF(D128&lt;=45,0.5,0.3))))</x:f>
        <x:v>0.5</x:v>
      </x:c>
      <x:c r="M128" s="47" t="n">
        <x:f>J128*L128</x:f>
        <x:v>9200</x:v>
      </x:c>
      <x:c r="N128" s="47" t="n">
        <x:f>N127+M128</x:f>
        <x:v>276690</x:v>
      </x:c>
      <x:c r="O128" s="46" t="n">
        <x:f>IF(C128="P0",0,IF(D128&lt;=3,0.15,IF(D128&lt;=14,0.25,IF(D128&lt;=45,0.35,0.5))))</x:f>
        <x:v>0.35</x:v>
      </x:c>
      <x:c r="P128" s="47" t="n">
        <x:f>J128*O128</x:f>
        <x:v>6440</x:v>
      </x:c>
      <x:c r="Q128" s="46" t="n">
        <x:f>IF(C128="P0",0,IF(D128&lt;=3,0.05,IF(D128&lt;=14,0.1,IF(D128&lt;=45,0.15,0.2))))</x:f>
        <x:v>0.15</x:v>
      </x:c>
      <x:c r="R128" s="47" t="n">
        <x:f>J128*Q128</x:f>
        <x:v>2760</x:v>
      </x:c>
      <x:c r="S128" s="20" t="str">
        <x:f>IF(D128&lt;E128,"closed",IF(D128&lt;'Paths'!$N$8,"initial","expanded"))</x:f>
        <x:v>expanded</x:v>
      </x:c>
      <x:c r="T128" s="72"/>
    </x:row>
    <x:row r="129">
      <x:c r="C129" s="20" t="str">
        <x:v>P1</x:v>
      </x:c>
      <x:c r="D129" s="20" t="n">
        <x:v>31</x:v>
      </x:c>
      <x:c r="E129" s="45" t="n">
        <x:f>IF('Controls'!$D$7="Reference",'Paths'!$J$8,'Paths'!$K$8)</x:f>
        <x:v>1</x:v>
      </x:c>
      <x:c r="F129" s="47" t="n">
        <x:f>IF(D129&lt;'Paths'!$N$8,IF('Controls'!$D$7="Reference",'Paths'!$L$8,'Paths'!$M$8),IF('Controls'!$D$7="Reference",'Paths'!$O$8,'Paths'!$P$8))</x:f>
        <x:v>20000</x:v>
      </x:c>
      <x:c r="G129" s="46" t="n">
        <x:f>IF('Controls'!$D$7="Reference",1,IF(OR(D129=6,D129=7,D129=21,D129=46),'Paths'!$U$8,1))</x:f>
        <x:v>1</x:v>
      </x:c>
      <x:c r="H129" s="46" t="n">
        <x:f>IF('Controls'!$D$7="Reference",1,IF(OR(AND(D129&gt;=14,D129&lt;=16),AND(D129&gt;=34,D129&lt;=35),AND(D129&gt;=61,D129&lt;=63)),'Paths'!$V$8,1))</x:f>
        <x:v>1</x:v>
      </x:c>
      <x:c r="I129" s="46" t="n">
        <x:f>'Paths'!$W$8</x:f>
        <x:v>0.92</x:v>
      </x:c>
      <x:c r="J129" s="47" t="n">
        <x:f>IF(D129&lt;E129,0,MIN(F129*G129*H129*I129,IF('Paths'!$T$8&gt;0,MAX(0,'Paths'!$T$8-K128),1000000000)))</x:f>
        <x:v>18400</x:v>
      </x:c>
      <x:c r="K129" s="47" t="n">
        <x:f>K128+J129</x:f>
        <x:v>498640</x:v>
      </x:c>
      <x:c r="L129" s="46" t="n">
        <x:f>IF(C129="P0",1,IF(D129&lt;=3,0.8,IF(D129&lt;=14,0.65,IF(D129&lt;=45,0.5,0.3))))</x:f>
        <x:v>0.5</x:v>
      </x:c>
      <x:c r="M129" s="47" t="n">
        <x:f>J129*L129</x:f>
        <x:v>9200</x:v>
      </x:c>
      <x:c r="N129" s="47" t="n">
        <x:f>N128+M129</x:f>
        <x:v>285890</x:v>
      </x:c>
      <x:c r="O129" s="46" t="n">
        <x:f>IF(C129="P0",0,IF(D129&lt;=3,0.15,IF(D129&lt;=14,0.25,IF(D129&lt;=45,0.35,0.5))))</x:f>
        <x:v>0.35</x:v>
      </x:c>
      <x:c r="P129" s="47" t="n">
        <x:f>J129*O129</x:f>
        <x:v>6440</x:v>
      </x:c>
      <x:c r="Q129" s="46" t="n">
        <x:f>IF(C129="P0",0,IF(D129&lt;=3,0.05,IF(D129&lt;=14,0.1,IF(D129&lt;=45,0.15,0.2))))</x:f>
        <x:v>0.15</x:v>
      </x:c>
      <x:c r="R129" s="47" t="n">
        <x:f>J129*Q129</x:f>
        <x:v>2760</x:v>
      </x:c>
      <x:c r="S129" s="20" t="str">
        <x:f>IF(D129&lt;E129,"closed",IF(D129&lt;'Paths'!$N$8,"initial","expanded"))</x:f>
        <x:v>expanded</x:v>
      </x:c>
      <x:c r="T129" s="72"/>
    </x:row>
    <x:row r="130">
      <x:c r="C130" s="20" t="str">
        <x:v>P1</x:v>
      </x:c>
      <x:c r="D130" s="20" t="n">
        <x:v>32</x:v>
      </x:c>
      <x:c r="E130" s="45" t="n">
        <x:f>IF('Controls'!$D$7="Reference",'Paths'!$J$8,'Paths'!$K$8)</x:f>
        <x:v>1</x:v>
      </x:c>
      <x:c r="F130" s="47" t="n">
        <x:f>IF(D130&lt;'Paths'!$N$8,IF('Controls'!$D$7="Reference",'Paths'!$L$8,'Paths'!$M$8),IF('Controls'!$D$7="Reference",'Paths'!$O$8,'Paths'!$P$8))</x:f>
        <x:v>20000</x:v>
      </x:c>
      <x:c r="G130" s="46" t="n">
        <x:f>IF('Controls'!$D$7="Reference",1,IF(OR(D130=6,D130=7,D130=21,D130=46),'Paths'!$U$8,1))</x:f>
        <x:v>1</x:v>
      </x:c>
      <x:c r="H130" s="46" t="n">
        <x:f>IF('Controls'!$D$7="Reference",1,IF(OR(AND(D130&gt;=14,D130&lt;=16),AND(D130&gt;=34,D130&lt;=35),AND(D130&gt;=61,D130&lt;=63)),'Paths'!$V$8,1))</x:f>
        <x:v>1</x:v>
      </x:c>
      <x:c r="I130" s="46" t="n">
        <x:f>'Paths'!$W$8</x:f>
        <x:v>0.92</x:v>
      </x:c>
      <x:c r="J130" s="47" t="n">
        <x:f>IF(D130&lt;E130,0,MIN(F130*G130*H130*I130,IF('Paths'!$T$8&gt;0,MAX(0,'Paths'!$T$8-K129),1000000000)))</x:f>
        <x:v>18400</x:v>
      </x:c>
      <x:c r="K130" s="47" t="n">
        <x:f>K129+J130</x:f>
        <x:v>517040</x:v>
      </x:c>
      <x:c r="L130" s="46" t="n">
        <x:f>IF(C130="P0",1,IF(D130&lt;=3,0.8,IF(D130&lt;=14,0.65,IF(D130&lt;=45,0.5,0.3))))</x:f>
        <x:v>0.5</x:v>
      </x:c>
      <x:c r="M130" s="47" t="n">
        <x:f>J130*L130</x:f>
        <x:v>9200</x:v>
      </x:c>
      <x:c r="N130" s="47" t="n">
        <x:f>N129+M130</x:f>
        <x:v>295090</x:v>
      </x:c>
      <x:c r="O130" s="46" t="n">
        <x:f>IF(C130="P0",0,IF(D130&lt;=3,0.15,IF(D130&lt;=14,0.25,IF(D130&lt;=45,0.35,0.5))))</x:f>
        <x:v>0.35</x:v>
      </x:c>
      <x:c r="P130" s="47" t="n">
        <x:f>J130*O130</x:f>
        <x:v>6440</x:v>
      </x:c>
      <x:c r="Q130" s="46" t="n">
        <x:f>IF(C130="P0",0,IF(D130&lt;=3,0.05,IF(D130&lt;=14,0.1,IF(D130&lt;=45,0.15,0.2))))</x:f>
        <x:v>0.15</x:v>
      </x:c>
      <x:c r="R130" s="47" t="n">
        <x:f>J130*Q130</x:f>
        <x:v>2760</x:v>
      </x:c>
      <x:c r="S130" s="20" t="str">
        <x:f>IF(D130&lt;E130,"closed",IF(D130&lt;'Paths'!$N$8,"initial","expanded"))</x:f>
        <x:v>expanded</x:v>
      </x:c>
      <x:c r="T130" s="72"/>
    </x:row>
    <x:row r="131">
      <x:c r="C131" s="20" t="str">
        <x:v>P1</x:v>
      </x:c>
      <x:c r="D131" s="20" t="n">
        <x:v>33</x:v>
      </x:c>
      <x:c r="E131" s="45" t="n">
        <x:f>IF('Controls'!$D$7="Reference",'Paths'!$J$8,'Paths'!$K$8)</x:f>
        <x:v>1</x:v>
      </x:c>
      <x:c r="F131" s="47" t="n">
        <x:f>IF(D131&lt;'Paths'!$N$8,IF('Controls'!$D$7="Reference",'Paths'!$L$8,'Paths'!$M$8),IF('Controls'!$D$7="Reference",'Paths'!$O$8,'Paths'!$P$8))</x:f>
        <x:v>20000</x:v>
      </x:c>
      <x:c r="G131" s="46" t="n">
        <x:f>IF('Controls'!$D$7="Reference",1,IF(OR(D131=6,D131=7,D131=21,D131=46),'Paths'!$U$8,1))</x:f>
        <x:v>1</x:v>
      </x:c>
      <x:c r="H131" s="46" t="n">
        <x:f>IF('Controls'!$D$7="Reference",1,IF(OR(AND(D131&gt;=14,D131&lt;=16),AND(D131&gt;=34,D131&lt;=35),AND(D131&gt;=61,D131&lt;=63)),'Paths'!$V$8,1))</x:f>
        <x:v>1</x:v>
      </x:c>
      <x:c r="I131" s="46" t="n">
        <x:f>'Paths'!$W$8</x:f>
        <x:v>0.92</x:v>
      </x:c>
      <x:c r="J131" s="47" t="n">
        <x:f>IF(D131&lt;E131,0,MIN(F131*G131*H131*I131,IF('Paths'!$T$8&gt;0,MAX(0,'Paths'!$T$8-K130),1000000000)))</x:f>
        <x:v>18400</x:v>
      </x:c>
      <x:c r="K131" s="47" t="n">
        <x:f>K130+J131</x:f>
        <x:v>535440</x:v>
      </x:c>
      <x:c r="L131" s="46" t="n">
        <x:f>IF(C131="P0",1,IF(D131&lt;=3,0.8,IF(D131&lt;=14,0.65,IF(D131&lt;=45,0.5,0.3))))</x:f>
        <x:v>0.5</x:v>
      </x:c>
      <x:c r="M131" s="47" t="n">
        <x:f>J131*L131</x:f>
        <x:v>9200</x:v>
      </x:c>
      <x:c r="N131" s="47" t="n">
        <x:f>N130+M131</x:f>
        <x:v>304290</x:v>
      </x:c>
      <x:c r="O131" s="46" t="n">
        <x:f>IF(C131="P0",0,IF(D131&lt;=3,0.15,IF(D131&lt;=14,0.25,IF(D131&lt;=45,0.35,0.5))))</x:f>
        <x:v>0.35</x:v>
      </x:c>
      <x:c r="P131" s="47" t="n">
        <x:f>J131*O131</x:f>
        <x:v>6440</x:v>
      </x:c>
      <x:c r="Q131" s="46" t="n">
        <x:f>IF(C131="P0",0,IF(D131&lt;=3,0.05,IF(D131&lt;=14,0.1,IF(D131&lt;=45,0.15,0.2))))</x:f>
        <x:v>0.15</x:v>
      </x:c>
      <x:c r="R131" s="47" t="n">
        <x:f>J131*Q131</x:f>
        <x:v>2760</x:v>
      </x:c>
      <x:c r="S131" s="20" t="str">
        <x:f>IF(D131&lt;E131,"closed",IF(D131&lt;'Paths'!$N$8,"initial","expanded"))</x:f>
        <x:v>expanded</x:v>
      </x:c>
      <x:c r="T131" s="72"/>
    </x:row>
    <x:row r="132">
      <x:c r="C132" s="20" t="str">
        <x:v>P1</x:v>
      </x:c>
      <x:c r="D132" s="20" t="n">
        <x:v>34</x:v>
      </x:c>
      <x:c r="E132" s="45" t="n">
        <x:f>IF('Controls'!$D$7="Reference",'Paths'!$J$8,'Paths'!$K$8)</x:f>
        <x:v>1</x:v>
      </x:c>
      <x:c r="F132" s="47" t="n">
        <x:f>IF(D132&lt;'Paths'!$N$8,IF('Controls'!$D$7="Reference",'Paths'!$L$8,'Paths'!$M$8),IF('Controls'!$D$7="Reference",'Paths'!$O$8,'Paths'!$P$8))</x:f>
        <x:v>20000</x:v>
      </x:c>
      <x:c r="G132" s="46" t="n">
        <x:f>IF('Controls'!$D$7="Reference",1,IF(OR(D132=6,D132=7,D132=21,D132=46),'Paths'!$U$8,1))</x:f>
        <x:v>1</x:v>
      </x:c>
      <x:c r="H132" s="46" t="n">
        <x:f>IF('Controls'!$D$7="Reference",1,IF(OR(AND(D132&gt;=14,D132&lt;=16),AND(D132&gt;=34,D132&lt;=35),AND(D132&gt;=61,D132&lt;=63)),'Paths'!$V$8,1))</x:f>
        <x:v>0.7</x:v>
      </x:c>
      <x:c r="I132" s="46" t="n">
        <x:f>'Paths'!$W$8</x:f>
        <x:v>0.92</x:v>
      </x:c>
      <x:c r="J132" s="47" t="n">
        <x:f>IF(D132&lt;E132,0,MIN(F132*G132*H132*I132,IF('Paths'!$T$8&gt;0,MAX(0,'Paths'!$T$8-K131),1000000000)))</x:f>
        <x:v>12880</x:v>
      </x:c>
      <x:c r="K132" s="47" t="n">
        <x:f>K131+J132</x:f>
        <x:v>548320</x:v>
      </x:c>
      <x:c r="L132" s="46" t="n">
        <x:f>IF(C132="P0",1,IF(D132&lt;=3,0.8,IF(D132&lt;=14,0.65,IF(D132&lt;=45,0.5,0.3))))</x:f>
        <x:v>0.5</x:v>
      </x:c>
      <x:c r="M132" s="47" t="n">
        <x:f>J132*L132</x:f>
        <x:v>6440</x:v>
      </x:c>
      <x:c r="N132" s="47" t="n">
        <x:f>N131+M132</x:f>
        <x:v>310730</x:v>
      </x:c>
      <x:c r="O132" s="46" t="n">
        <x:f>IF(C132="P0",0,IF(D132&lt;=3,0.15,IF(D132&lt;=14,0.25,IF(D132&lt;=45,0.35,0.5))))</x:f>
        <x:v>0.35</x:v>
      </x:c>
      <x:c r="P132" s="47" t="n">
        <x:f>J132*O132</x:f>
        <x:v>4508</x:v>
      </x:c>
      <x:c r="Q132" s="46" t="n">
        <x:f>IF(C132="P0",0,IF(D132&lt;=3,0.05,IF(D132&lt;=14,0.1,IF(D132&lt;=45,0.15,0.2))))</x:f>
        <x:v>0.15</x:v>
      </x:c>
      <x:c r="R132" s="47" t="n">
        <x:f>J132*Q132</x:f>
        <x:v>1932</x:v>
      </x:c>
      <x:c r="S132" s="20" t="str">
        <x:f>IF(D132&lt;E132,"closed",IF(D132&lt;'Paths'!$N$8,"initial","expanded"))</x:f>
        <x:v>expanded</x:v>
      </x:c>
      <x:c r="T132" s="72"/>
    </x:row>
    <x:row r="133">
      <x:c r="C133" s="20" t="str">
        <x:v>P1</x:v>
      </x:c>
      <x:c r="D133" s="20" t="n">
        <x:v>35</x:v>
      </x:c>
      <x:c r="E133" s="45" t="n">
        <x:f>IF('Controls'!$D$7="Reference",'Paths'!$J$8,'Paths'!$K$8)</x:f>
        <x:v>1</x:v>
      </x:c>
      <x:c r="F133" s="47" t="n">
        <x:f>IF(D133&lt;'Paths'!$N$8,IF('Controls'!$D$7="Reference",'Paths'!$L$8,'Paths'!$M$8),IF('Controls'!$D$7="Reference",'Paths'!$O$8,'Paths'!$P$8))</x:f>
        <x:v>20000</x:v>
      </x:c>
      <x:c r="G133" s="46" t="n">
        <x:f>IF('Controls'!$D$7="Reference",1,IF(OR(D133=6,D133=7,D133=21,D133=46),'Paths'!$U$8,1))</x:f>
        <x:v>1</x:v>
      </x:c>
      <x:c r="H133" s="46" t="n">
        <x:f>IF('Controls'!$D$7="Reference",1,IF(OR(AND(D133&gt;=14,D133&lt;=16),AND(D133&gt;=34,D133&lt;=35),AND(D133&gt;=61,D133&lt;=63)),'Paths'!$V$8,1))</x:f>
        <x:v>0.7</x:v>
      </x:c>
      <x:c r="I133" s="46" t="n">
        <x:f>'Paths'!$W$8</x:f>
        <x:v>0.92</x:v>
      </x:c>
      <x:c r="J133" s="47" t="n">
        <x:f>IF(D133&lt;E133,0,MIN(F133*G133*H133*I133,IF('Paths'!$T$8&gt;0,MAX(0,'Paths'!$T$8-K132),1000000000)))</x:f>
        <x:v>12880</x:v>
      </x:c>
      <x:c r="K133" s="47" t="n">
        <x:f>K132+J133</x:f>
        <x:v>561200</x:v>
      </x:c>
      <x:c r="L133" s="46" t="n">
        <x:f>IF(C133="P0",1,IF(D133&lt;=3,0.8,IF(D133&lt;=14,0.65,IF(D133&lt;=45,0.5,0.3))))</x:f>
        <x:v>0.5</x:v>
      </x:c>
      <x:c r="M133" s="47" t="n">
        <x:f>J133*L133</x:f>
        <x:v>6440</x:v>
      </x:c>
      <x:c r="N133" s="47" t="n">
        <x:f>N132+M133</x:f>
        <x:v>317170</x:v>
      </x:c>
      <x:c r="O133" s="46" t="n">
        <x:f>IF(C133="P0",0,IF(D133&lt;=3,0.15,IF(D133&lt;=14,0.25,IF(D133&lt;=45,0.35,0.5))))</x:f>
        <x:v>0.35</x:v>
      </x:c>
      <x:c r="P133" s="47" t="n">
        <x:f>J133*O133</x:f>
        <x:v>4508</x:v>
      </x:c>
      <x:c r="Q133" s="46" t="n">
        <x:f>IF(C133="P0",0,IF(D133&lt;=3,0.05,IF(D133&lt;=14,0.1,IF(D133&lt;=45,0.15,0.2))))</x:f>
        <x:v>0.15</x:v>
      </x:c>
      <x:c r="R133" s="47" t="n">
        <x:f>J133*Q133</x:f>
        <x:v>1932</x:v>
      </x:c>
      <x:c r="S133" s="20" t="str">
        <x:f>IF(D133&lt;E133,"closed",IF(D133&lt;'Paths'!$N$8,"initial","expanded"))</x:f>
        <x:v>expanded</x:v>
      </x:c>
      <x:c r="T133" s="72"/>
    </x:row>
    <x:row r="134">
      <x:c r="C134" s="20" t="str">
        <x:v>P1</x:v>
      </x:c>
      <x:c r="D134" s="20" t="n">
        <x:v>36</x:v>
      </x:c>
      <x:c r="E134" s="45" t="n">
        <x:f>IF('Controls'!$D$7="Reference",'Paths'!$J$8,'Paths'!$K$8)</x:f>
        <x:v>1</x:v>
      </x:c>
      <x:c r="F134" s="47" t="n">
        <x:f>IF(D134&lt;'Paths'!$N$8,IF('Controls'!$D$7="Reference",'Paths'!$L$8,'Paths'!$M$8),IF('Controls'!$D$7="Reference",'Paths'!$O$8,'Paths'!$P$8))</x:f>
        <x:v>20000</x:v>
      </x:c>
      <x:c r="G134" s="46" t="n">
        <x:f>IF('Controls'!$D$7="Reference",1,IF(OR(D134=6,D134=7,D134=21,D134=46),'Paths'!$U$8,1))</x:f>
        <x:v>1</x:v>
      </x:c>
      <x:c r="H134" s="46" t="n">
        <x:f>IF('Controls'!$D$7="Reference",1,IF(OR(AND(D134&gt;=14,D134&lt;=16),AND(D134&gt;=34,D134&lt;=35),AND(D134&gt;=61,D134&lt;=63)),'Paths'!$V$8,1))</x:f>
        <x:v>1</x:v>
      </x:c>
      <x:c r="I134" s="46" t="n">
        <x:f>'Paths'!$W$8</x:f>
        <x:v>0.92</x:v>
      </x:c>
      <x:c r="J134" s="47" t="n">
        <x:f>IF(D134&lt;E134,0,MIN(F134*G134*H134*I134,IF('Paths'!$T$8&gt;0,MAX(0,'Paths'!$T$8-K133),1000000000)))</x:f>
        <x:v>18400</x:v>
      </x:c>
      <x:c r="K134" s="47" t="n">
        <x:f>K133+J134</x:f>
        <x:v>579600</x:v>
      </x:c>
      <x:c r="L134" s="46" t="n">
        <x:f>IF(C134="P0",1,IF(D134&lt;=3,0.8,IF(D134&lt;=14,0.65,IF(D134&lt;=45,0.5,0.3))))</x:f>
        <x:v>0.5</x:v>
      </x:c>
      <x:c r="M134" s="47" t="n">
        <x:f>J134*L134</x:f>
        <x:v>9200</x:v>
      </x:c>
      <x:c r="N134" s="47" t="n">
        <x:f>N133+M134</x:f>
        <x:v>326370</x:v>
      </x:c>
      <x:c r="O134" s="46" t="n">
        <x:f>IF(C134="P0",0,IF(D134&lt;=3,0.15,IF(D134&lt;=14,0.25,IF(D134&lt;=45,0.35,0.5))))</x:f>
        <x:v>0.35</x:v>
      </x:c>
      <x:c r="P134" s="47" t="n">
        <x:f>J134*O134</x:f>
        <x:v>6440</x:v>
      </x:c>
      <x:c r="Q134" s="46" t="n">
        <x:f>IF(C134="P0",0,IF(D134&lt;=3,0.05,IF(D134&lt;=14,0.1,IF(D134&lt;=45,0.15,0.2))))</x:f>
        <x:v>0.15</x:v>
      </x:c>
      <x:c r="R134" s="47" t="n">
        <x:f>J134*Q134</x:f>
        <x:v>2760</x:v>
      </x:c>
      <x:c r="S134" s="20" t="str">
        <x:f>IF(D134&lt;E134,"closed",IF(D134&lt;'Paths'!$N$8,"initial","expanded"))</x:f>
        <x:v>expanded</x:v>
      </x:c>
      <x:c r="T134" s="72"/>
    </x:row>
    <x:row r="135">
      <x:c r="C135" s="20" t="str">
        <x:v>P1</x:v>
      </x:c>
      <x:c r="D135" s="20" t="n">
        <x:v>37</x:v>
      </x:c>
      <x:c r="E135" s="45" t="n">
        <x:f>IF('Controls'!$D$7="Reference",'Paths'!$J$8,'Paths'!$K$8)</x:f>
        <x:v>1</x:v>
      </x:c>
      <x:c r="F135" s="47" t="n">
        <x:f>IF(D135&lt;'Paths'!$N$8,IF('Controls'!$D$7="Reference",'Paths'!$L$8,'Paths'!$M$8),IF('Controls'!$D$7="Reference",'Paths'!$O$8,'Paths'!$P$8))</x:f>
        <x:v>20000</x:v>
      </x:c>
      <x:c r="G135" s="46" t="n">
        <x:f>IF('Controls'!$D$7="Reference",1,IF(OR(D135=6,D135=7,D135=21,D135=46),'Paths'!$U$8,1))</x:f>
        <x:v>1</x:v>
      </x:c>
      <x:c r="H135" s="46" t="n">
        <x:f>IF('Controls'!$D$7="Reference",1,IF(OR(AND(D135&gt;=14,D135&lt;=16),AND(D135&gt;=34,D135&lt;=35),AND(D135&gt;=61,D135&lt;=63)),'Paths'!$V$8,1))</x:f>
        <x:v>1</x:v>
      </x:c>
      <x:c r="I135" s="46" t="n">
        <x:f>'Paths'!$W$8</x:f>
        <x:v>0.92</x:v>
      </x:c>
      <x:c r="J135" s="47" t="n">
        <x:f>IF(D135&lt;E135,0,MIN(F135*G135*H135*I135,IF('Paths'!$T$8&gt;0,MAX(0,'Paths'!$T$8-K134),1000000000)))</x:f>
        <x:v>18400</x:v>
      </x:c>
      <x:c r="K135" s="47" t="n">
        <x:f>K134+J135</x:f>
        <x:v>598000</x:v>
      </x:c>
      <x:c r="L135" s="46" t="n">
        <x:f>IF(C135="P0",1,IF(D135&lt;=3,0.8,IF(D135&lt;=14,0.65,IF(D135&lt;=45,0.5,0.3))))</x:f>
        <x:v>0.5</x:v>
      </x:c>
      <x:c r="M135" s="47" t="n">
        <x:f>J135*L135</x:f>
        <x:v>9200</x:v>
      </x:c>
      <x:c r="N135" s="47" t="n">
        <x:f>N134+M135</x:f>
        <x:v>335570</x:v>
      </x:c>
      <x:c r="O135" s="46" t="n">
        <x:f>IF(C135="P0",0,IF(D135&lt;=3,0.15,IF(D135&lt;=14,0.25,IF(D135&lt;=45,0.35,0.5))))</x:f>
        <x:v>0.35</x:v>
      </x:c>
      <x:c r="P135" s="47" t="n">
        <x:f>J135*O135</x:f>
        <x:v>6440</x:v>
      </x:c>
      <x:c r="Q135" s="46" t="n">
        <x:f>IF(C135="P0",0,IF(D135&lt;=3,0.05,IF(D135&lt;=14,0.1,IF(D135&lt;=45,0.15,0.2))))</x:f>
        <x:v>0.15</x:v>
      </x:c>
      <x:c r="R135" s="47" t="n">
        <x:f>J135*Q135</x:f>
        <x:v>2760</x:v>
      </x:c>
      <x:c r="S135" s="20" t="str">
        <x:f>IF(D135&lt;E135,"closed",IF(D135&lt;'Paths'!$N$8,"initial","expanded"))</x:f>
        <x:v>expanded</x:v>
      </x:c>
      <x:c r="T135" s="72"/>
    </x:row>
    <x:row r="136">
      <x:c r="C136" s="20" t="str">
        <x:v>P1</x:v>
      </x:c>
      <x:c r="D136" s="20" t="n">
        <x:v>38</x:v>
      </x:c>
      <x:c r="E136" s="45" t="n">
        <x:f>IF('Controls'!$D$7="Reference",'Paths'!$J$8,'Paths'!$K$8)</x:f>
        <x:v>1</x:v>
      </x:c>
      <x:c r="F136" s="47" t="n">
        <x:f>IF(D136&lt;'Paths'!$N$8,IF('Controls'!$D$7="Reference",'Paths'!$L$8,'Paths'!$M$8),IF('Controls'!$D$7="Reference",'Paths'!$O$8,'Paths'!$P$8))</x:f>
        <x:v>20000</x:v>
      </x:c>
      <x:c r="G136" s="46" t="n">
        <x:f>IF('Controls'!$D$7="Reference",1,IF(OR(D136=6,D136=7,D136=21,D136=46),'Paths'!$U$8,1))</x:f>
        <x:v>1</x:v>
      </x:c>
      <x:c r="H136" s="46" t="n">
        <x:f>IF('Controls'!$D$7="Reference",1,IF(OR(AND(D136&gt;=14,D136&lt;=16),AND(D136&gt;=34,D136&lt;=35),AND(D136&gt;=61,D136&lt;=63)),'Paths'!$V$8,1))</x:f>
        <x:v>1</x:v>
      </x:c>
      <x:c r="I136" s="46" t="n">
        <x:f>'Paths'!$W$8</x:f>
        <x:v>0.92</x:v>
      </x:c>
      <x:c r="J136" s="47" t="n">
        <x:f>IF(D136&lt;E136,0,MIN(F136*G136*H136*I136,IF('Paths'!$T$8&gt;0,MAX(0,'Paths'!$T$8-K135),1000000000)))</x:f>
        <x:v>18400</x:v>
      </x:c>
      <x:c r="K136" s="47" t="n">
        <x:f>K135+J136</x:f>
        <x:v>616400</x:v>
      </x:c>
      <x:c r="L136" s="46" t="n">
        <x:f>IF(C136="P0",1,IF(D136&lt;=3,0.8,IF(D136&lt;=14,0.65,IF(D136&lt;=45,0.5,0.3))))</x:f>
        <x:v>0.5</x:v>
      </x:c>
      <x:c r="M136" s="47" t="n">
        <x:f>J136*L136</x:f>
        <x:v>9200</x:v>
      </x:c>
      <x:c r="N136" s="47" t="n">
        <x:f>N135+M136</x:f>
        <x:v>344770</x:v>
      </x:c>
      <x:c r="O136" s="46" t="n">
        <x:f>IF(C136="P0",0,IF(D136&lt;=3,0.15,IF(D136&lt;=14,0.25,IF(D136&lt;=45,0.35,0.5))))</x:f>
        <x:v>0.35</x:v>
      </x:c>
      <x:c r="P136" s="47" t="n">
        <x:f>J136*O136</x:f>
        <x:v>6440</x:v>
      </x:c>
      <x:c r="Q136" s="46" t="n">
        <x:f>IF(C136="P0",0,IF(D136&lt;=3,0.05,IF(D136&lt;=14,0.1,IF(D136&lt;=45,0.15,0.2))))</x:f>
        <x:v>0.15</x:v>
      </x:c>
      <x:c r="R136" s="47" t="n">
        <x:f>J136*Q136</x:f>
        <x:v>2760</x:v>
      </x:c>
      <x:c r="S136" s="20" t="str">
        <x:f>IF(D136&lt;E136,"closed",IF(D136&lt;'Paths'!$N$8,"initial","expanded"))</x:f>
        <x:v>expanded</x:v>
      </x:c>
      <x:c r="T136" s="72"/>
    </x:row>
    <x:row r="137">
      <x:c r="C137" s="20" t="str">
        <x:v>P1</x:v>
      </x:c>
      <x:c r="D137" s="20" t="n">
        <x:v>39</x:v>
      </x:c>
      <x:c r="E137" s="45" t="n">
        <x:f>IF('Controls'!$D$7="Reference",'Paths'!$J$8,'Paths'!$K$8)</x:f>
        <x:v>1</x:v>
      </x:c>
      <x:c r="F137" s="47" t="n">
        <x:f>IF(D137&lt;'Paths'!$N$8,IF('Controls'!$D$7="Reference",'Paths'!$L$8,'Paths'!$M$8),IF('Controls'!$D$7="Reference",'Paths'!$O$8,'Paths'!$P$8))</x:f>
        <x:v>20000</x:v>
      </x:c>
      <x:c r="G137" s="46" t="n">
        <x:f>IF('Controls'!$D$7="Reference",1,IF(OR(D137=6,D137=7,D137=21,D137=46),'Paths'!$U$8,1))</x:f>
        <x:v>1</x:v>
      </x:c>
      <x:c r="H137" s="46" t="n">
        <x:f>IF('Controls'!$D$7="Reference",1,IF(OR(AND(D137&gt;=14,D137&lt;=16),AND(D137&gt;=34,D137&lt;=35),AND(D137&gt;=61,D137&lt;=63)),'Paths'!$V$8,1))</x:f>
        <x:v>1</x:v>
      </x:c>
      <x:c r="I137" s="46" t="n">
        <x:f>'Paths'!$W$8</x:f>
        <x:v>0.92</x:v>
      </x:c>
      <x:c r="J137" s="47" t="n">
        <x:f>IF(D137&lt;E137,0,MIN(F137*G137*H137*I137,IF('Paths'!$T$8&gt;0,MAX(0,'Paths'!$T$8-K136),1000000000)))</x:f>
        <x:v>18400</x:v>
      </x:c>
      <x:c r="K137" s="47" t="n">
        <x:f>K136+J137</x:f>
        <x:v>634800</x:v>
      </x:c>
      <x:c r="L137" s="46" t="n">
        <x:f>IF(C137="P0",1,IF(D137&lt;=3,0.8,IF(D137&lt;=14,0.65,IF(D137&lt;=45,0.5,0.3))))</x:f>
        <x:v>0.5</x:v>
      </x:c>
      <x:c r="M137" s="47" t="n">
        <x:f>J137*L137</x:f>
        <x:v>9200</x:v>
      </x:c>
      <x:c r="N137" s="47" t="n">
        <x:f>N136+M137</x:f>
        <x:v>353970</x:v>
      </x:c>
      <x:c r="O137" s="46" t="n">
        <x:f>IF(C137="P0",0,IF(D137&lt;=3,0.15,IF(D137&lt;=14,0.25,IF(D137&lt;=45,0.35,0.5))))</x:f>
        <x:v>0.35</x:v>
      </x:c>
      <x:c r="P137" s="47" t="n">
        <x:f>J137*O137</x:f>
        <x:v>6440</x:v>
      </x:c>
      <x:c r="Q137" s="46" t="n">
        <x:f>IF(C137="P0",0,IF(D137&lt;=3,0.05,IF(D137&lt;=14,0.1,IF(D137&lt;=45,0.15,0.2))))</x:f>
        <x:v>0.15</x:v>
      </x:c>
      <x:c r="R137" s="47" t="n">
        <x:f>J137*Q137</x:f>
        <x:v>2760</x:v>
      </x:c>
      <x:c r="S137" s="20" t="str">
        <x:f>IF(D137&lt;E137,"closed",IF(D137&lt;'Paths'!$N$8,"initial","expanded"))</x:f>
        <x:v>expanded</x:v>
      </x:c>
      <x:c r="T137" s="72"/>
    </x:row>
    <x:row r="138">
      <x:c r="C138" s="20" t="str">
        <x:v>P1</x:v>
      </x:c>
      <x:c r="D138" s="20" t="n">
        <x:v>40</x:v>
      </x:c>
      <x:c r="E138" s="45" t="n">
        <x:f>IF('Controls'!$D$7="Reference",'Paths'!$J$8,'Paths'!$K$8)</x:f>
        <x:v>1</x:v>
      </x:c>
      <x:c r="F138" s="47" t="n">
        <x:f>IF(D138&lt;'Paths'!$N$8,IF('Controls'!$D$7="Reference",'Paths'!$L$8,'Paths'!$M$8),IF('Controls'!$D$7="Reference",'Paths'!$O$8,'Paths'!$P$8))</x:f>
        <x:v>20000</x:v>
      </x:c>
      <x:c r="G138" s="46" t="n">
        <x:f>IF('Controls'!$D$7="Reference",1,IF(OR(D138=6,D138=7,D138=21,D138=46),'Paths'!$U$8,1))</x:f>
        <x:v>1</x:v>
      </x:c>
      <x:c r="H138" s="46" t="n">
        <x:f>IF('Controls'!$D$7="Reference",1,IF(OR(AND(D138&gt;=14,D138&lt;=16),AND(D138&gt;=34,D138&lt;=35),AND(D138&gt;=61,D138&lt;=63)),'Paths'!$V$8,1))</x:f>
        <x:v>1</x:v>
      </x:c>
      <x:c r="I138" s="46" t="n">
        <x:f>'Paths'!$W$8</x:f>
        <x:v>0.92</x:v>
      </x:c>
      <x:c r="J138" s="47" t="n">
        <x:f>IF(D138&lt;E138,0,MIN(F138*G138*H138*I138,IF('Paths'!$T$8&gt;0,MAX(0,'Paths'!$T$8-K137),1000000000)))</x:f>
        <x:v>18400</x:v>
      </x:c>
      <x:c r="K138" s="47" t="n">
        <x:f>K137+J138</x:f>
        <x:v>653200</x:v>
      </x:c>
      <x:c r="L138" s="46" t="n">
        <x:f>IF(C138="P0",1,IF(D138&lt;=3,0.8,IF(D138&lt;=14,0.65,IF(D138&lt;=45,0.5,0.3))))</x:f>
        <x:v>0.5</x:v>
      </x:c>
      <x:c r="M138" s="47" t="n">
        <x:f>J138*L138</x:f>
        <x:v>9200</x:v>
      </x:c>
      <x:c r="N138" s="47" t="n">
        <x:f>N137+M138</x:f>
        <x:v>363170</x:v>
      </x:c>
      <x:c r="O138" s="46" t="n">
        <x:f>IF(C138="P0",0,IF(D138&lt;=3,0.15,IF(D138&lt;=14,0.25,IF(D138&lt;=45,0.35,0.5))))</x:f>
        <x:v>0.35</x:v>
      </x:c>
      <x:c r="P138" s="47" t="n">
        <x:f>J138*O138</x:f>
        <x:v>6440</x:v>
      </x:c>
      <x:c r="Q138" s="46" t="n">
        <x:f>IF(C138="P0",0,IF(D138&lt;=3,0.05,IF(D138&lt;=14,0.1,IF(D138&lt;=45,0.15,0.2))))</x:f>
        <x:v>0.15</x:v>
      </x:c>
      <x:c r="R138" s="47" t="n">
        <x:f>J138*Q138</x:f>
        <x:v>2760</x:v>
      </x:c>
      <x:c r="S138" s="20" t="str">
        <x:f>IF(D138&lt;E138,"closed",IF(D138&lt;'Paths'!$N$8,"initial","expanded"))</x:f>
        <x:v>expanded</x:v>
      </x:c>
      <x:c r="T138" s="72"/>
    </x:row>
    <x:row r="139">
      <x:c r="C139" s="20" t="str">
        <x:v>P1</x:v>
      </x:c>
      <x:c r="D139" s="20" t="n">
        <x:v>41</x:v>
      </x:c>
      <x:c r="E139" s="45" t="n">
        <x:f>IF('Controls'!$D$7="Reference",'Paths'!$J$8,'Paths'!$K$8)</x:f>
        <x:v>1</x:v>
      </x:c>
      <x:c r="F139" s="47" t="n">
        <x:f>IF(D139&lt;'Paths'!$N$8,IF('Controls'!$D$7="Reference",'Paths'!$L$8,'Paths'!$M$8),IF('Controls'!$D$7="Reference",'Paths'!$O$8,'Paths'!$P$8))</x:f>
        <x:v>20000</x:v>
      </x:c>
      <x:c r="G139" s="46" t="n">
        <x:f>IF('Controls'!$D$7="Reference",1,IF(OR(D139=6,D139=7,D139=21,D139=46),'Paths'!$U$8,1))</x:f>
        <x:v>1</x:v>
      </x:c>
      <x:c r="H139" s="46" t="n">
        <x:f>IF('Controls'!$D$7="Reference",1,IF(OR(AND(D139&gt;=14,D139&lt;=16),AND(D139&gt;=34,D139&lt;=35),AND(D139&gt;=61,D139&lt;=63)),'Paths'!$V$8,1))</x:f>
        <x:v>1</x:v>
      </x:c>
      <x:c r="I139" s="46" t="n">
        <x:f>'Paths'!$W$8</x:f>
        <x:v>0.92</x:v>
      </x:c>
      <x:c r="J139" s="47" t="n">
        <x:f>IF(D139&lt;E139,0,MIN(F139*G139*H139*I139,IF('Paths'!$T$8&gt;0,MAX(0,'Paths'!$T$8-K138),1000000000)))</x:f>
        <x:v>18400</x:v>
      </x:c>
      <x:c r="K139" s="47" t="n">
        <x:f>K138+J139</x:f>
        <x:v>671600</x:v>
      </x:c>
      <x:c r="L139" s="46" t="n">
        <x:f>IF(C139="P0",1,IF(D139&lt;=3,0.8,IF(D139&lt;=14,0.65,IF(D139&lt;=45,0.5,0.3))))</x:f>
        <x:v>0.5</x:v>
      </x:c>
      <x:c r="M139" s="47" t="n">
        <x:f>J139*L139</x:f>
        <x:v>9200</x:v>
      </x:c>
      <x:c r="N139" s="47" t="n">
        <x:f>N138+M139</x:f>
        <x:v>372370</x:v>
      </x:c>
      <x:c r="O139" s="46" t="n">
        <x:f>IF(C139="P0",0,IF(D139&lt;=3,0.15,IF(D139&lt;=14,0.25,IF(D139&lt;=45,0.35,0.5))))</x:f>
        <x:v>0.35</x:v>
      </x:c>
      <x:c r="P139" s="47" t="n">
        <x:f>J139*O139</x:f>
        <x:v>6440</x:v>
      </x:c>
      <x:c r="Q139" s="46" t="n">
        <x:f>IF(C139="P0",0,IF(D139&lt;=3,0.05,IF(D139&lt;=14,0.1,IF(D139&lt;=45,0.15,0.2))))</x:f>
        <x:v>0.15</x:v>
      </x:c>
      <x:c r="R139" s="47" t="n">
        <x:f>J139*Q139</x:f>
        <x:v>2760</x:v>
      </x:c>
      <x:c r="S139" s="20" t="str">
        <x:f>IF(D139&lt;E139,"closed",IF(D139&lt;'Paths'!$N$8,"initial","expanded"))</x:f>
        <x:v>expanded</x:v>
      </x:c>
      <x:c r="T139" s="72"/>
    </x:row>
    <x:row r="140">
      <x:c r="C140" s="20" t="str">
        <x:v>P1</x:v>
      </x:c>
      <x:c r="D140" s="20" t="n">
        <x:v>42</x:v>
      </x:c>
      <x:c r="E140" s="45" t="n">
        <x:f>IF('Controls'!$D$7="Reference",'Paths'!$J$8,'Paths'!$K$8)</x:f>
        <x:v>1</x:v>
      </x:c>
      <x:c r="F140" s="47" t="n">
        <x:f>IF(D140&lt;'Paths'!$N$8,IF('Controls'!$D$7="Reference",'Paths'!$L$8,'Paths'!$M$8),IF('Controls'!$D$7="Reference",'Paths'!$O$8,'Paths'!$P$8))</x:f>
        <x:v>20000</x:v>
      </x:c>
      <x:c r="G140" s="46" t="n">
        <x:f>IF('Controls'!$D$7="Reference",1,IF(OR(D140=6,D140=7,D140=21,D140=46),'Paths'!$U$8,1))</x:f>
        <x:v>1</x:v>
      </x:c>
      <x:c r="H140" s="46" t="n">
        <x:f>IF('Controls'!$D$7="Reference",1,IF(OR(AND(D140&gt;=14,D140&lt;=16),AND(D140&gt;=34,D140&lt;=35),AND(D140&gt;=61,D140&lt;=63)),'Paths'!$V$8,1))</x:f>
        <x:v>1</x:v>
      </x:c>
      <x:c r="I140" s="46" t="n">
        <x:f>'Paths'!$W$8</x:f>
        <x:v>0.92</x:v>
      </x:c>
      <x:c r="J140" s="47" t="n">
        <x:f>IF(D140&lt;E140,0,MIN(F140*G140*H140*I140,IF('Paths'!$T$8&gt;0,MAX(0,'Paths'!$T$8-K139),1000000000)))</x:f>
        <x:v>18400</x:v>
      </x:c>
      <x:c r="K140" s="47" t="n">
        <x:f>K139+J140</x:f>
        <x:v>690000</x:v>
      </x:c>
      <x:c r="L140" s="46" t="n">
        <x:f>IF(C140="P0",1,IF(D140&lt;=3,0.8,IF(D140&lt;=14,0.65,IF(D140&lt;=45,0.5,0.3))))</x:f>
        <x:v>0.5</x:v>
      </x:c>
      <x:c r="M140" s="47" t="n">
        <x:f>J140*L140</x:f>
        <x:v>9200</x:v>
      </x:c>
      <x:c r="N140" s="47" t="n">
        <x:f>N139+M140</x:f>
        <x:v>381570</x:v>
      </x:c>
      <x:c r="O140" s="46" t="n">
        <x:f>IF(C140="P0",0,IF(D140&lt;=3,0.15,IF(D140&lt;=14,0.25,IF(D140&lt;=45,0.35,0.5))))</x:f>
        <x:v>0.35</x:v>
      </x:c>
      <x:c r="P140" s="47" t="n">
        <x:f>J140*O140</x:f>
        <x:v>6440</x:v>
      </x:c>
      <x:c r="Q140" s="46" t="n">
        <x:f>IF(C140="P0",0,IF(D140&lt;=3,0.05,IF(D140&lt;=14,0.1,IF(D140&lt;=45,0.15,0.2))))</x:f>
        <x:v>0.15</x:v>
      </x:c>
      <x:c r="R140" s="47" t="n">
        <x:f>J140*Q140</x:f>
        <x:v>2760</x:v>
      </x:c>
      <x:c r="S140" s="20" t="str">
        <x:f>IF(D140&lt;E140,"closed",IF(D140&lt;'Paths'!$N$8,"initial","expanded"))</x:f>
        <x:v>expanded</x:v>
      </x:c>
      <x:c r="T140" s="72"/>
    </x:row>
    <x:row r="141">
      <x:c r="C141" s="20" t="str">
        <x:v>P1</x:v>
      </x:c>
      <x:c r="D141" s="20" t="n">
        <x:v>43</x:v>
      </x:c>
      <x:c r="E141" s="45" t="n">
        <x:f>IF('Controls'!$D$7="Reference",'Paths'!$J$8,'Paths'!$K$8)</x:f>
        <x:v>1</x:v>
      </x:c>
      <x:c r="F141" s="47" t="n">
        <x:f>IF(D141&lt;'Paths'!$N$8,IF('Controls'!$D$7="Reference",'Paths'!$L$8,'Paths'!$M$8),IF('Controls'!$D$7="Reference",'Paths'!$O$8,'Paths'!$P$8))</x:f>
        <x:v>20000</x:v>
      </x:c>
      <x:c r="G141" s="46" t="n">
        <x:f>IF('Controls'!$D$7="Reference",1,IF(OR(D141=6,D141=7,D141=21,D141=46),'Paths'!$U$8,1))</x:f>
        <x:v>1</x:v>
      </x:c>
      <x:c r="H141" s="46" t="n">
        <x:f>IF('Controls'!$D$7="Reference",1,IF(OR(AND(D141&gt;=14,D141&lt;=16),AND(D141&gt;=34,D141&lt;=35),AND(D141&gt;=61,D141&lt;=63)),'Paths'!$V$8,1))</x:f>
        <x:v>1</x:v>
      </x:c>
      <x:c r="I141" s="46" t="n">
        <x:f>'Paths'!$W$8</x:f>
        <x:v>0.92</x:v>
      </x:c>
      <x:c r="J141" s="47" t="n">
        <x:f>IF(D141&lt;E141,0,MIN(F141*G141*H141*I141,IF('Paths'!$T$8&gt;0,MAX(0,'Paths'!$T$8-K140),1000000000)))</x:f>
        <x:v>18400</x:v>
      </x:c>
      <x:c r="K141" s="47" t="n">
        <x:f>K140+J141</x:f>
        <x:v>708400</x:v>
      </x:c>
      <x:c r="L141" s="46" t="n">
        <x:f>IF(C141="P0",1,IF(D141&lt;=3,0.8,IF(D141&lt;=14,0.65,IF(D141&lt;=45,0.5,0.3))))</x:f>
        <x:v>0.5</x:v>
      </x:c>
      <x:c r="M141" s="47" t="n">
        <x:f>J141*L141</x:f>
        <x:v>9200</x:v>
      </x:c>
      <x:c r="N141" s="47" t="n">
        <x:f>N140+M141</x:f>
        <x:v>390770</x:v>
      </x:c>
      <x:c r="O141" s="46" t="n">
        <x:f>IF(C141="P0",0,IF(D141&lt;=3,0.15,IF(D141&lt;=14,0.25,IF(D141&lt;=45,0.35,0.5))))</x:f>
        <x:v>0.35</x:v>
      </x:c>
      <x:c r="P141" s="47" t="n">
        <x:f>J141*O141</x:f>
        <x:v>6440</x:v>
      </x:c>
      <x:c r="Q141" s="46" t="n">
        <x:f>IF(C141="P0",0,IF(D141&lt;=3,0.05,IF(D141&lt;=14,0.1,IF(D141&lt;=45,0.15,0.2))))</x:f>
        <x:v>0.15</x:v>
      </x:c>
      <x:c r="R141" s="47" t="n">
        <x:f>J141*Q141</x:f>
        <x:v>2760</x:v>
      </x:c>
      <x:c r="S141" s="20" t="str">
        <x:f>IF(D141&lt;E141,"closed",IF(D141&lt;'Paths'!$N$8,"initial","expanded"))</x:f>
        <x:v>expanded</x:v>
      </x:c>
      <x:c r="T141" s="72"/>
    </x:row>
    <x:row r="142">
      <x:c r="C142" s="20" t="str">
        <x:v>P1</x:v>
      </x:c>
      <x:c r="D142" s="20" t="n">
        <x:v>44</x:v>
      </x:c>
      <x:c r="E142" s="45" t="n">
        <x:f>IF('Controls'!$D$7="Reference",'Paths'!$J$8,'Paths'!$K$8)</x:f>
        <x:v>1</x:v>
      </x:c>
      <x:c r="F142" s="47" t="n">
        <x:f>IF(D142&lt;'Paths'!$N$8,IF('Controls'!$D$7="Reference",'Paths'!$L$8,'Paths'!$M$8),IF('Controls'!$D$7="Reference",'Paths'!$O$8,'Paths'!$P$8))</x:f>
        <x:v>20000</x:v>
      </x:c>
      <x:c r="G142" s="46" t="n">
        <x:f>IF('Controls'!$D$7="Reference",1,IF(OR(D142=6,D142=7,D142=21,D142=46),'Paths'!$U$8,1))</x:f>
        <x:v>1</x:v>
      </x:c>
      <x:c r="H142" s="46" t="n">
        <x:f>IF('Controls'!$D$7="Reference",1,IF(OR(AND(D142&gt;=14,D142&lt;=16),AND(D142&gt;=34,D142&lt;=35),AND(D142&gt;=61,D142&lt;=63)),'Paths'!$V$8,1))</x:f>
        <x:v>1</x:v>
      </x:c>
      <x:c r="I142" s="46" t="n">
        <x:f>'Paths'!$W$8</x:f>
        <x:v>0.92</x:v>
      </x:c>
      <x:c r="J142" s="47" t="n">
        <x:f>IF(D142&lt;E142,0,MIN(F142*G142*H142*I142,IF('Paths'!$T$8&gt;0,MAX(0,'Paths'!$T$8-K141),1000000000)))</x:f>
        <x:v>18400</x:v>
      </x:c>
      <x:c r="K142" s="47" t="n">
        <x:f>K141+J142</x:f>
        <x:v>726800</x:v>
      </x:c>
      <x:c r="L142" s="46" t="n">
        <x:f>IF(C142="P0",1,IF(D142&lt;=3,0.8,IF(D142&lt;=14,0.65,IF(D142&lt;=45,0.5,0.3))))</x:f>
        <x:v>0.5</x:v>
      </x:c>
      <x:c r="M142" s="47" t="n">
        <x:f>J142*L142</x:f>
        <x:v>9200</x:v>
      </x:c>
      <x:c r="N142" s="47" t="n">
        <x:f>N141+M142</x:f>
        <x:v>399970</x:v>
      </x:c>
      <x:c r="O142" s="46" t="n">
        <x:f>IF(C142="P0",0,IF(D142&lt;=3,0.15,IF(D142&lt;=14,0.25,IF(D142&lt;=45,0.35,0.5))))</x:f>
        <x:v>0.35</x:v>
      </x:c>
      <x:c r="P142" s="47" t="n">
        <x:f>J142*O142</x:f>
        <x:v>6440</x:v>
      </x:c>
      <x:c r="Q142" s="46" t="n">
        <x:f>IF(C142="P0",0,IF(D142&lt;=3,0.05,IF(D142&lt;=14,0.1,IF(D142&lt;=45,0.15,0.2))))</x:f>
        <x:v>0.15</x:v>
      </x:c>
      <x:c r="R142" s="47" t="n">
        <x:f>J142*Q142</x:f>
        <x:v>2760</x:v>
      </x:c>
      <x:c r="S142" s="20" t="str">
        <x:f>IF(D142&lt;E142,"closed",IF(D142&lt;'Paths'!$N$8,"initial","expanded"))</x:f>
        <x:v>expanded</x:v>
      </x:c>
      <x:c r="T142" s="72"/>
    </x:row>
    <x:row r="143">
      <x:c r="C143" s="20" t="str">
        <x:v>P1</x:v>
      </x:c>
      <x:c r="D143" s="20" t="n">
        <x:v>45</x:v>
      </x:c>
      <x:c r="E143" s="45" t="n">
        <x:f>IF('Controls'!$D$7="Reference",'Paths'!$J$8,'Paths'!$K$8)</x:f>
        <x:v>1</x:v>
      </x:c>
      <x:c r="F143" s="47" t="n">
        <x:f>IF(D143&lt;'Paths'!$N$8,IF('Controls'!$D$7="Reference",'Paths'!$L$8,'Paths'!$M$8),IF('Controls'!$D$7="Reference",'Paths'!$O$8,'Paths'!$P$8))</x:f>
        <x:v>20000</x:v>
      </x:c>
      <x:c r="G143" s="46" t="n">
        <x:f>IF('Controls'!$D$7="Reference",1,IF(OR(D143=6,D143=7,D143=21,D143=46),'Paths'!$U$8,1))</x:f>
        <x:v>1</x:v>
      </x:c>
      <x:c r="H143" s="46" t="n">
        <x:f>IF('Controls'!$D$7="Reference",1,IF(OR(AND(D143&gt;=14,D143&lt;=16),AND(D143&gt;=34,D143&lt;=35),AND(D143&gt;=61,D143&lt;=63)),'Paths'!$V$8,1))</x:f>
        <x:v>1</x:v>
      </x:c>
      <x:c r="I143" s="46" t="n">
        <x:f>'Paths'!$W$8</x:f>
        <x:v>0.92</x:v>
      </x:c>
      <x:c r="J143" s="47" t="n">
        <x:f>IF(D143&lt;E143,0,MIN(F143*G143*H143*I143,IF('Paths'!$T$8&gt;0,MAX(0,'Paths'!$T$8-K142),1000000000)))</x:f>
        <x:v>18400</x:v>
      </x:c>
      <x:c r="K143" s="47" t="n">
        <x:f>K142+J143</x:f>
        <x:v>745200</x:v>
      </x:c>
      <x:c r="L143" s="46" t="n">
        <x:f>IF(C143="P0",1,IF(D143&lt;=3,0.8,IF(D143&lt;=14,0.65,IF(D143&lt;=45,0.5,0.3))))</x:f>
        <x:v>0.5</x:v>
      </x:c>
      <x:c r="M143" s="47" t="n">
        <x:f>J143*L143</x:f>
        <x:v>9200</x:v>
      </x:c>
      <x:c r="N143" s="47" t="n">
        <x:f>N142+M143</x:f>
        <x:v>409170</x:v>
      </x:c>
      <x:c r="O143" s="46" t="n">
        <x:f>IF(C143="P0",0,IF(D143&lt;=3,0.15,IF(D143&lt;=14,0.25,IF(D143&lt;=45,0.35,0.5))))</x:f>
        <x:v>0.35</x:v>
      </x:c>
      <x:c r="P143" s="47" t="n">
        <x:f>J143*O143</x:f>
        <x:v>6440</x:v>
      </x:c>
      <x:c r="Q143" s="46" t="n">
        <x:f>IF(C143="P0",0,IF(D143&lt;=3,0.05,IF(D143&lt;=14,0.1,IF(D143&lt;=45,0.15,0.2))))</x:f>
        <x:v>0.15</x:v>
      </x:c>
      <x:c r="R143" s="47" t="n">
        <x:f>J143*Q143</x:f>
        <x:v>2760</x:v>
      </x:c>
      <x:c r="S143" s="20" t="str">
        <x:f>IF(D143&lt;E143,"closed",IF(D143&lt;'Paths'!$N$8,"initial","expanded"))</x:f>
        <x:v>expanded</x:v>
      </x:c>
      <x:c r="T143" s="72"/>
    </x:row>
    <x:row r="144">
      <x:c r="C144" s="20" t="str">
        <x:v>P1</x:v>
      </x:c>
      <x:c r="D144" s="20" t="n">
        <x:v>46</x:v>
      </x:c>
      <x:c r="E144" s="45" t="n">
        <x:f>IF('Controls'!$D$7="Reference",'Paths'!$J$8,'Paths'!$K$8)</x:f>
        <x:v>1</x:v>
      </x:c>
      <x:c r="F144" s="47" t="n">
        <x:f>IF(D144&lt;'Paths'!$N$8,IF('Controls'!$D$7="Reference",'Paths'!$L$8,'Paths'!$M$8),IF('Controls'!$D$7="Reference",'Paths'!$O$8,'Paths'!$P$8))</x:f>
        <x:v>20000</x:v>
      </x:c>
      <x:c r="G144" s="46" t="n">
        <x:f>IF('Controls'!$D$7="Reference",1,IF(OR(D144=6,D144=7,D144=21,D144=46),'Paths'!$U$8,1))</x:f>
        <x:v>0.7</x:v>
      </x:c>
      <x:c r="H144" s="46" t="n">
        <x:f>IF('Controls'!$D$7="Reference",1,IF(OR(AND(D144&gt;=14,D144&lt;=16),AND(D144&gt;=34,D144&lt;=35),AND(D144&gt;=61,D144&lt;=63)),'Paths'!$V$8,1))</x:f>
        <x:v>1</x:v>
      </x:c>
      <x:c r="I144" s="46" t="n">
        <x:f>'Paths'!$W$8</x:f>
        <x:v>0.92</x:v>
      </x:c>
      <x:c r="J144" s="47" t="n">
        <x:f>IF(D144&lt;E144,0,MIN(F144*G144*H144*I144,IF('Paths'!$T$8&gt;0,MAX(0,'Paths'!$T$8-K143),1000000000)))</x:f>
        <x:v>12880</x:v>
      </x:c>
      <x:c r="K144" s="47" t="n">
        <x:f>K143+J144</x:f>
        <x:v>758080</x:v>
      </x:c>
      <x:c r="L144" s="46" t="n">
        <x:f>IF(C144="P0",1,IF(D144&lt;=3,0.8,IF(D144&lt;=14,0.65,IF(D144&lt;=45,0.5,0.3))))</x:f>
        <x:v>0.3</x:v>
      </x:c>
      <x:c r="M144" s="47" t="n">
        <x:f>J144*L144</x:f>
        <x:v>3864</x:v>
      </x:c>
      <x:c r="N144" s="47" t="n">
        <x:f>N143+M144</x:f>
        <x:v>413034</x:v>
      </x:c>
      <x:c r="O144" s="46" t="n">
        <x:f>IF(C144="P0",0,IF(D144&lt;=3,0.15,IF(D144&lt;=14,0.25,IF(D144&lt;=45,0.35,0.5))))</x:f>
        <x:v>0.5</x:v>
      </x:c>
      <x:c r="P144" s="47" t="n">
        <x:f>J144*O144</x:f>
        <x:v>6440</x:v>
      </x:c>
      <x:c r="Q144" s="46" t="n">
        <x:f>IF(C144="P0",0,IF(D144&lt;=3,0.05,IF(D144&lt;=14,0.1,IF(D144&lt;=45,0.15,0.2))))</x:f>
        <x:v>0.2</x:v>
      </x:c>
      <x:c r="R144" s="47" t="n">
        <x:f>J144*Q144</x:f>
        <x:v>2576</x:v>
      </x:c>
      <x:c r="S144" s="20" t="str">
        <x:f>IF(D144&lt;E144,"closed",IF(D144&lt;'Paths'!$N$8,"initial","expanded"))</x:f>
        <x:v>expanded</x:v>
      </x:c>
      <x:c r="T144" s="72"/>
    </x:row>
    <x:row r="145">
      <x:c r="C145" s="20" t="str">
        <x:v>P1</x:v>
      </x:c>
      <x:c r="D145" s="20" t="n">
        <x:v>47</x:v>
      </x:c>
      <x:c r="E145" s="45" t="n">
        <x:f>IF('Controls'!$D$7="Reference",'Paths'!$J$8,'Paths'!$K$8)</x:f>
        <x:v>1</x:v>
      </x:c>
      <x:c r="F145" s="47" t="n">
        <x:f>IF(D145&lt;'Paths'!$N$8,IF('Controls'!$D$7="Reference",'Paths'!$L$8,'Paths'!$M$8),IF('Controls'!$D$7="Reference",'Paths'!$O$8,'Paths'!$P$8))</x:f>
        <x:v>20000</x:v>
      </x:c>
      <x:c r="G145" s="46" t="n">
        <x:f>IF('Controls'!$D$7="Reference",1,IF(OR(D145=6,D145=7,D145=21,D145=46),'Paths'!$U$8,1))</x:f>
        <x:v>1</x:v>
      </x:c>
      <x:c r="H145" s="46" t="n">
        <x:f>IF('Controls'!$D$7="Reference",1,IF(OR(AND(D145&gt;=14,D145&lt;=16),AND(D145&gt;=34,D145&lt;=35),AND(D145&gt;=61,D145&lt;=63)),'Paths'!$V$8,1))</x:f>
        <x:v>1</x:v>
      </x:c>
      <x:c r="I145" s="46" t="n">
        <x:f>'Paths'!$W$8</x:f>
        <x:v>0.92</x:v>
      </x:c>
      <x:c r="J145" s="47" t="n">
        <x:f>IF(D145&lt;E145,0,MIN(F145*G145*H145*I145,IF('Paths'!$T$8&gt;0,MAX(0,'Paths'!$T$8-K144),1000000000)))</x:f>
        <x:v>18400</x:v>
      </x:c>
      <x:c r="K145" s="47" t="n">
        <x:f>K144+J145</x:f>
        <x:v>776480</x:v>
      </x:c>
      <x:c r="L145" s="46" t="n">
        <x:f>IF(C145="P0",1,IF(D145&lt;=3,0.8,IF(D145&lt;=14,0.65,IF(D145&lt;=45,0.5,0.3))))</x:f>
        <x:v>0.3</x:v>
      </x:c>
      <x:c r="M145" s="47" t="n">
        <x:f>J145*L145</x:f>
        <x:v>5520</x:v>
      </x:c>
      <x:c r="N145" s="47" t="n">
        <x:f>N144+M145</x:f>
        <x:v>418554</x:v>
      </x:c>
      <x:c r="O145" s="46" t="n">
        <x:f>IF(C145="P0",0,IF(D145&lt;=3,0.15,IF(D145&lt;=14,0.25,IF(D145&lt;=45,0.35,0.5))))</x:f>
        <x:v>0.5</x:v>
      </x:c>
      <x:c r="P145" s="47" t="n">
        <x:f>J145*O145</x:f>
        <x:v>9200</x:v>
      </x:c>
      <x:c r="Q145" s="46" t="n">
        <x:f>IF(C145="P0",0,IF(D145&lt;=3,0.05,IF(D145&lt;=14,0.1,IF(D145&lt;=45,0.15,0.2))))</x:f>
        <x:v>0.2</x:v>
      </x:c>
      <x:c r="R145" s="47" t="n">
        <x:f>J145*Q145</x:f>
        <x:v>3680</x:v>
      </x:c>
      <x:c r="S145" s="20" t="str">
        <x:f>IF(D145&lt;E145,"closed",IF(D145&lt;'Paths'!$N$8,"initial","expanded"))</x:f>
        <x:v>expanded</x:v>
      </x:c>
      <x:c r="T145" s="72"/>
    </x:row>
    <x:row r="146">
      <x:c r="C146" s="20" t="str">
        <x:v>P1</x:v>
      </x:c>
      <x:c r="D146" s="20" t="n">
        <x:v>48</x:v>
      </x:c>
      <x:c r="E146" s="45" t="n">
        <x:f>IF('Controls'!$D$7="Reference",'Paths'!$J$8,'Paths'!$K$8)</x:f>
        <x:v>1</x:v>
      </x:c>
      <x:c r="F146" s="47" t="n">
        <x:f>IF(D146&lt;'Paths'!$N$8,IF('Controls'!$D$7="Reference",'Paths'!$L$8,'Paths'!$M$8),IF('Controls'!$D$7="Reference",'Paths'!$O$8,'Paths'!$P$8))</x:f>
        <x:v>20000</x:v>
      </x:c>
      <x:c r="G146" s="46" t="n">
        <x:f>IF('Controls'!$D$7="Reference",1,IF(OR(D146=6,D146=7,D146=21,D146=46),'Paths'!$U$8,1))</x:f>
        <x:v>1</x:v>
      </x:c>
      <x:c r="H146" s="46" t="n">
        <x:f>IF('Controls'!$D$7="Reference",1,IF(OR(AND(D146&gt;=14,D146&lt;=16),AND(D146&gt;=34,D146&lt;=35),AND(D146&gt;=61,D146&lt;=63)),'Paths'!$V$8,1))</x:f>
        <x:v>1</x:v>
      </x:c>
      <x:c r="I146" s="46" t="n">
        <x:f>'Paths'!$W$8</x:f>
        <x:v>0.92</x:v>
      </x:c>
      <x:c r="J146" s="47" t="n">
        <x:f>IF(D146&lt;E146,0,MIN(F146*G146*H146*I146,IF('Paths'!$T$8&gt;0,MAX(0,'Paths'!$T$8-K145),1000000000)))</x:f>
        <x:v>18400</x:v>
      </x:c>
      <x:c r="K146" s="47" t="n">
        <x:f>K145+J146</x:f>
        <x:v>794880</x:v>
      </x:c>
      <x:c r="L146" s="46" t="n">
        <x:f>IF(C146="P0",1,IF(D146&lt;=3,0.8,IF(D146&lt;=14,0.65,IF(D146&lt;=45,0.5,0.3))))</x:f>
        <x:v>0.3</x:v>
      </x:c>
      <x:c r="M146" s="47" t="n">
        <x:f>J146*L146</x:f>
        <x:v>5520</x:v>
      </x:c>
      <x:c r="N146" s="47" t="n">
        <x:f>N145+M146</x:f>
        <x:v>424074</x:v>
      </x:c>
      <x:c r="O146" s="46" t="n">
        <x:f>IF(C146="P0",0,IF(D146&lt;=3,0.15,IF(D146&lt;=14,0.25,IF(D146&lt;=45,0.35,0.5))))</x:f>
        <x:v>0.5</x:v>
      </x:c>
      <x:c r="P146" s="47" t="n">
        <x:f>J146*O146</x:f>
        <x:v>9200</x:v>
      </x:c>
      <x:c r="Q146" s="46" t="n">
        <x:f>IF(C146="P0",0,IF(D146&lt;=3,0.05,IF(D146&lt;=14,0.1,IF(D146&lt;=45,0.15,0.2))))</x:f>
        <x:v>0.2</x:v>
      </x:c>
      <x:c r="R146" s="47" t="n">
        <x:f>J146*Q146</x:f>
        <x:v>3680</x:v>
      </x:c>
      <x:c r="S146" s="20" t="str">
        <x:f>IF(D146&lt;E146,"closed",IF(D146&lt;'Paths'!$N$8,"initial","expanded"))</x:f>
        <x:v>expanded</x:v>
      </x:c>
      <x:c r="T146" s="72"/>
    </x:row>
    <x:row r="147">
      <x:c r="C147" s="20" t="str">
        <x:v>P1</x:v>
      </x:c>
      <x:c r="D147" s="20" t="n">
        <x:v>49</x:v>
      </x:c>
      <x:c r="E147" s="45" t="n">
        <x:f>IF('Controls'!$D$7="Reference",'Paths'!$J$8,'Paths'!$K$8)</x:f>
        <x:v>1</x:v>
      </x:c>
      <x:c r="F147" s="47" t="n">
        <x:f>IF(D147&lt;'Paths'!$N$8,IF('Controls'!$D$7="Reference",'Paths'!$L$8,'Paths'!$M$8),IF('Controls'!$D$7="Reference",'Paths'!$O$8,'Paths'!$P$8))</x:f>
        <x:v>20000</x:v>
      </x:c>
      <x:c r="G147" s="46" t="n">
        <x:f>IF('Controls'!$D$7="Reference",1,IF(OR(D147=6,D147=7,D147=21,D147=46),'Paths'!$U$8,1))</x:f>
        <x:v>1</x:v>
      </x:c>
      <x:c r="H147" s="46" t="n">
        <x:f>IF('Controls'!$D$7="Reference",1,IF(OR(AND(D147&gt;=14,D147&lt;=16),AND(D147&gt;=34,D147&lt;=35),AND(D147&gt;=61,D147&lt;=63)),'Paths'!$V$8,1))</x:f>
        <x:v>1</x:v>
      </x:c>
      <x:c r="I147" s="46" t="n">
        <x:f>'Paths'!$W$8</x:f>
        <x:v>0.92</x:v>
      </x:c>
      <x:c r="J147" s="47" t="n">
        <x:f>IF(D147&lt;E147,0,MIN(F147*G147*H147*I147,IF('Paths'!$T$8&gt;0,MAX(0,'Paths'!$T$8-K146),1000000000)))</x:f>
        <x:v>18400</x:v>
      </x:c>
      <x:c r="K147" s="47" t="n">
        <x:f>K146+J147</x:f>
        <x:v>813280</x:v>
      </x:c>
      <x:c r="L147" s="46" t="n">
        <x:f>IF(C147="P0",1,IF(D147&lt;=3,0.8,IF(D147&lt;=14,0.65,IF(D147&lt;=45,0.5,0.3))))</x:f>
        <x:v>0.3</x:v>
      </x:c>
      <x:c r="M147" s="47" t="n">
        <x:f>J147*L147</x:f>
        <x:v>5520</x:v>
      </x:c>
      <x:c r="N147" s="47" t="n">
        <x:f>N146+M147</x:f>
        <x:v>429594</x:v>
      </x:c>
      <x:c r="O147" s="46" t="n">
        <x:f>IF(C147="P0",0,IF(D147&lt;=3,0.15,IF(D147&lt;=14,0.25,IF(D147&lt;=45,0.35,0.5))))</x:f>
        <x:v>0.5</x:v>
      </x:c>
      <x:c r="P147" s="47" t="n">
        <x:f>J147*O147</x:f>
        <x:v>9200</x:v>
      </x:c>
      <x:c r="Q147" s="46" t="n">
        <x:f>IF(C147="P0",0,IF(D147&lt;=3,0.05,IF(D147&lt;=14,0.1,IF(D147&lt;=45,0.15,0.2))))</x:f>
        <x:v>0.2</x:v>
      </x:c>
      <x:c r="R147" s="47" t="n">
        <x:f>J147*Q147</x:f>
        <x:v>3680</x:v>
      </x:c>
      <x:c r="S147" s="20" t="str">
        <x:f>IF(D147&lt;E147,"closed",IF(D147&lt;'Paths'!$N$8,"initial","expanded"))</x:f>
        <x:v>expanded</x:v>
      </x:c>
      <x:c r="T147" s="72"/>
    </x:row>
    <x:row r="148">
      <x:c r="C148" s="20" t="str">
        <x:v>P1</x:v>
      </x:c>
      <x:c r="D148" s="20" t="n">
        <x:v>50</x:v>
      </x:c>
      <x:c r="E148" s="45" t="n">
        <x:f>IF('Controls'!$D$7="Reference",'Paths'!$J$8,'Paths'!$K$8)</x:f>
        <x:v>1</x:v>
      </x:c>
      <x:c r="F148" s="47" t="n">
        <x:f>IF(D148&lt;'Paths'!$N$8,IF('Controls'!$D$7="Reference",'Paths'!$L$8,'Paths'!$M$8),IF('Controls'!$D$7="Reference",'Paths'!$O$8,'Paths'!$P$8))</x:f>
        <x:v>20000</x:v>
      </x:c>
      <x:c r="G148" s="46" t="n">
        <x:f>IF('Controls'!$D$7="Reference",1,IF(OR(D148=6,D148=7,D148=21,D148=46),'Paths'!$U$8,1))</x:f>
        <x:v>1</x:v>
      </x:c>
      <x:c r="H148" s="46" t="n">
        <x:f>IF('Controls'!$D$7="Reference",1,IF(OR(AND(D148&gt;=14,D148&lt;=16),AND(D148&gt;=34,D148&lt;=35),AND(D148&gt;=61,D148&lt;=63)),'Paths'!$V$8,1))</x:f>
        <x:v>1</x:v>
      </x:c>
      <x:c r="I148" s="46" t="n">
        <x:f>'Paths'!$W$8</x:f>
        <x:v>0.92</x:v>
      </x:c>
      <x:c r="J148" s="47" t="n">
        <x:f>IF(D148&lt;E148,0,MIN(F148*G148*H148*I148,IF('Paths'!$T$8&gt;0,MAX(0,'Paths'!$T$8-K147),1000000000)))</x:f>
        <x:v>18400</x:v>
      </x:c>
      <x:c r="K148" s="47" t="n">
        <x:f>K147+J148</x:f>
        <x:v>831680</x:v>
      </x:c>
      <x:c r="L148" s="46" t="n">
        <x:f>IF(C148="P0",1,IF(D148&lt;=3,0.8,IF(D148&lt;=14,0.65,IF(D148&lt;=45,0.5,0.3))))</x:f>
        <x:v>0.3</x:v>
      </x:c>
      <x:c r="M148" s="47" t="n">
        <x:f>J148*L148</x:f>
        <x:v>5520</x:v>
      </x:c>
      <x:c r="N148" s="47" t="n">
        <x:f>N147+M148</x:f>
        <x:v>435114</x:v>
      </x:c>
      <x:c r="O148" s="46" t="n">
        <x:f>IF(C148="P0",0,IF(D148&lt;=3,0.15,IF(D148&lt;=14,0.25,IF(D148&lt;=45,0.35,0.5))))</x:f>
        <x:v>0.5</x:v>
      </x:c>
      <x:c r="P148" s="47" t="n">
        <x:f>J148*O148</x:f>
        <x:v>9200</x:v>
      </x:c>
      <x:c r="Q148" s="46" t="n">
        <x:f>IF(C148="P0",0,IF(D148&lt;=3,0.05,IF(D148&lt;=14,0.1,IF(D148&lt;=45,0.15,0.2))))</x:f>
        <x:v>0.2</x:v>
      </x:c>
      <x:c r="R148" s="47" t="n">
        <x:f>J148*Q148</x:f>
        <x:v>3680</x:v>
      </x:c>
      <x:c r="S148" s="20" t="str">
        <x:f>IF(D148&lt;E148,"closed",IF(D148&lt;'Paths'!$N$8,"initial","expanded"))</x:f>
        <x:v>expanded</x:v>
      </x:c>
      <x:c r="T148" s="72"/>
    </x:row>
    <x:row r="149">
      <x:c r="C149" s="20" t="str">
        <x:v>P1</x:v>
      </x:c>
      <x:c r="D149" s="20" t="n">
        <x:v>51</x:v>
      </x:c>
      <x:c r="E149" s="45" t="n">
        <x:f>IF('Controls'!$D$7="Reference",'Paths'!$J$8,'Paths'!$K$8)</x:f>
        <x:v>1</x:v>
      </x:c>
      <x:c r="F149" s="47" t="n">
        <x:f>IF(D149&lt;'Paths'!$N$8,IF('Controls'!$D$7="Reference",'Paths'!$L$8,'Paths'!$M$8),IF('Controls'!$D$7="Reference",'Paths'!$O$8,'Paths'!$P$8))</x:f>
        <x:v>20000</x:v>
      </x:c>
      <x:c r="G149" s="46" t="n">
        <x:f>IF('Controls'!$D$7="Reference",1,IF(OR(D149=6,D149=7,D149=21,D149=46),'Paths'!$U$8,1))</x:f>
        <x:v>1</x:v>
      </x:c>
      <x:c r="H149" s="46" t="n">
        <x:f>IF('Controls'!$D$7="Reference",1,IF(OR(AND(D149&gt;=14,D149&lt;=16),AND(D149&gt;=34,D149&lt;=35),AND(D149&gt;=61,D149&lt;=63)),'Paths'!$V$8,1))</x:f>
        <x:v>1</x:v>
      </x:c>
      <x:c r="I149" s="46" t="n">
        <x:f>'Paths'!$W$8</x:f>
        <x:v>0.92</x:v>
      </x:c>
      <x:c r="J149" s="47" t="n">
        <x:f>IF(D149&lt;E149,0,MIN(F149*G149*H149*I149,IF('Paths'!$T$8&gt;0,MAX(0,'Paths'!$T$8-K148),1000000000)))</x:f>
        <x:v>18400</x:v>
      </x:c>
      <x:c r="K149" s="47" t="n">
        <x:f>K148+J149</x:f>
        <x:v>850080</x:v>
      </x:c>
      <x:c r="L149" s="46" t="n">
        <x:f>IF(C149="P0",1,IF(D149&lt;=3,0.8,IF(D149&lt;=14,0.65,IF(D149&lt;=45,0.5,0.3))))</x:f>
        <x:v>0.3</x:v>
      </x:c>
      <x:c r="M149" s="47" t="n">
        <x:f>J149*L149</x:f>
        <x:v>5520</x:v>
      </x:c>
      <x:c r="N149" s="47" t="n">
        <x:f>N148+M149</x:f>
        <x:v>440634</x:v>
      </x:c>
      <x:c r="O149" s="46" t="n">
        <x:f>IF(C149="P0",0,IF(D149&lt;=3,0.15,IF(D149&lt;=14,0.25,IF(D149&lt;=45,0.35,0.5))))</x:f>
        <x:v>0.5</x:v>
      </x:c>
      <x:c r="P149" s="47" t="n">
        <x:f>J149*O149</x:f>
        <x:v>9200</x:v>
      </x:c>
      <x:c r="Q149" s="46" t="n">
        <x:f>IF(C149="P0",0,IF(D149&lt;=3,0.05,IF(D149&lt;=14,0.1,IF(D149&lt;=45,0.15,0.2))))</x:f>
        <x:v>0.2</x:v>
      </x:c>
      <x:c r="R149" s="47" t="n">
        <x:f>J149*Q149</x:f>
        <x:v>3680</x:v>
      </x:c>
      <x:c r="S149" s="20" t="str">
        <x:f>IF(D149&lt;E149,"closed",IF(D149&lt;'Paths'!$N$8,"initial","expanded"))</x:f>
        <x:v>expanded</x:v>
      </x:c>
      <x:c r="T149" s="72"/>
    </x:row>
    <x:row r="150">
      <x:c r="C150" s="20" t="str">
        <x:v>P1</x:v>
      </x:c>
      <x:c r="D150" s="20" t="n">
        <x:v>52</x:v>
      </x:c>
      <x:c r="E150" s="45" t="n">
        <x:f>IF('Controls'!$D$7="Reference",'Paths'!$J$8,'Paths'!$K$8)</x:f>
        <x:v>1</x:v>
      </x:c>
      <x:c r="F150" s="47" t="n">
        <x:f>IF(D150&lt;'Paths'!$N$8,IF('Controls'!$D$7="Reference",'Paths'!$L$8,'Paths'!$M$8),IF('Controls'!$D$7="Reference",'Paths'!$O$8,'Paths'!$P$8))</x:f>
        <x:v>20000</x:v>
      </x:c>
      <x:c r="G150" s="46" t="n">
        <x:f>IF('Controls'!$D$7="Reference",1,IF(OR(D150=6,D150=7,D150=21,D150=46),'Paths'!$U$8,1))</x:f>
        <x:v>1</x:v>
      </x:c>
      <x:c r="H150" s="46" t="n">
        <x:f>IF('Controls'!$D$7="Reference",1,IF(OR(AND(D150&gt;=14,D150&lt;=16),AND(D150&gt;=34,D150&lt;=35),AND(D150&gt;=61,D150&lt;=63)),'Paths'!$V$8,1))</x:f>
        <x:v>1</x:v>
      </x:c>
      <x:c r="I150" s="46" t="n">
        <x:f>'Paths'!$W$8</x:f>
        <x:v>0.92</x:v>
      </x:c>
      <x:c r="J150" s="47" t="n">
        <x:f>IF(D150&lt;E150,0,MIN(F150*G150*H150*I150,IF('Paths'!$T$8&gt;0,MAX(0,'Paths'!$T$8-K149),1000000000)))</x:f>
        <x:v>18400</x:v>
      </x:c>
      <x:c r="K150" s="47" t="n">
        <x:f>K149+J150</x:f>
        <x:v>868480</x:v>
      </x:c>
      <x:c r="L150" s="46" t="n">
        <x:f>IF(C150="P0",1,IF(D150&lt;=3,0.8,IF(D150&lt;=14,0.65,IF(D150&lt;=45,0.5,0.3))))</x:f>
        <x:v>0.3</x:v>
      </x:c>
      <x:c r="M150" s="47" t="n">
        <x:f>J150*L150</x:f>
        <x:v>5520</x:v>
      </x:c>
      <x:c r="N150" s="47" t="n">
        <x:f>N149+M150</x:f>
        <x:v>446154</x:v>
      </x:c>
      <x:c r="O150" s="46" t="n">
        <x:f>IF(C150="P0",0,IF(D150&lt;=3,0.15,IF(D150&lt;=14,0.25,IF(D150&lt;=45,0.35,0.5))))</x:f>
        <x:v>0.5</x:v>
      </x:c>
      <x:c r="P150" s="47" t="n">
        <x:f>J150*O150</x:f>
        <x:v>9200</x:v>
      </x:c>
      <x:c r="Q150" s="46" t="n">
        <x:f>IF(C150="P0",0,IF(D150&lt;=3,0.05,IF(D150&lt;=14,0.1,IF(D150&lt;=45,0.15,0.2))))</x:f>
        <x:v>0.2</x:v>
      </x:c>
      <x:c r="R150" s="47" t="n">
        <x:f>J150*Q150</x:f>
        <x:v>3680</x:v>
      </x:c>
      <x:c r="S150" s="20" t="str">
        <x:f>IF(D150&lt;E150,"closed",IF(D150&lt;'Paths'!$N$8,"initial","expanded"))</x:f>
        <x:v>expanded</x:v>
      </x:c>
      <x:c r="T150" s="72"/>
    </x:row>
    <x:row r="151">
      <x:c r="C151" s="20" t="str">
        <x:v>P1</x:v>
      </x:c>
      <x:c r="D151" s="20" t="n">
        <x:v>53</x:v>
      </x:c>
      <x:c r="E151" s="45" t="n">
        <x:f>IF('Controls'!$D$7="Reference",'Paths'!$J$8,'Paths'!$K$8)</x:f>
        <x:v>1</x:v>
      </x:c>
      <x:c r="F151" s="47" t="n">
        <x:f>IF(D151&lt;'Paths'!$N$8,IF('Controls'!$D$7="Reference",'Paths'!$L$8,'Paths'!$M$8),IF('Controls'!$D$7="Reference",'Paths'!$O$8,'Paths'!$P$8))</x:f>
        <x:v>20000</x:v>
      </x:c>
      <x:c r="G151" s="46" t="n">
        <x:f>IF('Controls'!$D$7="Reference",1,IF(OR(D151=6,D151=7,D151=21,D151=46),'Paths'!$U$8,1))</x:f>
        <x:v>1</x:v>
      </x:c>
      <x:c r="H151" s="46" t="n">
        <x:f>IF('Controls'!$D$7="Reference",1,IF(OR(AND(D151&gt;=14,D151&lt;=16),AND(D151&gt;=34,D151&lt;=35),AND(D151&gt;=61,D151&lt;=63)),'Paths'!$V$8,1))</x:f>
        <x:v>1</x:v>
      </x:c>
      <x:c r="I151" s="46" t="n">
        <x:f>'Paths'!$W$8</x:f>
        <x:v>0.92</x:v>
      </x:c>
      <x:c r="J151" s="47" t="n">
        <x:f>IF(D151&lt;E151,0,MIN(F151*G151*H151*I151,IF('Paths'!$T$8&gt;0,MAX(0,'Paths'!$T$8-K150),1000000000)))</x:f>
        <x:v>18400</x:v>
      </x:c>
      <x:c r="K151" s="47" t="n">
        <x:f>K150+J151</x:f>
        <x:v>886880</x:v>
      </x:c>
      <x:c r="L151" s="46" t="n">
        <x:f>IF(C151="P0",1,IF(D151&lt;=3,0.8,IF(D151&lt;=14,0.65,IF(D151&lt;=45,0.5,0.3))))</x:f>
        <x:v>0.3</x:v>
      </x:c>
      <x:c r="M151" s="47" t="n">
        <x:f>J151*L151</x:f>
        <x:v>5520</x:v>
      </x:c>
      <x:c r="N151" s="47" t="n">
        <x:f>N150+M151</x:f>
        <x:v>451674</x:v>
      </x:c>
      <x:c r="O151" s="46" t="n">
        <x:f>IF(C151="P0",0,IF(D151&lt;=3,0.15,IF(D151&lt;=14,0.25,IF(D151&lt;=45,0.35,0.5))))</x:f>
        <x:v>0.5</x:v>
      </x:c>
      <x:c r="P151" s="47" t="n">
        <x:f>J151*O151</x:f>
        <x:v>9200</x:v>
      </x:c>
      <x:c r="Q151" s="46" t="n">
        <x:f>IF(C151="P0",0,IF(D151&lt;=3,0.05,IF(D151&lt;=14,0.1,IF(D151&lt;=45,0.15,0.2))))</x:f>
        <x:v>0.2</x:v>
      </x:c>
      <x:c r="R151" s="47" t="n">
        <x:f>J151*Q151</x:f>
        <x:v>3680</x:v>
      </x:c>
      <x:c r="S151" s="20" t="str">
        <x:f>IF(D151&lt;E151,"closed",IF(D151&lt;'Paths'!$N$8,"initial","expanded"))</x:f>
        <x:v>expanded</x:v>
      </x:c>
      <x:c r="T151" s="72"/>
    </x:row>
    <x:row r="152">
      <x:c r="C152" s="20" t="str">
        <x:v>P1</x:v>
      </x:c>
      <x:c r="D152" s="20" t="n">
        <x:v>54</x:v>
      </x:c>
      <x:c r="E152" s="45" t="n">
        <x:f>IF('Controls'!$D$7="Reference",'Paths'!$J$8,'Paths'!$K$8)</x:f>
        <x:v>1</x:v>
      </x:c>
      <x:c r="F152" s="47" t="n">
        <x:f>IF(D152&lt;'Paths'!$N$8,IF('Controls'!$D$7="Reference",'Paths'!$L$8,'Paths'!$M$8),IF('Controls'!$D$7="Reference",'Paths'!$O$8,'Paths'!$P$8))</x:f>
        <x:v>20000</x:v>
      </x:c>
      <x:c r="G152" s="46" t="n">
        <x:f>IF('Controls'!$D$7="Reference",1,IF(OR(D152=6,D152=7,D152=21,D152=46),'Paths'!$U$8,1))</x:f>
        <x:v>1</x:v>
      </x:c>
      <x:c r="H152" s="46" t="n">
        <x:f>IF('Controls'!$D$7="Reference",1,IF(OR(AND(D152&gt;=14,D152&lt;=16),AND(D152&gt;=34,D152&lt;=35),AND(D152&gt;=61,D152&lt;=63)),'Paths'!$V$8,1))</x:f>
        <x:v>1</x:v>
      </x:c>
      <x:c r="I152" s="46" t="n">
        <x:f>'Paths'!$W$8</x:f>
        <x:v>0.92</x:v>
      </x:c>
      <x:c r="J152" s="47" t="n">
        <x:f>IF(D152&lt;E152,0,MIN(F152*G152*H152*I152,IF('Paths'!$T$8&gt;0,MAX(0,'Paths'!$T$8-K151),1000000000)))</x:f>
        <x:v>18400</x:v>
      </x:c>
      <x:c r="K152" s="47" t="n">
        <x:f>K151+J152</x:f>
        <x:v>905280</x:v>
      </x:c>
      <x:c r="L152" s="46" t="n">
        <x:f>IF(C152="P0",1,IF(D152&lt;=3,0.8,IF(D152&lt;=14,0.65,IF(D152&lt;=45,0.5,0.3))))</x:f>
        <x:v>0.3</x:v>
      </x:c>
      <x:c r="M152" s="47" t="n">
        <x:f>J152*L152</x:f>
        <x:v>5520</x:v>
      </x:c>
      <x:c r="N152" s="47" t="n">
        <x:f>N151+M152</x:f>
        <x:v>457194</x:v>
      </x:c>
      <x:c r="O152" s="46" t="n">
        <x:f>IF(C152="P0",0,IF(D152&lt;=3,0.15,IF(D152&lt;=14,0.25,IF(D152&lt;=45,0.35,0.5))))</x:f>
        <x:v>0.5</x:v>
      </x:c>
      <x:c r="P152" s="47" t="n">
        <x:f>J152*O152</x:f>
        <x:v>9200</x:v>
      </x:c>
      <x:c r="Q152" s="46" t="n">
        <x:f>IF(C152="P0",0,IF(D152&lt;=3,0.05,IF(D152&lt;=14,0.1,IF(D152&lt;=45,0.15,0.2))))</x:f>
        <x:v>0.2</x:v>
      </x:c>
      <x:c r="R152" s="47" t="n">
        <x:f>J152*Q152</x:f>
        <x:v>3680</x:v>
      </x:c>
      <x:c r="S152" s="20" t="str">
        <x:f>IF(D152&lt;E152,"closed",IF(D152&lt;'Paths'!$N$8,"initial","expanded"))</x:f>
        <x:v>expanded</x:v>
      </x:c>
      <x:c r="T152" s="72"/>
    </x:row>
    <x:row r="153">
      <x:c r="C153" s="20" t="str">
        <x:v>P1</x:v>
      </x:c>
      <x:c r="D153" s="20" t="n">
        <x:v>55</x:v>
      </x:c>
      <x:c r="E153" s="45" t="n">
        <x:f>IF('Controls'!$D$7="Reference",'Paths'!$J$8,'Paths'!$K$8)</x:f>
        <x:v>1</x:v>
      </x:c>
      <x:c r="F153" s="47" t="n">
        <x:f>IF(D153&lt;'Paths'!$N$8,IF('Controls'!$D$7="Reference",'Paths'!$L$8,'Paths'!$M$8),IF('Controls'!$D$7="Reference",'Paths'!$O$8,'Paths'!$P$8))</x:f>
        <x:v>20000</x:v>
      </x:c>
      <x:c r="G153" s="46" t="n">
        <x:f>IF('Controls'!$D$7="Reference",1,IF(OR(D153=6,D153=7,D153=21,D153=46),'Paths'!$U$8,1))</x:f>
        <x:v>1</x:v>
      </x:c>
      <x:c r="H153" s="46" t="n">
        <x:f>IF('Controls'!$D$7="Reference",1,IF(OR(AND(D153&gt;=14,D153&lt;=16),AND(D153&gt;=34,D153&lt;=35),AND(D153&gt;=61,D153&lt;=63)),'Paths'!$V$8,1))</x:f>
        <x:v>1</x:v>
      </x:c>
      <x:c r="I153" s="46" t="n">
        <x:f>'Paths'!$W$8</x:f>
        <x:v>0.92</x:v>
      </x:c>
      <x:c r="J153" s="47" t="n">
        <x:f>IF(D153&lt;E153,0,MIN(F153*G153*H153*I153,IF('Paths'!$T$8&gt;0,MAX(0,'Paths'!$T$8-K152),1000000000)))</x:f>
        <x:v>18400</x:v>
      </x:c>
      <x:c r="K153" s="47" t="n">
        <x:f>K152+J153</x:f>
        <x:v>923680</x:v>
      </x:c>
      <x:c r="L153" s="46" t="n">
        <x:f>IF(C153="P0",1,IF(D153&lt;=3,0.8,IF(D153&lt;=14,0.65,IF(D153&lt;=45,0.5,0.3))))</x:f>
        <x:v>0.3</x:v>
      </x:c>
      <x:c r="M153" s="47" t="n">
        <x:f>J153*L153</x:f>
        <x:v>5520</x:v>
      </x:c>
      <x:c r="N153" s="47" t="n">
        <x:f>N152+M153</x:f>
        <x:v>462714</x:v>
      </x:c>
      <x:c r="O153" s="46" t="n">
        <x:f>IF(C153="P0",0,IF(D153&lt;=3,0.15,IF(D153&lt;=14,0.25,IF(D153&lt;=45,0.35,0.5))))</x:f>
        <x:v>0.5</x:v>
      </x:c>
      <x:c r="P153" s="47" t="n">
        <x:f>J153*O153</x:f>
        <x:v>9200</x:v>
      </x:c>
      <x:c r="Q153" s="46" t="n">
        <x:f>IF(C153="P0",0,IF(D153&lt;=3,0.05,IF(D153&lt;=14,0.1,IF(D153&lt;=45,0.15,0.2))))</x:f>
        <x:v>0.2</x:v>
      </x:c>
      <x:c r="R153" s="47" t="n">
        <x:f>J153*Q153</x:f>
        <x:v>3680</x:v>
      </x:c>
      <x:c r="S153" s="20" t="str">
        <x:f>IF(D153&lt;E153,"closed",IF(D153&lt;'Paths'!$N$8,"initial","expanded"))</x:f>
        <x:v>expanded</x:v>
      </x:c>
      <x:c r="T153" s="72"/>
    </x:row>
    <x:row r="154">
      <x:c r="C154" s="20" t="str">
        <x:v>P1</x:v>
      </x:c>
      <x:c r="D154" s="20" t="n">
        <x:v>56</x:v>
      </x:c>
      <x:c r="E154" s="45" t="n">
        <x:f>IF('Controls'!$D$7="Reference",'Paths'!$J$8,'Paths'!$K$8)</x:f>
        <x:v>1</x:v>
      </x:c>
      <x:c r="F154" s="47" t="n">
        <x:f>IF(D154&lt;'Paths'!$N$8,IF('Controls'!$D$7="Reference",'Paths'!$L$8,'Paths'!$M$8),IF('Controls'!$D$7="Reference",'Paths'!$O$8,'Paths'!$P$8))</x:f>
        <x:v>20000</x:v>
      </x:c>
      <x:c r="G154" s="46" t="n">
        <x:f>IF('Controls'!$D$7="Reference",1,IF(OR(D154=6,D154=7,D154=21,D154=46),'Paths'!$U$8,1))</x:f>
        <x:v>1</x:v>
      </x:c>
      <x:c r="H154" s="46" t="n">
        <x:f>IF('Controls'!$D$7="Reference",1,IF(OR(AND(D154&gt;=14,D154&lt;=16),AND(D154&gt;=34,D154&lt;=35),AND(D154&gt;=61,D154&lt;=63)),'Paths'!$V$8,1))</x:f>
        <x:v>1</x:v>
      </x:c>
      <x:c r="I154" s="46" t="n">
        <x:f>'Paths'!$W$8</x:f>
        <x:v>0.92</x:v>
      </x:c>
      <x:c r="J154" s="47" t="n">
        <x:f>IF(D154&lt;E154,0,MIN(F154*G154*H154*I154,IF('Paths'!$T$8&gt;0,MAX(0,'Paths'!$T$8-K153),1000000000)))</x:f>
        <x:v>18400</x:v>
      </x:c>
      <x:c r="K154" s="47" t="n">
        <x:f>K153+J154</x:f>
        <x:v>942080</x:v>
      </x:c>
      <x:c r="L154" s="46" t="n">
        <x:f>IF(C154="P0",1,IF(D154&lt;=3,0.8,IF(D154&lt;=14,0.65,IF(D154&lt;=45,0.5,0.3))))</x:f>
        <x:v>0.3</x:v>
      </x:c>
      <x:c r="M154" s="47" t="n">
        <x:f>J154*L154</x:f>
        <x:v>5520</x:v>
      </x:c>
      <x:c r="N154" s="47" t="n">
        <x:f>N153+M154</x:f>
        <x:v>468234</x:v>
      </x:c>
      <x:c r="O154" s="46" t="n">
        <x:f>IF(C154="P0",0,IF(D154&lt;=3,0.15,IF(D154&lt;=14,0.25,IF(D154&lt;=45,0.35,0.5))))</x:f>
        <x:v>0.5</x:v>
      </x:c>
      <x:c r="P154" s="47" t="n">
        <x:f>J154*O154</x:f>
        <x:v>9200</x:v>
      </x:c>
      <x:c r="Q154" s="46" t="n">
        <x:f>IF(C154="P0",0,IF(D154&lt;=3,0.05,IF(D154&lt;=14,0.1,IF(D154&lt;=45,0.15,0.2))))</x:f>
        <x:v>0.2</x:v>
      </x:c>
      <x:c r="R154" s="47" t="n">
        <x:f>J154*Q154</x:f>
        <x:v>3680</x:v>
      </x:c>
      <x:c r="S154" s="20" t="str">
        <x:f>IF(D154&lt;E154,"closed",IF(D154&lt;'Paths'!$N$8,"initial","expanded"))</x:f>
        <x:v>expanded</x:v>
      </x:c>
      <x:c r="T154" s="72"/>
    </x:row>
    <x:row r="155">
      <x:c r="C155" s="20" t="str">
        <x:v>P1</x:v>
      </x:c>
      <x:c r="D155" s="20" t="n">
        <x:v>57</x:v>
      </x:c>
      <x:c r="E155" s="45" t="n">
        <x:f>IF('Controls'!$D$7="Reference",'Paths'!$J$8,'Paths'!$K$8)</x:f>
        <x:v>1</x:v>
      </x:c>
      <x:c r="F155" s="47" t="n">
        <x:f>IF(D155&lt;'Paths'!$N$8,IF('Controls'!$D$7="Reference",'Paths'!$L$8,'Paths'!$M$8),IF('Controls'!$D$7="Reference",'Paths'!$O$8,'Paths'!$P$8))</x:f>
        <x:v>20000</x:v>
      </x:c>
      <x:c r="G155" s="46" t="n">
        <x:f>IF('Controls'!$D$7="Reference",1,IF(OR(D155=6,D155=7,D155=21,D155=46),'Paths'!$U$8,1))</x:f>
        <x:v>1</x:v>
      </x:c>
      <x:c r="H155" s="46" t="n">
        <x:f>IF('Controls'!$D$7="Reference",1,IF(OR(AND(D155&gt;=14,D155&lt;=16),AND(D155&gt;=34,D155&lt;=35),AND(D155&gt;=61,D155&lt;=63)),'Paths'!$V$8,1))</x:f>
        <x:v>1</x:v>
      </x:c>
      <x:c r="I155" s="46" t="n">
        <x:f>'Paths'!$W$8</x:f>
        <x:v>0.92</x:v>
      </x:c>
      <x:c r="J155" s="47" t="n">
        <x:f>IF(D155&lt;E155,0,MIN(F155*G155*H155*I155,IF('Paths'!$T$8&gt;0,MAX(0,'Paths'!$T$8-K154),1000000000)))</x:f>
        <x:v>18400</x:v>
      </x:c>
      <x:c r="K155" s="47" t="n">
        <x:f>K154+J155</x:f>
        <x:v>960480</x:v>
      </x:c>
      <x:c r="L155" s="46" t="n">
        <x:f>IF(C155="P0",1,IF(D155&lt;=3,0.8,IF(D155&lt;=14,0.65,IF(D155&lt;=45,0.5,0.3))))</x:f>
        <x:v>0.3</x:v>
      </x:c>
      <x:c r="M155" s="47" t="n">
        <x:f>J155*L155</x:f>
        <x:v>5520</x:v>
      </x:c>
      <x:c r="N155" s="47" t="n">
        <x:f>N154+M155</x:f>
        <x:v>473754</x:v>
      </x:c>
      <x:c r="O155" s="46" t="n">
        <x:f>IF(C155="P0",0,IF(D155&lt;=3,0.15,IF(D155&lt;=14,0.25,IF(D155&lt;=45,0.35,0.5))))</x:f>
        <x:v>0.5</x:v>
      </x:c>
      <x:c r="P155" s="47" t="n">
        <x:f>J155*O155</x:f>
        <x:v>9200</x:v>
      </x:c>
      <x:c r="Q155" s="46" t="n">
        <x:f>IF(C155="P0",0,IF(D155&lt;=3,0.05,IF(D155&lt;=14,0.1,IF(D155&lt;=45,0.15,0.2))))</x:f>
        <x:v>0.2</x:v>
      </x:c>
      <x:c r="R155" s="47" t="n">
        <x:f>J155*Q155</x:f>
        <x:v>3680</x:v>
      </x:c>
      <x:c r="S155" s="20" t="str">
        <x:f>IF(D155&lt;E155,"closed",IF(D155&lt;'Paths'!$N$8,"initial","expanded"))</x:f>
        <x:v>expanded</x:v>
      </x:c>
      <x:c r="T155" s="72"/>
    </x:row>
    <x:row r="156">
      <x:c r="C156" s="20" t="str">
        <x:v>P1</x:v>
      </x:c>
      <x:c r="D156" s="20" t="n">
        <x:v>58</x:v>
      </x:c>
      <x:c r="E156" s="45" t="n">
        <x:f>IF('Controls'!$D$7="Reference",'Paths'!$J$8,'Paths'!$K$8)</x:f>
        <x:v>1</x:v>
      </x:c>
      <x:c r="F156" s="47" t="n">
        <x:f>IF(D156&lt;'Paths'!$N$8,IF('Controls'!$D$7="Reference",'Paths'!$L$8,'Paths'!$M$8),IF('Controls'!$D$7="Reference",'Paths'!$O$8,'Paths'!$P$8))</x:f>
        <x:v>20000</x:v>
      </x:c>
      <x:c r="G156" s="46" t="n">
        <x:f>IF('Controls'!$D$7="Reference",1,IF(OR(D156=6,D156=7,D156=21,D156=46),'Paths'!$U$8,1))</x:f>
        <x:v>1</x:v>
      </x:c>
      <x:c r="H156" s="46" t="n">
        <x:f>IF('Controls'!$D$7="Reference",1,IF(OR(AND(D156&gt;=14,D156&lt;=16),AND(D156&gt;=34,D156&lt;=35),AND(D156&gt;=61,D156&lt;=63)),'Paths'!$V$8,1))</x:f>
        <x:v>1</x:v>
      </x:c>
      <x:c r="I156" s="46" t="n">
        <x:f>'Paths'!$W$8</x:f>
        <x:v>0.92</x:v>
      </x:c>
      <x:c r="J156" s="47" t="n">
        <x:f>IF(D156&lt;E156,0,MIN(F156*G156*H156*I156,IF('Paths'!$T$8&gt;0,MAX(0,'Paths'!$T$8-K155),1000000000)))</x:f>
        <x:v>18400</x:v>
      </x:c>
      <x:c r="K156" s="47" t="n">
        <x:f>K155+J156</x:f>
        <x:v>978880</x:v>
      </x:c>
      <x:c r="L156" s="46" t="n">
        <x:f>IF(C156="P0",1,IF(D156&lt;=3,0.8,IF(D156&lt;=14,0.65,IF(D156&lt;=45,0.5,0.3))))</x:f>
        <x:v>0.3</x:v>
      </x:c>
      <x:c r="M156" s="47" t="n">
        <x:f>J156*L156</x:f>
        <x:v>5520</x:v>
      </x:c>
      <x:c r="N156" s="47" t="n">
        <x:f>N155+M156</x:f>
        <x:v>479274</x:v>
      </x:c>
      <x:c r="O156" s="46" t="n">
        <x:f>IF(C156="P0",0,IF(D156&lt;=3,0.15,IF(D156&lt;=14,0.25,IF(D156&lt;=45,0.35,0.5))))</x:f>
        <x:v>0.5</x:v>
      </x:c>
      <x:c r="P156" s="47" t="n">
        <x:f>J156*O156</x:f>
        <x:v>9200</x:v>
      </x:c>
      <x:c r="Q156" s="46" t="n">
        <x:f>IF(C156="P0",0,IF(D156&lt;=3,0.05,IF(D156&lt;=14,0.1,IF(D156&lt;=45,0.15,0.2))))</x:f>
        <x:v>0.2</x:v>
      </x:c>
      <x:c r="R156" s="47" t="n">
        <x:f>J156*Q156</x:f>
        <x:v>3680</x:v>
      </x:c>
      <x:c r="S156" s="20" t="str">
        <x:f>IF(D156&lt;E156,"closed",IF(D156&lt;'Paths'!$N$8,"initial","expanded"))</x:f>
        <x:v>expanded</x:v>
      </x:c>
      <x:c r="T156" s="72"/>
    </x:row>
    <x:row r="157">
      <x:c r="C157" s="20" t="str">
        <x:v>P1</x:v>
      </x:c>
      <x:c r="D157" s="20" t="n">
        <x:v>59</x:v>
      </x:c>
      <x:c r="E157" s="45" t="n">
        <x:f>IF('Controls'!$D$7="Reference",'Paths'!$J$8,'Paths'!$K$8)</x:f>
        <x:v>1</x:v>
      </x:c>
      <x:c r="F157" s="47" t="n">
        <x:f>IF(D157&lt;'Paths'!$N$8,IF('Controls'!$D$7="Reference",'Paths'!$L$8,'Paths'!$M$8),IF('Controls'!$D$7="Reference",'Paths'!$O$8,'Paths'!$P$8))</x:f>
        <x:v>20000</x:v>
      </x:c>
      <x:c r="G157" s="46" t="n">
        <x:f>IF('Controls'!$D$7="Reference",1,IF(OR(D157=6,D157=7,D157=21,D157=46),'Paths'!$U$8,1))</x:f>
        <x:v>1</x:v>
      </x:c>
      <x:c r="H157" s="46" t="n">
        <x:f>IF('Controls'!$D$7="Reference",1,IF(OR(AND(D157&gt;=14,D157&lt;=16),AND(D157&gt;=34,D157&lt;=35),AND(D157&gt;=61,D157&lt;=63)),'Paths'!$V$8,1))</x:f>
        <x:v>1</x:v>
      </x:c>
      <x:c r="I157" s="46" t="n">
        <x:f>'Paths'!$W$8</x:f>
        <x:v>0.92</x:v>
      </x:c>
      <x:c r="J157" s="47" t="n">
        <x:f>IF(D157&lt;E157,0,MIN(F157*G157*H157*I157,IF('Paths'!$T$8&gt;0,MAX(0,'Paths'!$T$8-K156),1000000000)))</x:f>
        <x:v>18400</x:v>
      </x:c>
      <x:c r="K157" s="47" t="n">
        <x:f>K156+J157</x:f>
        <x:v>997280</x:v>
      </x:c>
      <x:c r="L157" s="46" t="n">
        <x:f>IF(C157="P0",1,IF(D157&lt;=3,0.8,IF(D157&lt;=14,0.65,IF(D157&lt;=45,0.5,0.3))))</x:f>
        <x:v>0.3</x:v>
      </x:c>
      <x:c r="M157" s="47" t="n">
        <x:f>J157*L157</x:f>
        <x:v>5520</x:v>
      </x:c>
      <x:c r="N157" s="47" t="n">
        <x:f>N156+M157</x:f>
        <x:v>484794</x:v>
      </x:c>
      <x:c r="O157" s="46" t="n">
        <x:f>IF(C157="P0",0,IF(D157&lt;=3,0.15,IF(D157&lt;=14,0.25,IF(D157&lt;=45,0.35,0.5))))</x:f>
        <x:v>0.5</x:v>
      </x:c>
      <x:c r="P157" s="47" t="n">
        <x:f>J157*O157</x:f>
        <x:v>9200</x:v>
      </x:c>
      <x:c r="Q157" s="46" t="n">
        <x:f>IF(C157="P0",0,IF(D157&lt;=3,0.05,IF(D157&lt;=14,0.1,IF(D157&lt;=45,0.15,0.2))))</x:f>
        <x:v>0.2</x:v>
      </x:c>
      <x:c r="R157" s="47" t="n">
        <x:f>J157*Q157</x:f>
        <x:v>3680</x:v>
      </x:c>
      <x:c r="S157" s="20" t="str">
        <x:f>IF(D157&lt;E157,"closed",IF(D157&lt;'Paths'!$N$8,"initial","expanded"))</x:f>
        <x:v>expanded</x:v>
      </x:c>
      <x:c r="T157" s="72"/>
    </x:row>
    <x:row r="158">
      <x:c r="C158" s="20" t="str">
        <x:v>P1</x:v>
      </x:c>
      <x:c r="D158" s="20" t="n">
        <x:v>60</x:v>
      </x:c>
      <x:c r="E158" s="45" t="n">
        <x:f>IF('Controls'!$D$7="Reference",'Paths'!$J$8,'Paths'!$K$8)</x:f>
        <x:v>1</x:v>
      </x:c>
      <x:c r="F158" s="47" t="n">
        <x:f>IF(D158&lt;'Paths'!$N$8,IF('Controls'!$D$7="Reference",'Paths'!$L$8,'Paths'!$M$8),IF('Controls'!$D$7="Reference",'Paths'!$O$8,'Paths'!$P$8))</x:f>
        <x:v>20000</x:v>
      </x:c>
      <x:c r="G158" s="46" t="n">
        <x:f>IF('Controls'!$D$7="Reference",1,IF(OR(D158=6,D158=7,D158=21,D158=46),'Paths'!$U$8,1))</x:f>
        <x:v>1</x:v>
      </x:c>
      <x:c r="H158" s="46" t="n">
        <x:f>IF('Controls'!$D$7="Reference",1,IF(OR(AND(D158&gt;=14,D158&lt;=16),AND(D158&gt;=34,D158&lt;=35),AND(D158&gt;=61,D158&lt;=63)),'Paths'!$V$8,1))</x:f>
        <x:v>1</x:v>
      </x:c>
      <x:c r="I158" s="46" t="n">
        <x:f>'Paths'!$W$8</x:f>
        <x:v>0.92</x:v>
      </x:c>
      <x:c r="J158" s="47" t="n">
        <x:f>IF(D158&lt;E158,0,MIN(F158*G158*H158*I158,IF('Paths'!$T$8&gt;0,MAX(0,'Paths'!$T$8-K157),1000000000)))</x:f>
        <x:v>18400</x:v>
      </x:c>
      <x:c r="K158" s="47" t="n">
        <x:f>K157+J158</x:f>
        <x:v>1015680</x:v>
      </x:c>
      <x:c r="L158" s="46" t="n">
        <x:f>IF(C158="P0",1,IF(D158&lt;=3,0.8,IF(D158&lt;=14,0.65,IF(D158&lt;=45,0.5,0.3))))</x:f>
        <x:v>0.3</x:v>
      </x:c>
      <x:c r="M158" s="47" t="n">
        <x:f>J158*L158</x:f>
        <x:v>5520</x:v>
      </x:c>
      <x:c r="N158" s="47" t="n">
        <x:f>N157+M158</x:f>
        <x:v>490314</x:v>
      </x:c>
      <x:c r="O158" s="46" t="n">
        <x:f>IF(C158="P0",0,IF(D158&lt;=3,0.15,IF(D158&lt;=14,0.25,IF(D158&lt;=45,0.35,0.5))))</x:f>
        <x:v>0.5</x:v>
      </x:c>
      <x:c r="P158" s="47" t="n">
        <x:f>J158*O158</x:f>
        <x:v>9200</x:v>
      </x:c>
      <x:c r="Q158" s="46" t="n">
        <x:f>IF(C158="P0",0,IF(D158&lt;=3,0.05,IF(D158&lt;=14,0.1,IF(D158&lt;=45,0.15,0.2))))</x:f>
        <x:v>0.2</x:v>
      </x:c>
      <x:c r="R158" s="47" t="n">
        <x:f>J158*Q158</x:f>
        <x:v>3680</x:v>
      </x:c>
      <x:c r="S158" s="20" t="str">
        <x:f>IF(D158&lt;E158,"closed",IF(D158&lt;'Paths'!$N$8,"initial","expanded"))</x:f>
        <x:v>expanded</x:v>
      </x:c>
      <x:c r="T158" s="72"/>
    </x:row>
    <x:row r="159">
      <x:c r="C159" s="20" t="str">
        <x:v>P1</x:v>
      </x:c>
      <x:c r="D159" s="20" t="n">
        <x:v>61</x:v>
      </x:c>
      <x:c r="E159" s="45" t="n">
        <x:f>IF('Controls'!$D$7="Reference",'Paths'!$J$8,'Paths'!$K$8)</x:f>
        <x:v>1</x:v>
      </x:c>
      <x:c r="F159" s="47" t="n">
        <x:f>IF(D159&lt;'Paths'!$N$8,IF('Controls'!$D$7="Reference",'Paths'!$L$8,'Paths'!$M$8),IF('Controls'!$D$7="Reference",'Paths'!$O$8,'Paths'!$P$8))</x:f>
        <x:v>20000</x:v>
      </x:c>
      <x:c r="G159" s="46" t="n">
        <x:f>IF('Controls'!$D$7="Reference",1,IF(OR(D159=6,D159=7,D159=21,D159=46),'Paths'!$U$8,1))</x:f>
        <x:v>1</x:v>
      </x:c>
      <x:c r="H159" s="46" t="n">
        <x:f>IF('Controls'!$D$7="Reference",1,IF(OR(AND(D159&gt;=14,D159&lt;=16),AND(D159&gt;=34,D159&lt;=35),AND(D159&gt;=61,D159&lt;=63)),'Paths'!$V$8,1))</x:f>
        <x:v>0.7</x:v>
      </x:c>
      <x:c r="I159" s="46" t="n">
        <x:f>'Paths'!$W$8</x:f>
        <x:v>0.92</x:v>
      </x:c>
      <x:c r="J159" s="47" t="n">
        <x:f>IF(D159&lt;E159,0,MIN(F159*G159*H159*I159,IF('Paths'!$T$8&gt;0,MAX(0,'Paths'!$T$8-K158),1000000000)))</x:f>
        <x:v>12880</x:v>
      </x:c>
      <x:c r="K159" s="47" t="n">
        <x:f>K158+J159</x:f>
        <x:v>1028560</x:v>
      </x:c>
      <x:c r="L159" s="46" t="n">
        <x:f>IF(C159="P0",1,IF(D159&lt;=3,0.8,IF(D159&lt;=14,0.65,IF(D159&lt;=45,0.5,0.3))))</x:f>
        <x:v>0.3</x:v>
      </x:c>
      <x:c r="M159" s="47" t="n">
        <x:f>J159*L159</x:f>
        <x:v>3864</x:v>
      </x:c>
      <x:c r="N159" s="47" t="n">
        <x:f>N158+M159</x:f>
        <x:v>494178</x:v>
      </x:c>
      <x:c r="O159" s="46" t="n">
        <x:f>IF(C159="P0",0,IF(D159&lt;=3,0.15,IF(D159&lt;=14,0.25,IF(D159&lt;=45,0.35,0.5))))</x:f>
        <x:v>0.5</x:v>
      </x:c>
      <x:c r="P159" s="47" t="n">
        <x:f>J159*O159</x:f>
        <x:v>6440</x:v>
      </x:c>
      <x:c r="Q159" s="46" t="n">
        <x:f>IF(C159="P0",0,IF(D159&lt;=3,0.05,IF(D159&lt;=14,0.1,IF(D159&lt;=45,0.15,0.2))))</x:f>
        <x:v>0.2</x:v>
      </x:c>
      <x:c r="R159" s="47" t="n">
        <x:f>J159*Q159</x:f>
        <x:v>2576</x:v>
      </x:c>
      <x:c r="S159" s="20" t="str">
        <x:f>IF(D159&lt;E159,"closed",IF(D159&lt;'Paths'!$N$8,"initial","expanded"))</x:f>
        <x:v>expanded</x:v>
      </x:c>
      <x:c r="T159" s="72"/>
    </x:row>
    <x:row r="160">
      <x:c r="C160" s="20" t="str">
        <x:v>P1</x:v>
      </x:c>
      <x:c r="D160" s="20" t="n">
        <x:v>62</x:v>
      </x:c>
      <x:c r="E160" s="45" t="n">
        <x:f>IF('Controls'!$D$7="Reference",'Paths'!$J$8,'Paths'!$K$8)</x:f>
        <x:v>1</x:v>
      </x:c>
      <x:c r="F160" s="47" t="n">
        <x:f>IF(D160&lt;'Paths'!$N$8,IF('Controls'!$D$7="Reference",'Paths'!$L$8,'Paths'!$M$8),IF('Controls'!$D$7="Reference",'Paths'!$O$8,'Paths'!$P$8))</x:f>
        <x:v>20000</x:v>
      </x:c>
      <x:c r="G160" s="46" t="n">
        <x:f>IF('Controls'!$D$7="Reference",1,IF(OR(D160=6,D160=7,D160=21,D160=46),'Paths'!$U$8,1))</x:f>
        <x:v>1</x:v>
      </x:c>
      <x:c r="H160" s="46" t="n">
        <x:f>IF('Controls'!$D$7="Reference",1,IF(OR(AND(D160&gt;=14,D160&lt;=16),AND(D160&gt;=34,D160&lt;=35),AND(D160&gt;=61,D160&lt;=63)),'Paths'!$V$8,1))</x:f>
        <x:v>0.7</x:v>
      </x:c>
      <x:c r="I160" s="46" t="n">
        <x:f>'Paths'!$W$8</x:f>
        <x:v>0.92</x:v>
      </x:c>
      <x:c r="J160" s="47" t="n">
        <x:f>IF(D160&lt;E160,0,MIN(F160*G160*H160*I160,IF('Paths'!$T$8&gt;0,MAX(0,'Paths'!$T$8-K159),1000000000)))</x:f>
        <x:v>12880</x:v>
      </x:c>
      <x:c r="K160" s="47" t="n">
        <x:f>K159+J160</x:f>
        <x:v>1041440</x:v>
      </x:c>
      <x:c r="L160" s="46" t="n">
        <x:f>IF(C160="P0",1,IF(D160&lt;=3,0.8,IF(D160&lt;=14,0.65,IF(D160&lt;=45,0.5,0.3))))</x:f>
        <x:v>0.3</x:v>
      </x:c>
      <x:c r="M160" s="47" t="n">
        <x:f>J160*L160</x:f>
        <x:v>3864</x:v>
      </x:c>
      <x:c r="N160" s="47" t="n">
        <x:f>N159+M160</x:f>
        <x:v>498042</x:v>
      </x:c>
      <x:c r="O160" s="46" t="n">
        <x:f>IF(C160="P0",0,IF(D160&lt;=3,0.15,IF(D160&lt;=14,0.25,IF(D160&lt;=45,0.35,0.5))))</x:f>
        <x:v>0.5</x:v>
      </x:c>
      <x:c r="P160" s="47" t="n">
        <x:f>J160*O160</x:f>
        <x:v>6440</x:v>
      </x:c>
      <x:c r="Q160" s="46" t="n">
        <x:f>IF(C160="P0",0,IF(D160&lt;=3,0.05,IF(D160&lt;=14,0.1,IF(D160&lt;=45,0.15,0.2))))</x:f>
        <x:v>0.2</x:v>
      </x:c>
      <x:c r="R160" s="47" t="n">
        <x:f>J160*Q160</x:f>
        <x:v>2576</x:v>
      </x:c>
      <x:c r="S160" s="20" t="str">
        <x:f>IF(D160&lt;E160,"closed",IF(D160&lt;'Paths'!$N$8,"initial","expanded"))</x:f>
        <x:v>expanded</x:v>
      </x:c>
      <x:c r="T160" s="72"/>
    </x:row>
    <x:row r="161">
      <x:c r="C161" s="20" t="str">
        <x:v>P1</x:v>
      </x:c>
      <x:c r="D161" s="20" t="n">
        <x:v>63</x:v>
      </x:c>
      <x:c r="E161" s="45" t="n">
        <x:f>IF('Controls'!$D$7="Reference",'Paths'!$J$8,'Paths'!$K$8)</x:f>
        <x:v>1</x:v>
      </x:c>
      <x:c r="F161" s="47" t="n">
        <x:f>IF(D161&lt;'Paths'!$N$8,IF('Controls'!$D$7="Reference",'Paths'!$L$8,'Paths'!$M$8),IF('Controls'!$D$7="Reference",'Paths'!$O$8,'Paths'!$P$8))</x:f>
        <x:v>20000</x:v>
      </x:c>
      <x:c r="G161" s="46" t="n">
        <x:f>IF('Controls'!$D$7="Reference",1,IF(OR(D161=6,D161=7,D161=21,D161=46),'Paths'!$U$8,1))</x:f>
        <x:v>1</x:v>
      </x:c>
      <x:c r="H161" s="46" t="n">
        <x:f>IF('Controls'!$D$7="Reference",1,IF(OR(AND(D161&gt;=14,D161&lt;=16),AND(D161&gt;=34,D161&lt;=35),AND(D161&gt;=61,D161&lt;=63)),'Paths'!$V$8,1))</x:f>
        <x:v>0.7</x:v>
      </x:c>
      <x:c r="I161" s="46" t="n">
        <x:f>'Paths'!$W$8</x:f>
        <x:v>0.92</x:v>
      </x:c>
      <x:c r="J161" s="47" t="n">
        <x:f>IF(D161&lt;E161,0,MIN(F161*G161*H161*I161,IF('Paths'!$T$8&gt;0,MAX(0,'Paths'!$T$8-K160),1000000000)))</x:f>
        <x:v>12880</x:v>
      </x:c>
      <x:c r="K161" s="47" t="n">
        <x:f>K160+J161</x:f>
        <x:v>1054320</x:v>
      </x:c>
      <x:c r="L161" s="46" t="n">
        <x:f>IF(C161="P0",1,IF(D161&lt;=3,0.8,IF(D161&lt;=14,0.65,IF(D161&lt;=45,0.5,0.3))))</x:f>
        <x:v>0.3</x:v>
      </x:c>
      <x:c r="M161" s="47" t="n">
        <x:f>J161*L161</x:f>
        <x:v>3864</x:v>
      </x:c>
      <x:c r="N161" s="47" t="n">
        <x:f>N160+M161</x:f>
        <x:v>501906</x:v>
      </x:c>
      <x:c r="O161" s="46" t="n">
        <x:f>IF(C161="P0",0,IF(D161&lt;=3,0.15,IF(D161&lt;=14,0.25,IF(D161&lt;=45,0.35,0.5))))</x:f>
        <x:v>0.5</x:v>
      </x:c>
      <x:c r="P161" s="47" t="n">
        <x:f>J161*O161</x:f>
        <x:v>6440</x:v>
      </x:c>
      <x:c r="Q161" s="46" t="n">
        <x:f>IF(C161="P0",0,IF(D161&lt;=3,0.05,IF(D161&lt;=14,0.1,IF(D161&lt;=45,0.15,0.2))))</x:f>
        <x:v>0.2</x:v>
      </x:c>
      <x:c r="R161" s="47" t="n">
        <x:f>J161*Q161</x:f>
        <x:v>2576</x:v>
      </x:c>
      <x:c r="S161" s="20" t="str">
        <x:f>IF(D161&lt;E161,"closed",IF(D161&lt;'Paths'!$N$8,"initial","expanded"))</x:f>
        <x:v>expanded</x:v>
      </x:c>
      <x:c r="T161" s="72"/>
    </x:row>
    <x:row r="162">
      <x:c r="C162" s="20" t="str">
        <x:v>P1</x:v>
      </x:c>
      <x:c r="D162" s="20" t="n">
        <x:v>64</x:v>
      </x:c>
      <x:c r="E162" s="45" t="n">
        <x:f>IF('Controls'!$D$7="Reference",'Paths'!$J$8,'Paths'!$K$8)</x:f>
        <x:v>1</x:v>
      </x:c>
      <x:c r="F162" s="47" t="n">
        <x:f>IF(D162&lt;'Paths'!$N$8,IF('Controls'!$D$7="Reference",'Paths'!$L$8,'Paths'!$M$8),IF('Controls'!$D$7="Reference",'Paths'!$O$8,'Paths'!$P$8))</x:f>
        <x:v>20000</x:v>
      </x:c>
      <x:c r="G162" s="46" t="n">
        <x:f>IF('Controls'!$D$7="Reference",1,IF(OR(D162=6,D162=7,D162=21,D162=46),'Paths'!$U$8,1))</x:f>
        <x:v>1</x:v>
      </x:c>
      <x:c r="H162" s="46" t="n">
        <x:f>IF('Controls'!$D$7="Reference",1,IF(OR(AND(D162&gt;=14,D162&lt;=16),AND(D162&gt;=34,D162&lt;=35),AND(D162&gt;=61,D162&lt;=63)),'Paths'!$V$8,1))</x:f>
        <x:v>1</x:v>
      </x:c>
      <x:c r="I162" s="46" t="n">
        <x:f>'Paths'!$W$8</x:f>
        <x:v>0.92</x:v>
      </x:c>
      <x:c r="J162" s="47" t="n">
        <x:f>IF(D162&lt;E162,0,MIN(F162*G162*H162*I162,IF('Paths'!$T$8&gt;0,MAX(0,'Paths'!$T$8-K161),1000000000)))</x:f>
        <x:v>18400</x:v>
      </x:c>
      <x:c r="K162" s="47" t="n">
        <x:f>K161+J162</x:f>
        <x:v>1072720</x:v>
      </x:c>
      <x:c r="L162" s="46" t="n">
        <x:f>IF(C162="P0",1,IF(D162&lt;=3,0.8,IF(D162&lt;=14,0.65,IF(D162&lt;=45,0.5,0.3))))</x:f>
        <x:v>0.3</x:v>
      </x:c>
      <x:c r="M162" s="47" t="n">
        <x:f>J162*L162</x:f>
        <x:v>5520</x:v>
      </x:c>
      <x:c r="N162" s="47" t="n">
        <x:f>N161+M162</x:f>
        <x:v>507426</x:v>
      </x:c>
      <x:c r="O162" s="46" t="n">
        <x:f>IF(C162="P0",0,IF(D162&lt;=3,0.15,IF(D162&lt;=14,0.25,IF(D162&lt;=45,0.35,0.5))))</x:f>
        <x:v>0.5</x:v>
      </x:c>
      <x:c r="P162" s="47" t="n">
        <x:f>J162*O162</x:f>
        <x:v>9200</x:v>
      </x:c>
      <x:c r="Q162" s="46" t="n">
        <x:f>IF(C162="P0",0,IF(D162&lt;=3,0.05,IF(D162&lt;=14,0.1,IF(D162&lt;=45,0.15,0.2))))</x:f>
        <x:v>0.2</x:v>
      </x:c>
      <x:c r="R162" s="47" t="n">
        <x:f>J162*Q162</x:f>
        <x:v>3680</x:v>
      </x:c>
      <x:c r="S162" s="20" t="str">
        <x:f>IF(D162&lt;E162,"closed",IF(D162&lt;'Paths'!$N$8,"initial","expanded"))</x:f>
        <x:v>expanded</x:v>
      </x:c>
      <x:c r="T162" s="72"/>
    </x:row>
    <x:row r="163">
      <x:c r="C163" s="20" t="str">
        <x:v>P1</x:v>
      </x:c>
      <x:c r="D163" s="20" t="n">
        <x:v>65</x:v>
      </x:c>
      <x:c r="E163" s="45" t="n">
        <x:f>IF('Controls'!$D$7="Reference",'Paths'!$J$8,'Paths'!$K$8)</x:f>
        <x:v>1</x:v>
      </x:c>
      <x:c r="F163" s="47" t="n">
        <x:f>IF(D163&lt;'Paths'!$N$8,IF('Controls'!$D$7="Reference",'Paths'!$L$8,'Paths'!$M$8),IF('Controls'!$D$7="Reference",'Paths'!$O$8,'Paths'!$P$8))</x:f>
        <x:v>20000</x:v>
      </x:c>
      <x:c r="G163" s="46" t="n">
        <x:f>IF('Controls'!$D$7="Reference",1,IF(OR(D163=6,D163=7,D163=21,D163=46),'Paths'!$U$8,1))</x:f>
        <x:v>1</x:v>
      </x:c>
      <x:c r="H163" s="46" t="n">
        <x:f>IF('Controls'!$D$7="Reference",1,IF(OR(AND(D163&gt;=14,D163&lt;=16),AND(D163&gt;=34,D163&lt;=35),AND(D163&gt;=61,D163&lt;=63)),'Paths'!$V$8,1))</x:f>
        <x:v>1</x:v>
      </x:c>
      <x:c r="I163" s="46" t="n">
        <x:f>'Paths'!$W$8</x:f>
        <x:v>0.92</x:v>
      </x:c>
      <x:c r="J163" s="47" t="n">
        <x:f>IF(D163&lt;E163,0,MIN(F163*G163*H163*I163,IF('Paths'!$T$8&gt;0,MAX(0,'Paths'!$T$8-K162),1000000000)))</x:f>
        <x:v>18400</x:v>
      </x:c>
      <x:c r="K163" s="47" t="n">
        <x:f>K162+J163</x:f>
        <x:v>1091120</x:v>
      </x:c>
      <x:c r="L163" s="46" t="n">
        <x:f>IF(C163="P0",1,IF(D163&lt;=3,0.8,IF(D163&lt;=14,0.65,IF(D163&lt;=45,0.5,0.3))))</x:f>
        <x:v>0.3</x:v>
      </x:c>
      <x:c r="M163" s="47" t="n">
        <x:f>J163*L163</x:f>
        <x:v>5520</x:v>
      </x:c>
      <x:c r="N163" s="47" t="n">
        <x:f>N162+M163</x:f>
        <x:v>512946</x:v>
      </x:c>
      <x:c r="O163" s="46" t="n">
        <x:f>IF(C163="P0",0,IF(D163&lt;=3,0.15,IF(D163&lt;=14,0.25,IF(D163&lt;=45,0.35,0.5))))</x:f>
        <x:v>0.5</x:v>
      </x:c>
      <x:c r="P163" s="47" t="n">
        <x:f>J163*O163</x:f>
        <x:v>9200</x:v>
      </x:c>
      <x:c r="Q163" s="46" t="n">
        <x:f>IF(C163="P0",0,IF(D163&lt;=3,0.05,IF(D163&lt;=14,0.1,IF(D163&lt;=45,0.15,0.2))))</x:f>
        <x:v>0.2</x:v>
      </x:c>
      <x:c r="R163" s="47" t="n">
        <x:f>J163*Q163</x:f>
        <x:v>3680</x:v>
      </x:c>
      <x:c r="S163" s="20" t="str">
        <x:f>IF(D163&lt;E163,"closed",IF(D163&lt;'Paths'!$N$8,"initial","expanded"))</x:f>
        <x:v>expanded</x:v>
      </x:c>
      <x:c r="T163" s="72"/>
    </x:row>
    <x:row r="164">
      <x:c r="C164" s="20" t="str">
        <x:v>P1</x:v>
      </x:c>
      <x:c r="D164" s="20" t="n">
        <x:v>66</x:v>
      </x:c>
      <x:c r="E164" s="45" t="n">
        <x:f>IF('Controls'!$D$7="Reference",'Paths'!$J$8,'Paths'!$K$8)</x:f>
        <x:v>1</x:v>
      </x:c>
      <x:c r="F164" s="47" t="n">
        <x:f>IF(D164&lt;'Paths'!$N$8,IF('Controls'!$D$7="Reference",'Paths'!$L$8,'Paths'!$M$8),IF('Controls'!$D$7="Reference",'Paths'!$O$8,'Paths'!$P$8))</x:f>
        <x:v>20000</x:v>
      </x:c>
      <x:c r="G164" s="46" t="n">
        <x:f>IF('Controls'!$D$7="Reference",1,IF(OR(D164=6,D164=7,D164=21,D164=46),'Paths'!$U$8,1))</x:f>
        <x:v>1</x:v>
      </x:c>
      <x:c r="H164" s="46" t="n">
        <x:f>IF('Controls'!$D$7="Reference",1,IF(OR(AND(D164&gt;=14,D164&lt;=16),AND(D164&gt;=34,D164&lt;=35),AND(D164&gt;=61,D164&lt;=63)),'Paths'!$V$8,1))</x:f>
        <x:v>1</x:v>
      </x:c>
      <x:c r="I164" s="46" t="n">
        <x:f>'Paths'!$W$8</x:f>
        <x:v>0.92</x:v>
      </x:c>
      <x:c r="J164" s="47" t="n">
        <x:f>IF(D164&lt;E164,0,MIN(F164*G164*H164*I164,IF('Paths'!$T$8&gt;0,MAX(0,'Paths'!$T$8-K163),1000000000)))</x:f>
        <x:v>18400</x:v>
      </x:c>
      <x:c r="K164" s="47" t="n">
        <x:f>K163+J164</x:f>
        <x:v>1109520</x:v>
      </x:c>
      <x:c r="L164" s="46" t="n">
        <x:f>IF(C164="P0",1,IF(D164&lt;=3,0.8,IF(D164&lt;=14,0.65,IF(D164&lt;=45,0.5,0.3))))</x:f>
        <x:v>0.3</x:v>
      </x:c>
      <x:c r="M164" s="47" t="n">
        <x:f>J164*L164</x:f>
        <x:v>5520</x:v>
      </x:c>
      <x:c r="N164" s="47" t="n">
        <x:f>N163+M164</x:f>
        <x:v>518466</x:v>
      </x:c>
      <x:c r="O164" s="46" t="n">
        <x:f>IF(C164="P0",0,IF(D164&lt;=3,0.15,IF(D164&lt;=14,0.25,IF(D164&lt;=45,0.35,0.5))))</x:f>
        <x:v>0.5</x:v>
      </x:c>
      <x:c r="P164" s="47" t="n">
        <x:f>J164*O164</x:f>
        <x:v>9200</x:v>
      </x:c>
      <x:c r="Q164" s="46" t="n">
        <x:f>IF(C164="P0",0,IF(D164&lt;=3,0.05,IF(D164&lt;=14,0.1,IF(D164&lt;=45,0.15,0.2))))</x:f>
        <x:v>0.2</x:v>
      </x:c>
      <x:c r="R164" s="47" t="n">
        <x:f>J164*Q164</x:f>
        <x:v>3680</x:v>
      </x:c>
      <x:c r="S164" s="20" t="str">
        <x:f>IF(D164&lt;E164,"closed",IF(D164&lt;'Paths'!$N$8,"initial","expanded"))</x:f>
        <x:v>expanded</x:v>
      </x:c>
      <x:c r="T164" s="72"/>
    </x:row>
    <x:row r="165">
      <x:c r="C165" s="20" t="str">
        <x:v>P1</x:v>
      </x:c>
      <x:c r="D165" s="20" t="n">
        <x:v>67</x:v>
      </x:c>
      <x:c r="E165" s="45" t="n">
        <x:f>IF('Controls'!$D$7="Reference",'Paths'!$J$8,'Paths'!$K$8)</x:f>
        <x:v>1</x:v>
      </x:c>
      <x:c r="F165" s="47" t="n">
        <x:f>IF(D165&lt;'Paths'!$N$8,IF('Controls'!$D$7="Reference",'Paths'!$L$8,'Paths'!$M$8),IF('Controls'!$D$7="Reference",'Paths'!$O$8,'Paths'!$P$8))</x:f>
        <x:v>20000</x:v>
      </x:c>
      <x:c r="G165" s="46" t="n">
        <x:f>IF('Controls'!$D$7="Reference",1,IF(OR(D165=6,D165=7,D165=21,D165=46),'Paths'!$U$8,1))</x:f>
        <x:v>1</x:v>
      </x:c>
      <x:c r="H165" s="46" t="n">
        <x:f>IF('Controls'!$D$7="Reference",1,IF(OR(AND(D165&gt;=14,D165&lt;=16),AND(D165&gt;=34,D165&lt;=35),AND(D165&gt;=61,D165&lt;=63)),'Paths'!$V$8,1))</x:f>
        <x:v>1</x:v>
      </x:c>
      <x:c r="I165" s="46" t="n">
        <x:f>'Paths'!$W$8</x:f>
        <x:v>0.92</x:v>
      </x:c>
      <x:c r="J165" s="47" t="n">
        <x:f>IF(D165&lt;E165,0,MIN(F165*G165*H165*I165,IF('Paths'!$T$8&gt;0,MAX(0,'Paths'!$T$8-K164),1000000000)))</x:f>
        <x:v>18400</x:v>
      </x:c>
      <x:c r="K165" s="47" t="n">
        <x:f>K164+J165</x:f>
        <x:v>1127920</x:v>
      </x:c>
      <x:c r="L165" s="46" t="n">
        <x:f>IF(C165="P0",1,IF(D165&lt;=3,0.8,IF(D165&lt;=14,0.65,IF(D165&lt;=45,0.5,0.3))))</x:f>
        <x:v>0.3</x:v>
      </x:c>
      <x:c r="M165" s="47" t="n">
        <x:f>J165*L165</x:f>
        <x:v>5520</x:v>
      </x:c>
      <x:c r="N165" s="47" t="n">
        <x:f>N164+M165</x:f>
        <x:v>523986</x:v>
      </x:c>
      <x:c r="O165" s="46" t="n">
        <x:f>IF(C165="P0",0,IF(D165&lt;=3,0.15,IF(D165&lt;=14,0.25,IF(D165&lt;=45,0.35,0.5))))</x:f>
        <x:v>0.5</x:v>
      </x:c>
      <x:c r="P165" s="47" t="n">
        <x:f>J165*O165</x:f>
        <x:v>9200</x:v>
      </x:c>
      <x:c r="Q165" s="46" t="n">
        <x:f>IF(C165="P0",0,IF(D165&lt;=3,0.05,IF(D165&lt;=14,0.1,IF(D165&lt;=45,0.15,0.2))))</x:f>
        <x:v>0.2</x:v>
      </x:c>
      <x:c r="R165" s="47" t="n">
        <x:f>J165*Q165</x:f>
        <x:v>3680</x:v>
      </x:c>
      <x:c r="S165" s="20" t="str">
        <x:f>IF(D165&lt;E165,"closed",IF(D165&lt;'Paths'!$N$8,"initial","expanded"))</x:f>
        <x:v>expanded</x:v>
      </x:c>
      <x:c r="T165" s="72"/>
    </x:row>
    <x:row r="166">
      <x:c r="C166" s="20" t="str">
        <x:v>P1</x:v>
      </x:c>
      <x:c r="D166" s="20" t="n">
        <x:v>68</x:v>
      </x:c>
      <x:c r="E166" s="45" t="n">
        <x:f>IF('Controls'!$D$7="Reference",'Paths'!$J$8,'Paths'!$K$8)</x:f>
        <x:v>1</x:v>
      </x:c>
      <x:c r="F166" s="47" t="n">
        <x:f>IF(D166&lt;'Paths'!$N$8,IF('Controls'!$D$7="Reference",'Paths'!$L$8,'Paths'!$M$8),IF('Controls'!$D$7="Reference",'Paths'!$O$8,'Paths'!$P$8))</x:f>
        <x:v>20000</x:v>
      </x:c>
      <x:c r="G166" s="46" t="n">
        <x:f>IF('Controls'!$D$7="Reference",1,IF(OR(D166=6,D166=7,D166=21,D166=46),'Paths'!$U$8,1))</x:f>
        <x:v>1</x:v>
      </x:c>
      <x:c r="H166" s="46" t="n">
        <x:f>IF('Controls'!$D$7="Reference",1,IF(OR(AND(D166&gt;=14,D166&lt;=16),AND(D166&gt;=34,D166&lt;=35),AND(D166&gt;=61,D166&lt;=63)),'Paths'!$V$8,1))</x:f>
        <x:v>1</x:v>
      </x:c>
      <x:c r="I166" s="46" t="n">
        <x:f>'Paths'!$W$8</x:f>
        <x:v>0.92</x:v>
      </x:c>
      <x:c r="J166" s="47" t="n">
        <x:f>IF(D166&lt;E166,0,MIN(F166*G166*H166*I166,IF('Paths'!$T$8&gt;0,MAX(0,'Paths'!$T$8-K165),1000000000)))</x:f>
        <x:v>18400</x:v>
      </x:c>
      <x:c r="K166" s="47" t="n">
        <x:f>K165+J166</x:f>
        <x:v>1146320</x:v>
      </x:c>
      <x:c r="L166" s="46" t="n">
        <x:f>IF(C166="P0",1,IF(D166&lt;=3,0.8,IF(D166&lt;=14,0.65,IF(D166&lt;=45,0.5,0.3))))</x:f>
        <x:v>0.3</x:v>
      </x:c>
      <x:c r="M166" s="47" t="n">
        <x:f>J166*L166</x:f>
        <x:v>5520</x:v>
      </x:c>
      <x:c r="N166" s="47" t="n">
        <x:f>N165+M166</x:f>
        <x:v>529506</x:v>
      </x:c>
      <x:c r="O166" s="46" t="n">
        <x:f>IF(C166="P0",0,IF(D166&lt;=3,0.15,IF(D166&lt;=14,0.25,IF(D166&lt;=45,0.35,0.5))))</x:f>
        <x:v>0.5</x:v>
      </x:c>
      <x:c r="P166" s="47" t="n">
        <x:f>J166*O166</x:f>
        <x:v>9200</x:v>
      </x:c>
      <x:c r="Q166" s="46" t="n">
        <x:f>IF(C166="P0",0,IF(D166&lt;=3,0.05,IF(D166&lt;=14,0.1,IF(D166&lt;=45,0.15,0.2))))</x:f>
        <x:v>0.2</x:v>
      </x:c>
      <x:c r="R166" s="47" t="n">
        <x:f>J166*Q166</x:f>
        <x:v>3680</x:v>
      </x:c>
      <x:c r="S166" s="20" t="str">
        <x:f>IF(D166&lt;E166,"closed",IF(D166&lt;'Paths'!$N$8,"initial","expanded"))</x:f>
        <x:v>expanded</x:v>
      </x:c>
      <x:c r="T166" s="72"/>
    </x:row>
    <x:row r="167">
      <x:c r="C167" s="20" t="str">
        <x:v>P1</x:v>
      </x:c>
      <x:c r="D167" s="20" t="n">
        <x:v>69</x:v>
      </x:c>
      <x:c r="E167" s="45" t="n">
        <x:f>IF('Controls'!$D$7="Reference",'Paths'!$J$8,'Paths'!$K$8)</x:f>
        <x:v>1</x:v>
      </x:c>
      <x:c r="F167" s="47" t="n">
        <x:f>IF(D167&lt;'Paths'!$N$8,IF('Controls'!$D$7="Reference",'Paths'!$L$8,'Paths'!$M$8),IF('Controls'!$D$7="Reference",'Paths'!$O$8,'Paths'!$P$8))</x:f>
        <x:v>20000</x:v>
      </x:c>
      <x:c r="G167" s="46" t="n">
        <x:f>IF('Controls'!$D$7="Reference",1,IF(OR(D167=6,D167=7,D167=21,D167=46),'Paths'!$U$8,1))</x:f>
        <x:v>1</x:v>
      </x:c>
      <x:c r="H167" s="46" t="n">
        <x:f>IF('Controls'!$D$7="Reference",1,IF(OR(AND(D167&gt;=14,D167&lt;=16),AND(D167&gt;=34,D167&lt;=35),AND(D167&gt;=61,D167&lt;=63)),'Paths'!$V$8,1))</x:f>
        <x:v>1</x:v>
      </x:c>
      <x:c r="I167" s="46" t="n">
        <x:f>'Paths'!$W$8</x:f>
        <x:v>0.92</x:v>
      </x:c>
      <x:c r="J167" s="47" t="n">
        <x:f>IF(D167&lt;E167,0,MIN(F167*G167*H167*I167,IF('Paths'!$T$8&gt;0,MAX(0,'Paths'!$T$8-K166),1000000000)))</x:f>
        <x:v>18400</x:v>
      </x:c>
      <x:c r="K167" s="47" t="n">
        <x:f>K166+J167</x:f>
        <x:v>1164720</x:v>
      </x:c>
      <x:c r="L167" s="46" t="n">
        <x:f>IF(C167="P0",1,IF(D167&lt;=3,0.8,IF(D167&lt;=14,0.65,IF(D167&lt;=45,0.5,0.3))))</x:f>
        <x:v>0.3</x:v>
      </x:c>
      <x:c r="M167" s="47" t="n">
        <x:f>J167*L167</x:f>
        <x:v>5520</x:v>
      </x:c>
      <x:c r="N167" s="47" t="n">
        <x:f>N166+M167</x:f>
        <x:v>535026</x:v>
      </x:c>
      <x:c r="O167" s="46" t="n">
        <x:f>IF(C167="P0",0,IF(D167&lt;=3,0.15,IF(D167&lt;=14,0.25,IF(D167&lt;=45,0.35,0.5))))</x:f>
        <x:v>0.5</x:v>
      </x:c>
      <x:c r="P167" s="47" t="n">
        <x:f>J167*O167</x:f>
        <x:v>9200</x:v>
      </x:c>
      <x:c r="Q167" s="46" t="n">
        <x:f>IF(C167="P0",0,IF(D167&lt;=3,0.05,IF(D167&lt;=14,0.1,IF(D167&lt;=45,0.15,0.2))))</x:f>
        <x:v>0.2</x:v>
      </x:c>
      <x:c r="R167" s="47" t="n">
        <x:f>J167*Q167</x:f>
        <x:v>3680</x:v>
      </x:c>
      <x:c r="S167" s="20" t="str">
        <x:f>IF(D167&lt;E167,"closed",IF(D167&lt;'Paths'!$N$8,"initial","expanded"))</x:f>
        <x:v>expanded</x:v>
      </x:c>
      <x:c r="T167" s="72"/>
    </x:row>
    <x:row r="168">
      <x:c r="C168" s="20" t="str">
        <x:v>P1</x:v>
      </x:c>
      <x:c r="D168" s="20" t="n">
        <x:v>70</x:v>
      </x:c>
      <x:c r="E168" s="45" t="n">
        <x:f>IF('Controls'!$D$7="Reference",'Paths'!$J$8,'Paths'!$K$8)</x:f>
        <x:v>1</x:v>
      </x:c>
      <x:c r="F168" s="47" t="n">
        <x:f>IF(D168&lt;'Paths'!$N$8,IF('Controls'!$D$7="Reference",'Paths'!$L$8,'Paths'!$M$8),IF('Controls'!$D$7="Reference",'Paths'!$O$8,'Paths'!$P$8))</x:f>
        <x:v>20000</x:v>
      </x:c>
      <x:c r="G168" s="46" t="n">
        <x:f>IF('Controls'!$D$7="Reference",1,IF(OR(D168=6,D168=7,D168=21,D168=46),'Paths'!$U$8,1))</x:f>
        <x:v>1</x:v>
      </x:c>
      <x:c r="H168" s="46" t="n">
        <x:f>IF('Controls'!$D$7="Reference",1,IF(OR(AND(D168&gt;=14,D168&lt;=16),AND(D168&gt;=34,D168&lt;=35),AND(D168&gt;=61,D168&lt;=63)),'Paths'!$V$8,1))</x:f>
        <x:v>1</x:v>
      </x:c>
      <x:c r="I168" s="46" t="n">
        <x:f>'Paths'!$W$8</x:f>
        <x:v>0.92</x:v>
      </x:c>
      <x:c r="J168" s="47" t="n">
        <x:f>IF(D168&lt;E168,0,MIN(F168*G168*H168*I168,IF('Paths'!$T$8&gt;0,MAX(0,'Paths'!$T$8-K167),1000000000)))</x:f>
        <x:v>18400</x:v>
      </x:c>
      <x:c r="K168" s="47" t="n">
        <x:f>K167+J168</x:f>
        <x:v>1183120</x:v>
      </x:c>
      <x:c r="L168" s="46" t="n">
        <x:f>IF(C168="P0",1,IF(D168&lt;=3,0.8,IF(D168&lt;=14,0.65,IF(D168&lt;=45,0.5,0.3))))</x:f>
        <x:v>0.3</x:v>
      </x:c>
      <x:c r="M168" s="47" t="n">
        <x:f>J168*L168</x:f>
        <x:v>5520</x:v>
      </x:c>
      <x:c r="N168" s="47" t="n">
        <x:f>N167+M168</x:f>
        <x:v>540546</x:v>
      </x:c>
      <x:c r="O168" s="46" t="n">
        <x:f>IF(C168="P0",0,IF(D168&lt;=3,0.15,IF(D168&lt;=14,0.25,IF(D168&lt;=45,0.35,0.5))))</x:f>
        <x:v>0.5</x:v>
      </x:c>
      <x:c r="P168" s="47" t="n">
        <x:f>J168*O168</x:f>
        <x:v>9200</x:v>
      </x:c>
      <x:c r="Q168" s="46" t="n">
        <x:f>IF(C168="P0",0,IF(D168&lt;=3,0.05,IF(D168&lt;=14,0.1,IF(D168&lt;=45,0.15,0.2))))</x:f>
        <x:v>0.2</x:v>
      </x:c>
      <x:c r="R168" s="47" t="n">
        <x:f>J168*Q168</x:f>
        <x:v>3680</x:v>
      </x:c>
      <x:c r="S168" s="20" t="str">
        <x:f>IF(D168&lt;E168,"closed",IF(D168&lt;'Paths'!$N$8,"initial","expanded"))</x:f>
        <x:v>expanded</x:v>
      </x:c>
      <x:c r="T168" s="72"/>
    </x:row>
    <x:row r="169">
      <x:c r="C169" s="20" t="str">
        <x:v>P1</x:v>
      </x:c>
      <x:c r="D169" s="20" t="n">
        <x:v>71</x:v>
      </x:c>
      <x:c r="E169" s="45" t="n">
        <x:f>IF('Controls'!$D$7="Reference",'Paths'!$J$8,'Paths'!$K$8)</x:f>
        <x:v>1</x:v>
      </x:c>
      <x:c r="F169" s="47" t="n">
        <x:f>IF(D169&lt;'Paths'!$N$8,IF('Controls'!$D$7="Reference",'Paths'!$L$8,'Paths'!$M$8),IF('Controls'!$D$7="Reference",'Paths'!$O$8,'Paths'!$P$8))</x:f>
        <x:v>20000</x:v>
      </x:c>
      <x:c r="G169" s="46" t="n">
        <x:f>IF('Controls'!$D$7="Reference",1,IF(OR(D169=6,D169=7,D169=21,D169=46),'Paths'!$U$8,1))</x:f>
        <x:v>1</x:v>
      </x:c>
      <x:c r="H169" s="46" t="n">
        <x:f>IF('Controls'!$D$7="Reference",1,IF(OR(AND(D169&gt;=14,D169&lt;=16),AND(D169&gt;=34,D169&lt;=35),AND(D169&gt;=61,D169&lt;=63)),'Paths'!$V$8,1))</x:f>
        <x:v>1</x:v>
      </x:c>
      <x:c r="I169" s="46" t="n">
        <x:f>'Paths'!$W$8</x:f>
        <x:v>0.92</x:v>
      </x:c>
      <x:c r="J169" s="47" t="n">
        <x:f>IF(D169&lt;E169,0,MIN(F169*G169*H169*I169,IF('Paths'!$T$8&gt;0,MAX(0,'Paths'!$T$8-K168),1000000000)))</x:f>
        <x:v>18400</x:v>
      </x:c>
      <x:c r="K169" s="47" t="n">
        <x:f>K168+J169</x:f>
        <x:v>1201520</x:v>
      </x:c>
      <x:c r="L169" s="46" t="n">
        <x:f>IF(C169="P0",1,IF(D169&lt;=3,0.8,IF(D169&lt;=14,0.65,IF(D169&lt;=45,0.5,0.3))))</x:f>
        <x:v>0.3</x:v>
      </x:c>
      <x:c r="M169" s="47" t="n">
        <x:f>J169*L169</x:f>
        <x:v>5520</x:v>
      </x:c>
      <x:c r="N169" s="47" t="n">
        <x:f>N168+M169</x:f>
        <x:v>546066</x:v>
      </x:c>
      <x:c r="O169" s="46" t="n">
        <x:f>IF(C169="P0",0,IF(D169&lt;=3,0.15,IF(D169&lt;=14,0.25,IF(D169&lt;=45,0.35,0.5))))</x:f>
        <x:v>0.5</x:v>
      </x:c>
      <x:c r="P169" s="47" t="n">
        <x:f>J169*O169</x:f>
        <x:v>9200</x:v>
      </x:c>
      <x:c r="Q169" s="46" t="n">
        <x:f>IF(C169="P0",0,IF(D169&lt;=3,0.05,IF(D169&lt;=14,0.1,IF(D169&lt;=45,0.15,0.2))))</x:f>
        <x:v>0.2</x:v>
      </x:c>
      <x:c r="R169" s="47" t="n">
        <x:f>J169*Q169</x:f>
        <x:v>3680</x:v>
      </x:c>
      <x:c r="S169" s="20" t="str">
        <x:f>IF(D169&lt;E169,"closed",IF(D169&lt;'Paths'!$N$8,"initial","expanded"))</x:f>
        <x:v>expanded</x:v>
      </x:c>
      <x:c r="T169" s="72"/>
    </x:row>
    <x:row r="170">
      <x:c r="C170" s="20" t="str">
        <x:v>P1</x:v>
      </x:c>
      <x:c r="D170" s="20" t="n">
        <x:v>72</x:v>
      </x:c>
      <x:c r="E170" s="45" t="n">
        <x:f>IF('Controls'!$D$7="Reference",'Paths'!$J$8,'Paths'!$K$8)</x:f>
        <x:v>1</x:v>
      </x:c>
      <x:c r="F170" s="47" t="n">
        <x:f>IF(D170&lt;'Paths'!$N$8,IF('Controls'!$D$7="Reference",'Paths'!$L$8,'Paths'!$M$8),IF('Controls'!$D$7="Reference",'Paths'!$O$8,'Paths'!$P$8))</x:f>
        <x:v>20000</x:v>
      </x:c>
      <x:c r="G170" s="46" t="n">
        <x:f>IF('Controls'!$D$7="Reference",1,IF(OR(D170=6,D170=7,D170=21,D170=46),'Paths'!$U$8,1))</x:f>
        <x:v>1</x:v>
      </x:c>
      <x:c r="H170" s="46" t="n">
        <x:f>IF('Controls'!$D$7="Reference",1,IF(OR(AND(D170&gt;=14,D170&lt;=16),AND(D170&gt;=34,D170&lt;=35),AND(D170&gt;=61,D170&lt;=63)),'Paths'!$V$8,1))</x:f>
        <x:v>1</x:v>
      </x:c>
      <x:c r="I170" s="46" t="n">
        <x:f>'Paths'!$W$8</x:f>
        <x:v>0.92</x:v>
      </x:c>
      <x:c r="J170" s="47" t="n">
        <x:f>IF(D170&lt;E170,0,MIN(F170*G170*H170*I170,IF('Paths'!$T$8&gt;0,MAX(0,'Paths'!$T$8-K169),1000000000)))</x:f>
        <x:v>18400</x:v>
      </x:c>
      <x:c r="K170" s="47" t="n">
        <x:f>K169+J170</x:f>
        <x:v>1219920</x:v>
      </x:c>
      <x:c r="L170" s="46" t="n">
        <x:f>IF(C170="P0",1,IF(D170&lt;=3,0.8,IF(D170&lt;=14,0.65,IF(D170&lt;=45,0.5,0.3))))</x:f>
        <x:v>0.3</x:v>
      </x:c>
      <x:c r="M170" s="47" t="n">
        <x:f>J170*L170</x:f>
        <x:v>5520</x:v>
      </x:c>
      <x:c r="N170" s="47" t="n">
        <x:f>N169+M170</x:f>
        <x:v>551586</x:v>
      </x:c>
      <x:c r="O170" s="46" t="n">
        <x:f>IF(C170="P0",0,IF(D170&lt;=3,0.15,IF(D170&lt;=14,0.25,IF(D170&lt;=45,0.35,0.5))))</x:f>
        <x:v>0.5</x:v>
      </x:c>
      <x:c r="P170" s="47" t="n">
        <x:f>J170*O170</x:f>
        <x:v>9200</x:v>
      </x:c>
      <x:c r="Q170" s="46" t="n">
        <x:f>IF(C170="P0",0,IF(D170&lt;=3,0.05,IF(D170&lt;=14,0.1,IF(D170&lt;=45,0.15,0.2))))</x:f>
        <x:v>0.2</x:v>
      </x:c>
      <x:c r="R170" s="47" t="n">
        <x:f>J170*Q170</x:f>
        <x:v>3680</x:v>
      </x:c>
      <x:c r="S170" s="20" t="str">
        <x:f>IF(D170&lt;E170,"closed",IF(D170&lt;'Paths'!$N$8,"initial","expanded"))</x:f>
        <x:v>expanded</x:v>
      </x:c>
      <x:c r="T170" s="72"/>
    </x:row>
    <x:row r="171">
      <x:c r="C171" s="20" t="str">
        <x:v>P1</x:v>
      </x:c>
      <x:c r="D171" s="20" t="n">
        <x:v>73</x:v>
      </x:c>
      <x:c r="E171" s="45" t="n">
        <x:f>IF('Controls'!$D$7="Reference",'Paths'!$J$8,'Paths'!$K$8)</x:f>
        <x:v>1</x:v>
      </x:c>
      <x:c r="F171" s="47" t="n">
        <x:f>IF(D171&lt;'Paths'!$N$8,IF('Controls'!$D$7="Reference",'Paths'!$L$8,'Paths'!$M$8),IF('Controls'!$D$7="Reference",'Paths'!$O$8,'Paths'!$P$8))</x:f>
        <x:v>20000</x:v>
      </x:c>
      <x:c r="G171" s="46" t="n">
        <x:f>IF('Controls'!$D$7="Reference",1,IF(OR(D171=6,D171=7,D171=21,D171=46),'Paths'!$U$8,1))</x:f>
        <x:v>1</x:v>
      </x:c>
      <x:c r="H171" s="46" t="n">
        <x:f>IF('Controls'!$D$7="Reference",1,IF(OR(AND(D171&gt;=14,D171&lt;=16),AND(D171&gt;=34,D171&lt;=35),AND(D171&gt;=61,D171&lt;=63)),'Paths'!$V$8,1))</x:f>
        <x:v>1</x:v>
      </x:c>
      <x:c r="I171" s="46" t="n">
        <x:f>'Paths'!$W$8</x:f>
        <x:v>0.92</x:v>
      </x:c>
      <x:c r="J171" s="47" t="n">
        <x:f>IF(D171&lt;E171,0,MIN(F171*G171*H171*I171,IF('Paths'!$T$8&gt;0,MAX(0,'Paths'!$T$8-K170),1000000000)))</x:f>
        <x:v>18400</x:v>
      </x:c>
      <x:c r="K171" s="47" t="n">
        <x:f>K170+J171</x:f>
        <x:v>1238320</x:v>
      </x:c>
      <x:c r="L171" s="46" t="n">
        <x:f>IF(C171="P0",1,IF(D171&lt;=3,0.8,IF(D171&lt;=14,0.65,IF(D171&lt;=45,0.5,0.3))))</x:f>
        <x:v>0.3</x:v>
      </x:c>
      <x:c r="M171" s="47" t="n">
        <x:f>J171*L171</x:f>
        <x:v>5520</x:v>
      </x:c>
      <x:c r="N171" s="47" t="n">
        <x:f>N170+M171</x:f>
        <x:v>557106</x:v>
      </x:c>
      <x:c r="O171" s="46" t="n">
        <x:f>IF(C171="P0",0,IF(D171&lt;=3,0.15,IF(D171&lt;=14,0.25,IF(D171&lt;=45,0.35,0.5))))</x:f>
        <x:v>0.5</x:v>
      </x:c>
      <x:c r="P171" s="47" t="n">
        <x:f>J171*O171</x:f>
        <x:v>9200</x:v>
      </x:c>
      <x:c r="Q171" s="46" t="n">
        <x:f>IF(C171="P0",0,IF(D171&lt;=3,0.05,IF(D171&lt;=14,0.1,IF(D171&lt;=45,0.15,0.2))))</x:f>
        <x:v>0.2</x:v>
      </x:c>
      <x:c r="R171" s="47" t="n">
        <x:f>J171*Q171</x:f>
        <x:v>3680</x:v>
      </x:c>
      <x:c r="S171" s="20" t="str">
        <x:f>IF(D171&lt;E171,"closed",IF(D171&lt;'Paths'!$N$8,"initial","expanded"))</x:f>
        <x:v>expanded</x:v>
      </x:c>
      <x:c r="T171" s="72"/>
    </x:row>
    <x:row r="172">
      <x:c r="C172" s="20" t="str">
        <x:v>P1</x:v>
      </x:c>
      <x:c r="D172" s="20" t="n">
        <x:v>74</x:v>
      </x:c>
      <x:c r="E172" s="45" t="n">
        <x:f>IF('Controls'!$D$7="Reference",'Paths'!$J$8,'Paths'!$K$8)</x:f>
        <x:v>1</x:v>
      </x:c>
      <x:c r="F172" s="47" t="n">
        <x:f>IF(D172&lt;'Paths'!$N$8,IF('Controls'!$D$7="Reference",'Paths'!$L$8,'Paths'!$M$8),IF('Controls'!$D$7="Reference",'Paths'!$O$8,'Paths'!$P$8))</x:f>
        <x:v>20000</x:v>
      </x:c>
      <x:c r="G172" s="46" t="n">
        <x:f>IF('Controls'!$D$7="Reference",1,IF(OR(D172=6,D172=7,D172=21,D172=46),'Paths'!$U$8,1))</x:f>
        <x:v>1</x:v>
      </x:c>
      <x:c r="H172" s="46" t="n">
        <x:f>IF('Controls'!$D$7="Reference",1,IF(OR(AND(D172&gt;=14,D172&lt;=16),AND(D172&gt;=34,D172&lt;=35),AND(D172&gt;=61,D172&lt;=63)),'Paths'!$V$8,1))</x:f>
        <x:v>1</x:v>
      </x:c>
      <x:c r="I172" s="46" t="n">
        <x:f>'Paths'!$W$8</x:f>
        <x:v>0.92</x:v>
      </x:c>
      <x:c r="J172" s="47" t="n">
        <x:f>IF(D172&lt;E172,0,MIN(F172*G172*H172*I172,IF('Paths'!$T$8&gt;0,MAX(0,'Paths'!$T$8-K171),1000000000)))</x:f>
        <x:v>18400</x:v>
      </x:c>
      <x:c r="K172" s="47" t="n">
        <x:f>K171+J172</x:f>
        <x:v>1256720</x:v>
      </x:c>
      <x:c r="L172" s="46" t="n">
        <x:f>IF(C172="P0",1,IF(D172&lt;=3,0.8,IF(D172&lt;=14,0.65,IF(D172&lt;=45,0.5,0.3))))</x:f>
        <x:v>0.3</x:v>
      </x:c>
      <x:c r="M172" s="47" t="n">
        <x:f>J172*L172</x:f>
        <x:v>5520</x:v>
      </x:c>
      <x:c r="N172" s="47" t="n">
        <x:f>N171+M172</x:f>
        <x:v>562626</x:v>
      </x:c>
      <x:c r="O172" s="46" t="n">
        <x:f>IF(C172="P0",0,IF(D172&lt;=3,0.15,IF(D172&lt;=14,0.25,IF(D172&lt;=45,0.35,0.5))))</x:f>
        <x:v>0.5</x:v>
      </x:c>
      <x:c r="P172" s="47" t="n">
        <x:f>J172*O172</x:f>
        <x:v>9200</x:v>
      </x:c>
      <x:c r="Q172" s="46" t="n">
        <x:f>IF(C172="P0",0,IF(D172&lt;=3,0.05,IF(D172&lt;=14,0.1,IF(D172&lt;=45,0.15,0.2))))</x:f>
        <x:v>0.2</x:v>
      </x:c>
      <x:c r="R172" s="47" t="n">
        <x:f>J172*Q172</x:f>
        <x:v>3680</x:v>
      </x:c>
      <x:c r="S172" s="20" t="str">
        <x:f>IF(D172&lt;E172,"closed",IF(D172&lt;'Paths'!$N$8,"initial","expanded"))</x:f>
        <x:v>expanded</x:v>
      </x:c>
      <x:c r="T172" s="72"/>
    </x:row>
    <x:row r="173">
      <x:c r="C173" s="20" t="str">
        <x:v>P1</x:v>
      </x:c>
      <x:c r="D173" s="20" t="n">
        <x:v>75</x:v>
      </x:c>
      <x:c r="E173" s="45" t="n">
        <x:f>IF('Controls'!$D$7="Reference",'Paths'!$J$8,'Paths'!$K$8)</x:f>
        <x:v>1</x:v>
      </x:c>
      <x:c r="F173" s="47" t="n">
        <x:f>IF(D173&lt;'Paths'!$N$8,IF('Controls'!$D$7="Reference",'Paths'!$L$8,'Paths'!$M$8),IF('Controls'!$D$7="Reference",'Paths'!$O$8,'Paths'!$P$8))</x:f>
        <x:v>20000</x:v>
      </x:c>
      <x:c r="G173" s="46" t="n">
        <x:f>IF('Controls'!$D$7="Reference",1,IF(OR(D173=6,D173=7,D173=21,D173=46),'Paths'!$U$8,1))</x:f>
        <x:v>1</x:v>
      </x:c>
      <x:c r="H173" s="46" t="n">
        <x:f>IF('Controls'!$D$7="Reference",1,IF(OR(AND(D173&gt;=14,D173&lt;=16),AND(D173&gt;=34,D173&lt;=35),AND(D173&gt;=61,D173&lt;=63)),'Paths'!$V$8,1))</x:f>
        <x:v>1</x:v>
      </x:c>
      <x:c r="I173" s="46" t="n">
        <x:f>'Paths'!$W$8</x:f>
        <x:v>0.92</x:v>
      </x:c>
      <x:c r="J173" s="47" t="n">
        <x:f>IF(D173&lt;E173,0,MIN(F173*G173*H173*I173,IF('Paths'!$T$8&gt;0,MAX(0,'Paths'!$T$8-K172),1000000000)))</x:f>
        <x:v>18400</x:v>
      </x:c>
      <x:c r="K173" s="47" t="n">
        <x:f>K172+J173</x:f>
        <x:v>1275120</x:v>
      </x:c>
      <x:c r="L173" s="46" t="n">
        <x:f>IF(C173="P0",1,IF(D173&lt;=3,0.8,IF(D173&lt;=14,0.65,IF(D173&lt;=45,0.5,0.3))))</x:f>
        <x:v>0.3</x:v>
      </x:c>
      <x:c r="M173" s="47" t="n">
        <x:f>J173*L173</x:f>
        <x:v>5520</x:v>
      </x:c>
      <x:c r="N173" s="47" t="n">
        <x:f>N172+M173</x:f>
        <x:v>568146</x:v>
      </x:c>
      <x:c r="O173" s="46" t="n">
        <x:f>IF(C173="P0",0,IF(D173&lt;=3,0.15,IF(D173&lt;=14,0.25,IF(D173&lt;=45,0.35,0.5))))</x:f>
        <x:v>0.5</x:v>
      </x:c>
      <x:c r="P173" s="47" t="n">
        <x:f>J173*O173</x:f>
        <x:v>9200</x:v>
      </x:c>
      <x:c r="Q173" s="46" t="n">
        <x:f>IF(C173="P0",0,IF(D173&lt;=3,0.05,IF(D173&lt;=14,0.1,IF(D173&lt;=45,0.15,0.2))))</x:f>
        <x:v>0.2</x:v>
      </x:c>
      <x:c r="R173" s="47" t="n">
        <x:f>J173*Q173</x:f>
        <x:v>3680</x:v>
      </x:c>
      <x:c r="S173" s="20" t="str">
        <x:f>IF(D173&lt;E173,"closed",IF(D173&lt;'Paths'!$N$8,"initial","expanded"))</x:f>
        <x:v>expanded</x:v>
      </x:c>
      <x:c r="T173" s="72"/>
    </x:row>
    <x:row r="174">
      <x:c r="C174" s="20" t="str">
        <x:v>P1</x:v>
      </x:c>
      <x:c r="D174" s="20" t="n">
        <x:v>76</x:v>
      </x:c>
      <x:c r="E174" s="45" t="n">
        <x:f>IF('Controls'!$D$7="Reference",'Paths'!$J$8,'Paths'!$K$8)</x:f>
        <x:v>1</x:v>
      </x:c>
      <x:c r="F174" s="47" t="n">
        <x:f>IF(D174&lt;'Paths'!$N$8,IF('Controls'!$D$7="Reference",'Paths'!$L$8,'Paths'!$M$8),IF('Controls'!$D$7="Reference",'Paths'!$O$8,'Paths'!$P$8))</x:f>
        <x:v>20000</x:v>
      </x:c>
      <x:c r="G174" s="46" t="n">
        <x:f>IF('Controls'!$D$7="Reference",1,IF(OR(D174=6,D174=7,D174=21,D174=46),'Paths'!$U$8,1))</x:f>
        <x:v>1</x:v>
      </x:c>
      <x:c r="H174" s="46" t="n">
        <x:f>IF('Controls'!$D$7="Reference",1,IF(OR(AND(D174&gt;=14,D174&lt;=16),AND(D174&gt;=34,D174&lt;=35),AND(D174&gt;=61,D174&lt;=63)),'Paths'!$V$8,1))</x:f>
        <x:v>1</x:v>
      </x:c>
      <x:c r="I174" s="46" t="n">
        <x:f>'Paths'!$W$8</x:f>
        <x:v>0.92</x:v>
      </x:c>
      <x:c r="J174" s="47" t="n">
        <x:f>IF(D174&lt;E174,0,MIN(F174*G174*H174*I174,IF('Paths'!$T$8&gt;0,MAX(0,'Paths'!$T$8-K173),1000000000)))</x:f>
        <x:v>18400</x:v>
      </x:c>
      <x:c r="K174" s="47" t="n">
        <x:f>K173+J174</x:f>
        <x:v>1293520</x:v>
      </x:c>
      <x:c r="L174" s="46" t="n">
        <x:f>IF(C174="P0",1,IF(D174&lt;=3,0.8,IF(D174&lt;=14,0.65,IF(D174&lt;=45,0.5,0.3))))</x:f>
        <x:v>0.3</x:v>
      </x:c>
      <x:c r="M174" s="47" t="n">
        <x:f>J174*L174</x:f>
        <x:v>5520</x:v>
      </x:c>
      <x:c r="N174" s="47" t="n">
        <x:f>N173+M174</x:f>
        <x:v>573666</x:v>
      </x:c>
      <x:c r="O174" s="46" t="n">
        <x:f>IF(C174="P0",0,IF(D174&lt;=3,0.15,IF(D174&lt;=14,0.25,IF(D174&lt;=45,0.35,0.5))))</x:f>
        <x:v>0.5</x:v>
      </x:c>
      <x:c r="P174" s="47" t="n">
        <x:f>J174*O174</x:f>
        <x:v>9200</x:v>
      </x:c>
      <x:c r="Q174" s="46" t="n">
        <x:f>IF(C174="P0",0,IF(D174&lt;=3,0.05,IF(D174&lt;=14,0.1,IF(D174&lt;=45,0.15,0.2))))</x:f>
        <x:v>0.2</x:v>
      </x:c>
      <x:c r="R174" s="47" t="n">
        <x:f>J174*Q174</x:f>
        <x:v>3680</x:v>
      </x:c>
      <x:c r="S174" s="20" t="str">
        <x:f>IF(D174&lt;E174,"closed",IF(D174&lt;'Paths'!$N$8,"initial","expanded"))</x:f>
        <x:v>expanded</x:v>
      </x:c>
      <x:c r="T174" s="72"/>
    </x:row>
    <x:row r="175">
      <x:c r="C175" s="20" t="str">
        <x:v>P1</x:v>
      </x:c>
      <x:c r="D175" s="20" t="n">
        <x:v>77</x:v>
      </x:c>
      <x:c r="E175" s="45" t="n">
        <x:f>IF('Controls'!$D$7="Reference",'Paths'!$J$8,'Paths'!$K$8)</x:f>
        <x:v>1</x:v>
      </x:c>
      <x:c r="F175" s="47" t="n">
        <x:f>IF(D175&lt;'Paths'!$N$8,IF('Controls'!$D$7="Reference",'Paths'!$L$8,'Paths'!$M$8),IF('Controls'!$D$7="Reference",'Paths'!$O$8,'Paths'!$P$8))</x:f>
        <x:v>20000</x:v>
      </x:c>
      <x:c r="G175" s="46" t="n">
        <x:f>IF('Controls'!$D$7="Reference",1,IF(OR(D175=6,D175=7,D175=21,D175=46),'Paths'!$U$8,1))</x:f>
        <x:v>1</x:v>
      </x:c>
      <x:c r="H175" s="46" t="n">
        <x:f>IF('Controls'!$D$7="Reference",1,IF(OR(AND(D175&gt;=14,D175&lt;=16),AND(D175&gt;=34,D175&lt;=35),AND(D175&gt;=61,D175&lt;=63)),'Paths'!$V$8,1))</x:f>
        <x:v>1</x:v>
      </x:c>
      <x:c r="I175" s="46" t="n">
        <x:f>'Paths'!$W$8</x:f>
        <x:v>0.92</x:v>
      </x:c>
      <x:c r="J175" s="47" t="n">
        <x:f>IF(D175&lt;E175,0,MIN(F175*G175*H175*I175,IF('Paths'!$T$8&gt;0,MAX(0,'Paths'!$T$8-K174),1000000000)))</x:f>
        <x:v>18400</x:v>
      </x:c>
      <x:c r="K175" s="47" t="n">
        <x:f>K174+J175</x:f>
        <x:v>1311920</x:v>
      </x:c>
      <x:c r="L175" s="46" t="n">
        <x:f>IF(C175="P0",1,IF(D175&lt;=3,0.8,IF(D175&lt;=14,0.65,IF(D175&lt;=45,0.5,0.3))))</x:f>
        <x:v>0.3</x:v>
      </x:c>
      <x:c r="M175" s="47" t="n">
        <x:f>J175*L175</x:f>
        <x:v>5520</x:v>
      </x:c>
      <x:c r="N175" s="47" t="n">
        <x:f>N174+M175</x:f>
        <x:v>579186</x:v>
      </x:c>
      <x:c r="O175" s="46" t="n">
        <x:f>IF(C175="P0",0,IF(D175&lt;=3,0.15,IF(D175&lt;=14,0.25,IF(D175&lt;=45,0.35,0.5))))</x:f>
        <x:v>0.5</x:v>
      </x:c>
      <x:c r="P175" s="47" t="n">
        <x:f>J175*O175</x:f>
        <x:v>9200</x:v>
      </x:c>
      <x:c r="Q175" s="46" t="n">
        <x:f>IF(C175="P0",0,IF(D175&lt;=3,0.05,IF(D175&lt;=14,0.1,IF(D175&lt;=45,0.15,0.2))))</x:f>
        <x:v>0.2</x:v>
      </x:c>
      <x:c r="R175" s="47" t="n">
        <x:f>J175*Q175</x:f>
        <x:v>3680</x:v>
      </x:c>
      <x:c r="S175" s="20" t="str">
        <x:f>IF(D175&lt;E175,"closed",IF(D175&lt;'Paths'!$N$8,"initial","expanded"))</x:f>
        <x:v>expanded</x:v>
      </x:c>
      <x:c r="T175" s="72"/>
    </x:row>
    <x:row r="176">
      <x:c r="C176" s="20" t="str">
        <x:v>P1</x:v>
      </x:c>
      <x:c r="D176" s="20" t="n">
        <x:v>78</x:v>
      </x:c>
      <x:c r="E176" s="45" t="n">
        <x:f>IF('Controls'!$D$7="Reference",'Paths'!$J$8,'Paths'!$K$8)</x:f>
        <x:v>1</x:v>
      </x:c>
      <x:c r="F176" s="47" t="n">
        <x:f>IF(D176&lt;'Paths'!$N$8,IF('Controls'!$D$7="Reference",'Paths'!$L$8,'Paths'!$M$8),IF('Controls'!$D$7="Reference",'Paths'!$O$8,'Paths'!$P$8))</x:f>
        <x:v>20000</x:v>
      </x:c>
      <x:c r="G176" s="46" t="n">
        <x:f>IF('Controls'!$D$7="Reference",1,IF(OR(D176=6,D176=7,D176=21,D176=46),'Paths'!$U$8,1))</x:f>
        <x:v>1</x:v>
      </x:c>
      <x:c r="H176" s="46" t="n">
        <x:f>IF('Controls'!$D$7="Reference",1,IF(OR(AND(D176&gt;=14,D176&lt;=16),AND(D176&gt;=34,D176&lt;=35),AND(D176&gt;=61,D176&lt;=63)),'Paths'!$V$8,1))</x:f>
        <x:v>1</x:v>
      </x:c>
      <x:c r="I176" s="46" t="n">
        <x:f>'Paths'!$W$8</x:f>
        <x:v>0.92</x:v>
      </x:c>
      <x:c r="J176" s="47" t="n">
        <x:f>IF(D176&lt;E176,0,MIN(F176*G176*H176*I176,IF('Paths'!$T$8&gt;0,MAX(0,'Paths'!$T$8-K175),1000000000)))</x:f>
        <x:v>18400</x:v>
      </x:c>
      <x:c r="K176" s="47" t="n">
        <x:f>K175+J176</x:f>
        <x:v>1330320</x:v>
      </x:c>
      <x:c r="L176" s="46" t="n">
        <x:f>IF(C176="P0",1,IF(D176&lt;=3,0.8,IF(D176&lt;=14,0.65,IF(D176&lt;=45,0.5,0.3))))</x:f>
        <x:v>0.3</x:v>
      </x:c>
      <x:c r="M176" s="47" t="n">
        <x:f>J176*L176</x:f>
        <x:v>5520</x:v>
      </x:c>
      <x:c r="N176" s="47" t="n">
        <x:f>N175+M176</x:f>
        <x:v>584706</x:v>
      </x:c>
      <x:c r="O176" s="46" t="n">
        <x:f>IF(C176="P0",0,IF(D176&lt;=3,0.15,IF(D176&lt;=14,0.25,IF(D176&lt;=45,0.35,0.5))))</x:f>
        <x:v>0.5</x:v>
      </x:c>
      <x:c r="P176" s="47" t="n">
        <x:f>J176*O176</x:f>
        <x:v>9200</x:v>
      </x:c>
      <x:c r="Q176" s="46" t="n">
        <x:f>IF(C176="P0",0,IF(D176&lt;=3,0.05,IF(D176&lt;=14,0.1,IF(D176&lt;=45,0.15,0.2))))</x:f>
        <x:v>0.2</x:v>
      </x:c>
      <x:c r="R176" s="47" t="n">
        <x:f>J176*Q176</x:f>
        <x:v>3680</x:v>
      </x:c>
      <x:c r="S176" s="20" t="str">
        <x:f>IF(D176&lt;E176,"closed",IF(D176&lt;'Paths'!$N$8,"initial","expanded"))</x:f>
        <x:v>expanded</x:v>
      </x:c>
      <x:c r="T176" s="72"/>
    </x:row>
    <x:row r="177">
      <x:c r="C177" s="20" t="str">
        <x:v>P1</x:v>
      </x:c>
      <x:c r="D177" s="20" t="n">
        <x:v>79</x:v>
      </x:c>
      <x:c r="E177" s="45" t="n">
        <x:f>IF('Controls'!$D$7="Reference",'Paths'!$J$8,'Paths'!$K$8)</x:f>
        <x:v>1</x:v>
      </x:c>
      <x:c r="F177" s="47" t="n">
        <x:f>IF(D177&lt;'Paths'!$N$8,IF('Controls'!$D$7="Reference",'Paths'!$L$8,'Paths'!$M$8),IF('Controls'!$D$7="Reference",'Paths'!$O$8,'Paths'!$P$8))</x:f>
        <x:v>20000</x:v>
      </x:c>
      <x:c r="G177" s="46" t="n">
        <x:f>IF('Controls'!$D$7="Reference",1,IF(OR(D177=6,D177=7,D177=21,D177=46),'Paths'!$U$8,1))</x:f>
        <x:v>1</x:v>
      </x:c>
      <x:c r="H177" s="46" t="n">
        <x:f>IF('Controls'!$D$7="Reference",1,IF(OR(AND(D177&gt;=14,D177&lt;=16),AND(D177&gt;=34,D177&lt;=35),AND(D177&gt;=61,D177&lt;=63)),'Paths'!$V$8,1))</x:f>
        <x:v>1</x:v>
      </x:c>
      <x:c r="I177" s="46" t="n">
        <x:f>'Paths'!$W$8</x:f>
        <x:v>0.92</x:v>
      </x:c>
      <x:c r="J177" s="47" t="n">
        <x:f>IF(D177&lt;E177,0,MIN(F177*G177*H177*I177,IF('Paths'!$T$8&gt;0,MAX(0,'Paths'!$T$8-K176),1000000000)))</x:f>
        <x:v>18400</x:v>
      </x:c>
      <x:c r="K177" s="47" t="n">
        <x:f>K176+J177</x:f>
        <x:v>1348720</x:v>
      </x:c>
      <x:c r="L177" s="46" t="n">
        <x:f>IF(C177="P0",1,IF(D177&lt;=3,0.8,IF(D177&lt;=14,0.65,IF(D177&lt;=45,0.5,0.3))))</x:f>
        <x:v>0.3</x:v>
      </x:c>
      <x:c r="M177" s="47" t="n">
        <x:f>J177*L177</x:f>
        <x:v>5520</x:v>
      </x:c>
      <x:c r="N177" s="47" t="n">
        <x:f>N176+M177</x:f>
        <x:v>590226</x:v>
      </x:c>
      <x:c r="O177" s="46" t="n">
        <x:f>IF(C177="P0",0,IF(D177&lt;=3,0.15,IF(D177&lt;=14,0.25,IF(D177&lt;=45,0.35,0.5))))</x:f>
        <x:v>0.5</x:v>
      </x:c>
      <x:c r="P177" s="47" t="n">
        <x:f>J177*O177</x:f>
        <x:v>9200</x:v>
      </x:c>
      <x:c r="Q177" s="46" t="n">
        <x:f>IF(C177="P0",0,IF(D177&lt;=3,0.05,IF(D177&lt;=14,0.1,IF(D177&lt;=45,0.15,0.2))))</x:f>
        <x:v>0.2</x:v>
      </x:c>
      <x:c r="R177" s="47" t="n">
        <x:f>J177*Q177</x:f>
        <x:v>3680</x:v>
      </x:c>
      <x:c r="S177" s="20" t="str">
        <x:f>IF(D177&lt;E177,"closed",IF(D177&lt;'Paths'!$N$8,"initial","expanded"))</x:f>
        <x:v>expanded</x:v>
      </x:c>
      <x:c r="T177" s="72"/>
    </x:row>
    <x:row r="178">
      <x:c r="C178" s="20" t="str">
        <x:v>P1</x:v>
      </x:c>
      <x:c r="D178" s="20" t="n">
        <x:v>80</x:v>
      </x:c>
      <x:c r="E178" s="45" t="n">
        <x:f>IF('Controls'!$D$7="Reference",'Paths'!$J$8,'Paths'!$K$8)</x:f>
        <x:v>1</x:v>
      </x:c>
      <x:c r="F178" s="47" t="n">
        <x:f>IF(D178&lt;'Paths'!$N$8,IF('Controls'!$D$7="Reference",'Paths'!$L$8,'Paths'!$M$8),IF('Controls'!$D$7="Reference",'Paths'!$O$8,'Paths'!$P$8))</x:f>
        <x:v>20000</x:v>
      </x:c>
      <x:c r="G178" s="46" t="n">
        <x:f>IF('Controls'!$D$7="Reference",1,IF(OR(D178=6,D178=7,D178=21,D178=46),'Paths'!$U$8,1))</x:f>
        <x:v>1</x:v>
      </x:c>
      <x:c r="H178" s="46" t="n">
        <x:f>IF('Controls'!$D$7="Reference",1,IF(OR(AND(D178&gt;=14,D178&lt;=16),AND(D178&gt;=34,D178&lt;=35),AND(D178&gt;=61,D178&lt;=63)),'Paths'!$V$8,1))</x:f>
        <x:v>1</x:v>
      </x:c>
      <x:c r="I178" s="46" t="n">
        <x:f>'Paths'!$W$8</x:f>
        <x:v>0.92</x:v>
      </x:c>
      <x:c r="J178" s="47" t="n">
        <x:f>IF(D178&lt;E178,0,MIN(F178*G178*H178*I178,IF('Paths'!$T$8&gt;0,MAX(0,'Paths'!$T$8-K177),1000000000)))</x:f>
        <x:v>18400</x:v>
      </x:c>
      <x:c r="K178" s="47" t="n">
        <x:f>K177+J178</x:f>
        <x:v>1367120</x:v>
      </x:c>
      <x:c r="L178" s="46" t="n">
        <x:f>IF(C178="P0",1,IF(D178&lt;=3,0.8,IF(D178&lt;=14,0.65,IF(D178&lt;=45,0.5,0.3))))</x:f>
        <x:v>0.3</x:v>
      </x:c>
      <x:c r="M178" s="47" t="n">
        <x:f>J178*L178</x:f>
        <x:v>5520</x:v>
      </x:c>
      <x:c r="N178" s="47" t="n">
        <x:f>N177+M178</x:f>
        <x:v>595746</x:v>
      </x:c>
      <x:c r="O178" s="46" t="n">
        <x:f>IF(C178="P0",0,IF(D178&lt;=3,0.15,IF(D178&lt;=14,0.25,IF(D178&lt;=45,0.35,0.5))))</x:f>
        <x:v>0.5</x:v>
      </x:c>
      <x:c r="P178" s="47" t="n">
        <x:f>J178*O178</x:f>
        <x:v>9200</x:v>
      </x:c>
      <x:c r="Q178" s="46" t="n">
        <x:f>IF(C178="P0",0,IF(D178&lt;=3,0.05,IF(D178&lt;=14,0.1,IF(D178&lt;=45,0.15,0.2))))</x:f>
        <x:v>0.2</x:v>
      </x:c>
      <x:c r="R178" s="47" t="n">
        <x:f>J178*Q178</x:f>
        <x:v>3680</x:v>
      </x:c>
      <x:c r="S178" s="20" t="str">
        <x:f>IF(D178&lt;E178,"closed",IF(D178&lt;'Paths'!$N$8,"initial","expanded"))</x:f>
        <x:v>expanded</x:v>
      </x:c>
      <x:c r="T178" s="72"/>
    </x:row>
    <x:row r="179">
      <x:c r="C179" s="20" t="str">
        <x:v>P1</x:v>
      </x:c>
      <x:c r="D179" s="20" t="n">
        <x:v>81</x:v>
      </x:c>
      <x:c r="E179" s="45" t="n">
        <x:f>IF('Controls'!$D$7="Reference",'Paths'!$J$8,'Paths'!$K$8)</x:f>
        <x:v>1</x:v>
      </x:c>
      <x:c r="F179" s="47" t="n">
        <x:f>IF(D179&lt;'Paths'!$N$8,IF('Controls'!$D$7="Reference",'Paths'!$L$8,'Paths'!$M$8),IF('Controls'!$D$7="Reference",'Paths'!$O$8,'Paths'!$P$8))</x:f>
        <x:v>20000</x:v>
      </x:c>
      <x:c r="G179" s="46" t="n">
        <x:f>IF('Controls'!$D$7="Reference",1,IF(OR(D179=6,D179=7,D179=21,D179=46),'Paths'!$U$8,1))</x:f>
        <x:v>1</x:v>
      </x:c>
      <x:c r="H179" s="46" t="n">
        <x:f>IF('Controls'!$D$7="Reference",1,IF(OR(AND(D179&gt;=14,D179&lt;=16),AND(D179&gt;=34,D179&lt;=35),AND(D179&gt;=61,D179&lt;=63)),'Paths'!$V$8,1))</x:f>
        <x:v>1</x:v>
      </x:c>
      <x:c r="I179" s="46" t="n">
        <x:f>'Paths'!$W$8</x:f>
        <x:v>0.92</x:v>
      </x:c>
      <x:c r="J179" s="47" t="n">
        <x:f>IF(D179&lt;E179,0,MIN(F179*G179*H179*I179,IF('Paths'!$T$8&gt;0,MAX(0,'Paths'!$T$8-K178),1000000000)))</x:f>
        <x:v>18400</x:v>
      </x:c>
      <x:c r="K179" s="47" t="n">
        <x:f>K178+J179</x:f>
        <x:v>1385520</x:v>
      </x:c>
      <x:c r="L179" s="46" t="n">
        <x:f>IF(C179="P0",1,IF(D179&lt;=3,0.8,IF(D179&lt;=14,0.65,IF(D179&lt;=45,0.5,0.3))))</x:f>
        <x:v>0.3</x:v>
      </x:c>
      <x:c r="M179" s="47" t="n">
        <x:f>J179*L179</x:f>
        <x:v>5520</x:v>
      </x:c>
      <x:c r="N179" s="47" t="n">
        <x:f>N178+M179</x:f>
        <x:v>601266</x:v>
      </x:c>
      <x:c r="O179" s="46" t="n">
        <x:f>IF(C179="P0",0,IF(D179&lt;=3,0.15,IF(D179&lt;=14,0.25,IF(D179&lt;=45,0.35,0.5))))</x:f>
        <x:v>0.5</x:v>
      </x:c>
      <x:c r="P179" s="47" t="n">
        <x:f>J179*O179</x:f>
        <x:v>9200</x:v>
      </x:c>
      <x:c r="Q179" s="46" t="n">
        <x:f>IF(C179="P0",0,IF(D179&lt;=3,0.05,IF(D179&lt;=14,0.1,IF(D179&lt;=45,0.15,0.2))))</x:f>
        <x:v>0.2</x:v>
      </x:c>
      <x:c r="R179" s="47" t="n">
        <x:f>J179*Q179</x:f>
        <x:v>3680</x:v>
      </x:c>
      <x:c r="S179" s="20" t="str">
        <x:f>IF(D179&lt;E179,"closed",IF(D179&lt;'Paths'!$N$8,"initial","expanded"))</x:f>
        <x:v>expanded</x:v>
      </x:c>
      <x:c r="T179" s="72"/>
    </x:row>
    <x:row r="180">
      <x:c r="C180" s="20" t="str">
        <x:v>P1</x:v>
      </x:c>
      <x:c r="D180" s="20" t="n">
        <x:v>82</x:v>
      </x:c>
      <x:c r="E180" s="45" t="n">
        <x:f>IF('Controls'!$D$7="Reference",'Paths'!$J$8,'Paths'!$K$8)</x:f>
        <x:v>1</x:v>
      </x:c>
      <x:c r="F180" s="47" t="n">
        <x:f>IF(D180&lt;'Paths'!$N$8,IF('Controls'!$D$7="Reference",'Paths'!$L$8,'Paths'!$M$8),IF('Controls'!$D$7="Reference",'Paths'!$O$8,'Paths'!$P$8))</x:f>
        <x:v>20000</x:v>
      </x:c>
      <x:c r="G180" s="46" t="n">
        <x:f>IF('Controls'!$D$7="Reference",1,IF(OR(D180=6,D180=7,D180=21,D180=46),'Paths'!$U$8,1))</x:f>
        <x:v>1</x:v>
      </x:c>
      <x:c r="H180" s="46" t="n">
        <x:f>IF('Controls'!$D$7="Reference",1,IF(OR(AND(D180&gt;=14,D180&lt;=16),AND(D180&gt;=34,D180&lt;=35),AND(D180&gt;=61,D180&lt;=63)),'Paths'!$V$8,1))</x:f>
        <x:v>1</x:v>
      </x:c>
      <x:c r="I180" s="46" t="n">
        <x:f>'Paths'!$W$8</x:f>
        <x:v>0.92</x:v>
      </x:c>
      <x:c r="J180" s="47" t="n">
        <x:f>IF(D180&lt;E180,0,MIN(F180*G180*H180*I180,IF('Paths'!$T$8&gt;0,MAX(0,'Paths'!$T$8-K179),1000000000)))</x:f>
        <x:v>18400</x:v>
      </x:c>
      <x:c r="K180" s="47" t="n">
        <x:f>K179+J180</x:f>
        <x:v>1403920</x:v>
      </x:c>
      <x:c r="L180" s="46" t="n">
        <x:f>IF(C180="P0",1,IF(D180&lt;=3,0.8,IF(D180&lt;=14,0.65,IF(D180&lt;=45,0.5,0.3))))</x:f>
        <x:v>0.3</x:v>
      </x:c>
      <x:c r="M180" s="47" t="n">
        <x:f>J180*L180</x:f>
        <x:v>5520</x:v>
      </x:c>
      <x:c r="N180" s="47" t="n">
        <x:f>N179+M180</x:f>
        <x:v>606786</x:v>
      </x:c>
      <x:c r="O180" s="46" t="n">
        <x:f>IF(C180="P0",0,IF(D180&lt;=3,0.15,IF(D180&lt;=14,0.25,IF(D180&lt;=45,0.35,0.5))))</x:f>
        <x:v>0.5</x:v>
      </x:c>
      <x:c r="P180" s="47" t="n">
        <x:f>J180*O180</x:f>
        <x:v>9200</x:v>
      </x:c>
      <x:c r="Q180" s="46" t="n">
        <x:f>IF(C180="P0",0,IF(D180&lt;=3,0.05,IF(D180&lt;=14,0.1,IF(D180&lt;=45,0.15,0.2))))</x:f>
        <x:v>0.2</x:v>
      </x:c>
      <x:c r="R180" s="47" t="n">
        <x:f>J180*Q180</x:f>
        <x:v>3680</x:v>
      </x:c>
      <x:c r="S180" s="20" t="str">
        <x:f>IF(D180&lt;E180,"closed",IF(D180&lt;'Paths'!$N$8,"initial","expanded"))</x:f>
        <x:v>expanded</x:v>
      </x:c>
      <x:c r="T180" s="72"/>
    </x:row>
    <x:row r="181">
      <x:c r="C181" s="20" t="str">
        <x:v>P1</x:v>
      </x:c>
      <x:c r="D181" s="20" t="n">
        <x:v>83</x:v>
      </x:c>
      <x:c r="E181" s="45" t="n">
        <x:f>IF('Controls'!$D$7="Reference",'Paths'!$J$8,'Paths'!$K$8)</x:f>
        <x:v>1</x:v>
      </x:c>
      <x:c r="F181" s="47" t="n">
        <x:f>IF(D181&lt;'Paths'!$N$8,IF('Controls'!$D$7="Reference",'Paths'!$L$8,'Paths'!$M$8),IF('Controls'!$D$7="Reference",'Paths'!$O$8,'Paths'!$P$8))</x:f>
        <x:v>20000</x:v>
      </x:c>
      <x:c r="G181" s="46" t="n">
        <x:f>IF('Controls'!$D$7="Reference",1,IF(OR(D181=6,D181=7,D181=21,D181=46),'Paths'!$U$8,1))</x:f>
        <x:v>1</x:v>
      </x:c>
      <x:c r="H181" s="46" t="n">
        <x:f>IF('Controls'!$D$7="Reference",1,IF(OR(AND(D181&gt;=14,D181&lt;=16),AND(D181&gt;=34,D181&lt;=35),AND(D181&gt;=61,D181&lt;=63)),'Paths'!$V$8,1))</x:f>
        <x:v>1</x:v>
      </x:c>
      <x:c r="I181" s="46" t="n">
        <x:f>'Paths'!$W$8</x:f>
        <x:v>0.92</x:v>
      </x:c>
      <x:c r="J181" s="47" t="n">
        <x:f>IF(D181&lt;E181,0,MIN(F181*G181*H181*I181,IF('Paths'!$T$8&gt;0,MAX(0,'Paths'!$T$8-K180),1000000000)))</x:f>
        <x:v>18400</x:v>
      </x:c>
      <x:c r="K181" s="47" t="n">
        <x:f>K180+J181</x:f>
        <x:v>1422320</x:v>
      </x:c>
      <x:c r="L181" s="46" t="n">
        <x:f>IF(C181="P0",1,IF(D181&lt;=3,0.8,IF(D181&lt;=14,0.65,IF(D181&lt;=45,0.5,0.3))))</x:f>
        <x:v>0.3</x:v>
      </x:c>
      <x:c r="M181" s="47" t="n">
        <x:f>J181*L181</x:f>
        <x:v>5520</x:v>
      </x:c>
      <x:c r="N181" s="47" t="n">
        <x:f>N180+M181</x:f>
        <x:v>612306</x:v>
      </x:c>
      <x:c r="O181" s="46" t="n">
        <x:f>IF(C181="P0",0,IF(D181&lt;=3,0.15,IF(D181&lt;=14,0.25,IF(D181&lt;=45,0.35,0.5))))</x:f>
        <x:v>0.5</x:v>
      </x:c>
      <x:c r="P181" s="47" t="n">
        <x:f>J181*O181</x:f>
        <x:v>9200</x:v>
      </x:c>
      <x:c r="Q181" s="46" t="n">
        <x:f>IF(C181="P0",0,IF(D181&lt;=3,0.05,IF(D181&lt;=14,0.1,IF(D181&lt;=45,0.15,0.2))))</x:f>
        <x:v>0.2</x:v>
      </x:c>
      <x:c r="R181" s="47" t="n">
        <x:f>J181*Q181</x:f>
        <x:v>3680</x:v>
      </x:c>
      <x:c r="S181" s="20" t="str">
        <x:f>IF(D181&lt;E181,"closed",IF(D181&lt;'Paths'!$N$8,"initial","expanded"))</x:f>
        <x:v>expanded</x:v>
      </x:c>
      <x:c r="T181" s="72"/>
    </x:row>
    <x:row r="182">
      <x:c r="C182" s="20" t="str">
        <x:v>P1</x:v>
      </x:c>
      <x:c r="D182" s="20" t="n">
        <x:v>84</x:v>
      </x:c>
      <x:c r="E182" s="45" t="n">
        <x:f>IF('Controls'!$D$7="Reference",'Paths'!$J$8,'Paths'!$K$8)</x:f>
        <x:v>1</x:v>
      </x:c>
      <x:c r="F182" s="47" t="n">
        <x:f>IF(D182&lt;'Paths'!$N$8,IF('Controls'!$D$7="Reference",'Paths'!$L$8,'Paths'!$M$8),IF('Controls'!$D$7="Reference",'Paths'!$O$8,'Paths'!$P$8))</x:f>
        <x:v>20000</x:v>
      </x:c>
      <x:c r="G182" s="46" t="n">
        <x:f>IF('Controls'!$D$7="Reference",1,IF(OR(D182=6,D182=7,D182=21,D182=46),'Paths'!$U$8,1))</x:f>
        <x:v>1</x:v>
      </x:c>
      <x:c r="H182" s="46" t="n">
        <x:f>IF('Controls'!$D$7="Reference",1,IF(OR(AND(D182&gt;=14,D182&lt;=16),AND(D182&gt;=34,D182&lt;=35),AND(D182&gt;=61,D182&lt;=63)),'Paths'!$V$8,1))</x:f>
        <x:v>1</x:v>
      </x:c>
      <x:c r="I182" s="46" t="n">
        <x:f>'Paths'!$W$8</x:f>
        <x:v>0.92</x:v>
      </x:c>
      <x:c r="J182" s="47" t="n">
        <x:f>IF(D182&lt;E182,0,MIN(F182*G182*H182*I182,IF('Paths'!$T$8&gt;0,MAX(0,'Paths'!$T$8-K181),1000000000)))</x:f>
        <x:v>18400</x:v>
      </x:c>
      <x:c r="K182" s="47" t="n">
        <x:f>K181+J182</x:f>
        <x:v>1440720</x:v>
      </x:c>
      <x:c r="L182" s="46" t="n">
        <x:f>IF(C182="P0",1,IF(D182&lt;=3,0.8,IF(D182&lt;=14,0.65,IF(D182&lt;=45,0.5,0.3))))</x:f>
        <x:v>0.3</x:v>
      </x:c>
      <x:c r="M182" s="47" t="n">
        <x:f>J182*L182</x:f>
        <x:v>5520</x:v>
      </x:c>
      <x:c r="N182" s="47" t="n">
        <x:f>N181+M182</x:f>
        <x:v>617826</x:v>
      </x:c>
      <x:c r="O182" s="46" t="n">
        <x:f>IF(C182="P0",0,IF(D182&lt;=3,0.15,IF(D182&lt;=14,0.25,IF(D182&lt;=45,0.35,0.5))))</x:f>
        <x:v>0.5</x:v>
      </x:c>
      <x:c r="P182" s="47" t="n">
        <x:f>J182*O182</x:f>
        <x:v>9200</x:v>
      </x:c>
      <x:c r="Q182" s="46" t="n">
        <x:f>IF(C182="P0",0,IF(D182&lt;=3,0.05,IF(D182&lt;=14,0.1,IF(D182&lt;=45,0.15,0.2))))</x:f>
        <x:v>0.2</x:v>
      </x:c>
      <x:c r="R182" s="47" t="n">
        <x:f>J182*Q182</x:f>
        <x:v>3680</x:v>
      </x:c>
      <x:c r="S182" s="20" t="str">
        <x:f>IF(D182&lt;E182,"closed",IF(D182&lt;'Paths'!$N$8,"initial","expanded"))</x:f>
        <x:v>expanded</x:v>
      </x:c>
      <x:c r="T182" s="72"/>
    </x:row>
    <x:row r="183">
      <x:c r="C183" s="20" t="str">
        <x:v>P1</x:v>
      </x:c>
      <x:c r="D183" s="20" t="n">
        <x:v>85</x:v>
      </x:c>
      <x:c r="E183" s="45" t="n">
        <x:f>IF('Controls'!$D$7="Reference",'Paths'!$J$8,'Paths'!$K$8)</x:f>
        <x:v>1</x:v>
      </x:c>
      <x:c r="F183" s="47" t="n">
        <x:f>IF(D183&lt;'Paths'!$N$8,IF('Controls'!$D$7="Reference",'Paths'!$L$8,'Paths'!$M$8),IF('Controls'!$D$7="Reference",'Paths'!$O$8,'Paths'!$P$8))</x:f>
        <x:v>20000</x:v>
      </x:c>
      <x:c r="G183" s="46" t="n">
        <x:f>IF('Controls'!$D$7="Reference",1,IF(OR(D183=6,D183=7,D183=21,D183=46),'Paths'!$U$8,1))</x:f>
        <x:v>1</x:v>
      </x:c>
      <x:c r="H183" s="46" t="n">
        <x:f>IF('Controls'!$D$7="Reference",1,IF(OR(AND(D183&gt;=14,D183&lt;=16),AND(D183&gt;=34,D183&lt;=35),AND(D183&gt;=61,D183&lt;=63)),'Paths'!$V$8,1))</x:f>
        <x:v>1</x:v>
      </x:c>
      <x:c r="I183" s="46" t="n">
        <x:f>'Paths'!$W$8</x:f>
        <x:v>0.92</x:v>
      </x:c>
      <x:c r="J183" s="47" t="n">
        <x:f>IF(D183&lt;E183,0,MIN(F183*G183*H183*I183,IF('Paths'!$T$8&gt;0,MAX(0,'Paths'!$T$8-K182),1000000000)))</x:f>
        <x:v>18400</x:v>
      </x:c>
      <x:c r="K183" s="47" t="n">
        <x:f>K182+J183</x:f>
        <x:v>1459120</x:v>
      </x:c>
      <x:c r="L183" s="46" t="n">
        <x:f>IF(C183="P0",1,IF(D183&lt;=3,0.8,IF(D183&lt;=14,0.65,IF(D183&lt;=45,0.5,0.3))))</x:f>
        <x:v>0.3</x:v>
      </x:c>
      <x:c r="M183" s="47" t="n">
        <x:f>J183*L183</x:f>
        <x:v>5520</x:v>
      </x:c>
      <x:c r="N183" s="47" t="n">
        <x:f>N182+M183</x:f>
        <x:v>623346</x:v>
      </x:c>
      <x:c r="O183" s="46" t="n">
        <x:f>IF(C183="P0",0,IF(D183&lt;=3,0.15,IF(D183&lt;=14,0.25,IF(D183&lt;=45,0.35,0.5))))</x:f>
        <x:v>0.5</x:v>
      </x:c>
      <x:c r="P183" s="47" t="n">
        <x:f>J183*O183</x:f>
        <x:v>9200</x:v>
      </x:c>
      <x:c r="Q183" s="46" t="n">
        <x:f>IF(C183="P0",0,IF(D183&lt;=3,0.05,IF(D183&lt;=14,0.1,IF(D183&lt;=45,0.15,0.2))))</x:f>
        <x:v>0.2</x:v>
      </x:c>
      <x:c r="R183" s="47" t="n">
        <x:f>J183*Q183</x:f>
        <x:v>3680</x:v>
      </x:c>
      <x:c r="S183" s="20" t="str">
        <x:f>IF(D183&lt;E183,"closed",IF(D183&lt;'Paths'!$N$8,"initial","expanded"))</x:f>
        <x:v>expanded</x:v>
      </x:c>
      <x:c r="T183" s="72"/>
    </x:row>
    <x:row r="184">
      <x:c r="C184" s="20" t="str">
        <x:v>P1</x:v>
      </x:c>
      <x:c r="D184" s="20" t="n">
        <x:v>86</x:v>
      </x:c>
      <x:c r="E184" s="45" t="n">
        <x:f>IF('Controls'!$D$7="Reference",'Paths'!$J$8,'Paths'!$K$8)</x:f>
        <x:v>1</x:v>
      </x:c>
      <x:c r="F184" s="47" t="n">
        <x:f>IF(D184&lt;'Paths'!$N$8,IF('Controls'!$D$7="Reference",'Paths'!$L$8,'Paths'!$M$8),IF('Controls'!$D$7="Reference",'Paths'!$O$8,'Paths'!$P$8))</x:f>
        <x:v>20000</x:v>
      </x:c>
      <x:c r="G184" s="46" t="n">
        <x:f>IF('Controls'!$D$7="Reference",1,IF(OR(D184=6,D184=7,D184=21,D184=46),'Paths'!$U$8,1))</x:f>
        <x:v>1</x:v>
      </x:c>
      <x:c r="H184" s="46" t="n">
        <x:f>IF('Controls'!$D$7="Reference",1,IF(OR(AND(D184&gt;=14,D184&lt;=16),AND(D184&gt;=34,D184&lt;=35),AND(D184&gt;=61,D184&lt;=63)),'Paths'!$V$8,1))</x:f>
        <x:v>1</x:v>
      </x:c>
      <x:c r="I184" s="46" t="n">
        <x:f>'Paths'!$W$8</x:f>
        <x:v>0.92</x:v>
      </x:c>
      <x:c r="J184" s="47" t="n">
        <x:f>IF(D184&lt;E184,0,MIN(F184*G184*H184*I184,IF('Paths'!$T$8&gt;0,MAX(0,'Paths'!$T$8-K183),1000000000)))</x:f>
        <x:v>18400</x:v>
      </x:c>
      <x:c r="K184" s="47" t="n">
        <x:f>K183+J184</x:f>
        <x:v>1477520</x:v>
      </x:c>
      <x:c r="L184" s="46" t="n">
        <x:f>IF(C184="P0",1,IF(D184&lt;=3,0.8,IF(D184&lt;=14,0.65,IF(D184&lt;=45,0.5,0.3))))</x:f>
        <x:v>0.3</x:v>
      </x:c>
      <x:c r="M184" s="47" t="n">
        <x:f>J184*L184</x:f>
        <x:v>5520</x:v>
      </x:c>
      <x:c r="N184" s="47" t="n">
        <x:f>N183+M184</x:f>
        <x:v>628866</x:v>
      </x:c>
      <x:c r="O184" s="46" t="n">
        <x:f>IF(C184="P0",0,IF(D184&lt;=3,0.15,IF(D184&lt;=14,0.25,IF(D184&lt;=45,0.35,0.5))))</x:f>
        <x:v>0.5</x:v>
      </x:c>
      <x:c r="P184" s="47" t="n">
        <x:f>J184*O184</x:f>
        <x:v>9200</x:v>
      </x:c>
      <x:c r="Q184" s="46" t="n">
        <x:f>IF(C184="P0",0,IF(D184&lt;=3,0.05,IF(D184&lt;=14,0.1,IF(D184&lt;=45,0.15,0.2))))</x:f>
        <x:v>0.2</x:v>
      </x:c>
      <x:c r="R184" s="47" t="n">
        <x:f>J184*Q184</x:f>
        <x:v>3680</x:v>
      </x:c>
      <x:c r="S184" s="20" t="str">
        <x:f>IF(D184&lt;E184,"closed",IF(D184&lt;'Paths'!$N$8,"initial","expanded"))</x:f>
        <x:v>expanded</x:v>
      </x:c>
      <x:c r="T184" s="72"/>
    </x:row>
    <x:row r="185">
      <x:c r="C185" s="20" t="str">
        <x:v>P1</x:v>
      </x:c>
      <x:c r="D185" s="20" t="n">
        <x:v>87</x:v>
      </x:c>
      <x:c r="E185" s="45" t="n">
        <x:f>IF('Controls'!$D$7="Reference",'Paths'!$J$8,'Paths'!$K$8)</x:f>
        <x:v>1</x:v>
      </x:c>
      <x:c r="F185" s="47" t="n">
        <x:f>IF(D185&lt;'Paths'!$N$8,IF('Controls'!$D$7="Reference",'Paths'!$L$8,'Paths'!$M$8),IF('Controls'!$D$7="Reference",'Paths'!$O$8,'Paths'!$P$8))</x:f>
        <x:v>20000</x:v>
      </x:c>
      <x:c r="G185" s="46" t="n">
        <x:f>IF('Controls'!$D$7="Reference",1,IF(OR(D185=6,D185=7,D185=21,D185=46),'Paths'!$U$8,1))</x:f>
        <x:v>1</x:v>
      </x:c>
      <x:c r="H185" s="46" t="n">
        <x:f>IF('Controls'!$D$7="Reference",1,IF(OR(AND(D185&gt;=14,D185&lt;=16),AND(D185&gt;=34,D185&lt;=35),AND(D185&gt;=61,D185&lt;=63)),'Paths'!$V$8,1))</x:f>
        <x:v>1</x:v>
      </x:c>
      <x:c r="I185" s="46" t="n">
        <x:f>'Paths'!$W$8</x:f>
        <x:v>0.92</x:v>
      </x:c>
      <x:c r="J185" s="47" t="n">
        <x:f>IF(D185&lt;E185,0,MIN(F185*G185*H185*I185,IF('Paths'!$T$8&gt;0,MAX(0,'Paths'!$T$8-K184),1000000000)))</x:f>
        <x:v>18400</x:v>
      </x:c>
      <x:c r="K185" s="47" t="n">
        <x:f>K184+J185</x:f>
        <x:v>1495920</x:v>
      </x:c>
      <x:c r="L185" s="46" t="n">
        <x:f>IF(C185="P0",1,IF(D185&lt;=3,0.8,IF(D185&lt;=14,0.65,IF(D185&lt;=45,0.5,0.3))))</x:f>
        <x:v>0.3</x:v>
      </x:c>
      <x:c r="M185" s="47" t="n">
        <x:f>J185*L185</x:f>
        <x:v>5520</x:v>
      </x:c>
      <x:c r="N185" s="47" t="n">
        <x:f>N184+M185</x:f>
        <x:v>634386</x:v>
      </x:c>
      <x:c r="O185" s="46" t="n">
        <x:f>IF(C185="P0",0,IF(D185&lt;=3,0.15,IF(D185&lt;=14,0.25,IF(D185&lt;=45,0.35,0.5))))</x:f>
        <x:v>0.5</x:v>
      </x:c>
      <x:c r="P185" s="47" t="n">
        <x:f>J185*O185</x:f>
        <x:v>9200</x:v>
      </x:c>
      <x:c r="Q185" s="46" t="n">
        <x:f>IF(C185="P0",0,IF(D185&lt;=3,0.05,IF(D185&lt;=14,0.1,IF(D185&lt;=45,0.15,0.2))))</x:f>
        <x:v>0.2</x:v>
      </x:c>
      <x:c r="R185" s="47" t="n">
        <x:f>J185*Q185</x:f>
        <x:v>3680</x:v>
      </x:c>
      <x:c r="S185" s="20" t="str">
        <x:f>IF(D185&lt;E185,"closed",IF(D185&lt;'Paths'!$N$8,"initial","expanded"))</x:f>
        <x:v>expanded</x:v>
      </x:c>
      <x:c r="T185" s="72"/>
    </x:row>
    <x:row r="186">
      <x:c r="C186" s="20" t="str">
        <x:v>P1</x:v>
      </x:c>
      <x:c r="D186" s="20" t="n">
        <x:v>88</x:v>
      </x:c>
      <x:c r="E186" s="45" t="n">
        <x:f>IF('Controls'!$D$7="Reference",'Paths'!$J$8,'Paths'!$K$8)</x:f>
        <x:v>1</x:v>
      </x:c>
      <x:c r="F186" s="47" t="n">
        <x:f>IF(D186&lt;'Paths'!$N$8,IF('Controls'!$D$7="Reference",'Paths'!$L$8,'Paths'!$M$8),IF('Controls'!$D$7="Reference",'Paths'!$O$8,'Paths'!$P$8))</x:f>
        <x:v>20000</x:v>
      </x:c>
      <x:c r="G186" s="46" t="n">
        <x:f>IF('Controls'!$D$7="Reference",1,IF(OR(D186=6,D186=7,D186=21,D186=46),'Paths'!$U$8,1))</x:f>
        <x:v>1</x:v>
      </x:c>
      <x:c r="H186" s="46" t="n">
        <x:f>IF('Controls'!$D$7="Reference",1,IF(OR(AND(D186&gt;=14,D186&lt;=16),AND(D186&gt;=34,D186&lt;=35),AND(D186&gt;=61,D186&lt;=63)),'Paths'!$V$8,1))</x:f>
        <x:v>1</x:v>
      </x:c>
      <x:c r="I186" s="46" t="n">
        <x:f>'Paths'!$W$8</x:f>
        <x:v>0.92</x:v>
      </x:c>
      <x:c r="J186" s="47" t="n">
        <x:f>IF(D186&lt;E186,0,MIN(F186*G186*H186*I186,IF('Paths'!$T$8&gt;0,MAX(0,'Paths'!$T$8-K185),1000000000)))</x:f>
        <x:v>18400</x:v>
      </x:c>
      <x:c r="K186" s="47" t="n">
        <x:f>K185+J186</x:f>
        <x:v>1514320</x:v>
      </x:c>
      <x:c r="L186" s="46" t="n">
        <x:f>IF(C186="P0",1,IF(D186&lt;=3,0.8,IF(D186&lt;=14,0.65,IF(D186&lt;=45,0.5,0.3))))</x:f>
        <x:v>0.3</x:v>
      </x:c>
      <x:c r="M186" s="47" t="n">
        <x:f>J186*L186</x:f>
        <x:v>5520</x:v>
      </x:c>
      <x:c r="N186" s="47" t="n">
        <x:f>N185+M186</x:f>
        <x:v>639906</x:v>
      </x:c>
      <x:c r="O186" s="46" t="n">
        <x:f>IF(C186="P0",0,IF(D186&lt;=3,0.15,IF(D186&lt;=14,0.25,IF(D186&lt;=45,0.35,0.5))))</x:f>
        <x:v>0.5</x:v>
      </x:c>
      <x:c r="P186" s="47" t="n">
        <x:f>J186*O186</x:f>
        <x:v>9200</x:v>
      </x:c>
      <x:c r="Q186" s="46" t="n">
        <x:f>IF(C186="P0",0,IF(D186&lt;=3,0.05,IF(D186&lt;=14,0.1,IF(D186&lt;=45,0.15,0.2))))</x:f>
        <x:v>0.2</x:v>
      </x:c>
      <x:c r="R186" s="47" t="n">
        <x:f>J186*Q186</x:f>
        <x:v>3680</x:v>
      </x:c>
      <x:c r="S186" s="20" t="str">
        <x:f>IF(D186&lt;E186,"closed",IF(D186&lt;'Paths'!$N$8,"initial","expanded"))</x:f>
        <x:v>expanded</x:v>
      </x:c>
      <x:c r="T186" s="72"/>
    </x:row>
    <x:row r="187">
      <x:c r="C187" s="20" t="str">
        <x:v>P1</x:v>
      </x:c>
      <x:c r="D187" s="20" t="n">
        <x:v>89</x:v>
      </x:c>
      <x:c r="E187" s="45" t="n">
        <x:f>IF('Controls'!$D$7="Reference",'Paths'!$J$8,'Paths'!$K$8)</x:f>
        <x:v>1</x:v>
      </x:c>
      <x:c r="F187" s="47" t="n">
        <x:f>IF(D187&lt;'Paths'!$N$8,IF('Controls'!$D$7="Reference",'Paths'!$L$8,'Paths'!$M$8),IF('Controls'!$D$7="Reference",'Paths'!$O$8,'Paths'!$P$8))</x:f>
        <x:v>20000</x:v>
      </x:c>
      <x:c r="G187" s="46" t="n">
        <x:f>IF('Controls'!$D$7="Reference",1,IF(OR(D187=6,D187=7,D187=21,D187=46),'Paths'!$U$8,1))</x:f>
        <x:v>1</x:v>
      </x:c>
      <x:c r="H187" s="46" t="n">
        <x:f>IF('Controls'!$D$7="Reference",1,IF(OR(AND(D187&gt;=14,D187&lt;=16),AND(D187&gt;=34,D187&lt;=35),AND(D187&gt;=61,D187&lt;=63)),'Paths'!$V$8,1))</x:f>
        <x:v>1</x:v>
      </x:c>
      <x:c r="I187" s="46" t="n">
        <x:f>'Paths'!$W$8</x:f>
        <x:v>0.92</x:v>
      </x:c>
      <x:c r="J187" s="47" t="n">
        <x:f>IF(D187&lt;E187,0,MIN(F187*G187*H187*I187,IF('Paths'!$T$8&gt;0,MAX(0,'Paths'!$T$8-K186),1000000000)))</x:f>
        <x:v>18400</x:v>
      </x:c>
      <x:c r="K187" s="47" t="n">
        <x:f>K186+J187</x:f>
        <x:v>1532720</x:v>
      </x:c>
      <x:c r="L187" s="46" t="n">
        <x:f>IF(C187="P0",1,IF(D187&lt;=3,0.8,IF(D187&lt;=14,0.65,IF(D187&lt;=45,0.5,0.3))))</x:f>
        <x:v>0.3</x:v>
      </x:c>
      <x:c r="M187" s="47" t="n">
        <x:f>J187*L187</x:f>
        <x:v>5520</x:v>
      </x:c>
      <x:c r="N187" s="47" t="n">
        <x:f>N186+M187</x:f>
        <x:v>645426</x:v>
      </x:c>
      <x:c r="O187" s="46" t="n">
        <x:f>IF(C187="P0",0,IF(D187&lt;=3,0.15,IF(D187&lt;=14,0.25,IF(D187&lt;=45,0.35,0.5))))</x:f>
        <x:v>0.5</x:v>
      </x:c>
      <x:c r="P187" s="47" t="n">
        <x:f>J187*O187</x:f>
        <x:v>9200</x:v>
      </x:c>
      <x:c r="Q187" s="46" t="n">
        <x:f>IF(C187="P0",0,IF(D187&lt;=3,0.05,IF(D187&lt;=14,0.1,IF(D187&lt;=45,0.15,0.2))))</x:f>
        <x:v>0.2</x:v>
      </x:c>
      <x:c r="R187" s="47" t="n">
        <x:f>J187*Q187</x:f>
        <x:v>3680</x:v>
      </x:c>
      <x:c r="S187" s="20" t="str">
        <x:f>IF(D187&lt;E187,"closed",IF(D187&lt;'Paths'!$N$8,"initial","expanded"))</x:f>
        <x:v>expanded</x:v>
      </x:c>
      <x:c r="T187" s="72"/>
    </x:row>
    <x:row r="188">
      <x:c r="C188" s="20" t="str">
        <x:v>P1</x:v>
      </x:c>
      <x:c r="D188" s="20" t="n">
        <x:v>90</x:v>
      </x:c>
      <x:c r="E188" s="45" t="n">
        <x:f>IF('Controls'!$D$7="Reference",'Paths'!$J$8,'Paths'!$K$8)</x:f>
        <x:v>1</x:v>
      </x:c>
      <x:c r="F188" s="47" t="n">
        <x:f>IF(D188&lt;'Paths'!$N$8,IF('Controls'!$D$7="Reference",'Paths'!$L$8,'Paths'!$M$8),IF('Controls'!$D$7="Reference",'Paths'!$O$8,'Paths'!$P$8))</x:f>
        <x:v>20000</x:v>
      </x:c>
      <x:c r="G188" s="46" t="n">
        <x:f>IF('Controls'!$D$7="Reference",1,IF(OR(D188=6,D188=7,D188=21,D188=46),'Paths'!$U$8,1))</x:f>
        <x:v>1</x:v>
      </x:c>
      <x:c r="H188" s="46" t="n">
        <x:f>IF('Controls'!$D$7="Reference",1,IF(OR(AND(D188&gt;=14,D188&lt;=16),AND(D188&gt;=34,D188&lt;=35),AND(D188&gt;=61,D188&lt;=63)),'Paths'!$V$8,1))</x:f>
        <x:v>1</x:v>
      </x:c>
      <x:c r="I188" s="46" t="n">
        <x:f>'Paths'!$W$8</x:f>
        <x:v>0.92</x:v>
      </x:c>
      <x:c r="J188" s="47" t="n">
        <x:f>IF(D188&lt;E188,0,MIN(F188*G188*H188*I188,IF('Paths'!$T$8&gt;0,MAX(0,'Paths'!$T$8-K187),1000000000)))</x:f>
        <x:v>18400</x:v>
      </x:c>
      <x:c r="K188" s="47" t="n">
        <x:f>K187+J188</x:f>
        <x:v>1551120</x:v>
      </x:c>
      <x:c r="L188" s="46" t="n">
        <x:f>IF(C188="P0",1,IF(D188&lt;=3,0.8,IF(D188&lt;=14,0.65,IF(D188&lt;=45,0.5,0.3))))</x:f>
        <x:v>0.3</x:v>
      </x:c>
      <x:c r="M188" s="47" t="n">
        <x:f>J188*L188</x:f>
        <x:v>5520</x:v>
      </x:c>
      <x:c r="N188" s="47" t="n">
        <x:f>N187+M188</x:f>
        <x:v>650946</x:v>
      </x:c>
      <x:c r="O188" s="46" t="n">
        <x:f>IF(C188="P0",0,IF(D188&lt;=3,0.15,IF(D188&lt;=14,0.25,IF(D188&lt;=45,0.35,0.5))))</x:f>
        <x:v>0.5</x:v>
      </x:c>
      <x:c r="P188" s="47" t="n">
        <x:f>J188*O188</x:f>
        <x:v>9200</x:v>
      </x:c>
      <x:c r="Q188" s="46" t="n">
        <x:f>IF(C188="P0",0,IF(D188&lt;=3,0.05,IF(D188&lt;=14,0.1,IF(D188&lt;=45,0.15,0.2))))</x:f>
        <x:v>0.2</x:v>
      </x:c>
      <x:c r="R188" s="47" t="n">
        <x:f>J188*Q188</x:f>
        <x:v>3680</x:v>
      </x:c>
      <x:c r="S188" s="20" t="str">
        <x:f>IF(D188&lt;E188,"closed",IF(D188&lt;'Paths'!$N$8,"initial","expanded"))</x:f>
        <x:v>expanded</x:v>
      </x:c>
      <x:c r="T188" s="72"/>
    </x:row>
    <x:row r="189">
      <x:c r="C189" s="20" t="str">
        <x:v>P2</x:v>
      </x:c>
      <x:c r="D189" s="20" t="n">
        <x:v>0</x:v>
      </x:c>
      <x:c r="E189" s="45" t="n">
        <x:f>IF('Controls'!$D$7="Reference",'Paths'!$J$9,'Paths'!$K$9)</x:f>
        <x:v>1</x:v>
      </x:c>
      <x:c r="F189" s="47" t="n">
        <x:f>IF(D189&lt;'Paths'!$N$9,IF('Controls'!$D$7="Reference",'Paths'!$L$9,'Paths'!$M$9),IF('Controls'!$D$7="Reference",'Paths'!$O$9,'Paths'!$P$9))</x:f>
        <x:v>19000</x:v>
      </x:c>
      <x:c r="G189" s="46" t="n">
        <x:f>IF('Controls'!$D$7="Reference",1,IF(OR(D189=6,D189=7,D189=21,D189=46),'Paths'!$U$9,1))</x:f>
        <x:v>1</x:v>
      </x:c>
      <x:c r="H189" s="46" t="n">
        <x:f>IF('Controls'!$D$7="Reference",1,IF(OR(AND(D189&gt;=14,D189&lt;=16),AND(D189&gt;=34,D189&lt;=35),AND(D189&gt;=61,D189&lt;=63)),'Paths'!$V$9,1))</x:f>
        <x:v>1</x:v>
      </x:c>
      <x:c r="I189" s="46" t="n">
        <x:f>'Paths'!$W$9</x:f>
        <x:v>0.92</x:v>
      </x:c>
      <x:c r="J189" s="47" t="n">
        <x:f>IF(D189&lt;E189,0,MIN(F189*G189*H189*I189,IF('Paths'!$T$9&gt;0,MAX(0,'Paths'!$T$9-0),1000000000)))</x:f>
        <x:v>0</x:v>
      </x:c>
      <x:c r="K189" s="47" t="n">
        <x:f>0+J189</x:f>
        <x:v>0</x:v>
      </x:c>
      <x:c r="L189" s="46" t="n">
        <x:f>IF(C189="P0",1,IF(D189&lt;=3,0.8,IF(D189&lt;=14,0.65,IF(D189&lt;=45,0.5,0.3))))</x:f>
        <x:v>0.8</x:v>
      </x:c>
      <x:c r="M189" s="47" t="n">
        <x:f>J189*L189</x:f>
        <x:v>0</x:v>
      </x:c>
      <x:c r="N189" s="47" t="n">
        <x:f>0+M189</x:f>
        <x:v>0</x:v>
      </x:c>
      <x:c r="O189" s="46" t="n">
        <x:f>IF(C189="P0",0,IF(D189&lt;=3,0.15,IF(D189&lt;=14,0.25,IF(D189&lt;=45,0.35,0.5))))</x:f>
        <x:v>0.15</x:v>
      </x:c>
      <x:c r="P189" s="47" t="n">
        <x:f>J189*O189</x:f>
        <x:v>0</x:v>
      </x:c>
      <x:c r="Q189" s="46" t="n">
        <x:f>IF(C189="P0",0,IF(D189&lt;=3,0.05,IF(D189&lt;=14,0.1,IF(D189&lt;=45,0.15,0.2))))</x:f>
        <x:v>0.05</x:v>
      </x:c>
      <x:c r="R189" s="47" t="n">
        <x:f>J189*Q189</x:f>
        <x:v>0</x:v>
      </x:c>
      <x:c r="S189" s="20" t="str">
        <x:f>IF(D189&lt;E189,"closed",IF(D189&lt;'Paths'!$N$9,"initial","expanded"))</x:f>
        <x:v>closed</x:v>
      </x:c>
      <x:c r="T189" s="72"/>
    </x:row>
    <x:row r="190">
      <x:c r="C190" s="20" t="str">
        <x:v>P2</x:v>
      </x:c>
      <x:c r="D190" s="20" t="n">
        <x:v>1</x:v>
      </x:c>
      <x:c r="E190" s="45" t="n">
        <x:f>IF('Controls'!$D$7="Reference",'Paths'!$J$9,'Paths'!$K$9)</x:f>
        <x:v>1</x:v>
      </x:c>
      <x:c r="F190" s="47" t="n">
        <x:f>IF(D190&lt;'Paths'!$N$9,IF('Controls'!$D$7="Reference",'Paths'!$L$9,'Paths'!$M$9),IF('Controls'!$D$7="Reference",'Paths'!$O$9,'Paths'!$P$9))</x:f>
        <x:v>19000</x:v>
      </x:c>
      <x:c r="G190" s="46" t="n">
        <x:f>IF('Controls'!$D$7="Reference",1,IF(OR(D190=6,D190=7,D190=21,D190=46),'Paths'!$U$9,1))</x:f>
        <x:v>1</x:v>
      </x:c>
      <x:c r="H190" s="46" t="n">
        <x:f>IF('Controls'!$D$7="Reference",1,IF(OR(AND(D190&gt;=14,D190&lt;=16),AND(D190&gt;=34,D190&lt;=35),AND(D190&gt;=61,D190&lt;=63)),'Paths'!$V$9,1))</x:f>
        <x:v>1</x:v>
      </x:c>
      <x:c r="I190" s="46" t="n">
        <x:f>'Paths'!$W$9</x:f>
        <x:v>0.92</x:v>
      </x:c>
      <x:c r="J190" s="47" t="n">
        <x:f>IF(D190&lt;E190,0,MIN(F190*G190*H190*I190,IF('Paths'!$T$9&gt;0,MAX(0,'Paths'!$T$9-K189),1000000000)))</x:f>
        <x:v>17480</x:v>
      </x:c>
      <x:c r="K190" s="47" t="n">
        <x:f>K189+J190</x:f>
        <x:v>17480</x:v>
      </x:c>
      <x:c r="L190" s="46" t="n">
        <x:f>IF(C190="P0",1,IF(D190&lt;=3,0.8,IF(D190&lt;=14,0.65,IF(D190&lt;=45,0.5,0.3))))</x:f>
        <x:v>0.8</x:v>
      </x:c>
      <x:c r="M190" s="47" t="n">
        <x:f>J190*L190</x:f>
        <x:v>13984</x:v>
      </x:c>
      <x:c r="N190" s="47" t="n">
        <x:f>N189+M190</x:f>
        <x:v>13984</x:v>
      </x:c>
      <x:c r="O190" s="46" t="n">
        <x:f>IF(C190="P0",0,IF(D190&lt;=3,0.15,IF(D190&lt;=14,0.25,IF(D190&lt;=45,0.35,0.5))))</x:f>
        <x:v>0.15</x:v>
      </x:c>
      <x:c r="P190" s="47" t="n">
        <x:f>J190*O190</x:f>
        <x:v>2622</x:v>
      </x:c>
      <x:c r="Q190" s="46" t="n">
        <x:f>IF(C190="P0",0,IF(D190&lt;=3,0.05,IF(D190&lt;=14,0.1,IF(D190&lt;=45,0.15,0.2))))</x:f>
        <x:v>0.05</x:v>
      </x:c>
      <x:c r="R190" s="47" t="n">
        <x:f>J190*Q190</x:f>
        <x:v>874</x:v>
      </x:c>
      <x:c r="S190" s="20" t="str">
        <x:f>IF(D190&lt;E190,"closed",IF(D190&lt;'Paths'!$N$9,"initial","expanded"))</x:f>
        <x:v>initial</x:v>
      </x:c>
      <x:c r="T190" s="72"/>
    </x:row>
    <x:row r="191">
      <x:c r="C191" s="20" t="str">
        <x:v>P2</x:v>
      </x:c>
      <x:c r="D191" s="20" t="n">
        <x:v>2</x:v>
      </x:c>
      <x:c r="E191" s="45" t="n">
        <x:f>IF('Controls'!$D$7="Reference",'Paths'!$J$9,'Paths'!$K$9)</x:f>
        <x:v>1</x:v>
      </x:c>
      <x:c r="F191" s="47" t="n">
        <x:f>IF(D191&lt;'Paths'!$N$9,IF('Controls'!$D$7="Reference",'Paths'!$L$9,'Paths'!$M$9),IF('Controls'!$D$7="Reference",'Paths'!$O$9,'Paths'!$P$9))</x:f>
        <x:v>19000</x:v>
      </x:c>
      <x:c r="G191" s="46" t="n">
        <x:f>IF('Controls'!$D$7="Reference",1,IF(OR(D191=6,D191=7,D191=21,D191=46),'Paths'!$U$9,1))</x:f>
        <x:v>1</x:v>
      </x:c>
      <x:c r="H191" s="46" t="n">
        <x:f>IF('Controls'!$D$7="Reference",1,IF(OR(AND(D191&gt;=14,D191&lt;=16),AND(D191&gt;=34,D191&lt;=35),AND(D191&gt;=61,D191&lt;=63)),'Paths'!$V$9,1))</x:f>
        <x:v>1</x:v>
      </x:c>
      <x:c r="I191" s="46" t="n">
        <x:f>'Paths'!$W$9</x:f>
        <x:v>0.92</x:v>
      </x:c>
      <x:c r="J191" s="47" t="n">
        <x:f>IF(D191&lt;E191,0,MIN(F191*G191*H191*I191,IF('Paths'!$T$9&gt;0,MAX(0,'Paths'!$T$9-K190),1000000000)))</x:f>
        <x:v>17480</x:v>
      </x:c>
      <x:c r="K191" s="47" t="n">
        <x:f>K190+J191</x:f>
        <x:v>34960</x:v>
      </x:c>
      <x:c r="L191" s="46" t="n">
        <x:f>IF(C191="P0",1,IF(D191&lt;=3,0.8,IF(D191&lt;=14,0.65,IF(D191&lt;=45,0.5,0.3))))</x:f>
        <x:v>0.8</x:v>
      </x:c>
      <x:c r="M191" s="47" t="n">
        <x:f>J191*L191</x:f>
        <x:v>13984</x:v>
      </x:c>
      <x:c r="N191" s="47" t="n">
        <x:f>N190+M191</x:f>
        <x:v>27968</x:v>
      </x:c>
      <x:c r="O191" s="46" t="n">
        <x:f>IF(C191="P0",0,IF(D191&lt;=3,0.15,IF(D191&lt;=14,0.25,IF(D191&lt;=45,0.35,0.5))))</x:f>
        <x:v>0.15</x:v>
      </x:c>
      <x:c r="P191" s="47" t="n">
        <x:f>J191*O191</x:f>
        <x:v>2622</x:v>
      </x:c>
      <x:c r="Q191" s="46" t="n">
        <x:f>IF(C191="P0",0,IF(D191&lt;=3,0.05,IF(D191&lt;=14,0.1,IF(D191&lt;=45,0.15,0.2))))</x:f>
        <x:v>0.05</x:v>
      </x:c>
      <x:c r="R191" s="47" t="n">
        <x:f>J191*Q191</x:f>
        <x:v>874</x:v>
      </x:c>
      <x:c r="S191" s="20" t="str">
        <x:f>IF(D191&lt;E191,"closed",IF(D191&lt;'Paths'!$N$9,"initial","expanded"))</x:f>
        <x:v>initial</x:v>
      </x:c>
      <x:c r="T191" s="72"/>
    </x:row>
    <x:row r="192">
      <x:c r="C192" s="20" t="str">
        <x:v>P2</x:v>
      </x:c>
      <x:c r="D192" s="20" t="n">
        <x:v>3</x:v>
      </x:c>
      <x:c r="E192" s="45" t="n">
        <x:f>IF('Controls'!$D$7="Reference",'Paths'!$J$9,'Paths'!$K$9)</x:f>
        <x:v>1</x:v>
      </x:c>
      <x:c r="F192" s="47" t="n">
        <x:f>IF(D192&lt;'Paths'!$N$9,IF('Controls'!$D$7="Reference",'Paths'!$L$9,'Paths'!$M$9),IF('Controls'!$D$7="Reference",'Paths'!$O$9,'Paths'!$P$9))</x:f>
        <x:v>19000</x:v>
      </x:c>
      <x:c r="G192" s="46" t="n">
        <x:f>IF('Controls'!$D$7="Reference",1,IF(OR(D192=6,D192=7,D192=21,D192=46),'Paths'!$U$9,1))</x:f>
        <x:v>1</x:v>
      </x:c>
      <x:c r="H192" s="46" t="n">
        <x:f>IF('Controls'!$D$7="Reference",1,IF(OR(AND(D192&gt;=14,D192&lt;=16),AND(D192&gt;=34,D192&lt;=35),AND(D192&gt;=61,D192&lt;=63)),'Paths'!$V$9,1))</x:f>
        <x:v>1</x:v>
      </x:c>
      <x:c r="I192" s="46" t="n">
        <x:f>'Paths'!$W$9</x:f>
        <x:v>0.92</x:v>
      </x:c>
      <x:c r="J192" s="47" t="n">
        <x:f>IF(D192&lt;E192,0,MIN(F192*G192*H192*I192,IF('Paths'!$T$9&gt;0,MAX(0,'Paths'!$T$9-K191),1000000000)))</x:f>
        <x:v>17480</x:v>
      </x:c>
      <x:c r="K192" s="47" t="n">
        <x:f>K191+J192</x:f>
        <x:v>52440</x:v>
      </x:c>
      <x:c r="L192" s="46" t="n">
        <x:f>IF(C192="P0",1,IF(D192&lt;=3,0.8,IF(D192&lt;=14,0.65,IF(D192&lt;=45,0.5,0.3))))</x:f>
        <x:v>0.8</x:v>
      </x:c>
      <x:c r="M192" s="47" t="n">
        <x:f>J192*L192</x:f>
        <x:v>13984</x:v>
      </x:c>
      <x:c r="N192" s="47" t="n">
        <x:f>N191+M192</x:f>
        <x:v>41952</x:v>
      </x:c>
      <x:c r="O192" s="46" t="n">
        <x:f>IF(C192="P0",0,IF(D192&lt;=3,0.15,IF(D192&lt;=14,0.25,IF(D192&lt;=45,0.35,0.5))))</x:f>
        <x:v>0.15</x:v>
      </x:c>
      <x:c r="P192" s="47" t="n">
        <x:f>J192*O192</x:f>
        <x:v>2622</x:v>
      </x:c>
      <x:c r="Q192" s="46" t="n">
        <x:f>IF(C192="P0",0,IF(D192&lt;=3,0.05,IF(D192&lt;=14,0.1,IF(D192&lt;=45,0.15,0.2))))</x:f>
        <x:v>0.05</x:v>
      </x:c>
      <x:c r="R192" s="47" t="n">
        <x:f>J192*Q192</x:f>
        <x:v>874</x:v>
      </x:c>
      <x:c r="S192" s="20" t="str">
        <x:f>IF(D192&lt;E192,"closed",IF(D192&lt;'Paths'!$N$9,"initial","expanded"))</x:f>
        <x:v>initial</x:v>
      </x:c>
      <x:c r="T192" s="72"/>
    </x:row>
    <x:row r="193">
      <x:c r="C193" s="20" t="str">
        <x:v>P2</x:v>
      </x:c>
      <x:c r="D193" s="20" t="n">
        <x:v>4</x:v>
      </x:c>
      <x:c r="E193" s="45" t="n">
        <x:f>IF('Controls'!$D$7="Reference",'Paths'!$J$9,'Paths'!$K$9)</x:f>
        <x:v>1</x:v>
      </x:c>
      <x:c r="F193" s="47" t="n">
        <x:f>IF(D193&lt;'Paths'!$N$9,IF('Controls'!$D$7="Reference",'Paths'!$L$9,'Paths'!$M$9),IF('Controls'!$D$7="Reference",'Paths'!$O$9,'Paths'!$P$9))</x:f>
        <x:v>19000</x:v>
      </x:c>
      <x:c r="G193" s="46" t="n">
        <x:f>IF('Controls'!$D$7="Reference",1,IF(OR(D193=6,D193=7,D193=21,D193=46),'Paths'!$U$9,1))</x:f>
        <x:v>1</x:v>
      </x:c>
      <x:c r="H193" s="46" t="n">
        <x:f>IF('Controls'!$D$7="Reference",1,IF(OR(AND(D193&gt;=14,D193&lt;=16),AND(D193&gt;=34,D193&lt;=35),AND(D193&gt;=61,D193&lt;=63)),'Paths'!$V$9,1))</x:f>
        <x:v>1</x:v>
      </x:c>
      <x:c r="I193" s="46" t="n">
        <x:f>'Paths'!$W$9</x:f>
        <x:v>0.92</x:v>
      </x:c>
      <x:c r="J193" s="47" t="n">
        <x:f>IF(D193&lt;E193,0,MIN(F193*G193*H193*I193,IF('Paths'!$T$9&gt;0,MAX(0,'Paths'!$T$9-K192),1000000000)))</x:f>
        <x:v>17480</x:v>
      </x:c>
      <x:c r="K193" s="47" t="n">
        <x:f>K192+J193</x:f>
        <x:v>69920</x:v>
      </x:c>
      <x:c r="L193" s="46" t="n">
        <x:f>IF(C193="P0",1,IF(D193&lt;=3,0.8,IF(D193&lt;=14,0.65,IF(D193&lt;=45,0.5,0.3))))</x:f>
        <x:v>0.65</x:v>
      </x:c>
      <x:c r="M193" s="47" t="n">
        <x:f>J193*L193</x:f>
        <x:v>11362</x:v>
      </x:c>
      <x:c r="N193" s="47" t="n">
        <x:f>N192+M193</x:f>
        <x:v>53314</x:v>
      </x:c>
      <x:c r="O193" s="46" t="n">
        <x:f>IF(C193="P0",0,IF(D193&lt;=3,0.15,IF(D193&lt;=14,0.25,IF(D193&lt;=45,0.35,0.5))))</x:f>
        <x:v>0.25</x:v>
      </x:c>
      <x:c r="P193" s="47" t="n">
        <x:f>J193*O193</x:f>
        <x:v>4370</x:v>
      </x:c>
      <x:c r="Q193" s="46" t="n">
        <x:f>IF(C193="P0",0,IF(D193&lt;=3,0.05,IF(D193&lt;=14,0.1,IF(D193&lt;=45,0.15,0.2))))</x:f>
        <x:v>0.1</x:v>
      </x:c>
      <x:c r="R193" s="47" t="n">
        <x:f>J193*Q193</x:f>
        <x:v>1748</x:v>
      </x:c>
      <x:c r="S193" s="20" t="str">
        <x:f>IF(D193&lt;E193,"closed",IF(D193&lt;'Paths'!$N$9,"initial","expanded"))</x:f>
        <x:v>initial</x:v>
      </x:c>
      <x:c r="T193" s="72"/>
    </x:row>
    <x:row r="194">
      <x:c r="C194" s="20" t="str">
        <x:v>P2</x:v>
      </x:c>
      <x:c r="D194" s="20" t="n">
        <x:v>5</x:v>
      </x:c>
      <x:c r="E194" s="45" t="n">
        <x:f>IF('Controls'!$D$7="Reference",'Paths'!$J$9,'Paths'!$K$9)</x:f>
        <x:v>1</x:v>
      </x:c>
      <x:c r="F194" s="47" t="n">
        <x:f>IF(D194&lt;'Paths'!$N$9,IF('Controls'!$D$7="Reference",'Paths'!$L$9,'Paths'!$M$9),IF('Controls'!$D$7="Reference",'Paths'!$O$9,'Paths'!$P$9))</x:f>
        <x:v>19000</x:v>
      </x:c>
      <x:c r="G194" s="46" t="n">
        <x:f>IF('Controls'!$D$7="Reference",1,IF(OR(D194=6,D194=7,D194=21,D194=46),'Paths'!$U$9,1))</x:f>
        <x:v>1</x:v>
      </x:c>
      <x:c r="H194" s="46" t="n">
        <x:f>IF('Controls'!$D$7="Reference",1,IF(OR(AND(D194&gt;=14,D194&lt;=16),AND(D194&gt;=34,D194&lt;=35),AND(D194&gt;=61,D194&lt;=63)),'Paths'!$V$9,1))</x:f>
        <x:v>1</x:v>
      </x:c>
      <x:c r="I194" s="46" t="n">
        <x:f>'Paths'!$W$9</x:f>
        <x:v>0.92</x:v>
      </x:c>
      <x:c r="J194" s="47" t="n">
        <x:f>IF(D194&lt;E194,0,MIN(F194*G194*H194*I194,IF('Paths'!$T$9&gt;0,MAX(0,'Paths'!$T$9-K193),1000000000)))</x:f>
        <x:v>17480</x:v>
      </x:c>
      <x:c r="K194" s="47" t="n">
        <x:f>K193+J194</x:f>
        <x:v>87400</x:v>
      </x:c>
      <x:c r="L194" s="46" t="n">
        <x:f>IF(C194="P0",1,IF(D194&lt;=3,0.8,IF(D194&lt;=14,0.65,IF(D194&lt;=45,0.5,0.3))))</x:f>
        <x:v>0.65</x:v>
      </x:c>
      <x:c r="M194" s="47" t="n">
        <x:f>J194*L194</x:f>
        <x:v>11362</x:v>
      </x:c>
      <x:c r="N194" s="47" t="n">
        <x:f>N193+M194</x:f>
        <x:v>64676</x:v>
      </x:c>
      <x:c r="O194" s="46" t="n">
        <x:f>IF(C194="P0",0,IF(D194&lt;=3,0.15,IF(D194&lt;=14,0.25,IF(D194&lt;=45,0.35,0.5))))</x:f>
        <x:v>0.25</x:v>
      </x:c>
      <x:c r="P194" s="47" t="n">
        <x:f>J194*O194</x:f>
        <x:v>4370</x:v>
      </x:c>
      <x:c r="Q194" s="46" t="n">
        <x:f>IF(C194="P0",0,IF(D194&lt;=3,0.05,IF(D194&lt;=14,0.1,IF(D194&lt;=45,0.15,0.2))))</x:f>
        <x:v>0.1</x:v>
      </x:c>
      <x:c r="R194" s="47" t="n">
        <x:f>J194*Q194</x:f>
        <x:v>1748</x:v>
      </x:c>
      <x:c r="S194" s="20" t="str">
        <x:f>IF(D194&lt;E194,"closed",IF(D194&lt;'Paths'!$N$9,"initial","expanded"))</x:f>
        <x:v>initial</x:v>
      </x:c>
      <x:c r="T194" s="72"/>
    </x:row>
    <x:row r="195">
      <x:c r="C195" s="20" t="str">
        <x:v>P2</x:v>
      </x:c>
      <x:c r="D195" s="20" t="n">
        <x:v>6</x:v>
      </x:c>
      <x:c r="E195" s="45" t="n">
        <x:f>IF('Controls'!$D$7="Reference",'Paths'!$J$9,'Paths'!$K$9)</x:f>
        <x:v>1</x:v>
      </x:c>
      <x:c r="F195" s="47" t="n">
        <x:f>IF(D195&lt;'Paths'!$N$9,IF('Controls'!$D$7="Reference",'Paths'!$L$9,'Paths'!$M$9),IF('Controls'!$D$7="Reference",'Paths'!$O$9,'Paths'!$P$9))</x:f>
        <x:v>19000</x:v>
      </x:c>
      <x:c r="G195" s="46" t="n">
        <x:f>IF('Controls'!$D$7="Reference",1,IF(OR(D195=6,D195=7,D195=21,D195=46),'Paths'!$U$9,1))</x:f>
        <x:v>0.75</x:v>
      </x:c>
      <x:c r="H195" s="46" t="n">
        <x:f>IF('Controls'!$D$7="Reference",1,IF(OR(AND(D195&gt;=14,D195&lt;=16),AND(D195&gt;=34,D195&lt;=35),AND(D195&gt;=61,D195&lt;=63)),'Paths'!$V$9,1))</x:f>
        <x:v>1</x:v>
      </x:c>
      <x:c r="I195" s="46" t="n">
        <x:f>'Paths'!$W$9</x:f>
        <x:v>0.92</x:v>
      </x:c>
      <x:c r="J195" s="47" t="n">
        <x:f>IF(D195&lt;E195,0,MIN(F195*G195*H195*I195,IF('Paths'!$T$9&gt;0,MAX(0,'Paths'!$T$9-K194),1000000000)))</x:f>
        <x:v>13110</x:v>
      </x:c>
      <x:c r="K195" s="47" t="n">
        <x:f>K194+J195</x:f>
        <x:v>100510</x:v>
      </x:c>
      <x:c r="L195" s="46" t="n">
        <x:f>IF(C195="P0",1,IF(D195&lt;=3,0.8,IF(D195&lt;=14,0.65,IF(D195&lt;=45,0.5,0.3))))</x:f>
        <x:v>0.65</x:v>
      </x:c>
      <x:c r="M195" s="47" t="n">
        <x:f>J195*L195</x:f>
        <x:v>8521.5</x:v>
      </x:c>
      <x:c r="N195" s="47" t="n">
        <x:f>N194+M195</x:f>
        <x:v>73197.5</x:v>
      </x:c>
      <x:c r="O195" s="46" t="n">
        <x:f>IF(C195="P0",0,IF(D195&lt;=3,0.15,IF(D195&lt;=14,0.25,IF(D195&lt;=45,0.35,0.5))))</x:f>
        <x:v>0.25</x:v>
      </x:c>
      <x:c r="P195" s="47" t="n">
        <x:f>J195*O195</x:f>
        <x:v>3277.5</x:v>
      </x:c>
      <x:c r="Q195" s="46" t="n">
        <x:f>IF(C195="P0",0,IF(D195&lt;=3,0.05,IF(D195&lt;=14,0.1,IF(D195&lt;=45,0.15,0.2))))</x:f>
        <x:v>0.1</x:v>
      </x:c>
      <x:c r="R195" s="47" t="n">
        <x:f>J195*Q195</x:f>
        <x:v>1311</x:v>
      </x:c>
      <x:c r="S195" s="20" t="str">
        <x:f>IF(D195&lt;E195,"closed",IF(D195&lt;'Paths'!$N$9,"initial","expanded"))</x:f>
        <x:v>initial</x:v>
      </x:c>
      <x:c r="T195" s="72"/>
    </x:row>
    <x:row r="196">
      <x:c r="C196" s="20" t="str">
        <x:v>P2</x:v>
      </x:c>
      <x:c r="D196" s="20" t="n">
        <x:v>7</x:v>
      </x:c>
      <x:c r="E196" s="45" t="n">
        <x:f>IF('Controls'!$D$7="Reference",'Paths'!$J$9,'Paths'!$K$9)</x:f>
        <x:v>1</x:v>
      </x:c>
      <x:c r="F196" s="47" t="n">
        <x:f>IF(D196&lt;'Paths'!$N$9,IF('Controls'!$D$7="Reference",'Paths'!$L$9,'Paths'!$M$9),IF('Controls'!$D$7="Reference",'Paths'!$O$9,'Paths'!$P$9))</x:f>
        <x:v>19000</x:v>
      </x:c>
      <x:c r="G196" s="46" t="n">
        <x:f>IF('Controls'!$D$7="Reference",1,IF(OR(D196=6,D196=7,D196=21,D196=46),'Paths'!$U$9,1))</x:f>
        <x:v>0.75</x:v>
      </x:c>
      <x:c r="H196" s="46" t="n">
        <x:f>IF('Controls'!$D$7="Reference",1,IF(OR(AND(D196&gt;=14,D196&lt;=16),AND(D196&gt;=34,D196&lt;=35),AND(D196&gt;=61,D196&lt;=63)),'Paths'!$V$9,1))</x:f>
        <x:v>1</x:v>
      </x:c>
      <x:c r="I196" s="46" t="n">
        <x:f>'Paths'!$W$9</x:f>
        <x:v>0.92</x:v>
      </x:c>
      <x:c r="J196" s="47" t="n">
        <x:f>IF(D196&lt;E196,0,MIN(F196*G196*H196*I196,IF('Paths'!$T$9&gt;0,MAX(0,'Paths'!$T$9-K195),1000000000)))</x:f>
        <x:v>13110</x:v>
      </x:c>
      <x:c r="K196" s="47" t="n">
        <x:f>K195+J196</x:f>
        <x:v>113620</x:v>
      </x:c>
      <x:c r="L196" s="46" t="n">
        <x:f>IF(C196="P0",1,IF(D196&lt;=3,0.8,IF(D196&lt;=14,0.65,IF(D196&lt;=45,0.5,0.3))))</x:f>
        <x:v>0.65</x:v>
      </x:c>
      <x:c r="M196" s="47" t="n">
        <x:f>J196*L196</x:f>
        <x:v>8521.5</x:v>
      </x:c>
      <x:c r="N196" s="47" t="n">
        <x:f>N195+M196</x:f>
        <x:v>81719</x:v>
      </x:c>
      <x:c r="O196" s="46" t="n">
        <x:f>IF(C196="P0",0,IF(D196&lt;=3,0.15,IF(D196&lt;=14,0.25,IF(D196&lt;=45,0.35,0.5))))</x:f>
        <x:v>0.25</x:v>
      </x:c>
      <x:c r="P196" s="47" t="n">
        <x:f>J196*O196</x:f>
        <x:v>3277.5</x:v>
      </x:c>
      <x:c r="Q196" s="46" t="n">
        <x:f>IF(C196="P0",0,IF(D196&lt;=3,0.05,IF(D196&lt;=14,0.1,IF(D196&lt;=45,0.15,0.2))))</x:f>
        <x:v>0.1</x:v>
      </x:c>
      <x:c r="R196" s="47" t="n">
        <x:f>J196*Q196</x:f>
        <x:v>1311</x:v>
      </x:c>
      <x:c r="S196" s="20" t="str">
        <x:f>IF(D196&lt;E196,"closed",IF(D196&lt;'Paths'!$N$9,"initial","expanded"))</x:f>
        <x:v>initial</x:v>
      </x:c>
      <x:c r="T196" s="72"/>
    </x:row>
    <x:row r="197">
      <x:c r="C197" s="20" t="str">
        <x:v>P2</x:v>
      </x:c>
      <x:c r="D197" s="20" t="n">
        <x:v>8</x:v>
      </x:c>
      <x:c r="E197" s="45" t="n">
        <x:f>IF('Controls'!$D$7="Reference",'Paths'!$J$9,'Paths'!$K$9)</x:f>
        <x:v>1</x:v>
      </x:c>
      <x:c r="F197" s="47" t="n">
        <x:f>IF(D197&lt;'Paths'!$N$9,IF('Controls'!$D$7="Reference",'Paths'!$L$9,'Paths'!$M$9),IF('Controls'!$D$7="Reference",'Paths'!$O$9,'Paths'!$P$9))</x:f>
        <x:v>22000</x:v>
      </x:c>
      <x:c r="G197" s="46" t="n">
        <x:f>IF('Controls'!$D$7="Reference",1,IF(OR(D197=6,D197=7,D197=21,D197=46),'Paths'!$U$9,1))</x:f>
        <x:v>1</x:v>
      </x:c>
      <x:c r="H197" s="46" t="n">
        <x:f>IF('Controls'!$D$7="Reference",1,IF(OR(AND(D197&gt;=14,D197&lt;=16),AND(D197&gt;=34,D197&lt;=35),AND(D197&gt;=61,D197&lt;=63)),'Paths'!$V$9,1))</x:f>
        <x:v>1</x:v>
      </x:c>
      <x:c r="I197" s="46" t="n">
        <x:f>'Paths'!$W$9</x:f>
        <x:v>0.92</x:v>
      </x:c>
      <x:c r="J197" s="47" t="n">
        <x:f>IF(D197&lt;E197,0,MIN(F197*G197*H197*I197,IF('Paths'!$T$9&gt;0,MAX(0,'Paths'!$T$9-K196),1000000000)))</x:f>
        <x:v>20240</x:v>
      </x:c>
      <x:c r="K197" s="47" t="n">
        <x:f>K196+J197</x:f>
        <x:v>133860</x:v>
      </x:c>
      <x:c r="L197" s="46" t="n">
        <x:f>IF(C197="P0",1,IF(D197&lt;=3,0.8,IF(D197&lt;=14,0.65,IF(D197&lt;=45,0.5,0.3))))</x:f>
        <x:v>0.65</x:v>
      </x:c>
      <x:c r="M197" s="47" t="n">
        <x:f>J197*L197</x:f>
        <x:v>13156</x:v>
      </x:c>
      <x:c r="N197" s="47" t="n">
        <x:f>N196+M197</x:f>
        <x:v>94875</x:v>
      </x:c>
      <x:c r="O197" s="46" t="n">
        <x:f>IF(C197="P0",0,IF(D197&lt;=3,0.15,IF(D197&lt;=14,0.25,IF(D197&lt;=45,0.35,0.5))))</x:f>
        <x:v>0.25</x:v>
      </x:c>
      <x:c r="P197" s="47" t="n">
        <x:f>J197*O197</x:f>
        <x:v>5060</x:v>
      </x:c>
      <x:c r="Q197" s="46" t="n">
        <x:f>IF(C197="P0",0,IF(D197&lt;=3,0.05,IF(D197&lt;=14,0.1,IF(D197&lt;=45,0.15,0.2))))</x:f>
        <x:v>0.1</x:v>
      </x:c>
      <x:c r="R197" s="47" t="n">
        <x:f>J197*Q197</x:f>
        <x:v>2024</x:v>
      </x:c>
      <x:c r="S197" s="20" t="str">
        <x:f>IF(D197&lt;E197,"closed",IF(D197&lt;'Paths'!$N$9,"initial","expanded"))</x:f>
        <x:v>expanded</x:v>
      </x:c>
      <x:c r="T197" s="72"/>
    </x:row>
    <x:row r="198">
      <x:c r="C198" s="20" t="str">
        <x:v>P2</x:v>
      </x:c>
      <x:c r="D198" s="20" t="n">
        <x:v>9</x:v>
      </x:c>
      <x:c r="E198" s="45" t="n">
        <x:f>IF('Controls'!$D$7="Reference",'Paths'!$J$9,'Paths'!$K$9)</x:f>
        <x:v>1</x:v>
      </x:c>
      <x:c r="F198" s="47" t="n">
        <x:f>IF(D198&lt;'Paths'!$N$9,IF('Controls'!$D$7="Reference",'Paths'!$L$9,'Paths'!$M$9),IF('Controls'!$D$7="Reference",'Paths'!$O$9,'Paths'!$P$9))</x:f>
        <x:v>22000</x:v>
      </x:c>
      <x:c r="G198" s="46" t="n">
        <x:f>IF('Controls'!$D$7="Reference",1,IF(OR(D198=6,D198=7,D198=21,D198=46),'Paths'!$U$9,1))</x:f>
        <x:v>1</x:v>
      </x:c>
      <x:c r="H198" s="46" t="n">
        <x:f>IF('Controls'!$D$7="Reference",1,IF(OR(AND(D198&gt;=14,D198&lt;=16),AND(D198&gt;=34,D198&lt;=35),AND(D198&gt;=61,D198&lt;=63)),'Paths'!$V$9,1))</x:f>
        <x:v>1</x:v>
      </x:c>
      <x:c r="I198" s="46" t="n">
        <x:f>'Paths'!$W$9</x:f>
        <x:v>0.92</x:v>
      </x:c>
      <x:c r="J198" s="47" t="n">
        <x:f>IF(D198&lt;E198,0,MIN(F198*G198*H198*I198,IF('Paths'!$T$9&gt;0,MAX(0,'Paths'!$T$9-K197),1000000000)))</x:f>
        <x:v>20240</x:v>
      </x:c>
      <x:c r="K198" s="47" t="n">
        <x:f>K197+J198</x:f>
        <x:v>154100</x:v>
      </x:c>
      <x:c r="L198" s="46" t="n">
        <x:f>IF(C198="P0",1,IF(D198&lt;=3,0.8,IF(D198&lt;=14,0.65,IF(D198&lt;=45,0.5,0.3))))</x:f>
        <x:v>0.65</x:v>
      </x:c>
      <x:c r="M198" s="47" t="n">
        <x:f>J198*L198</x:f>
        <x:v>13156</x:v>
      </x:c>
      <x:c r="N198" s="47" t="n">
        <x:f>N197+M198</x:f>
        <x:v>108031</x:v>
      </x:c>
      <x:c r="O198" s="46" t="n">
        <x:f>IF(C198="P0",0,IF(D198&lt;=3,0.15,IF(D198&lt;=14,0.25,IF(D198&lt;=45,0.35,0.5))))</x:f>
        <x:v>0.25</x:v>
      </x:c>
      <x:c r="P198" s="47" t="n">
        <x:f>J198*O198</x:f>
        <x:v>5060</x:v>
      </x:c>
      <x:c r="Q198" s="46" t="n">
        <x:f>IF(C198="P0",0,IF(D198&lt;=3,0.05,IF(D198&lt;=14,0.1,IF(D198&lt;=45,0.15,0.2))))</x:f>
        <x:v>0.1</x:v>
      </x:c>
      <x:c r="R198" s="47" t="n">
        <x:f>J198*Q198</x:f>
        <x:v>2024</x:v>
      </x:c>
      <x:c r="S198" s="20" t="str">
        <x:f>IF(D198&lt;E198,"closed",IF(D198&lt;'Paths'!$N$9,"initial","expanded"))</x:f>
        <x:v>expanded</x:v>
      </x:c>
      <x:c r="T198" s="72"/>
    </x:row>
    <x:row r="199">
      <x:c r="C199" s="20" t="str">
        <x:v>P2</x:v>
      </x:c>
      <x:c r="D199" s="20" t="n">
        <x:v>10</x:v>
      </x:c>
      <x:c r="E199" s="45" t="n">
        <x:f>IF('Controls'!$D$7="Reference",'Paths'!$J$9,'Paths'!$K$9)</x:f>
        <x:v>1</x:v>
      </x:c>
      <x:c r="F199" s="47" t="n">
        <x:f>IF(D199&lt;'Paths'!$N$9,IF('Controls'!$D$7="Reference",'Paths'!$L$9,'Paths'!$M$9),IF('Controls'!$D$7="Reference",'Paths'!$O$9,'Paths'!$P$9))</x:f>
        <x:v>22000</x:v>
      </x:c>
      <x:c r="G199" s="46" t="n">
        <x:f>IF('Controls'!$D$7="Reference",1,IF(OR(D199=6,D199=7,D199=21,D199=46),'Paths'!$U$9,1))</x:f>
        <x:v>1</x:v>
      </x:c>
      <x:c r="H199" s="46" t="n">
        <x:f>IF('Controls'!$D$7="Reference",1,IF(OR(AND(D199&gt;=14,D199&lt;=16),AND(D199&gt;=34,D199&lt;=35),AND(D199&gt;=61,D199&lt;=63)),'Paths'!$V$9,1))</x:f>
        <x:v>1</x:v>
      </x:c>
      <x:c r="I199" s="46" t="n">
        <x:f>'Paths'!$W$9</x:f>
        <x:v>0.92</x:v>
      </x:c>
      <x:c r="J199" s="47" t="n">
        <x:f>IF(D199&lt;E199,0,MIN(F199*G199*H199*I199,IF('Paths'!$T$9&gt;0,MAX(0,'Paths'!$T$9-K198),1000000000)))</x:f>
        <x:v>20240</x:v>
      </x:c>
      <x:c r="K199" s="47" t="n">
        <x:f>K198+J199</x:f>
        <x:v>174340</x:v>
      </x:c>
      <x:c r="L199" s="46" t="n">
        <x:f>IF(C199="P0",1,IF(D199&lt;=3,0.8,IF(D199&lt;=14,0.65,IF(D199&lt;=45,0.5,0.3))))</x:f>
        <x:v>0.65</x:v>
      </x:c>
      <x:c r="M199" s="47" t="n">
        <x:f>J199*L199</x:f>
        <x:v>13156</x:v>
      </x:c>
      <x:c r="N199" s="47" t="n">
        <x:f>N198+M199</x:f>
        <x:v>121187</x:v>
      </x:c>
      <x:c r="O199" s="46" t="n">
        <x:f>IF(C199="P0",0,IF(D199&lt;=3,0.15,IF(D199&lt;=14,0.25,IF(D199&lt;=45,0.35,0.5))))</x:f>
        <x:v>0.25</x:v>
      </x:c>
      <x:c r="P199" s="47" t="n">
        <x:f>J199*O199</x:f>
        <x:v>5060</x:v>
      </x:c>
      <x:c r="Q199" s="46" t="n">
        <x:f>IF(C199="P0",0,IF(D199&lt;=3,0.05,IF(D199&lt;=14,0.1,IF(D199&lt;=45,0.15,0.2))))</x:f>
        <x:v>0.1</x:v>
      </x:c>
      <x:c r="R199" s="47" t="n">
        <x:f>J199*Q199</x:f>
        <x:v>2024</x:v>
      </x:c>
      <x:c r="S199" s="20" t="str">
        <x:f>IF(D199&lt;E199,"closed",IF(D199&lt;'Paths'!$N$9,"initial","expanded"))</x:f>
        <x:v>expanded</x:v>
      </x:c>
      <x:c r="T199" s="72"/>
    </x:row>
    <x:row r="200">
      <x:c r="C200" s="20" t="str">
        <x:v>P2</x:v>
      </x:c>
      <x:c r="D200" s="20" t="n">
        <x:v>11</x:v>
      </x:c>
      <x:c r="E200" s="45" t="n">
        <x:f>IF('Controls'!$D$7="Reference",'Paths'!$J$9,'Paths'!$K$9)</x:f>
        <x:v>1</x:v>
      </x:c>
      <x:c r="F200" s="47" t="n">
        <x:f>IF(D200&lt;'Paths'!$N$9,IF('Controls'!$D$7="Reference",'Paths'!$L$9,'Paths'!$M$9),IF('Controls'!$D$7="Reference",'Paths'!$O$9,'Paths'!$P$9))</x:f>
        <x:v>22000</x:v>
      </x:c>
      <x:c r="G200" s="46" t="n">
        <x:f>IF('Controls'!$D$7="Reference",1,IF(OR(D200=6,D200=7,D200=21,D200=46),'Paths'!$U$9,1))</x:f>
        <x:v>1</x:v>
      </x:c>
      <x:c r="H200" s="46" t="n">
        <x:f>IF('Controls'!$D$7="Reference",1,IF(OR(AND(D200&gt;=14,D200&lt;=16),AND(D200&gt;=34,D200&lt;=35),AND(D200&gt;=61,D200&lt;=63)),'Paths'!$V$9,1))</x:f>
        <x:v>1</x:v>
      </x:c>
      <x:c r="I200" s="46" t="n">
        <x:f>'Paths'!$W$9</x:f>
        <x:v>0.92</x:v>
      </x:c>
      <x:c r="J200" s="47" t="n">
        <x:f>IF(D200&lt;E200,0,MIN(F200*G200*H200*I200,IF('Paths'!$T$9&gt;0,MAX(0,'Paths'!$T$9-K199),1000000000)))</x:f>
        <x:v>20240</x:v>
      </x:c>
      <x:c r="K200" s="47" t="n">
        <x:f>K199+J200</x:f>
        <x:v>194580</x:v>
      </x:c>
      <x:c r="L200" s="46" t="n">
        <x:f>IF(C200="P0",1,IF(D200&lt;=3,0.8,IF(D200&lt;=14,0.65,IF(D200&lt;=45,0.5,0.3))))</x:f>
        <x:v>0.65</x:v>
      </x:c>
      <x:c r="M200" s="47" t="n">
        <x:f>J200*L200</x:f>
        <x:v>13156</x:v>
      </x:c>
      <x:c r="N200" s="47" t="n">
        <x:f>N199+M200</x:f>
        <x:v>134343</x:v>
      </x:c>
      <x:c r="O200" s="46" t="n">
        <x:f>IF(C200="P0",0,IF(D200&lt;=3,0.15,IF(D200&lt;=14,0.25,IF(D200&lt;=45,0.35,0.5))))</x:f>
        <x:v>0.25</x:v>
      </x:c>
      <x:c r="P200" s="47" t="n">
        <x:f>J200*O200</x:f>
        <x:v>5060</x:v>
      </x:c>
      <x:c r="Q200" s="46" t="n">
        <x:f>IF(C200="P0",0,IF(D200&lt;=3,0.05,IF(D200&lt;=14,0.1,IF(D200&lt;=45,0.15,0.2))))</x:f>
        <x:v>0.1</x:v>
      </x:c>
      <x:c r="R200" s="47" t="n">
        <x:f>J200*Q200</x:f>
        <x:v>2024</x:v>
      </x:c>
      <x:c r="S200" s="20" t="str">
        <x:f>IF(D200&lt;E200,"closed",IF(D200&lt;'Paths'!$N$9,"initial","expanded"))</x:f>
        <x:v>expanded</x:v>
      </x:c>
      <x:c r="T200" s="72"/>
    </x:row>
    <x:row r="201">
      <x:c r="C201" s="20" t="str">
        <x:v>P2</x:v>
      </x:c>
      <x:c r="D201" s="20" t="n">
        <x:v>12</x:v>
      </x:c>
      <x:c r="E201" s="45" t="n">
        <x:f>IF('Controls'!$D$7="Reference",'Paths'!$J$9,'Paths'!$K$9)</x:f>
        <x:v>1</x:v>
      </x:c>
      <x:c r="F201" s="47" t="n">
        <x:f>IF(D201&lt;'Paths'!$N$9,IF('Controls'!$D$7="Reference",'Paths'!$L$9,'Paths'!$M$9),IF('Controls'!$D$7="Reference",'Paths'!$O$9,'Paths'!$P$9))</x:f>
        <x:v>22000</x:v>
      </x:c>
      <x:c r="G201" s="46" t="n">
        <x:f>IF('Controls'!$D$7="Reference",1,IF(OR(D201=6,D201=7,D201=21,D201=46),'Paths'!$U$9,1))</x:f>
        <x:v>1</x:v>
      </x:c>
      <x:c r="H201" s="46" t="n">
        <x:f>IF('Controls'!$D$7="Reference",1,IF(OR(AND(D201&gt;=14,D201&lt;=16),AND(D201&gt;=34,D201&lt;=35),AND(D201&gt;=61,D201&lt;=63)),'Paths'!$V$9,1))</x:f>
        <x:v>1</x:v>
      </x:c>
      <x:c r="I201" s="46" t="n">
        <x:f>'Paths'!$W$9</x:f>
        <x:v>0.92</x:v>
      </x:c>
      <x:c r="J201" s="47" t="n">
        <x:f>IF(D201&lt;E201,0,MIN(F201*G201*H201*I201,IF('Paths'!$T$9&gt;0,MAX(0,'Paths'!$T$9-K200),1000000000)))</x:f>
        <x:v>20240</x:v>
      </x:c>
      <x:c r="K201" s="47" t="n">
        <x:f>K200+J201</x:f>
        <x:v>214820</x:v>
      </x:c>
      <x:c r="L201" s="46" t="n">
        <x:f>IF(C201="P0",1,IF(D201&lt;=3,0.8,IF(D201&lt;=14,0.65,IF(D201&lt;=45,0.5,0.3))))</x:f>
        <x:v>0.65</x:v>
      </x:c>
      <x:c r="M201" s="47" t="n">
        <x:f>J201*L201</x:f>
        <x:v>13156</x:v>
      </x:c>
      <x:c r="N201" s="47" t="n">
        <x:f>N200+M201</x:f>
        <x:v>147499</x:v>
      </x:c>
      <x:c r="O201" s="46" t="n">
        <x:f>IF(C201="P0",0,IF(D201&lt;=3,0.15,IF(D201&lt;=14,0.25,IF(D201&lt;=45,0.35,0.5))))</x:f>
        <x:v>0.25</x:v>
      </x:c>
      <x:c r="P201" s="47" t="n">
        <x:f>J201*O201</x:f>
        <x:v>5060</x:v>
      </x:c>
      <x:c r="Q201" s="46" t="n">
        <x:f>IF(C201="P0",0,IF(D201&lt;=3,0.05,IF(D201&lt;=14,0.1,IF(D201&lt;=45,0.15,0.2))))</x:f>
        <x:v>0.1</x:v>
      </x:c>
      <x:c r="R201" s="47" t="n">
        <x:f>J201*Q201</x:f>
        <x:v>2024</x:v>
      </x:c>
      <x:c r="S201" s="20" t="str">
        <x:f>IF(D201&lt;E201,"closed",IF(D201&lt;'Paths'!$N$9,"initial","expanded"))</x:f>
        <x:v>expanded</x:v>
      </x:c>
      <x:c r="T201" s="72"/>
    </x:row>
    <x:row r="202">
      <x:c r="C202" s="20" t="str">
        <x:v>P2</x:v>
      </x:c>
      <x:c r="D202" s="20" t="n">
        <x:v>13</x:v>
      </x:c>
      <x:c r="E202" s="45" t="n">
        <x:f>IF('Controls'!$D$7="Reference",'Paths'!$J$9,'Paths'!$K$9)</x:f>
        <x:v>1</x:v>
      </x:c>
      <x:c r="F202" s="47" t="n">
        <x:f>IF(D202&lt;'Paths'!$N$9,IF('Controls'!$D$7="Reference",'Paths'!$L$9,'Paths'!$M$9),IF('Controls'!$D$7="Reference",'Paths'!$O$9,'Paths'!$P$9))</x:f>
        <x:v>22000</x:v>
      </x:c>
      <x:c r="G202" s="46" t="n">
        <x:f>IF('Controls'!$D$7="Reference",1,IF(OR(D202=6,D202=7,D202=21,D202=46),'Paths'!$U$9,1))</x:f>
        <x:v>1</x:v>
      </x:c>
      <x:c r="H202" s="46" t="n">
        <x:f>IF('Controls'!$D$7="Reference",1,IF(OR(AND(D202&gt;=14,D202&lt;=16),AND(D202&gt;=34,D202&lt;=35),AND(D202&gt;=61,D202&lt;=63)),'Paths'!$V$9,1))</x:f>
        <x:v>1</x:v>
      </x:c>
      <x:c r="I202" s="46" t="n">
        <x:f>'Paths'!$W$9</x:f>
        <x:v>0.92</x:v>
      </x:c>
      <x:c r="J202" s="47" t="n">
        <x:f>IF(D202&lt;E202,0,MIN(F202*G202*H202*I202,IF('Paths'!$T$9&gt;0,MAX(0,'Paths'!$T$9-K201),1000000000)))</x:f>
        <x:v>20240</x:v>
      </x:c>
      <x:c r="K202" s="47" t="n">
        <x:f>K201+J202</x:f>
        <x:v>235060</x:v>
      </x:c>
      <x:c r="L202" s="46" t="n">
        <x:f>IF(C202="P0",1,IF(D202&lt;=3,0.8,IF(D202&lt;=14,0.65,IF(D202&lt;=45,0.5,0.3))))</x:f>
        <x:v>0.65</x:v>
      </x:c>
      <x:c r="M202" s="47" t="n">
        <x:f>J202*L202</x:f>
        <x:v>13156</x:v>
      </x:c>
      <x:c r="N202" s="47" t="n">
        <x:f>N201+M202</x:f>
        <x:v>160655</x:v>
      </x:c>
      <x:c r="O202" s="46" t="n">
        <x:f>IF(C202="P0",0,IF(D202&lt;=3,0.15,IF(D202&lt;=14,0.25,IF(D202&lt;=45,0.35,0.5))))</x:f>
        <x:v>0.25</x:v>
      </x:c>
      <x:c r="P202" s="47" t="n">
        <x:f>J202*O202</x:f>
        <x:v>5060</x:v>
      </x:c>
      <x:c r="Q202" s="46" t="n">
        <x:f>IF(C202="P0",0,IF(D202&lt;=3,0.05,IF(D202&lt;=14,0.1,IF(D202&lt;=45,0.15,0.2))))</x:f>
        <x:v>0.1</x:v>
      </x:c>
      <x:c r="R202" s="47" t="n">
        <x:f>J202*Q202</x:f>
        <x:v>2024</x:v>
      </x:c>
      <x:c r="S202" s="20" t="str">
        <x:f>IF(D202&lt;E202,"closed",IF(D202&lt;'Paths'!$N$9,"initial","expanded"))</x:f>
        <x:v>expanded</x:v>
      </x:c>
      <x:c r="T202" s="72"/>
    </x:row>
    <x:row r="203">
      <x:c r="C203" s="20" t="str">
        <x:v>P2</x:v>
      </x:c>
      <x:c r="D203" s="20" t="n">
        <x:v>14</x:v>
      </x:c>
      <x:c r="E203" s="45" t="n">
        <x:f>IF('Controls'!$D$7="Reference",'Paths'!$J$9,'Paths'!$K$9)</x:f>
        <x:v>1</x:v>
      </x:c>
      <x:c r="F203" s="47" t="n">
        <x:f>IF(D203&lt;'Paths'!$N$9,IF('Controls'!$D$7="Reference",'Paths'!$L$9,'Paths'!$M$9),IF('Controls'!$D$7="Reference",'Paths'!$O$9,'Paths'!$P$9))</x:f>
        <x:v>22000</x:v>
      </x:c>
      <x:c r="G203" s="46" t="n">
        <x:f>IF('Controls'!$D$7="Reference",1,IF(OR(D203=6,D203=7,D203=21,D203=46),'Paths'!$U$9,1))</x:f>
        <x:v>1</x:v>
      </x:c>
      <x:c r="H203" s="46" t="n">
        <x:f>IF('Controls'!$D$7="Reference",1,IF(OR(AND(D203&gt;=14,D203&lt;=16),AND(D203&gt;=34,D203&lt;=35),AND(D203&gt;=61,D203&lt;=63)),'Paths'!$V$9,1))</x:f>
        <x:v>0.7</x:v>
      </x:c>
      <x:c r="I203" s="46" t="n">
        <x:f>'Paths'!$W$9</x:f>
        <x:v>0.92</x:v>
      </x:c>
      <x:c r="J203" s="47" t="n">
        <x:f>IF(D203&lt;E203,0,MIN(F203*G203*H203*I203,IF('Paths'!$T$9&gt;0,MAX(0,'Paths'!$T$9-K202),1000000000)))</x:f>
        <x:v>14167.999999999998</x:v>
      </x:c>
      <x:c r="K203" s="47" t="n">
        <x:f>K202+J203</x:f>
        <x:v>249228</x:v>
      </x:c>
      <x:c r="L203" s="46" t="n">
        <x:f>IF(C203="P0",1,IF(D203&lt;=3,0.8,IF(D203&lt;=14,0.65,IF(D203&lt;=45,0.5,0.3))))</x:f>
        <x:v>0.65</x:v>
      </x:c>
      <x:c r="M203" s="47" t="n">
        <x:f>J203*L203</x:f>
        <x:v>9209.199999999999</x:v>
      </x:c>
      <x:c r="N203" s="47" t="n">
        <x:f>N202+M203</x:f>
        <x:v>169864.2</x:v>
      </x:c>
      <x:c r="O203" s="46" t="n">
        <x:f>IF(C203="P0",0,IF(D203&lt;=3,0.15,IF(D203&lt;=14,0.25,IF(D203&lt;=45,0.35,0.5))))</x:f>
        <x:v>0.25</x:v>
      </x:c>
      <x:c r="P203" s="47" t="n">
        <x:f>J203*O203</x:f>
        <x:v>3541.9999999999995</x:v>
      </x:c>
      <x:c r="Q203" s="46" t="n">
        <x:f>IF(C203="P0",0,IF(D203&lt;=3,0.05,IF(D203&lt;=14,0.1,IF(D203&lt;=45,0.15,0.2))))</x:f>
        <x:v>0.1</x:v>
      </x:c>
      <x:c r="R203" s="47" t="n">
        <x:f>J203*Q203</x:f>
        <x:v>1416.8</x:v>
      </x:c>
      <x:c r="S203" s="20" t="str">
        <x:f>IF(D203&lt;E203,"closed",IF(D203&lt;'Paths'!$N$9,"initial","expanded"))</x:f>
        <x:v>expanded</x:v>
      </x:c>
      <x:c r="T203" s="72"/>
    </x:row>
    <x:row r="204">
      <x:c r="C204" s="20" t="str">
        <x:v>P2</x:v>
      </x:c>
      <x:c r="D204" s="20" t="n">
        <x:v>15</x:v>
      </x:c>
      <x:c r="E204" s="45" t="n">
        <x:f>IF('Controls'!$D$7="Reference",'Paths'!$J$9,'Paths'!$K$9)</x:f>
        <x:v>1</x:v>
      </x:c>
      <x:c r="F204" s="47" t="n">
        <x:f>IF(D204&lt;'Paths'!$N$9,IF('Controls'!$D$7="Reference",'Paths'!$L$9,'Paths'!$M$9),IF('Controls'!$D$7="Reference",'Paths'!$O$9,'Paths'!$P$9))</x:f>
        <x:v>22000</x:v>
      </x:c>
      <x:c r="G204" s="46" t="n">
        <x:f>IF('Controls'!$D$7="Reference",1,IF(OR(D204=6,D204=7,D204=21,D204=46),'Paths'!$U$9,1))</x:f>
        <x:v>1</x:v>
      </x:c>
      <x:c r="H204" s="46" t="n">
        <x:f>IF('Controls'!$D$7="Reference",1,IF(OR(AND(D204&gt;=14,D204&lt;=16),AND(D204&gt;=34,D204&lt;=35),AND(D204&gt;=61,D204&lt;=63)),'Paths'!$V$9,1))</x:f>
        <x:v>0.7</x:v>
      </x:c>
      <x:c r="I204" s="46" t="n">
        <x:f>'Paths'!$W$9</x:f>
        <x:v>0.92</x:v>
      </x:c>
      <x:c r="J204" s="47" t="n">
        <x:f>IF(D204&lt;E204,0,MIN(F204*G204*H204*I204,IF('Paths'!$T$9&gt;0,MAX(0,'Paths'!$T$9-K203),1000000000)))</x:f>
        <x:v>14167.999999999998</x:v>
      </x:c>
      <x:c r="K204" s="47" t="n">
        <x:f>K203+J204</x:f>
        <x:v>263396</x:v>
      </x:c>
      <x:c r="L204" s="46" t="n">
        <x:f>IF(C204="P0",1,IF(D204&lt;=3,0.8,IF(D204&lt;=14,0.65,IF(D204&lt;=45,0.5,0.3))))</x:f>
        <x:v>0.5</x:v>
      </x:c>
      <x:c r="M204" s="47" t="n">
        <x:f>J204*L204</x:f>
        <x:v>7083.999999999999</x:v>
      </x:c>
      <x:c r="N204" s="47" t="n">
        <x:f>N203+M204</x:f>
        <x:v>176948.2</x:v>
      </x:c>
      <x:c r="O204" s="46" t="n">
        <x:f>IF(C204="P0",0,IF(D204&lt;=3,0.15,IF(D204&lt;=14,0.25,IF(D204&lt;=45,0.35,0.5))))</x:f>
        <x:v>0.35</x:v>
      </x:c>
      <x:c r="P204" s="47" t="n">
        <x:f>J204*O204</x:f>
        <x:v>4958.799999999999</x:v>
      </x:c>
      <x:c r="Q204" s="46" t="n">
        <x:f>IF(C204="P0",0,IF(D204&lt;=3,0.05,IF(D204&lt;=14,0.1,IF(D204&lt;=45,0.15,0.2))))</x:f>
        <x:v>0.15</x:v>
      </x:c>
      <x:c r="R204" s="47" t="n">
        <x:f>J204*Q204</x:f>
        <x:v>2125.2</x:v>
      </x:c>
      <x:c r="S204" s="20" t="str">
        <x:f>IF(D204&lt;E204,"closed",IF(D204&lt;'Paths'!$N$9,"initial","expanded"))</x:f>
        <x:v>expanded</x:v>
      </x:c>
      <x:c r="T204" s="72"/>
    </x:row>
    <x:row r="205">
      <x:c r="C205" s="20" t="str">
        <x:v>P2</x:v>
      </x:c>
      <x:c r="D205" s="20" t="n">
        <x:v>16</x:v>
      </x:c>
      <x:c r="E205" s="45" t="n">
        <x:f>IF('Controls'!$D$7="Reference",'Paths'!$J$9,'Paths'!$K$9)</x:f>
        <x:v>1</x:v>
      </x:c>
      <x:c r="F205" s="47" t="n">
        <x:f>IF(D205&lt;'Paths'!$N$9,IF('Controls'!$D$7="Reference",'Paths'!$L$9,'Paths'!$M$9),IF('Controls'!$D$7="Reference",'Paths'!$O$9,'Paths'!$P$9))</x:f>
        <x:v>22000</x:v>
      </x:c>
      <x:c r="G205" s="46" t="n">
        <x:f>IF('Controls'!$D$7="Reference",1,IF(OR(D205=6,D205=7,D205=21,D205=46),'Paths'!$U$9,1))</x:f>
        <x:v>1</x:v>
      </x:c>
      <x:c r="H205" s="46" t="n">
        <x:f>IF('Controls'!$D$7="Reference",1,IF(OR(AND(D205&gt;=14,D205&lt;=16),AND(D205&gt;=34,D205&lt;=35),AND(D205&gt;=61,D205&lt;=63)),'Paths'!$V$9,1))</x:f>
        <x:v>0.7</x:v>
      </x:c>
      <x:c r="I205" s="46" t="n">
        <x:f>'Paths'!$W$9</x:f>
        <x:v>0.92</x:v>
      </x:c>
      <x:c r="J205" s="47" t="n">
        <x:f>IF(D205&lt;E205,0,MIN(F205*G205*H205*I205,IF('Paths'!$T$9&gt;0,MAX(0,'Paths'!$T$9-K204),1000000000)))</x:f>
        <x:v>14167.999999999998</x:v>
      </x:c>
      <x:c r="K205" s="47" t="n">
        <x:f>K204+J205</x:f>
        <x:v>277564</x:v>
      </x:c>
      <x:c r="L205" s="46" t="n">
        <x:f>IF(C205="P0",1,IF(D205&lt;=3,0.8,IF(D205&lt;=14,0.65,IF(D205&lt;=45,0.5,0.3))))</x:f>
        <x:v>0.5</x:v>
      </x:c>
      <x:c r="M205" s="47" t="n">
        <x:f>J205*L205</x:f>
        <x:v>7083.999999999999</x:v>
      </x:c>
      <x:c r="N205" s="47" t="n">
        <x:f>N204+M205</x:f>
        <x:v>184032.2</x:v>
      </x:c>
      <x:c r="O205" s="46" t="n">
        <x:f>IF(C205="P0",0,IF(D205&lt;=3,0.15,IF(D205&lt;=14,0.25,IF(D205&lt;=45,0.35,0.5))))</x:f>
        <x:v>0.35</x:v>
      </x:c>
      <x:c r="P205" s="47" t="n">
        <x:f>J205*O205</x:f>
        <x:v>4958.799999999999</x:v>
      </x:c>
      <x:c r="Q205" s="46" t="n">
        <x:f>IF(C205="P0",0,IF(D205&lt;=3,0.05,IF(D205&lt;=14,0.1,IF(D205&lt;=45,0.15,0.2))))</x:f>
        <x:v>0.15</x:v>
      </x:c>
      <x:c r="R205" s="47" t="n">
        <x:f>J205*Q205</x:f>
        <x:v>2125.2</x:v>
      </x:c>
      <x:c r="S205" s="20" t="str">
        <x:f>IF(D205&lt;E205,"closed",IF(D205&lt;'Paths'!$N$9,"initial","expanded"))</x:f>
        <x:v>expanded</x:v>
      </x:c>
      <x:c r="T205" s="72"/>
    </x:row>
    <x:row r="206">
      <x:c r="C206" s="20" t="str">
        <x:v>P2</x:v>
      </x:c>
      <x:c r="D206" s="20" t="n">
        <x:v>17</x:v>
      </x:c>
      <x:c r="E206" s="45" t="n">
        <x:f>IF('Controls'!$D$7="Reference",'Paths'!$J$9,'Paths'!$K$9)</x:f>
        <x:v>1</x:v>
      </x:c>
      <x:c r="F206" s="47" t="n">
        <x:f>IF(D206&lt;'Paths'!$N$9,IF('Controls'!$D$7="Reference",'Paths'!$L$9,'Paths'!$M$9),IF('Controls'!$D$7="Reference",'Paths'!$O$9,'Paths'!$P$9))</x:f>
        <x:v>22000</x:v>
      </x:c>
      <x:c r="G206" s="46" t="n">
        <x:f>IF('Controls'!$D$7="Reference",1,IF(OR(D206=6,D206=7,D206=21,D206=46),'Paths'!$U$9,1))</x:f>
        <x:v>1</x:v>
      </x:c>
      <x:c r="H206" s="46" t="n">
        <x:f>IF('Controls'!$D$7="Reference",1,IF(OR(AND(D206&gt;=14,D206&lt;=16),AND(D206&gt;=34,D206&lt;=35),AND(D206&gt;=61,D206&lt;=63)),'Paths'!$V$9,1))</x:f>
        <x:v>1</x:v>
      </x:c>
      <x:c r="I206" s="46" t="n">
        <x:f>'Paths'!$W$9</x:f>
        <x:v>0.92</x:v>
      </x:c>
      <x:c r="J206" s="47" t="n">
        <x:f>IF(D206&lt;E206,0,MIN(F206*G206*H206*I206,IF('Paths'!$T$9&gt;0,MAX(0,'Paths'!$T$9-K205),1000000000)))</x:f>
        <x:v>20240</x:v>
      </x:c>
      <x:c r="K206" s="47" t="n">
        <x:f>K205+J206</x:f>
        <x:v>297804</x:v>
      </x:c>
      <x:c r="L206" s="46" t="n">
        <x:f>IF(C206="P0",1,IF(D206&lt;=3,0.8,IF(D206&lt;=14,0.65,IF(D206&lt;=45,0.5,0.3))))</x:f>
        <x:v>0.5</x:v>
      </x:c>
      <x:c r="M206" s="47" t="n">
        <x:f>J206*L206</x:f>
        <x:v>10120</x:v>
      </x:c>
      <x:c r="N206" s="47" t="n">
        <x:f>N205+M206</x:f>
        <x:v>194152.2</x:v>
      </x:c>
      <x:c r="O206" s="46" t="n">
        <x:f>IF(C206="P0",0,IF(D206&lt;=3,0.15,IF(D206&lt;=14,0.25,IF(D206&lt;=45,0.35,0.5))))</x:f>
        <x:v>0.35</x:v>
      </x:c>
      <x:c r="P206" s="47" t="n">
        <x:f>J206*O206</x:f>
        <x:v>7084</x:v>
      </x:c>
      <x:c r="Q206" s="46" t="n">
        <x:f>IF(C206="P0",0,IF(D206&lt;=3,0.05,IF(D206&lt;=14,0.1,IF(D206&lt;=45,0.15,0.2))))</x:f>
        <x:v>0.15</x:v>
      </x:c>
      <x:c r="R206" s="47" t="n">
        <x:f>J206*Q206</x:f>
        <x:v>3036</x:v>
      </x:c>
      <x:c r="S206" s="20" t="str">
        <x:f>IF(D206&lt;E206,"closed",IF(D206&lt;'Paths'!$N$9,"initial","expanded"))</x:f>
        <x:v>expanded</x:v>
      </x:c>
      <x:c r="T206" s="72"/>
    </x:row>
    <x:row r="207">
      <x:c r="C207" s="20" t="str">
        <x:v>P2</x:v>
      </x:c>
      <x:c r="D207" s="20" t="n">
        <x:v>18</x:v>
      </x:c>
      <x:c r="E207" s="45" t="n">
        <x:f>IF('Controls'!$D$7="Reference",'Paths'!$J$9,'Paths'!$K$9)</x:f>
        <x:v>1</x:v>
      </x:c>
      <x:c r="F207" s="47" t="n">
        <x:f>IF(D207&lt;'Paths'!$N$9,IF('Controls'!$D$7="Reference",'Paths'!$L$9,'Paths'!$M$9),IF('Controls'!$D$7="Reference",'Paths'!$O$9,'Paths'!$P$9))</x:f>
        <x:v>22000</x:v>
      </x:c>
      <x:c r="G207" s="46" t="n">
        <x:f>IF('Controls'!$D$7="Reference",1,IF(OR(D207=6,D207=7,D207=21,D207=46),'Paths'!$U$9,1))</x:f>
        <x:v>1</x:v>
      </x:c>
      <x:c r="H207" s="46" t="n">
        <x:f>IF('Controls'!$D$7="Reference",1,IF(OR(AND(D207&gt;=14,D207&lt;=16),AND(D207&gt;=34,D207&lt;=35),AND(D207&gt;=61,D207&lt;=63)),'Paths'!$V$9,1))</x:f>
        <x:v>1</x:v>
      </x:c>
      <x:c r="I207" s="46" t="n">
        <x:f>'Paths'!$W$9</x:f>
        <x:v>0.92</x:v>
      </x:c>
      <x:c r="J207" s="47" t="n">
        <x:f>IF(D207&lt;E207,0,MIN(F207*G207*H207*I207,IF('Paths'!$T$9&gt;0,MAX(0,'Paths'!$T$9-K206),1000000000)))</x:f>
        <x:v>20240</x:v>
      </x:c>
      <x:c r="K207" s="47" t="n">
        <x:f>K206+J207</x:f>
        <x:v>318044</x:v>
      </x:c>
      <x:c r="L207" s="46" t="n">
        <x:f>IF(C207="P0",1,IF(D207&lt;=3,0.8,IF(D207&lt;=14,0.65,IF(D207&lt;=45,0.5,0.3))))</x:f>
        <x:v>0.5</x:v>
      </x:c>
      <x:c r="M207" s="47" t="n">
        <x:f>J207*L207</x:f>
        <x:v>10120</x:v>
      </x:c>
      <x:c r="N207" s="47" t="n">
        <x:f>N206+M207</x:f>
        <x:v>204272.2</x:v>
      </x:c>
      <x:c r="O207" s="46" t="n">
        <x:f>IF(C207="P0",0,IF(D207&lt;=3,0.15,IF(D207&lt;=14,0.25,IF(D207&lt;=45,0.35,0.5))))</x:f>
        <x:v>0.35</x:v>
      </x:c>
      <x:c r="P207" s="47" t="n">
        <x:f>J207*O207</x:f>
        <x:v>7084</x:v>
      </x:c>
      <x:c r="Q207" s="46" t="n">
        <x:f>IF(C207="P0",0,IF(D207&lt;=3,0.05,IF(D207&lt;=14,0.1,IF(D207&lt;=45,0.15,0.2))))</x:f>
        <x:v>0.15</x:v>
      </x:c>
      <x:c r="R207" s="47" t="n">
        <x:f>J207*Q207</x:f>
        <x:v>3036</x:v>
      </x:c>
      <x:c r="S207" s="20" t="str">
        <x:f>IF(D207&lt;E207,"closed",IF(D207&lt;'Paths'!$N$9,"initial","expanded"))</x:f>
        <x:v>expanded</x:v>
      </x:c>
      <x:c r="T207" s="72"/>
    </x:row>
    <x:row r="208">
      <x:c r="C208" s="20" t="str">
        <x:v>P2</x:v>
      </x:c>
      <x:c r="D208" s="20" t="n">
        <x:v>19</x:v>
      </x:c>
      <x:c r="E208" s="45" t="n">
        <x:f>IF('Controls'!$D$7="Reference",'Paths'!$J$9,'Paths'!$K$9)</x:f>
        <x:v>1</x:v>
      </x:c>
      <x:c r="F208" s="47" t="n">
        <x:f>IF(D208&lt;'Paths'!$N$9,IF('Controls'!$D$7="Reference",'Paths'!$L$9,'Paths'!$M$9),IF('Controls'!$D$7="Reference",'Paths'!$O$9,'Paths'!$P$9))</x:f>
        <x:v>22000</x:v>
      </x:c>
      <x:c r="G208" s="46" t="n">
        <x:f>IF('Controls'!$D$7="Reference",1,IF(OR(D208=6,D208=7,D208=21,D208=46),'Paths'!$U$9,1))</x:f>
        <x:v>1</x:v>
      </x:c>
      <x:c r="H208" s="46" t="n">
        <x:f>IF('Controls'!$D$7="Reference",1,IF(OR(AND(D208&gt;=14,D208&lt;=16),AND(D208&gt;=34,D208&lt;=35),AND(D208&gt;=61,D208&lt;=63)),'Paths'!$V$9,1))</x:f>
        <x:v>1</x:v>
      </x:c>
      <x:c r="I208" s="46" t="n">
        <x:f>'Paths'!$W$9</x:f>
        <x:v>0.92</x:v>
      </x:c>
      <x:c r="J208" s="47" t="n">
        <x:f>IF(D208&lt;E208,0,MIN(F208*G208*H208*I208,IF('Paths'!$T$9&gt;0,MAX(0,'Paths'!$T$9-K207),1000000000)))</x:f>
        <x:v>20240</x:v>
      </x:c>
      <x:c r="K208" s="47" t="n">
        <x:f>K207+J208</x:f>
        <x:v>338284</x:v>
      </x:c>
      <x:c r="L208" s="46" t="n">
        <x:f>IF(C208="P0",1,IF(D208&lt;=3,0.8,IF(D208&lt;=14,0.65,IF(D208&lt;=45,0.5,0.3))))</x:f>
        <x:v>0.5</x:v>
      </x:c>
      <x:c r="M208" s="47" t="n">
        <x:f>J208*L208</x:f>
        <x:v>10120</x:v>
      </x:c>
      <x:c r="N208" s="47" t="n">
        <x:f>N207+M208</x:f>
        <x:v>214392.2</x:v>
      </x:c>
      <x:c r="O208" s="46" t="n">
        <x:f>IF(C208="P0",0,IF(D208&lt;=3,0.15,IF(D208&lt;=14,0.25,IF(D208&lt;=45,0.35,0.5))))</x:f>
        <x:v>0.35</x:v>
      </x:c>
      <x:c r="P208" s="47" t="n">
        <x:f>J208*O208</x:f>
        <x:v>7084</x:v>
      </x:c>
      <x:c r="Q208" s="46" t="n">
        <x:f>IF(C208="P0",0,IF(D208&lt;=3,0.05,IF(D208&lt;=14,0.1,IF(D208&lt;=45,0.15,0.2))))</x:f>
        <x:v>0.15</x:v>
      </x:c>
      <x:c r="R208" s="47" t="n">
        <x:f>J208*Q208</x:f>
        <x:v>3036</x:v>
      </x:c>
      <x:c r="S208" s="20" t="str">
        <x:f>IF(D208&lt;E208,"closed",IF(D208&lt;'Paths'!$N$9,"initial","expanded"))</x:f>
        <x:v>expanded</x:v>
      </x:c>
      <x:c r="T208" s="72"/>
    </x:row>
    <x:row r="209">
      <x:c r="C209" s="20" t="str">
        <x:v>P2</x:v>
      </x:c>
      <x:c r="D209" s="20" t="n">
        <x:v>20</x:v>
      </x:c>
      <x:c r="E209" s="45" t="n">
        <x:f>IF('Controls'!$D$7="Reference",'Paths'!$J$9,'Paths'!$K$9)</x:f>
        <x:v>1</x:v>
      </x:c>
      <x:c r="F209" s="47" t="n">
        <x:f>IF(D209&lt;'Paths'!$N$9,IF('Controls'!$D$7="Reference",'Paths'!$L$9,'Paths'!$M$9),IF('Controls'!$D$7="Reference",'Paths'!$O$9,'Paths'!$P$9))</x:f>
        <x:v>22000</x:v>
      </x:c>
      <x:c r="G209" s="46" t="n">
        <x:f>IF('Controls'!$D$7="Reference",1,IF(OR(D209=6,D209=7,D209=21,D209=46),'Paths'!$U$9,1))</x:f>
        <x:v>1</x:v>
      </x:c>
      <x:c r="H209" s="46" t="n">
        <x:f>IF('Controls'!$D$7="Reference",1,IF(OR(AND(D209&gt;=14,D209&lt;=16),AND(D209&gt;=34,D209&lt;=35),AND(D209&gt;=61,D209&lt;=63)),'Paths'!$V$9,1))</x:f>
        <x:v>1</x:v>
      </x:c>
      <x:c r="I209" s="46" t="n">
        <x:f>'Paths'!$W$9</x:f>
        <x:v>0.92</x:v>
      </x:c>
      <x:c r="J209" s="47" t="n">
        <x:f>IF(D209&lt;E209,0,MIN(F209*G209*H209*I209,IF('Paths'!$T$9&gt;0,MAX(0,'Paths'!$T$9-K208),1000000000)))</x:f>
        <x:v>20240</x:v>
      </x:c>
      <x:c r="K209" s="47" t="n">
        <x:f>K208+J209</x:f>
        <x:v>358524</x:v>
      </x:c>
      <x:c r="L209" s="46" t="n">
        <x:f>IF(C209="P0",1,IF(D209&lt;=3,0.8,IF(D209&lt;=14,0.65,IF(D209&lt;=45,0.5,0.3))))</x:f>
        <x:v>0.5</x:v>
      </x:c>
      <x:c r="M209" s="47" t="n">
        <x:f>J209*L209</x:f>
        <x:v>10120</x:v>
      </x:c>
      <x:c r="N209" s="47" t="n">
        <x:f>N208+M209</x:f>
        <x:v>224512.2</x:v>
      </x:c>
      <x:c r="O209" s="46" t="n">
        <x:f>IF(C209="P0",0,IF(D209&lt;=3,0.15,IF(D209&lt;=14,0.25,IF(D209&lt;=45,0.35,0.5))))</x:f>
        <x:v>0.35</x:v>
      </x:c>
      <x:c r="P209" s="47" t="n">
        <x:f>J209*O209</x:f>
        <x:v>7084</x:v>
      </x:c>
      <x:c r="Q209" s="46" t="n">
        <x:f>IF(C209="P0",0,IF(D209&lt;=3,0.05,IF(D209&lt;=14,0.1,IF(D209&lt;=45,0.15,0.2))))</x:f>
        <x:v>0.15</x:v>
      </x:c>
      <x:c r="R209" s="47" t="n">
        <x:f>J209*Q209</x:f>
        <x:v>3036</x:v>
      </x:c>
      <x:c r="S209" s="20" t="str">
        <x:f>IF(D209&lt;E209,"closed",IF(D209&lt;'Paths'!$N$9,"initial","expanded"))</x:f>
        <x:v>expanded</x:v>
      </x:c>
      <x:c r="T209" s="72"/>
    </x:row>
    <x:row r="210">
      <x:c r="C210" s="20" t="str">
        <x:v>P2</x:v>
      </x:c>
      <x:c r="D210" s="20" t="n">
        <x:v>21</x:v>
      </x:c>
      <x:c r="E210" s="45" t="n">
        <x:f>IF('Controls'!$D$7="Reference",'Paths'!$J$9,'Paths'!$K$9)</x:f>
        <x:v>1</x:v>
      </x:c>
      <x:c r="F210" s="47" t="n">
        <x:f>IF(D210&lt;'Paths'!$N$9,IF('Controls'!$D$7="Reference",'Paths'!$L$9,'Paths'!$M$9),IF('Controls'!$D$7="Reference",'Paths'!$O$9,'Paths'!$P$9))</x:f>
        <x:v>22000</x:v>
      </x:c>
      <x:c r="G210" s="46" t="n">
        <x:f>IF('Controls'!$D$7="Reference",1,IF(OR(D210=6,D210=7,D210=21,D210=46),'Paths'!$U$9,1))</x:f>
        <x:v>0.75</x:v>
      </x:c>
      <x:c r="H210" s="46" t="n">
        <x:f>IF('Controls'!$D$7="Reference",1,IF(OR(AND(D210&gt;=14,D210&lt;=16),AND(D210&gt;=34,D210&lt;=35),AND(D210&gt;=61,D210&lt;=63)),'Paths'!$V$9,1))</x:f>
        <x:v>1</x:v>
      </x:c>
      <x:c r="I210" s="46" t="n">
        <x:f>'Paths'!$W$9</x:f>
        <x:v>0.92</x:v>
      </x:c>
      <x:c r="J210" s="47" t="n">
        <x:f>IF(D210&lt;E210,0,MIN(F210*G210*H210*I210,IF('Paths'!$T$9&gt;0,MAX(0,'Paths'!$T$9-K209),1000000000)))</x:f>
        <x:v>15180</x:v>
      </x:c>
      <x:c r="K210" s="47" t="n">
        <x:f>K209+J210</x:f>
        <x:v>373704</x:v>
      </x:c>
      <x:c r="L210" s="46" t="n">
        <x:f>IF(C210="P0",1,IF(D210&lt;=3,0.8,IF(D210&lt;=14,0.65,IF(D210&lt;=45,0.5,0.3))))</x:f>
        <x:v>0.5</x:v>
      </x:c>
      <x:c r="M210" s="47" t="n">
        <x:f>J210*L210</x:f>
        <x:v>7590</x:v>
      </x:c>
      <x:c r="N210" s="47" t="n">
        <x:f>N209+M210</x:f>
        <x:v>232102.2</x:v>
      </x:c>
      <x:c r="O210" s="46" t="n">
        <x:f>IF(C210="P0",0,IF(D210&lt;=3,0.15,IF(D210&lt;=14,0.25,IF(D210&lt;=45,0.35,0.5))))</x:f>
        <x:v>0.35</x:v>
      </x:c>
      <x:c r="P210" s="47" t="n">
        <x:f>J210*O210</x:f>
        <x:v>5313</x:v>
      </x:c>
      <x:c r="Q210" s="46" t="n">
        <x:f>IF(C210="P0",0,IF(D210&lt;=3,0.05,IF(D210&lt;=14,0.1,IF(D210&lt;=45,0.15,0.2))))</x:f>
        <x:v>0.15</x:v>
      </x:c>
      <x:c r="R210" s="47" t="n">
        <x:f>J210*Q210</x:f>
        <x:v>2277</x:v>
      </x:c>
      <x:c r="S210" s="20" t="str">
        <x:f>IF(D210&lt;E210,"closed",IF(D210&lt;'Paths'!$N$9,"initial","expanded"))</x:f>
        <x:v>expanded</x:v>
      </x:c>
      <x:c r="T210" s="72"/>
    </x:row>
    <x:row r="211">
      <x:c r="C211" s="20" t="str">
        <x:v>P2</x:v>
      </x:c>
      <x:c r="D211" s="20" t="n">
        <x:v>22</x:v>
      </x:c>
      <x:c r="E211" s="45" t="n">
        <x:f>IF('Controls'!$D$7="Reference",'Paths'!$J$9,'Paths'!$K$9)</x:f>
        <x:v>1</x:v>
      </x:c>
      <x:c r="F211" s="47" t="n">
        <x:f>IF(D211&lt;'Paths'!$N$9,IF('Controls'!$D$7="Reference",'Paths'!$L$9,'Paths'!$M$9),IF('Controls'!$D$7="Reference",'Paths'!$O$9,'Paths'!$P$9))</x:f>
        <x:v>22000</x:v>
      </x:c>
      <x:c r="G211" s="46" t="n">
        <x:f>IF('Controls'!$D$7="Reference",1,IF(OR(D211=6,D211=7,D211=21,D211=46),'Paths'!$U$9,1))</x:f>
        <x:v>1</x:v>
      </x:c>
      <x:c r="H211" s="46" t="n">
        <x:f>IF('Controls'!$D$7="Reference",1,IF(OR(AND(D211&gt;=14,D211&lt;=16),AND(D211&gt;=34,D211&lt;=35),AND(D211&gt;=61,D211&lt;=63)),'Paths'!$V$9,1))</x:f>
        <x:v>1</x:v>
      </x:c>
      <x:c r="I211" s="46" t="n">
        <x:f>'Paths'!$W$9</x:f>
        <x:v>0.92</x:v>
      </x:c>
      <x:c r="J211" s="47" t="n">
        <x:f>IF(D211&lt;E211,0,MIN(F211*G211*H211*I211,IF('Paths'!$T$9&gt;0,MAX(0,'Paths'!$T$9-K210),1000000000)))</x:f>
        <x:v>20240</x:v>
      </x:c>
      <x:c r="K211" s="47" t="n">
        <x:f>K210+J211</x:f>
        <x:v>393944</x:v>
      </x:c>
      <x:c r="L211" s="46" t="n">
        <x:f>IF(C211="P0",1,IF(D211&lt;=3,0.8,IF(D211&lt;=14,0.65,IF(D211&lt;=45,0.5,0.3))))</x:f>
        <x:v>0.5</x:v>
      </x:c>
      <x:c r="M211" s="47" t="n">
        <x:f>J211*L211</x:f>
        <x:v>10120</x:v>
      </x:c>
      <x:c r="N211" s="47" t="n">
        <x:f>N210+M211</x:f>
        <x:v>242222.2</x:v>
      </x:c>
      <x:c r="O211" s="46" t="n">
        <x:f>IF(C211="P0",0,IF(D211&lt;=3,0.15,IF(D211&lt;=14,0.25,IF(D211&lt;=45,0.35,0.5))))</x:f>
        <x:v>0.35</x:v>
      </x:c>
      <x:c r="P211" s="47" t="n">
        <x:f>J211*O211</x:f>
        <x:v>7084</x:v>
      </x:c>
      <x:c r="Q211" s="46" t="n">
        <x:f>IF(C211="P0",0,IF(D211&lt;=3,0.05,IF(D211&lt;=14,0.1,IF(D211&lt;=45,0.15,0.2))))</x:f>
        <x:v>0.15</x:v>
      </x:c>
      <x:c r="R211" s="47" t="n">
        <x:f>J211*Q211</x:f>
        <x:v>3036</x:v>
      </x:c>
      <x:c r="S211" s="20" t="str">
        <x:f>IF(D211&lt;E211,"closed",IF(D211&lt;'Paths'!$N$9,"initial","expanded"))</x:f>
        <x:v>expanded</x:v>
      </x:c>
      <x:c r="T211" s="72"/>
    </x:row>
    <x:row r="212">
      <x:c r="C212" s="20" t="str">
        <x:v>P2</x:v>
      </x:c>
      <x:c r="D212" s="20" t="n">
        <x:v>23</x:v>
      </x:c>
      <x:c r="E212" s="45" t="n">
        <x:f>IF('Controls'!$D$7="Reference",'Paths'!$J$9,'Paths'!$K$9)</x:f>
        <x:v>1</x:v>
      </x:c>
      <x:c r="F212" s="47" t="n">
        <x:f>IF(D212&lt;'Paths'!$N$9,IF('Controls'!$D$7="Reference",'Paths'!$L$9,'Paths'!$M$9),IF('Controls'!$D$7="Reference",'Paths'!$O$9,'Paths'!$P$9))</x:f>
        <x:v>22000</x:v>
      </x:c>
      <x:c r="G212" s="46" t="n">
        <x:f>IF('Controls'!$D$7="Reference",1,IF(OR(D212=6,D212=7,D212=21,D212=46),'Paths'!$U$9,1))</x:f>
        <x:v>1</x:v>
      </x:c>
      <x:c r="H212" s="46" t="n">
        <x:f>IF('Controls'!$D$7="Reference",1,IF(OR(AND(D212&gt;=14,D212&lt;=16),AND(D212&gt;=34,D212&lt;=35),AND(D212&gt;=61,D212&lt;=63)),'Paths'!$V$9,1))</x:f>
        <x:v>1</x:v>
      </x:c>
      <x:c r="I212" s="46" t="n">
        <x:f>'Paths'!$W$9</x:f>
        <x:v>0.92</x:v>
      </x:c>
      <x:c r="J212" s="47" t="n">
        <x:f>IF(D212&lt;E212,0,MIN(F212*G212*H212*I212,IF('Paths'!$T$9&gt;0,MAX(0,'Paths'!$T$9-K211),1000000000)))</x:f>
        <x:v>20240</x:v>
      </x:c>
      <x:c r="K212" s="47" t="n">
        <x:f>K211+J212</x:f>
        <x:v>414184</x:v>
      </x:c>
      <x:c r="L212" s="46" t="n">
        <x:f>IF(C212="P0",1,IF(D212&lt;=3,0.8,IF(D212&lt;=14,0.65,IF(D212&lt;=45,0.5,0.3))))</x:f>
        <x:v>0.5</x:v>
      </x:c>
      <x:c r="M212" s="47" t="n">
        <x:f>J212*L212</x:f>
        <x:v>10120</x:v>
      </x:c>
      <x:c r="N212" s="47" t="n">
        <x:f>N211+M212</x:f>
        <x:v>252342.2</x:v>
      </x:c>
      <x:c r="O212" s="46" t="n">
        <x:f>IF(C212="P0",0,IF(D212&lt;=3,0.15,IF(D212&lt;=14,0.25,IF(D212&lt;=45,0.35,0.5))))</x:f>
        <x:v>0.35</x:v>
      </x:c>
      <x:c r="P212" s="47" t="n">
        <x:f>J212*O212</x:f>
        <x:v>7084</x:v>
      </x:c>
      <x:c r="Q212" s="46" t="n">
        <x:f>IF(C212="P0",0,IF(D212&lt;=3,0.05,IF(D212&lt;=14,0.1,IF(D212&lt;=45,0.15,0.2))))</x:f>
        <x:v>0.15</x:v>
      </x:c>
      <x:c r="R212" s="47" t="n">
        <x:f>J212*Q212</x:f>
        <x:v>3036</x:v>
      </x:c>
      <x:c r="S212" s="20" t="str">
        <x:f>IF(D212&lt;E212,"closed",IF(D212&lt;'Paths'!$N$9,"initial","expanded"))</x:f>
        <x:v>expanded</x:v>
      </x:c>
      <x:c r="T212" s="72"/>
    </x:row>
    <x:row r="213">
      <x:c r="C213" s="20" t="str">
        <x:v>P2</x:v>
      </x:c>
      <x:c r="D213" s="20" t="n">
        <x:v>24</x:v>
      </x:c>
      <x:c r="E213" s="45" t="n">
        <x:f>IF('Controls'!$D$7="Reference",'Paths'!$J$9,'Paths'!$K$9)</x:f>
        <x:v>1</x:v>
      </x:c>
      <x:c r="F213" s="47" t="n">
        <x:f>IF(D213&lt;'Paths'!$N$9,IF('Controls'!$D$7="Reference",'Paths'!$L$9,'Paths'!$M$9),IF('Controls'!$D$7="Reference",'Paths'!$O$9,'Paths'!$P$9))</x:f>
        <x:v>22000</x:v>
      </x:c>
      <x:c r="G213" s="46" t="n">
        <x:f>IF('Controls'!$D$7="Reference",1,IF(OR(D213=6,D213=7,D213=21,D213=46),'Paths'!$U$9,1))</x:f>
        <x:v>1</x:v>
      </x:c>
      <x:c r="H213" s="46" t="n">
        <x:f>IF('Controls'!$D$7="Reference",1,IF(OR(AND(D213&gt;=14,D213&lt;=16),AND(D213&gt;=34,D213&lt;=35),AND(D213&gt;=61,D213&lt;=63)),'Paths'!$V$9,1))</x:f>
        <x:v>1</x:v>
      </x:c>
      <x:c r="I213" s="46" t="n">
        <x:f>'Paths'!$W$9</x:f>
        <x:v>0.92</x:v>
      </x:c>
      <x:c r="J213" s="47" t="n">
        <x:f>IF(D213&lt;E213,0,MIN(F213*G213*H213*I213,IF('Paths'!$T$9&gt;0,MAX(0,'Paths'!$T$9-K212),1000000000)))</x:f>
        <x:v>20240</x:v>
      </x:c>
      <x:c r="K213" s="47" t="n">
        <x:f>K212+J213</x:f>
        <x:v>434424</x:v>
      </x:c>
      <x:c r="L213" s="46" t="n">
        <x:f>IF(C213="P0",1,IF(D213&lt;=3,0.8,IF(D213&lt;=14,0.65,IF(D213&lt;=45,0.5,0.3))))</x:f>
        <x:v>0.5</x:v>
      </x:c>
      <x:c r="M213" s="47" t="n">
        <x:f>J213*L213</x:f>
        <x:v>10120</x:v>
      </x:c>
      <x:c r="N213" s="47" t="n">
        <x:f>N212+M213</x:f>
        <x:v>262462.2</x:v>
      </x:c>
      <x:c r="O213" s="46" t="n">
        <x:f>IF(C213="P0",0,IF(D213&lt;=3,0.15,IF(D213&lt;=14,0.25,IF(D213&lt;=45,0.35,0.5))))</x:f>
        <x:v>0.35</x:v>
      </x:c>
      <x:c r="P213" s="47" t="n">
        <x:f>J213*O213</x:f>
        <x:v>7084</x:v>
      </x:c>
      <x:c r="Q213" s="46" t="n">
        <x:f>IF(C213="P0",0,IF(D213&lt;=3,0.05,IF(D213&lt;=14,0.1,IF(D213&lt;=45,0.15,0.2))))</x:f>
        <x:v>0.15</x:v>
      </x:c>
      <x:c r="R213" s="47" t="n">
        <x:f>J213*Q213</x:f>
        <x:v>3036</x:v>
      </x:c>
      <x:c r="S213" s="20" t="str">
        <x:f>IF(D213&lt;E213,"closed",IF(D213&lt;'Paths'!$N$9,"initial","expanded"))</x:f>
        <x:v>expanded</x:v>
      </x:c>
      <x:c r="T213" s="72"/>
    </x:row>
    <x:row r="214">
      <x:c r="C214" s="20" t="str">
        <x:v>P2</x:v>
      </x:c>
      <x:c r="D214" s="20" t="n">
        <x:v>25</x:v>
      </x:c>
      <x:c r="E214" s="45" t="n">
        <x:f>IF('Controls'!$D$7="Reference",'Paths'!$J$9,'Paths'!$K$9)</x:f>
        <x:v>1</x:v>
      </x:c>
      <x:c r="F214" s="47" t="n">
        <x:f>IF(D214&lt;'Paths'!$N$9,IF('Controls'!$D$7="Reference",'Paths'!$L$9,'Paths'!$M$9),IF('Controls'!$D$7="Reference",'Paths'!$O$9,'Paths'!$P$9))</x:f>
        <x:v>22000</x:v>
      </x:c>
      <x:c r="G214" s="46" t="n">
        <x:f>IF('Controls'!$D$7="Reference",1,IF(OR(D214=6,D214=7,D214=21,D214=46),'Paths'!$U$9,1))</x:f>
        <x:v>1</x:v>
      </x:c>
      <x:c r="H214" s="46" t="n">
        <x:f>IF('Controls'!$D$7="Reference",1,IF(OR(AND(D214&gt;=14,D214&lt;=16),AND(D214&gt;=34,D214&lt;=35),AND(D214&gt;=61,D214&lt;=63)),'Paths'!$V$9,1))</x:f>
        <x:v>1</x:v>
      </x:c>
      <x:c r="I214" s="46" t="n">
        <x:f>'Paths'!$W$9</x:f>
        <x:v>0.92</x:v>
      </x:c>
      <x:c r="J214" s="47" t="n">
        <x:f>IF(D214&lt;E214,0,MIN(F214*G214*H214*I214,IF('Paths'!$T$9&gt;0,MAX(0,'Paths'!$T$9-K213),1000000000)))</x:f>
        <x:v>20240</x:v>
      </x:c>
      <x:c r="K214" s="47" t="n">
        <x:f>K213+J214</x:f>
        <x:v>454664</x:v>
      </x:c>
      <x:c r="L214" s="46" t="n">
        <x:f>IF(C214="P0",1,IF(D214&lt;=3,0.8,IF(D214&lt;=14,0.65,IF(D214&lt;=45,0.5,0.3))))</x:f>
        <x:v>0.5</x:v>
      </x:c>
      <x:c r="M214" s="47" t="n">
        <x:f>J214*L214</x:f>
        <x:v>10120</x:v>
      </x:c>
      <x:c r="N214" s="47" t="n">
        <x:f>N213+M214</x:f>
        <x:v>272582.2</x:v>
      </x:c>
      <x:c r="O214" s="46" t="n">
        <x:f>IF(C214="P0",0,IF(D214&lt;=3,0.15,IF(D214&lt;=14,0.25,IF(D214&lt;=45,0.35,0.5))))</x:f>
        <x:v>0.35</x:v>
      </x:c>
      <x:c r="P214" s="47" t="n">
        <x:f>J214*O214</x:f>
        <x:v>7084</x:v>
      </x:c>
      <x:c r="Q214" s="46" t="n">
        <x:f>IF(C214="P0",0,IF(D214&lt;=3,0.05,IF(D214&lt;=14,0.1,IF(D214&lt;=45,0.15,0.2))))</x:f>
        <x:v>0.15</x:v>
      </x:c>
      <x:c r="R214" s="47" t="n">
        <x:f>J214*Q214</x:f>
        <x:v>3036</x:v>
      </x:c>
      <x:c r="S214" s="20" t="str">
        <x:f>IF(D214&lt;E214,"closed",IF(D214&lt;'Paths'!$N$9,"initial","expanded"))</x:f>
        <x:v>expanded</x:v>
      </x:c>
      <x:c r="T214" s="72"/>
    </x:row>
    <x:row r="215">
      <x:c r="C215" s="20" t="str">
        <x:v>P2</x:v>
      </x:c>
      <x:c r="D215" s="20" t="n">
        <x:v>26</x:v>
      </x:c>
      <x:c r="E215" s="45" t="n">
        <x:f>IF('Controls'!$D$7="Reference",'Paths'!$J$9,'Paths'!$K$9)</x:f>
        <x:v>1</x:v>
      </x:c>
      <x:c r="F215" s="47" t="n">
        <x:f>IF(D215&lt;'Paths'!$N$9,IF('Controls'!$D$7="Reference",'Paths'!$L$9,'Paths'!$M$9),IF('Controls'!$D$7="Reference",'Paths'!$O$9,'Paths'!$P$9))</x:f>
        <x:v>22000</x:v>
      </x:c>
      <x:c r="G215" s="46" t="n">
        <x:f>IF('Controls'!$D$7="Reference",1,IF(OR(D215=6,D215=7,D215=21,D215=46),'Paths'!$U$9,1))</x:f>
        <x:v>1</x:v>
      </x:c>
      <x:c r="H215" s="46" t="n">
        <x:f>IF('Controls'!$D$7="Reference",1,IF(OR(AND(D215&gt;=14,D215&lt;=16),AND(D215&gt;=34,D215&lt;=35),AND(D215&gt;=61,D215&lt;=63)),'Paths'!$V$9,1))</x:f>
        <x:v>1</x:v>
      </x:c>
      <x:c r="I215" s="46" t="n">
        <x:f>'Paths'!$W$9</x:f>
        <x:v>0.92</x:v>
      </x:c>
      <x:c r="J215" s="47" t="n">
        <x:f>IF(D215&lt;E215,0,MIN(F215*G215*H215*I215,IF('Paths'!$T$9&gt;0,MAX(0,'Paths'!$T$9-K214),1000000000)))</x:f>
        <x:v>20240</x:v>
      </x:c>
      <x:c r="K215" s="47" t="n">
        <x:f>K214+J215</x:f>
        <x:v>474904</x:v>
      </x:c>
      <x:c r="L215" s="46" t="n">
        <x:f>IF(C215="P0",1,IF(D215&lt;=3,0.8,IF(D215&lt;=14,0.65,IF(D215&lt;=45,0.5,0.3))))</x:f>
        <x:v>0.5</x:v>
      </x:c>
      <x:c r="M215" s="47" t="n">
        <x:f>J215*L215</x:f>
        <x:v>10120</x:v>
      </x:c>
      <x:c r="N215" s="47" t="n">
        <x:f>N214+M215</x:f>
        <x:v>282702.2</x:v>
      </x:c>
      <x:c r="O215" s="46" t="n">
        <x:f>IF(C215="P0",0,IF(D215&lt;=3,0.15,IF(D215&lt;=14,0.25,IF(D215&lt;=45,0.35,0.5))))</x:f>
        <x:v>0.35</x:v>
      </x:c>
      <x:c r="P215" s="47" t="n">
        <x:f>J215*O215</x:f>
        <x:v>7084</x:v>
      </x:c>
      <x:c r="Q215" s="46" t="n">
        <x:f>IF(C215="P0",0,IF(D215&lt;=3,0.05,IF(D215&lt;=14,0.1,IF(D215&lt;=45,0.15,0.2))))</x:f>
        <x:v>0.15</x:v>
      </x:c>
      <x:c r="R215" s="47" t="n">
        <x:f>J215*Q215</x:f>
        <x:v>3036</x:v>
      </x:c>
      <x:c r="S215" s="20" t="str">
        <x:f>IF(D215&lt;E215,"closed",IF(D215&lt;'Paths'!$N$9,"initial","expanded"))</x:f>
        <x:v>expanded</x:v>
      </x:c>
      <x:c r="T215" s="72"/>
    </x:row>
    <x:row r="216">
      <x:c r="C216" s="20" t="str">
        <x:v>P2</x:v>
      </x:c>
      <x:c r="D216" s="20" t="n">
        <x:v>27</x:v>
      </x:c>
      <x:c r="E216" s="45" t="n">
        <x:f>IF('Controls'!$D$7="Reference",'Paths'!$J$9,'Paths'!$K$9)</x:f>
        <x:v>1</x:v>
      </x:c>
      <x:c r="F216" s="47" t="n">
        <x:f>IF(D216&lt;'Paths'!$N$9,IF('Controls'!$D$7="Reference",'Paths'!$L$9,'Paths'!$M$9),IF('Controls'!$D$7="Reference",'Paths'!$O$9,'Paths'!$P$9))</x:f>
        <x:v>22000</x:v>
      </x:c>
      <x:c r="G216" s="46" t="n">
        <x:f>IF('Controls'!$D$7="Reference",1,IF(OR(D216=6,D216=7,D216=21,D216=46),'Paths'!$U$9,1))</x:f>
        <x:v>1</x:v>
      </x:c>
      <x:c r="H216" s="46" t="n">
        <x:f>IF('Controls'!$D$7="Reference",1,IF(OR(AND(D216&gt;=14,D216&lt;=16),AND(D216&gt;=34,D216&lt;=35),AND(D216&gt;=61,D216&lt;=63)),'Paths'!$V$9,1))</x:f>
        <x:v>1</x:v>
      </x:c>
      <x:c r="I216" s="46" t="n">
        <x:f>'Paths'!$W$9</x:f>
        <x:v>0.92</x:v>
      </x:c>
      <x:c r="J216" s="47" t="n">
        <x:f>IF(D216&lt;E216,0,MIN(F216*G216*H216*I216,IF('Paths'!$T$9&gt;0,MAX(0,'Paths'!$T$9-K215),1000000000)))</x:f>
        <x:v>20240</x:v>
      </x:c>
      <x:c r="K216" s="47" t="n">
        <x:f>K215+J216</x:f>
        <x:v>495144</x:v>
      </x:c>
      <x:c r="L216" s="46" t="n">
        <x:f>IF(C216="P0",1,IF(D216&lt;=3,0.8,IF(D216&lt;=14,0.65,IF(D216&lt;=45,0.5,0.3))))</x:f>
        <x:v>0.5</x:v>
      </x:c>
      <x:c r="M216" s="47" t="n">
        <x:f>J216*L216</x:f>
        <x:v>10120</x:v>
      </x:c>
      <x:c r="N216" s="47" t="n">
        <x:f>N215+M216</x:f>
        <x:v>292822.2</x:v>
      </x:c>
      <x:c r="O216" s="46" t="n">
        <x:f>IF(C216="P0",0,IF(D216&lt;=3,0.15,IF(D216&lt;=14,0.25,IF(D216&lt;=45,0.35,0.5))))</x:f>
        <x:v>0.35</x:v>
      </x:c>
      <x:c r="P216" s="47" t="n">
        <x:f>J216*O216</x:f>
        <x:v>7084</x:v>
      </x:c>
      <x:c r="Q216" s="46" t="n">
        <x:f>IF(C216="P0",0,IF(D216&lt;=3,0.05,IF(D216&lt;=14,0.1,IF(D216&lt;=45,0.15,0.2))))</x:f>
        <x:v>0.15</x:v>
      </x:c>
      <x:c r="R216" s="47" t="n">
        <x:f>J216*Q216</x:f>
        <x:v>3036</x:v>
      </x:c>
      <x:c r="S216" s="20" t="str">
        <x:f>IF(D216&lt;E216,"closed",IF(D216&lt;'Paths'!$N$9,"initial","expanded"))</x:f>
        <x:v>expanded</x:v>
      </x:c>
      <x:c r="T216" s="72"/>
    </x:row>
    <x:row r="217">
      <x:c r="C217" s="20" t="str">
        <x:v>P2</x:v>
      </x:c>
      <x:c r="D217" s="20" t="n">
        <x:v>28</x:v>
      </x:c>
      <x:c r="E217" s="45" t="n">
        <x:f>IF('Controls'!$D$7="Reference",'Paths'!$J$9,'Paths'!$K$9)</x:f>
        <x:v>1</x:v>
      </x:c>
      <x:c r="F217" s="47" t="n">
        <x:f>IF(D217&lt;'Paths'!$N$9,IF('Controls'!$D$7="Reference",'Paths'!$L$9,'Paths'!$M$9),IF('Controls'!$D$7="Reference",'Paths'!$O$9,'Paths'!$P$9))</x:f>
        <x:v>22000</x:v>
      </x:c>
      <x:c r="G217" s="46" t="n">
        <x:f>IF('Controls'!$D$7="Reference",1,IF(OR(D217=6,D217=7,D217=21,D217=46),'Paths'!$U$9,1))</x:f>
        <x:v>1</x:v>
      </x:c>
      <x:c r="H217" s="46" t="n">
        <x:f>IF('Controls'!$D$7="Reference",1,IF(OR(AND(D217&gt;=14,D217&lt;=16),AND(D217&gt;=34,D217&lt;=35),AND(D217&gt;=61,D217&lt;=63)),'Paths'!$V$9,1))</x:f>
        <x:v>1</x:v>
      </x:c>
      <x:c r="I217" s="46" t="n">
        <x:f>'Paths'!$W$9</x:f>
        <x:v>0.92</x:v>
      </x:c>
      <x:c r="J217" s="47" t="n">
        <x:f>IF(D217&lt;E217,0,MIN(F217*G217*H217*I217,IF('Paths'!$T$9&gt;0,MAX(0,'Paths'!$T$9-K216),1000000000)))</x:f>
        <x:v>20240</x:v>
      </x:c>
      <x:c r="K217" s="47" t="n">
        <x:f>K216+J217</x:f>
        <x:v>515384</x:v>
      </x:c>
      <x:c r="L217" s="46" t="n">
        <x:f>IF(C217="P0",1,IF(D217&lt;=3,0.8,IF(D217&lt;=14,0.65,IF(D217&lt;=45,0.5,0.3))))</x:f>
        <x:v>0.5</x:v>
      </x:c>
      <x:c r="M217" s="47" t="n">
        <x:f>J217*L217</x:f>
        <x:v>10120</x:v>
      </x:c>
      <x:c r="N217" s="47" t="n">
        <x:f>N216+M217</x:f>
        <x:v>302942.2</x:v>
      </x:c>
      <x:c r="O217" s="46" t="n">
        <x:f>IF(C217="P0",0,IF(D217&lt;=3,0.15,IF(D217&lt;=14,0.25,IF(D217&lt;=45,0.35,0.5))))</x:f>
        <x:v>0.35</x:v>
      </x:c>
      <x:c r="P217" s="47" t="n">
        <x:f>J217*O217</x:f>
        <x:v>7084</x:v>
      </x:c>
      <x:c r="Q217" s="46" t="n">
        <x:f>IF(C217="P0",0,IF(D217&lt;=3,0.05,IF(D217&lt;=14,0.1,IF(D217&lt;=45,0.15,0.2))))</x:f>
        <x:v>0.15</x:v>
      </x:c>
      <x:c r="R217" s="47" t="n">
        <x:f>J217*Q217</x:f>
        <x:v>3036</x:v>
      </x:c>
      <x:c r="S217" s="20" t="str">
        <x:f>IF(D217&lt;E217,"closed",IF(D217&lt;'Paths'!$N$9,"initial","expanded"))</x:f>
        <x:v>expanded</x:v>
      </x:c>
      <x:c r="T217" s="72"/>
    </x:row>
    <x:row r="218">
      <x:c r="C218" s="20" t="str">
        <x:v>P2</x:v>
      </x:c>
      <x:c r="D218" s="20" t="n">
        <x:v>29</x:v>
      </x:c>
      <x:c r="E218" s="45" t="n">
        <x:f>IF('Controls'!$D$7="Reference",'Paths'!$J$9,'Paths'!$K$9)</x:f>
        <x:v>1</x:v>
      </x:c>
      <x:c r="F218" s="47" t="n">
        <x:f>IF(D218&lt;'Paths'!$N$9,IF('Controls'!$D$7="Reference",'Paths'!$L$9,'Paths'!$M$9),IF('Controls'!$D$7="Reference",'Paths'!$O$9,'Paths'!$P$9))</x:f>
        <x:v>22000</x:v>
      </x:c>
      <x:c r="G218" s="46" t="n">
        <x:f>IF('Controls'!$D$7="Reference",1,IF(OR(D218=6,D218=7,D218=21,D218=46),'Paths'!$U$9,1))</x:f>
        <x:v>1</x:v>
      </x:c>
      <x:c r="H218" s="46" t="n">
        <x:f>IF('Controls'!$D$7="Reference",1,IF(OR(AND(D218&gt;=14,D218&lt;=16),AND(D218&gt;=34,D218&lt;=35),AND(D218&gt;=61,D218&lt;=63)),'Paths'!$V$9,1))</x:f>
        <x:v>1</x:v>
      </x:c>
      <x:c r="I218" s="46" t="n">
        <x:f>'Paths'!$W$9</x:f>
        <x:v>0.92</x:v>
      </x:c>
      <x:c r="J218" s="47" t="n">
        <x:f>IF(D218&lt;E218,0,MIN(F218*G218*H218*I218,IF('Paths'!$T$9&gt;0,MAX(0,'Paths'!$T$9-K217),1000000000)))</x:f>
        <x:v>20240</x:v>
      </x:c>
      <x:c r="K218" s="47" t="n">
        <x:f>K217+J218</x:f>
        <x:v>535624</x:v>
      </x:c>
      <x:c r="L218" s="46" t="n">
        <x:f>IF(C218="P0",1,IF(D218&lt;=3,0.8,IF(D218&lt;=14,0.65,IF(D218&lt;=45,0.5,0.3))))</x:f>
        <x:v>0.5</x:v>
      </x:c>
      <x:c r="M218" s="47" t="n">
        <x:f>J218*L218</x:f>
        <x:v>10120</x:v>
      </x:c>
      <x:c r="N218" s="47" t="n">
        <x:f>N217+M218</x:f>
        <x:v>313062.2</x:v>
      </x:c>
      <x:c r="O218" s="46" t="n">
        <x:f>IF(C218="P0",0,IF(D218&lt;=3,0.15,IF(D218&lt;=14,0.25,IF(D218&lt;=45,0.35,0.5))))</x:f>
        <x:v>0.35</x:v>
      </x:c>
      <x:c r="P218" s="47" t="n">
        <x:f>J218*O218</x:f>
        <x:v>7084</x:v>
      </x:c>
      <x:c r="Q218" s="46" t="n">
        <x:f>IF(C218="P0",0,IF(D218&lt;=3,0.05,IF(D218&lt;=14,0.1,IF(D218&lt;=45,0.15,0.2))))</x:f>
        <x:v>0.15</x:v>
      </x:c>
      <x:c r="R218" s="47" t="n">
        <x:f>J218*Q218</x:f>
        <x:v>3036</x:v>
      </x:c>
      <x:c r="S218" s="20" t="str">
        <x:f>IF(D218&lt;E218,"closed",IF(D218&lt;'Paths'!$N$9,"initial","expanded"))</x:f>
        <x:v>expanded</x:v>
      </x:c>
      <x:c r="T218" s="72"/>
    </x:row>
    <x:row r="219">
      <x:c r="C219" s="20" t="str">
        <x:v>P2</x:v>
      </x:c>
      <x:c r="D219" s="20" t="n">
        <x:v>30</x:v>
      </x:c>
      <x:c r="E219" s="45" t="n">
        <x:f>IF('Controls'!$D$7="Reference",'Paths'!$J$9,'Paths'!$K$9)</x:f>
        <x:v>1</x:v>
      </x:c>
      <x:c r="F219" s="47" t="n">
        <x:f>IF(D219&lt;'Paths'!$N$9,IF('Controls'!$D$7="Reference",'Paths'!$L$9,'Paths'!$M$9),IF('Controls'!$D$7="Reference",'Paths'!$O$9,'Paths'!$P$9))</x:f>
        <x:v>22000</x:v>
      </x:c>
      <x:c r="G219" s="46" t="n">
        <x:f>IF('Controls'!$D$7="Reference",1,IF(OR(D219=6,D219=7,D219=21,D219=46),'Paths'!$U$9,1))</x:f>
        <x:v>1</x:v>
      </x:c>
      <x:c r="H219" s="46" t="n">
        <x:f>IF('Controls'!$D$7="Reference",1,IF(OR(AND(D219&gt;=14,D219&lt;=16),AND(D219&gt;=34,D219&lt;=35),AND(D219&gt;=61,D219&lt;=63)),'Paths'!$V$9,1))</x:f>
        <x:v>1</x:v>
      </x:c>
      <x:c r="I219" s="46" t="n">
        <x:f>'Paths'!$W$9</x:f>
        <x:v>0.92</x:v>
      </x:c>
      <x:c r="J219" s="47" t="n">
        <x:f>IF(D219&lt;E219,0,MIN(F219*G219*H219*I219,IF('Paths'!$T$9&gt;0,MAX(0,'Paths'!$T$9-K218),1000000000)))</x:f>
        <x:v>20240</x:v>
      </x:c>
      <x:c r="K219" s="47" t="n">
        <x:f>K218+J219</x:f>
        <x:v>555864</x:v>
      </x:c>
      <x:c r="L219" s="46" t="n">
        <x:f>IF(C219="P0",1,IF(D219&lt;=3,0.8,IF(D219&lt;=14,0.65,IF(D219&lt;=45,0.5,0.3))))</x:f>
        <x:v>0.5</x:v>
      </x:c>
      <x:c r="M219" s="47" t="n">
        <x:f>J219*L219</x:f>
        <x:v>10120</x:v>
      </x:c>
      <x:c r="N219" s="47" t="n">
        <x:f>N218+M219</x:f>
        <x:v>323182.2</x:v>
      </x:c>
      <x:c r="O219" s="46" t="n">
        <x:f>IF(C219="P0",0,IF(D219&lt;=3,0.15,IF(D219&lt;=14,0.25,IF(D219&lt;=45,0.35,0.5))))</x:f>
        <x:v>0.35</x:v>
      </x:c>
      <x:c r="P219" s="47" t="n">
        <x:f>J219*O219</x:f>
        <x:v>7084</x:v>
      </x:c>
      <x:c r="Q219" s="46" t="n">
        <x:f>IF(C219="P0",0,IF(D219&lt;=3,0.05,IF(D219&lt;=14,0.1,IF(D219&lt;=45,0.15,0.2))))</x:f>
        <x:v>0.15</x:v>
      </x:c>
      <x:c r="R219" s="47" t="n">
        <x:f>J219*Q219</x:f>
        <x:v>3036</x:v>
      </x:c>
      <x:c r="S219" s="20" t="str">
        <x:f>IF(D219&lt;E219,"closed",IF(D219&lt;'Paths'!$N$9,"initial","expanded"))</x:f>
        <x:v>expanded</x:v>
      </x:c>
      <x:c r="T219" s="72"/>
    </x:row>
    <x:row r="220">
      <x:c r="C220" s="20" t="str">
        <x:v>P2</x:v>
      </x:c>
      <x:c r="D220" s="20" t="n">
        <x:v>31</x:v>
      </x:c>
      <x:c r="E220" s="45" t="n">
        <x:f>IF('Controls'!$D$7="Reference",'Paths'!$J$9,'Paths'!$K$9)</x:f>
        <x:v>1</x:v>
      </x:c>
      <x:c r="F220" s="47" t="n">
        <x:f>IF(D220&lt;'Paths'!$N$9,IF('Controls'!$D$7="Reference",'Paths'!$L$9,'Paths'!$M$9),IF('Controls'!$D$7="Reference",'Paths'!$O$9,'Paths'!$P$9))</x:f>
        <x:v>22000</x:v>
      </x:c>
      <x:c r="G220" s="46" t="n">
        <x:f>IF('Controls'!$D$7="Reference",1,IF(OR(D220=6,D220=7,D220=21,D220=46),'Paths'!$U$9,1))</x:f>
        <x:v>1</x:v>
      </x:c>
      <x:c r="H220" s="46" t="n">
        <x:f>IF('Controls'!$D$7="Reference",1,IF(OR(AND(D220&gt;=14,D220&lt;=16),AND(D220&gt;=34,D220&lt;=35),AND(D220&gt;=61,D220&lt;=63)),'Paths'!$V$9,1))</x:f>
        <x:v>1</x:v>
      </x:c>
      <x:c r="I220" s="46" t="n">
        <x:f>'Paths'!$W$9</x:f>
        <x:v>0.92</x:v>
      </x:c>
      <x:c r="J220" s="47" t="n">
        <x:f>IF(D220&lt;E220,0,MIN(F220*G220*H220*I220,IF('Paths'!$T$9&gt;0,MAX(0,'Paths'!$T$9-K219),1000000000)))</x:f>
        <x:v>20240</x:v>
      </x:c>
      <x:c r="K220" s="47" t="n">
        <x:f>K219+J220</x:f>
        <x:v>576104</x:v>
      </x:c>
      <x:c r="L220" s="46" t="n">
        <x:f>IF(C220="P0",1,IF(D220&lt;=3,0.8,IF(D220&lt;=14,0.65,IF(D220&lt;=45,0.5,0.3))))</x:f>
        <x:v>0.5</x:v>
      </x:c>
      <x:c r="M220" s="47" t="n">
        <x:f>J220*L220</x:f>
        <x:v>10120</x:v>
      </x:c>
      <x:c r="N220" s="47" t="n">
        <x:f>N219+M220</x:f>
        <x:v>333302.2</x:v>
      </x:c>
      <x:c r="O220" s="46" t="n">
        <x:f>IF(C220="P0",0,IF(D220&lt;=3,0.15,IF(D220&lt;=14,0.25,IF(D220&lt;=45,0.35,0.5))))</x:f>
        <x:v>0.35</x:v>
      </x:c>
      <x:c r="P220" s="47" t="n">
        <x:f>J220*O220</x:f>
        <x:v>7084</x:v>
      </x:c>
      <x:c r="Q220" s="46" t="n">
        <x:f>IF(C220="P0",0,IF(D220&lt;=3,0.05,IF(D220&lt;=14,0.1,IF(D220&lt;=45,0.15,0.2))))</x:f>
        <x:v>0.15</x:v>
      </x:c>
      <x:c r="R220" s="47" t="n">
        <x:f>J220*Q220</x:f>
        <x:v>3036</x:v>
      </x:c>
      <x:c r="S220" s="20" t="str">
        <x:f>IF(D220&lt;E220,"closed",IF(D220&lt;'Paths'!$N$9,"initial","expanded"))</x:f>
        <x:v>expanded</x:v>
      </x:c>
      <x:c r="T220" s="72"/>
    </x:row>
    <x:row r="221">
      <x:c r="C221" s="20" t="str">
        <x:v>P2</x:v>
      </x:c>
      <x:c r="D221" s="20" t="n">
        <x:v>32</x:v>
      </x:c>
      <x:c r="E221" s="45" t="n">
        <x:f>IF('Controls'!$D$7="Reference",'Paths'!$J$9,'Paths'!$K$9)</x:f>
        <x:v>1</x:v>
      </x:c>
      <x:c r="F221" s="47" t="n">
        <x:f>IF(D221&lt;'Paths'!$N$9,IF('Controls'!$D$7="Reference",'Paths'!$L$9,'Paths'!$M$9),IF('Controls'!$D$7="Reference",'Paths'!$O$9,'Paths'!$P$9))</x:f>
        <x:v>22000</x:v>
      </x:c>
      <x:c r="G221" s="46" t="n">
        <x:f>IF('Controls'!$D$7="Reference",1,IF(OR(D221=6,D221=7,D221=21,D221=46),'Paths'!$U$9,1))</x:f>
        <x:v>1</x:v>
      </x:c>
      <x:c r="H221" s="46" t="n">
        <x:f>IF('Controls'!$D$7="Reference",1,IF(OR(AND(D221&gt;=14,D221&lt;=16),AND(D221&gt;=34,D221&lt;=35),AND(D221&gt;=61,D221&lt;=63)),'Paths'!$V$9,1))</x:f>
        <x:v>1</x:v>
      </x:c>
      <x:c r="I221" s="46" t="n">
        <x:f>'Paths'!$W$9</x:f>
        <x:v>0.92</x:v>
      </x:c>
      <x:c r="J221" s="47" t="n">
        <x:f>IF(D221&lt;E221,0,MIN(F221*G221*H221*I221,IF('Paths'!$T$9&gt;0,MAX(0,'Paths'!$T$9-K220),1000000000)))</x:f>
        <x:v>20240</x:v>
      </x:c>
      <x:c r="K221" s="47" t="n">
        <x:f>K220+J221</x:f>
        <x:v>596344</x:v>
      </x:c>
      <x:c r="L221" s="46" t="n">
        <x:f>IF(C221="P0",1,IF(D221&lt;=3,0.8,IF(D221&lt;=14,0.65,IF(D221&lt;=45,0.5,0.3))))</x:f>
        <x:v>0.5</x:v>
      </x:c>
      <x:c r="M221" s="47" t="n">
        <x:f>J221*L221</x:f>
        <x:v>10120</x:v>
      </x:c>
      <x:c r="N221" s="47" t="n">
        <x:f>N220+M221</x:f>
        <x:v>343422.2</x:v>
      </x:c>
      <x:c r="O221" s="46" t="n">
        <x:f>IF(C221="P0",0,IF(D221&lt;=3,0.15,IF(D221&lt;=14,0.25,IF(D221&lt;=45,0.35,0.5))))</x:f>
        <x:v>0.35</x:v>
      </x:c>
      <x:c r="P221" s="47" t="n">
        <x:f>J221*O221</x:f>
        <x:v>7084</x:v>
      </x:c>
      <x:c r="Q221" s="46" t="n">
        <x:f>IF(C221="P0",0,IF(D221&lt;=3,0.05,IF(D221&lt;=14,0.1,IF(D221&lt;=45,0.15,0.2))))</x:f>
        <x:v>0.15</x:v>
      </x:c>
      <x:c r="R221" s="47" t="n">
        <x:f>J221*Q221</x:f>
        <x:v>3036</x:v>
      </x:c>
      <x:c r="S221" s="20" t="str">
        <x:f>IF(D221&lt;E221,"closed",IF(D221&lt;'Paths'!$N$9,"initial","expanded"))</x:f>
        <x:v>expanded</x:v>
      </x:c>
      <x:c r="T221" s="72"/>
    </x:row>
    <x:row r="222">
      <x:c r="C222" s="20" t="str">
        <x:v>P2</x:v>
      </x:c>
      <x:c r="D222" s="20" t="n">
        <x:v>33</x:v>
      </x:c>
      <x:c r="E222" s="45" t="n">
        <x:f>IF('Controls'!$D$7="Reference",'Paths'!$J$9,'Paths'!$K$9)</x:f>
        <x:v>1</x:v>
      </x:c>
      <x:c r="F222" s="47" t="n">
        <x:f>IF(D222&lt;'Paths'!$N$9,IF('Controls'!$D$7="Reference",'Paths'!$L$9,'Paths'!$M$9),IF('Controls'!$D$7="Reference",'Paths'!$O$9,'Paths'!$P$9))</x:f>
        <x:v>22000</x:v>
      </x:c>
      <x:c r="G222" s="46" t="n">
        <x:f>IF('Controls'!$D$7="Reference",1,IF(OR(D222=6,D222=7,D222=21,D222=46),'Paths'!$U$9,1))</x:f>
        <x:v>1</x:v>
      </x:c>
      <x:c r="H222" s="46" t="n">
        <x:f>IF('Controls'!$D$7="Reference",1,IF(OR(AND(D222&gt;=14,D222&lt;=16),AND(D222&gt;=34,D222&lt;=35),AND(D222&gt;=61,D222&lt;=63)),'Paths'!$V$9,1))</x:f>
        <x:v>1</x:v>
      </x:c>
      <x:c r="I222" s="46" t="n">
        <x:f>'Paths'!$W$9</x:f>
        <x:v>0.92</x:v>
      </x:c>
      <x:c r="J222" s="47" t="n">
        <x:f>IF(D222&lt;E222,0,MIN(F222*G222*H222*I222,IF('Paths'!$T$9&gt;0,MAX(0,'Paths'!$T$9-K221),1000000000)))</x:f>
        <x:v>20240</x:v>
      </x:c>
      <x:c r="K222" s="47" t="n">
        <x:f>K221+J222</x:f>
        <x:v>616584</x:v>
      </x:c>
      <x:c r="L222" s="46" t="n">
        <x:f>IF(C222="P0",1,IF(D222&lt;=3,0.8,IF(D222&lt;=14,0.65,IF(D222&lt;=45,0.5,0.3))))</x:f>
        <x:v>0.5</x:v>
      </x:c>
      <x:c r="M222" s="47" t="n">
        <x:f>J222*L222</x:f>
        <x:v>10120</x:v>
      </x:c>
      <x:c r="N222" s="47" t="n">
        <x:f>N221+M222</x:f>
        <x:v>353542.2</x:v>
      </x:c>
      <x:c r="O222" s="46" t="n">
        <x:f>IF(C222="P0",0,IF(D222&lt;=3,0.15,IF(D222&lt;=14,0.25,IF(D222&lt;=45,0.35,0.5))))</x:f>
        <x:v>0.35</x:v>
      </x:c>
      <x:c r="P222" s="47" t="n">
        <x:f>J222*O222</x:f>
        <x:v>7084</x:v>
      </x:c>
      <x:c r="Q222" s="46" t="n">
        <x:f>IF(C222="P0",0,IF(D222&lt;=3,0.05,IF(D222&lt;=14,0.1,IF(D222&lt;=45,0.15,0.2))))</x:f>
        <x:v>0.15</x:v>
      </x:c>
      <x:c r="R222" s="47" t="n">
        <x:f>J222*Q222</x:f>
        <x:v>3036</x:v>
      </x:c>
      <x:c r="S222" s="20" t="str">
        <x:f>IF(D222&lt;E222,"closed",IF(D222&lt;'Paths'!$N$9,"initial","expanded"))</x:f>
        <x:v>expanded</x:v>
      </x:c>
      <x:c r="T222" s="72"/>
    </x:row>
    <x:row r="223">
      <x:c r="C223" s="20" t="str">
        <x:v>P2</x:v>
      </x:c>
      <x:c r="D223" s="20" t="n">
        <x:v>34</x:v>
      </x:c>
      <x:c r="E223" s="45" t="n">
        <x:f>IF('Controls'!$D$7="Reference",'Paths'!$J$9,'Paths'!$K$9)</x:f>
        <x:v>1</x:v>
      </x:c>
      <x:c r="F223" s="47" t="n">
        <x:f>IF(D223&lt;'Paths'!$N$9,IF('Controls'!$D$7="Reference",'Paths'!$L$9,'Paths'!$M$9),IF('Controls'!$D$7="Reference",'Paths'!$O$9,'Paths'!$P$9))</x:f>
        <x:v>22000</x:v>
      </x:c>
      <x:c r="G223" s="46" t="n">
        <x:f>IF('Controls'!$D$7="Reference",1,IF(OR(D223=6,D223=7,D223=21,D223=46),'Paths'!$U$9,1))</x:f>
        <x:v>1</x:v>
      </x:c>
      <x:c r="H223" s="46" t="n">
        <x:f>IF('Controls'!$D$7="Reference",1,IF(OR(AND(D223&gt;=14,D223&lt;=16),AND(D223&gt;=34,D223&lt;=35),AND(D223&gt;=61,D223&lt;=63)),'Paths'!$V$9,1))</x:f>
        <x:v>0.7</x:v>
      </x:c>
      <x:c r="I223" s="46" t="n">
        <x:f>'Paths'!$W$9</x:f>
        <x:v>0.92</x:v>
      </x:c>
      <x:c r="J223" s="47" t="n">
        <x:f>IF(D223&lt;E223,0,MIN(F223*G223*H223*I223,IF('Paths'!$T$9&gt;0,MAX(0,'Paths'!$T$9-K222),1000000000)))</x:f>
        <x:v>14167.999999999998</x:v>
      </x:c>
      <x:c r="K223" s="47" t="n">
        <x:f>K222+J223</x:f>
        <x:v>630752</x:v>
      </x:c>
      <x:c r="L223" s="46" t="n">
        <x:f>IF(C223="P0",1,IF(D223&lt;=3,0.8,IF(D223&lt;=14,0.65,IF(D223&lt;=45,0.5,0.3))))</x:f>
        <x:v>0.5</x:v>
      </x:c>
      <x:c r="M223" s="47" t="n">
        <x:f>J223*L223</x:f>
        <x:v>7083.999999999999</x:v>
      </x:c>
      <x:c r="N223" s="47" t="n">
        <x:f>N222+M223</x:f>
        <x:v>360626.2</x:v>
      </x:c>
      <x:c r="O223" s="46" t="n">
        <x:f>IF(C223="P0",0,IF(D223&lt;=3,0.15,IF(D223&lt;=14,0.25,IF(D223&lt;=45,0.35,0.5))))</x:f>
        <x:v>0.35</x:v>
      </x:c>
      <x:c r="P223" s="47" t="n">
        <x:f>J223*O223</x:f>
        <x:v>4958.799999999999</x:v>
      </x:c>
      <x:c r="Q223" s="46" t="n">
        <x:f>IF(C223="P0",0,IF(D223&lt;=3,0.05,IF(D223&lt;=14,0.1,IF(D223&lt;=45,0.15,0.2))))</x:f>
        <x:v>0.15</x:v>
      </x:c>
      <x:c r="R223" s="47" t="n">
        <x:f>J223*Q223</x:f>
        <x:v>2125.2</x:v>
      </x:c>
      <x:c r="S223" s="20" t="str">
        <x:f>IF(D223&lt;E223,"closed",IF(D223&lt;'Paths'!$N$9,"initial","expanded"))</x:f>
        <x:v>expanded</x:v>
      </x:c>
      <x:c r="T223" s="72"/>
    </x:row>
    <x:row r="224">
      <x:c r="C224" s="20" t="str">
        <x:v>P2</x:v>
      </x:c>
      <x:c r="D224" s="20" t="n">
        <x:v>35</x:v>
      </x:c>
      <x:c r="E224" s="45" t="n">
        <x:f>IF('Controls'!$D$7="Reference",'Paths'!$J$9,'Paths'!$K$9)</x:f>
        <x:v>1</x:v>
      </x:c>
      <x:c r="F224" s="47" t="n">
        <x:f>IF(D224&lt;'Paths'!$N$9,IF('Controls'!$D$7="Reference",'Paths'!$L$9,'Paths'!$M$9),IF('Controls'!$D$7="Reference",'Paths'!$O$9,'Paths'!$P$9))</x:f>
        <x:v>22000</x:v>
      </x:c>
      <x:c r="G224" s="46" t="n">
        <x:f>IF('Controls'!$D$7="Reference",1,IF(OR(D224=6,D224=7,D224=21,D224=46),'Paths'!$U$9,1))</x:f>
        <x:v>1</x:v>
      </x:c>
      <x:c r="H224" s="46" t="n">
        <x:f>IF('Controls'!$D$7="Reference",1,IF(OR(AND(D224&gt;=14,D224&lt;=16),AND(D224&gt;=34,D224&lt;=35),AND(D224&gt;=61,D224&lt;=63)),'Paths'!$V$9,1))</x:f>
        <x:v>0.7</x:v>
      </x:c>
      <x:c r="I224" s="46" t="n">
        <x:f>'Paths'!$W$9</x:f>
        <x:v>0.92</x:v>
      </x:c>
      <x:c r="J224" s="47" t="n">
        <x:f>IF(D224&lt;E224,0,MIN(F224*G224*H224*I224,IF('Paths'!$T$9&gt;0,MAX(0,'Paths'!$T$9-K223),1000000000)))</x:f>
        <x:v>14167.999999999998</x:v>
      </x:c>
      <x:c r="K224" s="47" t="n">
        <x:f>K223+J224</x:f>
        <x:v>644920</x:v>
      </x:c>
      <x:c r="L224" s="46" t="n">
        <x:f>IF(C224="P0",1,IF(D224&lt;=3,0.8,IF(D224&lt;=14,0.65,IF(D224&lt;=45,0.5,0.3))))</x:f>
        <x:v>0.5</x:v>
      </x:c>
      <x:c r="M224" s="47" t="n">
        <x:f>J224*L224</x:f>
        <x:v>7083.999999999999</x:v>
      </x:c>
      <x:c r="N224" s="47" t="n">
        <x:f>N223+M224</x:f>
        <x:v>367710.2</x:v>
      </x:c>
      <x:c r="O224" s="46" t="n">
        <x:f>IF(C224="P0",0,IF(D224&lt;=3,0.15,IF(D224&lt;=14,0.25,IF(D224&lt;=45,0.35,0.5))))</x:f>
        <x:v>0.35</x:v>
      </x:c>
      <x:c r="P224" s="47" t="n">
        <x:f>J224*O224</x:f>
        <x:v>4958.799999999999</x:v>
      </x:c>
      <x:c r="Q224" s="46" t="n">
        <x:f>IF(C224="P0",0,IF(D224&lt;=3,0.05,IF(D224&lt;=14,0.1,IF(D224&lt;=45,0.15,0.2))))</x:f>
        <x:v>0.15</x:v>
      </x:c>
      <x:c r="R224" s="47" t="n">
        <x:f>J224*Q224</x:f>
        <x:v>2125.2</x:v>
      </x:c>
      <x:c r="S224" s="20" t="str">
        <x:f>IF(D224&lt;E224,"closed",IF(D224&lt;'Paths'!$N$9,"initial","expanded"))</x:f>
        <x:v>expanded</x:v>
      </x:c>
      <x:c r="T224" s="72"/>
    </x:row>
    <x:row r="225">
      <x:c r="C225" s="20" t="str">
        <x:v>P2</x:v>
      </x:c>
      <x:c r="D225" s="20" t="n">
        <x:v>36</x:v>
      </x:c>
      <x:c r="E225" s="45" t="n">
        <x:f>IF('Controls'!$D$7="Reference",'Paths'!$J$9,'Paths'!$K$9)</x:f>
        <x:v>1</x:v>
      </x:c>
      <x:c r="F225" s="47" t="n">
        <x:f>IF(D225&lt;'Paths'!$N$9,IF('Controls'!$D$7="Reference",'Paths'!$L$9,'Paths'!$M$9),IF('Controls'!$D$7="Reference",'Paths'!$O$9,'Paths'!$P$9))</x:f>
        <x:v>22000</x:v>
      </x:c>
      <x:c r="G225" s="46" t="n">
        <x:f>IF('Controls'!$D$7="Reference",1,IF(OR(D225=6,D225=7,D225=21,D225=46),'Paths'!$U$9,1))</x:f>
        <x:v>1</x:v>
      </x:c>
      <x:c r="H225" s="46" t="n">
        <x:f>IF('Controls'!$D$7="Reference",1,IF(OR(AND(D225&gt;=14,D225&lt;=16),AND(D225&gt;=34,D225&lt;=35),AND(D225&gt;=61,D225&lt;=63)),'Paths'!$V$9,1))</x:f>
        <x:v>1</x:v>
      </x:c>
      <x:c r="I225" s="46" t="n">
        <x:f>'Paths'!$W$9</x:f>
        <x:v>0.92</x:v>
      </x:c>
      <x:c r="J225" s="47" t="n">
        <x:f>IF(D225&lt;E225,0,MIN(F225*G225*H225*I225,IF('Paths'!$T$9&gt;0,MAX(0,'Paths'!$T$9-K224),1000000000)))</x:f>
        <x:v>20240</x:v>
      </x:c>
      <x:c r="K225" s="47" t="n">
        <x:f>K224+J225</x:f>
        <x:v>665160</x:v>
      </x:c>
      <x:c r="L225" s="46" t="n">
        <x:f>IF(C225="P0",1,IF(D225&lt;=3,0.8,IF(D225&lt;=14,0.65,IF(D225&lt;=45,0.5,0.3))))</x:f>
        <x:v>0.5</x:v>
      </x:c>
      <x:c r="M225" s="47" t="n">
        <x:f>J225*L225</x:f>
        <x:v>10120</x:v>
      </x:c>
      <x:c r="N225" s="47" t="n">
        <x:f>N224+M225</x:f>
        <x:v>377830.2</x:v>
      </x:c>
      <x:c r="O225" s="46" t="n">
        <x:f>IF(C225="P0",0,IF(D225&lt;=3,0.15,IF(D225&lt;=14,0.25,IF(D225&lt;=45,0.35,0.5))))</x:f>
        <x:v>0.35</x:v>
      </x:c>
      <x:c r="P225" s="47" t="n">
        <x:f>J225*O225</x:f>
        <x:v>7084</x:v>
      </x:c>
      <x:c r="Q225" s="46" t="n">
        <x:f>IF(C225="P0",0,IF(D225&lt;=3,0.05,IF(D225&lt;=14,0.1,IF(D225&lt;=45,0.15,0.2))))</x:f>
        <x:v>0.15</x:v>
      </x:c>
      <x:c r="R225" s="47" t="n">
        <x:f>J225*Q225</x:f>
        <x:v>3036</x:v>
      </x:c>
      <x:c r="S225" s="20" t="str">
        <x:f>IF(D225&lt;E225,"closed",IF(D225&lt;'Paths'!$N$9,"initial","expanded"))</x:f>
        <x:v>expanded</x:v>
      </x:c>
      <x:c r="T225" s="72"/>
    </x:row>
    <x:row r="226">
      <x:c r="C226" s="20" t="str">
        <x:v>P2</x:v>
      </x:c>
      <x:c r="D226" s="20" t="n">
        <x:v>37</x:v>
      </x:c>
      <x:c r="E226" s="45" t="n">
        <x:f>IF('Controls'!$D$7="Reference",'Paths'!$J$9,'Paths'!$K$9)</x:f>
        <x:v>1</x:v>
      </x:c>
      <x:c r="F226" s="47" t="n">
        <x:f>IF(D226&lt;'Paths'!$N$9,IF('Controls'!$D$7="Reference",'Paths'!$L$9,'Paths'!$M$9),IF('Controls'!$D$7="Reference",'Paths'!$O$9,'Paths'!$P$9))</x:f>
        <x:v>22000</x:v>
      </x:c>
      <x:c r="G226" s="46" t="n">
        <x:f>IF('Controls'!$D$7="Reference",1,IF(OR(D226=6,D226=7,D226=21,D226=46),'Paths'!$U$9,1))</x:f>
        <x:v>1</x:v>
      </x:c>
      <x:c r="H226" s="46" t="n">
        <x:f>IF('Controls'!$D$7="Reference",1,IF(OR(AND(D226&gt;=14,D226&lt;=16),AND(D226&gt;=34,D226&lt;=35),AND(D226&gt;=61,D226&lt;=63)),'Paths'!$V$9,1))</x:f>
        <x:v>1</x:v>
      </x:c>
      <x:c r="I226" s="46" t="n">
        <x:f>'Paths'!$W$9</x:f>
        <x:v>0.92</x:v>
      </x:c>
      <x:c r="J226" s="47" t="n">
        <x:f>IF(D226&lt;E226,0,MIN(F226*G226*H226*I226,IF('Paths'!$T$9&gt;0,MAX(0,'Paths'!$T$9-K225),1000000000)))</x:f>
        <x:v>20240</x:v>
      </x:c>
      <x:c r="K226" s="47" t="n">
        <x:f>K225+J226</x:f>
        <x:v>685400</x:v>
      </x:c>
      <x:c r="L226" s="46" t="n">
        <x:f>IF(C226="P0",1,IF(D226&lt;=3,0.8,IF(D226&lt;=14,0.65,IF(D226&lt;=45,0.5,0.3))))</x:f>
        <x:v>0.5</x:v>
      </x:c>
      <x:c r="M226" s="47" t="n">
        <x:f>J226*L226</x:f>
        <x:v>10120</x:v>
      </x:c>
      <x:c r="N226" s="47" t="n">
        <x:f>N225+M226</x:f>
        <x:v>387950.2</x:v>
      </x:c>
      <x:c r="O226" s="46" t="n">
        <x:f>IF(C226="P0",0,IF(D226&lt;=3,0.15,IF(D226&lt;=14,0.25,IF(D226&lt;=45,0.35,0.5))))</x:f>
        <x:v>0.35</x:v>
      </x:c>
      <x:c r="P226" s="47" t="n">
        <x:f>J226*O226</x:f>
        <x:v>7084</x:v>
      </x:c>
      <x:c r="Q226" s="46" t="n">
        <x:f>IF(C226="P0",0,IF(D226&lt;=3,0.05,IF(D226&lt;=14,0.1,IF(D226&lt;=45,0.15,0.2))))</x:f>
        <x:v>0.15</x:v>
      </x:c>
      <x:c r="R226" s="47" t="n">
        <x:f>J226*Q226</x:f>
        <x:v>3036</x:v>
      </x:c>
      <x:c r="S226" s="20" t="str">
        <x:f>IF(D226&lt;E226,"closed",IF(D226&lt;'Paths'!$N$9,"initial","expanded"))</x:f>
        <x:v>expanded</x:v>
      </x:c>
      <x:c r="T226" s="72"/>
    </x:row>
    <x:row r="227">
      <x:c r="C227" s="20" t="str">
        <x:v>P2</x:v>
      </x:c>
      <x:c r="D227" s="20" t="n">
        <x:v>38</x:v>
      </x:c>
      <x:c r="E227" s="45" t="n">
        <x:f>IF('Controls'!$D$7="Reference",'Paths'!$J$9,'Paths'!$K$9)</x:f>
        <x:v>1</x:v>
      </x:c>
      <x:c r="F227" s="47" t="n">
        <x:f>IF(D227&lt;'Paths'!$N$9,IF('Controls'!$D$7="Reference",'Paths'!$L$9,'Paths'!$M$9),IF('Controls'!$D$7="Reference",'Paths'!$O$9,'Paths'!$P$9))</x:f>
        <x:v>22000</x:v>
      </x:c>
      <x:c r="G227" s="46" t="n">
        <x:f>IF('Controls'!$D$7="Reference",1,IF(OR(D227=6,D227=7,D227=21,D227=46),'Paths'!$U$9,1))</x:f>
        <x:v>1</x:v>
      </x:c>
      <x:c r="H227" s="46" t="n">
        <x:f>IF('Controls'!$D$7="Reference",1,IF(OR(AND(D227&gt;=14,D227&lt;=16),AND(D227&gt;=34,D227&lt;=35),AND(D227&gt;=61,D227&lt;=63)),'Paths'!$V$9,1))</x:f>
        <x:v>1</x:v>
      </x:c>
      <x:c r="I227" s="46" t="n">
        <x:f>'Paths'!$W$9</x:f>
        <x:v>0.92</x:v>
      </x:c>
      <x:c r="J227" s="47" t="n">
        <x:f>IF(D227&lt;E227,0,MIN(F227*G227*H227*I227,IF('Paths'!$T$9&gt;0,MAX(0,'Paths'!$T$9-K226),1000000000)))</x:f>
        <x:v>20240</x:v>
      </x:c>
      <x:c r="K227" s="47" t="n">
        <x:f>K226+J227</x:f>
        <x:v>705640</x:v>
      </x:c>
      <x:c r="L227" s="46" t="n">
        <x:f>IF(C227="P0",1,IF(D227&lt;=3,0.8,IF(D227&lt;=14,0.65,IF(D227&lt;=45,0.5,0.3))))</x:f>
        <x:v>0.5</x:v>
      </x:c>
      <x:c r="M227" s="47" t="n">
        <x:f>J227*L227</x:f>
        <x:v>10120</x:v>
      </x:c>
      <x:c r="N227" s="47" t="n">
        <x:f>N226+M227</x:f>
        <x:v>398070.2</x:v>
      </x:c>
      <x:c r="O227" s="46" t="n">
        <x:f>IF(C227="P0",0,IF(D227&lt;=3,0.15,IF(D227&lt;=14,0.25,IF(D227&lt;=45,0.35,0.5))))</x:f>
        <x:v>0.35</x:v>
      </x:c>
      <x:c r="P227" s="47" t="n">
        <x:f>J227*O227</x:f>
        <x:v>7084</x:v>
      </x:c>
      <x:c r="Q227" s="46" t="n">
        <x:f>IF(C227="P0",0,IF(D227&lt;=3,0.05,IF(D227&lt;=14,0.1,IF(D227&lt;=45,0.15,0.2))))</x:f>
        <x:v>0.15</x:v>
      </x:c>
      <x:c r="R227" s="47" t="n">
        <x:f>J227*Q227</x:f>
        <x:v>3036</x:v>
      </x:c>
      <x:c r="S227" s="20" t="str">
        <x:f>IF(D227&lt;E227,"closed",IF(D227&lt;'Paths'!$N$9,"initial","expanded"))</x:f>
        <x:v>expanded</x:v>
      </x:c>
      <x:c r="T227" s="72"/>
    </x:row>
    <x:row r="228">
      <x:c r="C228" s="20" t="str">
        <x:v>P2</x:v>
      </x:c>
      <x:c r="D228" s="20" t="n">
        <x:v>39</x:v>
      </x:c>
      <x:c r="E228" s="45" t="n">
        <x:f>IF('Controls'!$D$7="Reference",'Paths'!$J$9,'Paths'!$K$9)</x:f>
        <x:v>1</x:v>
      </x:c>
      <x:c r="F228" s="47" t="n">
        <x:f>IF(D228&lt;'Paths'!$N$9,IF('Controls'!$D$7="Reference",'Paths'!$L$9,'Paths'!$M$9),IF('Controls'!$D$7="Reference",'Paths'!$O$9,'Paths'!$P$9))</x:f>
        <x:v>22000</x:v>
      </x:c>
      <x:c r="G228" s="46" t="n">
        <x:f>IF('Controls'!$D$7="Reference",1,IF(OR(D228=6,D228=7,D228=21,D228=46),'Paths'!$U$9,1))</x:f>
        <x:v>1</x:v>
      </x:c>
      <x:c r="H228" s="46" t="n">
        <x:f>IF('Controls'!$D$7="Reference",1,IF(OR(AND(D228&gt;=14,D228&lt;=16),AND(D228&gt;=34,D228&lt;=35),AND(D228&gt;=61,D228&lt;=63)),'Paths'!$V$9,1))</x:f>
        <x:v>1</x:v>
      </x:c>
      <x:c r="I228" s="46" t="n">
        <x:f>'Paths'!$W$9</x:f>
        <x:v>0.92</x:v>
      </x:c>
      <x:c r="J228" s="47" t="n">
        <x:f>IF(D228&lt;E228,0,MIN(F228*G228*H228*I228,IF('Paths'!$T$9&gt;0,MAX(0,'Paths'!$T$9-K227),1000000000)))</x:f>
        <x:v>20240</x:v>
      </x:c>
      <x:c r="K228" s="47" t="n">
        <x:f>K227+J228</x:f>
        <x:v>725880</x:v>
      </x:c>
      <x:c r="L228" s="46" t="n">
        <x:f>IF(C228="P0",1,IF(D228&lt;=3,0.8,IF(D228&lt;=14,0.65,IF(D228&lt;=45,0.5,0.3))))</x:f>
        <x:v>0.5</x:v>
      </x:c>
      <x:c r="M228" s="47" t="n">
        <x:f>J228*L228</x:f>
        <x:v>10120</x:v>
      </x:c>
      <x:c r="N228" s="47" t="n">
        <x:f>N227+M228</x:f>
        <x:v>408190.2</x:v>
      </x:c>
      <x:c r="O228" s="46" t="n">
        <x:f>IF(C228="P0",0,IF(D228&lt;=3,0.15,IF(D228&lt;=14,0.25,IF(D228&lt;=45,0.35,0.5))))</x:f>
        <x:v>0.35</x:v>
      </x:c>
      <x:c r="P228" s="47" t="n">
        <x:f>J228*O228</x:f>
        <x:v>7084</x:v>
      </x:c>
      <x:c r="Q228" s="46" t="n">
        <x:f>IF(C228="P0",0,IF(D228&lt;=3,0.05,IF(D228&lt;=14,0.1,IF(D228&lt;=45,0.15,0.2))))</x:f>
        <x:v>0.15</x:v>
      </x:c>
      <x:c r="R228" s="47" t="n">
        <x:f>J228*Q228</x:f>
        <x:v>3036</x:v>
      </x:c>
      <x:c r="S228" s="20" t="str">
        <x:f>IF(D228&lt;E228,"closed",IF(D228&lt;'Paths'!$N$9,"initial","expanded"))</x:f>
        <x:v>expanded</x:v>
      </x:c>
      <x:c r="T228" s="72"/>
    </x:row>
    <x:row r="229">
      <x:c r="C229" s="20" t="str">
        <x:v>P2</x:v>
      </x:c>
      <x:c r="D229" s="20" t="n">
        <x:v>40</x:v>
      </x:c>
      <x:c r="E229" s="45" t="n">
        <x:f>IF('Controls'!$D$7="Reference",'Paths'!$J$9,'Paths'!$K$9)</x:f>
        <x:v>1</x:v>
      </x:c>
      <x:c r="F229" s="47" t="n">
        <x:f>IF(D229&lt;'Paths'!$N$9,IF('Controls'!$D$7="Reference",'Paths'!$L$9,'Paths'!$M$9),IF('Controls'!$D$7="Reference",'Paths'!$O$9,'Paths'!$P$9))</x:f>
        <x:v>22000</x:v>
      </x:c>
      <x:c r="G229" s="46" t="n">
        <x:f>IF('Controls'!$D$7="Reference",1,IF(OR(D229=6,D229=7,D229=21,D229=46),'Paths'!$U$9,1))</x:f>
        <x:v>1</x:v>
      </x:c>
      <x:c r="H229" s="46" t="n">
        <x:f>IF('Controls'!$D$7="Reference",1,IF(OR(AND(D229&gt;=14,D229&lt;=16),AND(D229&gt;=34,D229&lt;=35),AND(D229&gt;=61,D229&lt;=63)),'Paths'!$V$9,1))</x:f>
        <x:v>1</x:v>
      </x:c>
      <x:c r="I229" s="46" t="n">
        <x:f>'Paths'!$W$9</x:f>
        <x:v>0.92</x:v>
      </x:c>
      <x:c r="J229" s="47" t="n">
        <x:f>IF(D229&lt;E229,0,MIN(F229*G229*H229*I229,IF('Paths'!$T$9&gt;0,MAX(0,'Paths'!$T$9-K228),1000000000)))</x:f>
        <x:v>20240</x:v>
      </x:c>
      <x:c r="K229" s="47" t="n">
        <x:f>K228+J229</x:f>
        <x:v>746120</x:v>
      </x:c>
      <x:c r="L229" s="46" t="n">
        <x:f>IF(C229="P0",1,IF(D229&lt;=3,0.8,IF(D229&lt;=14,0.65,IF(D229&lt;=45,0.5,0.3))))</x:f>
        <x:v>0.5</x:v>
      </x:c>
      <x:c r="M229" s="47" t="n">
        <x:f>J229*L229</x:f>
        <x:v>10120</x:v>
      </x:c>
      <x:c r="N229" s="47" t="n">
        <x:f>N228+M229</x:f>
        <x:v>418310.2</x:v>
      </x:c>
      <x:c r="O229" s="46" t="n">
        <x:f>IF(C229="P0",0,IF(D229&lt;=3,0.15,IF(D229&lt;=14,0.25,IF(D229&lt;=45,0.35,0.5))))</x:f>
        <x:v>0.35</x:v>
      </x:c>
      <x:c r="P229" s="47" t="n">
        <x:f>J229*O229</x:f>
        <x:v>7084</x:v>
      </x:c>
      <x:c r="Q229" s="46" t="n">
        <x:f>IF(C229="P0",0,IF(D229&lt;=3,0.05,IF(D229&lt;=14,0.1,IF(D229&lt;=45,0.15,0.2))))</x:f>
        <x:v>0.15</x:v>
      </x:c>
      <x:c r="R229" s="47" t="n">
        <x:f>J229*Q229</x:f>
        <x:v>3036</x:v>
      </x:c>
      <x:c r="S229" s="20" t="str">
        <x:f>IF(D229&lt;E229,"closed",IF(D229&lt;'Paths'!$N$9,"initial","expanded"))</x:f>
        <x:v>expanded</x:v>
      </x:c>
      <x:c r="T229" s="72"/>
    </x:row>
    <x:row r="230">
      <x:c r="C230" s="20" t="str">
        <x:v>P2</x:v>
      </x:c>
      <x:c r="D230" s="20" t="n">
        <x:v>41</x:v>
      </x:c>
      <x:c r="E230" s="45" t="n">
        <x:f>IF('Controls'!$D$7="Reference",'Paths'!$J$9,'Paths'!$K$9)</x:f>
        <x:v>1</x:v>
      </x:c>
      <x:c r="F230" s="47" t="n">
        <x:f>IF(D230&lt;'Paths'!$N$9,IF('Controls'!$D$7="Reference",'Paths'!$L$9,'Paths'!$M$9),IF('Controls'!$D$7="Reference",'Paths'!$O$9,'Paths'!$P$9))</x:f>
        <x:v>22000</x:v>
      </x:c>
      <x:c r="G230" s="46" t="n">
        <x:f>IF('Controls'!$D$7="Reference",1,IF(OR(D230=6,D230=7,D230=21,D230=46),'Paths'!$U$9,1))</x:f>
        <x:v>1</x:v>
      </x:c>
      <x:c r="H230" s="46" t="n">
        <x:f>IF('Controls'!$D$7="Reference",1,IF(OR(AND(D230&gt;=14,D230&lt;=16),AND(D230&gt;=34,D230&lt;=35),AND(D230&gt;=61,D230&lt;=63)),'Paths'!$V$9,1))</x:f>
        <x:v>1</x:v>
      </x:c>
      <x:c r="I230" s="46" t="n">
        <x:f>'Paths'!$W$9</x:f>
        <x:v>0.92</x:v>
      </x:c>
      <x:c r="J230" s="47" t="n">
        <x:f>IF(D230&lt;E230,0,MIN(F230*G230*H230*I230,IF('Paths'!$T$9&gt;0,MAX(0,'Paths'!$T$9-K229),1000000000)))</x:f>
        <x:v>20240</x:v>
      </x:c>
      <x:c r="K230" s="47" t="n">
        <x:f>K229+J230</x:f>
        <x:v>766360</x:v>
      </x:c>
      <x:c r="L230" s="46" t="n">
        <x:f>IF(C230="P0",1,IF(D230&lt;=3,0.8,IF(D230&lt;=14,0.65,IF(D230&lt;=45,0.5,0.3))))</x:f>
        <x:v>0.5</x:v>
      </x:c>
      <x:c r="M230" s="47" t="n">
        <x:f>J230*L230</x:f>
        <x:v>10120</x:v>
      </x:c>
      <x:c r="N230" s="47" t="n">
        <x:f>N229+M230</x:f>
        <x:v>428430.2</x:v>
      </x:c>
      <x:c r="O230" s="46" t="n">
        <x:f>IF(C230="P0",0,IF(D230&lt;=3,0.15,IF(D230&lt;=14,0.25,IF(D230&lt;=45,0.35,0.5))))</x:f>
        <x:v>0.35</x:v>
      </x:c>
      <x:c r="P230" s="47" t="n">
        <x:f>J230*O230</x:f>
        <x:v>7084</x:v>
      </x:c>
      <x:c r="Q230" s="46" t="n">
        <x:f>IF(C230="P0",0,IF(D230&lt;=3,0.05,IF(D230&lt;=14,0.1,IF(D230&lt;=45,0.15,0.2))))</x:f>
        <x:v>0.15</x:v>
      </x:c>
      <x:c r="R230" s="47" t="n">
        <x:f>J230*Q230</x:f>
        <x:v>3036</x:v>
      </x:c>
      <x:c r="S230" s="20" t="str">
        <x:f>IF(D230&lt;E230,"closed",IF(D230&lt;'Paths'!$N$9,"initial","expanded"))</x:f>
        <x:v>expanded</x:v>
      </x:c>
      <x:c r="T230" s="72"/>
    </x:row>
    <x:row r="231">
      <x:c r="C231" s="20" t="str">
        <x:v>P2</x:v>
      </x:c>
      <x:c r="D231" s="20" t="n">
        <x:v>42</x:v>
      </x:c>
      <x:c r="E231" s="45" t="n">
        <x:f>IF('Controls'!$D$7="Reference",'Paths'!$J$9,'Paths'!$K$9)</x:f>
        <x:v>1</x:v>
      </x:c>
      <x:c r="F231" s="47" t="n">
        <x:f>IF(D231&lt;'Paths'!$N$9,IF('Controls'!$D$7="Reference",'Paths'!$L$9,'Paths'!$M$9),IF('Controls'!$D$7="Reference",'Paths'!$O$9,'Paths'!$P$9))</x:f>
        <x:v>22000</x:v>
      </x:c>
      <x:c r="G231" s="46" t="n">
        <x:f>IF('Controls'!$D$7="Reference",1,IF(OR(D231=6,D231=7,D231=21,D231=46),'Paths'!$U$9,1))</x:f>
        <x:v>1</x:v>
      </x:c>
      <x:c r="H231" s="46" t="n">
        <x:f>IF('Controls'!$D$7="Reference",1,IF(OR(AND(D231&gt;=14,D231&lt;=16),AND(D231&gt;=34,D231&lt;=35),AND(D231&gt;=61,D231&lt;=63)),'Paths'!$V$9,1))</x:f>
        <x:v>1</x:v>
      </x:c>
      <x:c r="I231" s="46" t="n">
        <x:f>'Paths'!$W$9</x:f>
        <x:v>0.92</x:v>
      </x:c>
      <x:c r="J231" s="47" t="n">
        <x:f>IF(D231&lt;E231,0,MIN(F231*G231*H231*I231,IF('Paths'!$T$9&gt;0,MAX(0,'Paths'!$T$9-K230),1000000000)))</x:f>
        <x:v>20240</x:v>
      </x:c>
      <x:c r="K231" s="47" t="n">
        <x:f>K230+J231</x:f>
        <x:v>786600</x:v>
      </x:c>
      <x:c r="L231" s="46" t="n">
        <x:f>IF(C231="P0",1,IF(D231&lt;=3,0.8,IF(D231&lt;=14,0.65,IF(D231&lt;=45,0.5,0.3))))</x:f>
        <x:v>0.5</x:v>
      </x:c>
      <x:c r="M231" s="47" t="n">
        <x:f>J231*L231</x:f>
        <x:v>10120</x:v>
      </x:c>
      <x:c r="N231" s="47" t="n">
        <x:f>N230+M231</x:f>
        <x:v>438550.2</x:v>
      </x:c>
      <x:c r="O231" s="46" t="n">
        <x:f>IF(C231="P0",0,IF(D231&lt;=3,0.15,IF(D231&lt;=14,0.25,IF(D231&lt;=45,0.35,0.5))))</x:f>
        <x:v>0.35</x:v>
      </x:c>
      <x:c r="P231" s="47" t="n">
        <x:f>J231*O231</x:f>
        <x:v>7084</x:v>
      </x:c>
      <x:c r="Q231" s="46" t="n">
        <x:f>IF(C231="P0",0,IF(D231&lt;=3,0.05,IF(D231&lt;=14,0.1,IF(D231&lt;=45,0.15,0.2))))</x:f>
        <x:v>0.15</x:v>
      </x:c>
      <x:c r="R231" s="47" t="n">
        <x:f>J231*Q231</x:f>
        <x:v>3036</x:v>
      </x:c>
      <x:c r="S231" s="20" t="str">
        <x:f>IF(D231&lt;E231,"closed",IF(D231&lt;'Paths'!$N$9,"initial","expanded"))</x:f>
        <x:v>expanded</x:v>
      </x:c>
      <x:c r="T231" s="72"/>
    </x:row>
    <x:row r="232">
      <x:c r="C232" s="20" t="str">
        <x:v>P2</x:v>
      </x:c>
      <x:c r="D232" s="20" t="n">
        <x:v>43</x:v>
      </x:c>
      <x:c r="E232" s="45" t="n">
        <x:f>IF('Controls'!$D$7="Reference",'Paths'!$J$9,'Paths'!$K$9)</x:f>
        <x:v>1</x:v>
      </x:c>
      <x:c r="F232" s="47" t="n">
        <x:f>IF(D232&lt;'Paths'!$N$9,IF('Controls'!$D$7="Reference",'Paths'!$L$9,'Paths'!$M$9),IF('Controls'!$D$7="Reference",'Paths'!$O$9,'Paths'!$P$9))</x:f>
        <x:v>22000</x:v>
      </x:c>
      <x:c r="G232" s="46" t="n">
        <x:f>IF('Controls'!$D$7="Reference",1,IF(OR(D232=6,D232=7,D232=21,D232=46),'Paths'!$U$9,1))</x:f>
        <x:v>1</x:v>
      </x:c>
      <x:c r="H232" s="46" t="n">
        <x:f>IF('Controls'!$D$7="Reference",1,IF(OR(AND(D232&gt;=14,D232&lt;=16),AND(D232&gt;=34,D232&lt;=35),AND(D232&gt;=61,D232&lt;=63)),'Paths'!$V$9,1))</x:f>
        <x:v>1</x:v>
      </x:c>
      <x:c r="I232" s="46" t="n">
        <x:f>'Paths'!$W$9</x:f>
        <x:v>0.92</x:v>
      </x:c>
      <x:c r="J232" s="47" t="n">
        <x:f>IF(D232&lt;E232,0,MIN(F232*G232*H232*I232,IF('Paths'!$T$9&gt;0,MAX(0,'Paths'!$T$9-K231),1000000000)))</x:f>
        <x:v>20240</x:v>
      </x:c>
      <x:c r="K232" s="47" t="n">
        <x:f>K231+J232</x:f>
        <x:v>806840</x:v>
      </x:c>
      <x:c r="L232" s="46" t="n">
        <x:f>IF(C232="P0",1,IF(D232&lt;=3,0.8,IF(D232&lt;=14,0.65,IF(D232&lt;=45,0.5,0.3))))</x:f>
        <x:v>0.5</x:v>
      </x:c>
      <x:c r="M232" s="47" t="n">
        <x:f>J232*L232</x:f>
        <x:v>10120</x:v>
      </x:c>
      <x:c r="N232" s="47" t="n">
        <x:f>N231+M232</x:f>
        <x:v>448670.2</x:v>
      </x:c>
      <x:c r="O232" s="46" t="n">
        <x:f>IF(C232="P0",0,IF(D232&lt;=3,0.15,IF(D232&lt;=14,0.25,IF(D232&lt;=45,0.35,0.5))))</x:f>
        <x:v>0.35</x:v>
      </x:c>
      <x:c r="P232" s="47" t="n">
        <x:f>J232*O232</x:f>
        <x:v>7084</x:v>
      </x:c>
      <x:c r="Q232" s="46" t="n">
        <x:f>IF(C232="P0",0,IF(D232&lt;=3,0.05,IF(D232&lt;=14,0.1,IF(D232&lt;=45,0.15,0.2))))</x:f>
        <x:v>0.15</x:v>
      </x:c>
      <x:c r="R232" s="47" t="n">
        <x:f>J232*Q232</x:f>
        <x:v>3036</x:v>
      </x:c>
      <x:c r="S232" s="20" t="str">
        <x:f>IF(D232&lt;E232,"closed",IF(D232&lt;'Paths'!$N$9,"initial","expanded"))</x:f>
        <x:v>expanded</x:v>
      </x:c>
      <x:c r="T232" s="72"/>
    </x:row>
    <x:row r="233">
      <x:c r="C233" s="20" t="str">
        <x:v>P2</x:v>
      </x:c>
      <x:c r="D233" s="20" t="n">
        <x:v>44</x:v>
      </x:c>
      <x:c r="E233" s="45" t="n">
        <x:f>IF('Controls'!$D$7="Reference",'Paths'!$J$9,'Paths'!$K$9)</x:f>
        <x:v>1</x:v>
      </x:c>
      <x:c r="F233" s="47" t="n">
        <x:f>IF(D233&lt;'Paths'!$N$9,IF('Controls'!$D$7="Reference",'Paths'!$L$9,'Paths'!$M$9),IF('Controls'!$D$7="Reference",'Paths'!$O$9,'Paths'!$P$9))</x:f>
        <x:v>22000</x:v>
      </x:c>
      <x:c r="G233" s="46" t="n">
        <x:f>IF('Controls'!$D$7="Reference",1,IF(OR(D233=6,D233=7,D233=21,D233=46),'Paths'!$U$9,1))</x:f>
        <x:v>1</x:v>
      </x:c>
      <x:c r="H233" s="46" t="n">
        <x:f>IF('Controls'!$D$7="Reference",1,IF(OR(AND(D233&gt;=14,D233&lt;=16),AND(D233&gt;=34,D233&lt;=35),AND(D233&gt;=61,D233&lt;=63)),'Paths'!$V$9,1))</x:f>
        <x:v>1</x:v>
      </x:c>
      <x:c r="I233" s="46" t="n">
        <x:f>'Paths'!$W$9</x:f>
        <x:v>0.92</x:v>
      </x:c>
      <x:c r="J233" s="47" t="n">
        <x:f>IF(D233&lt;E233,0,MIN(F233*G233*H233*I233,IF('Paths'!$T$9&gt;0,MAX(0,'Paths'!$T$9-K232),1000000000)))</x:f>
        <x:v>20240</x:v>
      </x:c>
      <x:c r="K233" s="47" t="n">
        <x:f>K232+J233</x:f>
        <x:v>827080</x:v>
      </x:c>
      <x:c r="L233" s="46" t="n">
        <x:f>IF(C233="P0",1,IF(D233&lt;=3,0.8,IF(D233&lt;=14,0.65,IF(D233&lt;=45,0.5,0.3))))</x:f>
        <x:v>0.5</x:v>
      </x:c>
      <x:c r="M233" s="47" t="n">
        <x:f>J233*L233</x:f>
        <x:v>10120</x:v>
      </x:c>
      <x:c r="N233" s="47" t="n">
        <x:f>N232+M233</x:f>
        <x:v>458790.2</x:v>
      </x:c>
      <x:c r="O233" s="46" t="n">
        <x:f>IF(C233="P0",0,IF(D233&lt;=3,0.15,IF(D233&lt;=14,0.25,IF(D233&lt;=45,0.35,0.5))))</x:f>
        <x:v>0.35</x:v>
      </x:c>
      <x:c r="P233" s="47" t="n">
        <x:f>J233*O233</x:f>
        <x:v>7084</x:v>
      </x:c>
      <x:c r="Q233" s="46" t="n">
        <x:f>IF(C233="P0",0,IF(D233&lt;=3,0.05,IF(D233&lt;=14,0.1,IF(D233&lt;=45,0.15,0.2))))</x:f>
        <x:v>0.15</x:v>
      </x:c>
      <x:c r="R233" s="47" t="n">
        <x:f>J233*Q233</x:f>
        <x:v>3036</x:v>
      </x:c>
      <x:c r="S233" s="20" t="str">
        <x:f>IF(D233&lt;E233,"closed",IF(D233&lt;'Paths'!$N$9,"initial","expanded"))</x:f>
        <x:v>expanded</x:v>
      </x:c>
      <x:c r="T233" s="72"/>
    </x:row>
    <x:row r="234">
      <x:c r="C234" s="20" t="str">
        <x:v>P2</x:v>
      </x:c>
      <x:c r="D234" s="20" t="n">
        <x:v>45</x:v>
      </x:c>
      <x:c r="E234" s="45" t="n">
        <x:f>IF('Controls'!$D$7="Reference",'Paths'!$J$9,'Paths'!$K$9)</x:f>
        <x:v>1</x:v>
      </x:c>
      <x:c r="F234" s="47" t="n">
        <x:f>IF(D234&lt;'Paths'!$N$9,IF('Controls'!$D$7="Reference",'Paths'!$L$9,'Paths'!$M$9),IF('Controls'!$D$7="Reference",'Paths'!$O$9,'Paths'!$P$9))</x:f>
        <x:v>22000</x:v>
      </x:c>
      <x:c r="G234" s="46" t="n">
        <x:f>IF('Controls'!$D$7="Reference",1,IF(OR(D234=6,D234=7,D234=21,D234=46),'Paths'!$U$9,1))</x:f>
        <x:v>1</x:v>
      </x:c>
      <x:c r="H234" s="46" t="n">
        <x:f>IF('Controls'!$D$7="Reference",1,IF(OR(AND(D234&gt;=14,D234&lt;=16),AND(D234&gt;=34,D234&lt;=35),AND(D234&gt;=61,D234&lt;=63)),'Paths'!$V$9,1))</x:f>
        <x:v>1</x:v>
      </x:c>
      <x:c r="I234" s="46" t="n">
        <x:f>'Paths'!$W$9</x:f>
        <x:v>0.92</x:v>
      </x:c>
      <x:c r="J234" s="47" t="n">
        <x:f>IF(D234&lt;E234,0,MIN(F234*G234*H234*I234,IF('Paths'!$T$9&gt;0,MAX(0,'Paths'!$T$9-K233),1000000000)))</x:f>
        <x:v>20240</x:v>
      </x:c>
      <x:c r="K234" s="47" t="n">
        <x:f>K233+J234</x:f>
        <x:v>847320</x:v>
      </x:c>
      <x:c r="L234" s="46" t="n">
        <x:f>IF(C234="P0",1,IF(D234&lt;=3,0.8,IF(D234&lt;=14,0.65,IF(D234&lt;=45,0.5,0.3))))</x:f>
        <x:v>0.5</x:v>
      </x:c>
      <x:c r="M234" s="47" t="n">
        <x:f>J234*L234</x:f>
        <x:v>10120</x:v>
      </x:c>
      <x:c r="N234" s="47" t="n">
        <x:f>N233+M234</x:f>
        <x:v>468910.2</x:v>
      </x:c>
      <x:c r="O234" s="46" t="n">
        <x:f>IF(C234="P0",0,IF(D234&lt;=3,0.15,IF(D234&lt;=14,0.25,IF(D234&lt;=45,0.35,0.5))))</x:f>
        <x:v>0.35</x:v>
      </x:c>
      <x:c r="P234" s="47" t="n">
        <x:f>J234*O234</x:f>
        <x:v>7084</x:v>
      </x:c>
      <x:c r="Q234" s="46" t="n">
        <x:f>IF(C234="P0",0,IF(D234&lt;=3,0.05,IF(D234&lt;=14,0.1,IF(D234&lt;=45,0.15,0.2))))</x:f>
        <x:v>0.15</x:v>
      </x:c>
      <x:c r="R234" s="47" t="n">
        <x:f>J234*Q234</x:f>
        <x:v>3036</x:v>
      </x:c>
      <x:c r="S234" s="20" t="str">
        <x:f>IF(D234&lt;E234,"closed",IF(D234&lt;'Paths'!$N$9,"initial","expanded"))</x:f>
        <x:v>expanded</x:v>
      </x:c>
      <x:c r="T234" s="72"/>
    </x:row>
    <x:row r="235">
      <x:c r="C235" s="20" t="str">
        <x:v>P2</x:v>
      </x:c>
      <x:c r="D235" s="20" t="n">
        <x:v>46</x:v>
      </x:c>
      <x:c r="E235" s="45" t="n">
        <x:f>IF('Controls'!$D$7="Reference",'Paths'!$J$9,'Paths'!$K$9)</x:f>
        <x:v>1</x:v>
      </x:c>
      <x:c r="F235" s="47" t="n">
        <x:f>IF(D235&lt;'Paths'!$N$9,IF('Controls'!$D$7="Reference",'Paths'!$L$9,'Paths'!$M$9),IF('Controls'!$D$7="Reference",'Paths'!$O$9,'Paths'!$P$9))</x:f>
        <x:v>22000</x:v>
      </x:c>
      <x:c r="G235" s="46" t="n">
        <x:f>IF('Controls'!$D$7="Reference",1,IF(OR(D235=6,D235=7,D235=21,D235=46),'Paths'!$U$9,1))</x:f>
        <x:v>0.75</x:v>
      </x:c>
      <x:c r="H235" s="46" t="n">
        <x:f>IF('Controls'!$D$7="Reference",1,IF(OR(AND(D235&gt;=14,D235&lt;=16),AND(D235&gt;=34,D235&lt;=35),AND(D235&gt;=61,D235&lt;=63)),'Paths'!$V$9,1))</x:f>
        <x:v>1</x:v>
      </x:c>
      <x:c r="I235" s="46" t="n">
        <x:f>'Paths'!$W$9</x:f>
        <x:v>0.92</x:v>
      </x:c>
      <x:c r="J235" s="47" t="n">
        <x:f>IF(D235&lt;E235,0,MIN(F235*G235*H235*I235,IF('Paths'!$T$9&gt;0,MAX(0,'Paths'!$T$9-K234),1000000000)))</x:f>
        <x:v>15180</x:v>
      </x:c>
      <x:c r="K235" s="47" t="n">
        <x:f>K234+J235</x:f>
        <x:v>862500</x:v>
      </x:c>
      <x:c r="L235" s="46" t="n">
        <x:f>IF(C235="P0",1,IF(D235&lt;=3,0.8,IF(D235&lt;=14,0.65,IF(D235&lt;=45,0.5,0.3))))</x:f>
        <x:v>0.3</x:v>
      </x:c>
      <x:c r="M235" s="47" t="n">
        <x:f>J235*L235</x:f>
        <x:v>4554</x:v>
      </x:c>
      <x:c r="N235" s="47" t="n">
        <x:f>N234+M235</x:f>
        <x:v>473464.2</x:v>
      </x:c>
      <x:c r="O235" s="46" t="n">
        <x:f>IF(C235="P0",0,IF(D235&lt;=3,0.15,IF(D235&lt;=14,0.25,IF(D235&lt;=45,0.35,0.5))))</x:f>
        <x:v>0.5</x:v>
      </x:c>
      <x:c r="P235" s="47" t="n">
        <x:f>J235*O235</x:f>
        <x:v>7590</x:v>
      </x:c>
      <x:c r="Q235" s="46" t="n">
        <x:f>IF(C235="P0",0,IF(D235&lt;=3,0.05,IF(D235&lt;=14,0.1,IF(D235&lt;=45,0.15,0.2))))</x:f>
        <x:v>0.2</x:v>
      </x:c>
      <x:c r="R235" s="47" t="n">
        <x:f>J235*Q235</x:f>
        <x:v>3036</x:v>
      </x:c>
      <x:c r="S235" s="20" t="str">
        <x:f>IF(D235&lt;E235,"closed",IF(D235&lt;'Paths'!$N$9,"initial","expanded"))</x:f>
        <x:v>expanded</x:v>
      </x:c>
      <x:c r="T235" s="72"/>
    </x:row>
    <x:row r="236">
      <x:c r="C236" s="20" t="str">
        <x:v>P2</x:v>
      </x:c>
      <x:c r="D236" s="20" t="n">
        <x:v>47</x:v>
      </x:c>
      <x:c r="E236" s="45" t="n">
        <x:f>IF('Controls'!$D$7="Reference",'Paths'!$J$9,'Paths'!$K$9)</x:f>
        <x:v>1</x:v>
      </x:c>
      <x:c r="F236" s="47" t="n">
        <x:f>IF(D236&lt;'Paths'!$N$9,IF('Controls'!$D$7="Reference",'Paths'!$L$9,'Paths'!$M$9),IF('Controls'!$D$7="Reference",'Paths'!$O$9,'Paths'!$P$9))</x:f>
        <x:v>22000</x:v>
      </x:c>
      <x:c r="G236" s="46" t="n">
        <x:f>IF('Controls'!$D$7="Reference",1,IF(OR(D236=6,D236=7,D236=21,D236=46),'Paths'!$U$9,1))</x:f>
        <x:v>1</x:v>
      </x:c>
      <x:c r="H236" s="46" t="n">
        <x:f>IF('Controls'!$D$7="Reference",1,IF(OR(AND(D236&gt;=14,D236&lt;=16),AND(D236&gt;=34,D236&lt;=35),AND(D236&gt;=61,D236&lt;=63)),'Paths'!$V$9,1))</x:f>
        <x:v>1</x:v>
      </x:c>
      <x:c r="I236" s="46" t="n">
        <x:f>'Paths'!$W$9</x:f>
        <x:v>0.92</x:v>
      </x:c>
      <x:c r="J236" s="47" t="n">
        <x:f>IF(D236&lt;E236,0,MIN(F236*G236*H236*I236,IF('Paths'!$T$9&gt;0,MAX(0,'Paths'!$T$9-K235),1000000000)))</x:f>
        <x:v>20240</x:v>
      </x:c>
      <x:c r="K236" s="47" t="n">
        <x:f>K235+J236</x:f>
        <x:v>882740</x:v>
      </x:c>
      <x:c r="L236" s="46" t="n">
        <x:f>IF(C236="P0",1,IF(D236&lt;=3,0.8,IF(D236&lt;=14,0.65,IF(D236&lt;=45,0.5,0.3))))</x:f>
        <x:v>0.3</x:v>
      </x:c>
      <x:c r="M236" s="47" t="n">
        <x:f>J236*L236</x:f>
        <x:v>6072</x:v>
      </x:c>
      <x:c r="N236" s="47" t="n">
        <x:f>N235+M236</x:f>
        <x:v>479536.2</x:v>
      </x:c>
      <x:c r="O236" s="46" t="n">
        <x:f>IF(C236="P0",0,IF(D236&lt;=3,0.15,IF(D236&lt;=14,0.25,IF(D236&lt;=45,0.35,0.5))))</x:f>
        <x:v>0.5</x:v>
      </x:c>
      <x:c r="P236" s="47" t="n">
        <x:f>J236*O236</x:f>
        <x:v>10120</x:v>
      </x:c>
      <x:c r="Q236" s="46" t="n">
        <x:f>IF(C236="P0",0,IF(D236&lt;=3,0.05,IF(D236&lt;=14,0.1,IF(D236&lt;=45,0.15,0.2))))</x:f>
        <x:v>0.2</x:v>
      </x:c>
      <x:c r="R236" s="47" t="n">
        <x:f>J236*Q236</x:f>
        <x:v>4048</x:v>
      </x:c>
      <x:c r="S236" s="20" t="str">
        <x:f>IF(D236&lt;E236,"closed",IF(D236&lt;'Paths'!$N$9,"initial","expanded"))</x:f>
        <x:v>expanded</x:v>
      </x:c>
      <x:c r="T236" s="72"/>
    </x:row>
    <x:row r="237">
      <x:c r="C237" s="20" t="str">
        <x:v>P2</x:v>
      </x:c>
      <x:c r="D237" s="20" t="n">
        <x:v>48</x:v>
      </x:c>
      <x:c r="E237" s="45" t="n">
        <x:f>IF('Controls'!$D$7="Reference",'Paths'!$J$9,'Paths'!$K$9)</x:f>
        <x:v>1</x:v>
      </x:c>
      <x:c r="F237" s="47" t="n">
        <x:f>IF(D237&lt;'Paths'!$N$9,IF('Controls'!$D$7="Reference",'Paths'!$L$9,'Paths'!$M$9),IF('Controls'!$D$7="Reference",'Paths'!$O$9,'Paths'!$P$9))</x:f>
        <x:v>22000</x:v>
      </x:c>
      <x:c r="G237" s="46" t="n">
        <x:f>IF('Controls'!$D$7="Reference",1,IF(OR(D237=6,D237=7,D237=21,D237=46),'Paths'!$U$9,1))</x:f>
        <x:v>1</x:v>
      </x:c>
      <x:c r="H237" s="46" t="n">
        <x:f>IF('Controls'!$D$7="Reference",1,IF(OR(AND(D237&gt;=14,D237&lt;=16),AND(D237&gt;=34,D237&lt;=35),AND(D237&gt;=61,D237&lt;=63)),'Paths'!$V$9,1))</x:f>
        <x:v>1</x:v>
      </x:c>
      <x:c r="I237" s="46" t="n">
        <x:f>'Paths'!$W$9</x:f>
        <x:v>0.92</x:v>
      </x:c>
      <x:c r="J237" s="47" t="n">
        <x:f>IF(D237&lt;E237,0,MIN(F237*G237*H237*I237,IF('Paths'!$T$9&gt;0,MAX(0,'Paths'!$T$9-K236),1000000000)))</x:f>
        <x:v>20240</x:v>
      </x:c>
      <x:c r="K237" s="47" t="n">
        <x:f>K236+J237</x:f>
        <x:v>902980</x:v>
      </x:c>
      <x:c r="L237" s="46" t="n">
        <x:f>IF(C237="P0",1,IF(D237&lt;=3,0.8,IF(D237&lt;=14,0.65,IF(D237&lt;=45,0.5,0.3))))</x:f>
        <x:v>0.3</x:v>
      </x:c>
      <x:c r="M237" s="47" t="n">
        <x:f>J237*L237</x:f>
        <x:v>6072</x:v>
      </x:c>
      <x:c r="N237" s="47" t="n">
        <x:f>N236+M237</x:f>
        <x:v>485608.2</x:v>
      </x:c>
      <x:c r="O237" s="46" t="n">
        <x:f>IF(C237="P0",0,IF(D237&lt;=3,0.15,IF(D237&lt;=14,0.25,IF(D237&lt;=45,0.35,0.5))))</x:f>
        <x:v>0.5</x:v>
      </x:c>
      <x:c r="P237" s="47" t="n">
        <x:f>J237*O237</x:f>
        <x:v>10120</x:v>
      </x:c>
      <x:c r="Q237" s="46" t="n">
        <x:f>IF(C237="P0",0,IF(D237&lt;=3,0.05,IF(D237&lt;=14,0.1,IF(D237&lt;=45,0.15,0.2))))</x:f>
        <x:v>0.2</x:v>
      </x:c>
      <x:c r="R237" s="47" t="n">
        <x:f>J237*Q237</x:f>
        <x:v>4048</x:v>
      </x:c>
      <x:c r="S237" s="20" t="str">
        <x:f>IF(D237&lt;E237,"closed",IF(D237&lt;'Paths'!$N$9,"initial","expanded"))</x:f>
        <x:v>expanded</x:v>
      </x:c>
      <x:c r="T237" s="72"/>
    </x:row>
    <x:row r="238">
      <x:c r="C238" s="20" t="str">
        <x:v>P2</x:v>
      </x:c>
      <x:c r="D238" s="20" t="n">
        <x:v>49</x:v>
      </x:c>
      <x:c r="E238" s="45" t="n">
        <x:f>IF('Controls'!$D$7="Reference",'Paths'!$J$9,'Paths'!$K$9)</x:f>
        <x:v>1</x:v>
      </x:c>
      <x:c r="F238" s="47" t="n">
        <x:f>IF(D238&lt;'Paths'!$N$9,IF('Controls'!$D$7="Reference",'Paths'!$L$9,'Paths'!$M$9),IF('Controls'!$D$7="Reference",'Paths'!$O$9,'Paths'!$P$9))</x:f>
        <x:v>22000</x:v>
      </x:c>
      <x:c r="G238" s="46" t="n">
        <x:f>IF('Controls'!$D$7="Reference",1,IF(OR(D238=6,D238=7,D238=21,D238=46),'Paths'!$U$9,1))</x:f>
        <x:v>1</x:v>
      </x:c>
      <x:c r="H238" s="46" t="n">
        <x:f>IF('Controls'!$D$7="Reference",1,IF(OR(AND(D238&gt;=14,D238&lt;=16),AND(D238&gt;=34,D238&lt;=35),AND(D238&gt;=61,D238&lt;=63)),'Paths'!$V$9,1))</x:f>
        <x:v>1</x:v>
      </x:c>
      <x:c r="I238" s="46" t="n">
        <x:f>'Paths'!$W$9</x:f>
        <x:v>0.92</x:v>
      </x:c>
      <x:c r="J238" s="47" t="n">
        <x:f>IF(D238&lt;E238,0,MIN(F238*G238*H238*I238,IF('Paths'!$T$9&gt;0,MAX(0,'Paths'!$T$9-K237),1000000000)))</x:f>
        <x:v>20240</x:v>
      </x:c>
      <x:c r="K238" s="47" t="n">
        <x:f>K237+J238</x:f>
        <x:v>923220</x:v>
      </x:c>
      <x:c r="L238" s="46" t="n">
        <x:f>IF(C238="P0",1,IF(D238&lt;=3,0.8,IF(D238&lt;=14,0.65,IF(D238&lt;=45,0.5,0.3))))</x:f>
        <x:v>0.3</x:v>
      </x:c>
      <x:c r="M238" s="47" t="n">
        <x:f>J238*L238</x:f>
        <x:v>6072</x:v>
      </x:c>
      <x:c r="N238" s="47" t="n">
        <x:f>N237+M238</x:f>
        <x:v>491680.2</x:v>
      </x:c>
      <x:c r="O238" s="46" t="n">
        <x:f>IF(C238="P0",0,IF(D238&lt;=3,0.15,IF(D238&lt;=14,0.25,IF(D238&lt;=45,0.35,0.5))))</x:f>
        <x:v>0.5</x:v>
      </x:c>
      <x:c r="P238" s="47" t="n">
        <x:f>J238*O238</x:f>
        <x:v>10120</x:v>
      </x:c>
      <x:c r="Q238" s="46" t="n">
        <x:f>IF(C238="P0",0,IF(D238&lt;=3,0.05,IF(D238&lt;=14,0.1,IF(D238&lt;=45,0.15,0.2))))</x:f>
        <x:v>0.2</x:v>
      </x:c>
      <x:c r="R238" s="47" t="n">
        <x:f>J238*Q238</x:f>
        <x:v>4048</x:v>
      </x:c>
      <x:c r="S238" s="20" t="str">
        <x:f>IF(D238&lt;E238,"closed",IF(D238&lt;'Paths'!$N$9,"initial","expanded"))</x:f>
        <x:v>expanded</x:v>
      </x:c>
      <x:c r="T238" s="72"/>
    </x:row>
    <x:row r="239">
      <x:c r="C239" s="20" t="str">
        <x:v>P2</x:v>
      </x:c>
      <x:c r="D239" s="20" t="n">
        <x:v>50</x:v>
      </x:c>
      <x:c r="E239" s="45" t="n">
        <x:f>IF('Controls'!$D$7="Reference",'Paths'!$J$9,'Paths'!$K$9)</x:f>
        <x:v>1</x:v>
      </x:c>
      <x:c r="F239" s="47" t="n">
        <x:f>IF(D239&lt;'Paths'!$N$9,IF('Controls'!$D$7="Reference",'Paths'!$L$9,'Paths'!$M$9),IF('Controls'!$D$7="Reference",'Paths'!$O$9,'Paths'!$P$9))</x:f>
        <x:v>22000</x:v>
      </x:c>
      <x:c r="G239" s="46" t="n">
        <x:f>IF('Controls'!$D$7="Reference",1,IF(OR(D239=6,D239=7,D239=21,D239=46),'Paths'!$U$9,1))</x:f>
        <x:v>1</x:v>
      </x:c>
      <x:c r="H239" s="46" t="n">
        <x:f>IF('Controls'!$D$7="Reference",1,IF(OR(AND(D239&gt;=14,D239&lt;=16),AND(D239&gt;=34,D239&lt;=35),AND(D239&gt;=61,D239&lt;=63)),'Paths'!$V$9,1))</x:f>
        <x:v>1</x:v>
      </x:c>
      <x:c r="I239" s="46" t="n">
        <x:f>'Paths'!$W$9</x:f>
        <x:v>0.92</x:v>
      </x:c>
      <x:c r="J239" s="47" t="n">
        <x:f>IF(D239&lt;E239,0,MIN(F239*G239*H239*I239,IF('Paths'!$T$9&gt;0,MAX(0,'Paths'!$T$9-K238),1000000000)))</x:f>
        <x:v>20240</x:v>
      </x:c>
      <x:c r="K239" s="47" t="n">
        <x:f>K238+J239</x:f>
        <x:v>943460</x:v>
      </x:c>
      <x:c r="L239" s="46" t="n">
        <x:f>IF(C239="P0",1,IF(D239&lt;=3,0.8,IF(D239&lt;=14,0.65,IF(D239&lt;=45,0.5,0.3))))</x:f>
        <x:v>0.3</x:v>
      </x:c>
      <x:c r="M239" s="47" t="n">
        <x:f>J239*L239</x:f>
        <x:v>6072</x:v>
      </x:c>
      <x:c r="N239" s="47" t="n">
        <x:f>N238+M239</x:f>
        <x:v>497752.2</x:v>
      </x:c>
      <x:c r="O239" s="46" t="n">
        <x:f>IF(C239="P0",0,IF(D239&lt;=3,0.15,IF(D239&lt;=14,0.25,IF(D239&lt;=45,0.35,0.5))))</x:f>
        <x:v>0.5</x:v>
      </x:c>
      <x:c r="P239" s="47" t="n">
        <x:f>J239*O239</x:f>
        <x:v>10120</x:v>
      </x:c>
      <x:c r="Q239" s="46" t="n">
        <x:f>IF(C239="P0",0,IF(D239&lt;=3,0.05,IF(D239&lt;=14,0.1,IF(D239&lt;=45,0.15,0.2))))</x:f>
        <x:v>0.2</x:v>
      </x:c>
      <x:c r="R239" s="47" t="n">
        <x:f>J239*Q239</x:f>
        <x:v>4048</x:v>
      </x:c>
      <x:c r="S239" s="20" t="str">
        <x:f>IF(D239&lt;E239,"closed",IF(D239&lt;'Paths'!$N$9,"initial","expanded"))</x:f>
        <x:v>expanded</x:v>
      </x:c>
      <x:c r="T239" s="72"/>
    </x:row>
    <x:row r="240">
      <x:c r="C240" s="20" t="str">
        <x:v>P2</x:v>
      </x:c>
      <x:c r="D240" s="20" t="n">
        <x:v>51</x:v>
      </x:c>
      <x:c r="E240" s="45" t="n">
        <x:f>IF('Controls'!$D$7="Reference",'Paths'!$J$9,'Paths'!$K$9)</x:f>
        <x:v>1</x:v>
      </x:c>
      <x:c r="F240" s="47" t="n">
        <x:f>IF(D240&lt;'Paths'!$N$9,IF('Controls'!$D$7="Reference",'Paths'!$L$9,'Paths'!$M$9),IF('Controls'!$D$7="Reference",'Paths'!$O$9,'Paths'!$P$9))</x:f>
        <x:v>22000</x:v>
      </x:c>
      <x:c r="G240" s="46" t="n">
        <x:f>IF('Controls'!$D$7="Reference",1,IF(OR(D240=6,D240=7,D240=21,D240=46),'Paths'!$U$9,1))</x:f>
        <x:v>1</x:v>
      </x:c>
      <x:c r="H240" s="46" t="n">
        <x:f>IF('Controls'!$D$7="Reference",1,IF(OR(AND(D240&gt;=14,D240&lt;=16),AND(D240&gt;=34,D240&lt;=35),AND(D240&gt;=61,D240&lt;=63)),'Paths'!$V$9,1))</x:f>
        <x:v>1</x:v>
      </x:c>
      <x:c r="I240" s="46" t="n">
        <x:f>'Paths'!$W$9</x:f>
        <x:v>0.92</x:v>
      </x:c>
      <x:c r="J240" s="47" t="n">
        <x:f>IF(D240&lt;E240,0,MIN(F240*G240*H240*I240,IF('Paths'!$T$9&gt;0,MAX(0,'Paths'!$T$9-K239),1000000000)))</x:f>
        <x:v>20240</x:v>
      </x:c>
      <x:c r="K240" s="47" t="n">
        <x:f>K239+J240</x:f>
        <x:v>963700</x:v>
      </x:c>
      <x:c r="L240" s="46" t="n">
        <x:f>IF(C240="P0",1,IF(D240&lt;=3,0.8,IF(D240&lt;=14,0.65,IF(D240&lt;=45,0.5,0.3))))</x:f>
        <x:v>0.3</x:v>
      </x:c>
      <x:c r="M240" s="47" t="n">
        <x:f>J240*L240</x:f>
        <x:v>6072</x:v>
      </x:c>
      <x:c r="N240" s="47" t="n">
        <x:f>N239+M240</x:f>
        <x:v>503824.2</x:v>
      </x:c>
      <x:c r="O240" s="46" t="n">
        <x:f>IF(C240="P0",0,IF(D240&lt;=3,0.15,IF(D240&lt;=14,0.25,IF(D240&lt;=45,0.35,0.5))))</x:f>
        <x:v>0.5</x:v>
      </x:c>
      <x:c r="P240" s="47" t="n">
        <x:f>J240*O240</x:f>
        <x:v>10120</x:v>
      </x:c>
      <x:c r="Q240" s="46" t="n">
        <x:f>IF(C240="P0",0,IF(D240&lt;=3,0.05,IF(D240&lt;=14,0.1,IF(D240&lt;=45,0.15,0.2))))</x:f>
        <x:v>0.2</x:v>
      </x:c>
      <x:c r="R240" s="47" t="n">
        <x:f>J240*Q240</x:f>
        <x:v>4048</x:v>
      </x:c>
      <x:c r="S240" s="20" t="str">
        <x:f>IF(D240&lt;E240,"closed",IF(D240&lt;'Paths'!$N$9,"initial","expanded"))</x:f>
        <x:v>expanded</x:v>
      </x:c>
      <x:c r="T240" s="72"/>
    </x:row>
    <x:row r="241">
      <x:c r="C241" s="20" t="str">
        <x:v>P2</x:v>
      </x:c>
      <x:c r="D241" s="20" t="n">
        <x:v>52</x:v>
      </x:c>
      <x:c r="E241" s="45" t="n">
        <x:f>IF('Controls'!$D$7="Reference",'Paths'!$J$9,'Paths'!$K$9)</x:f>
        <x:v>1</x:v>
      </x:c>
      <x:c r="F241" s="47" t="n">
        <x:f>IF(D241&lt;'Paths'!$N$9,IF('Controls'!$D$7="Reference",'Paths'!$L$9,'Paths'!$M$9),IF('Controls'!$D$7="Reference",'Paths'!$O$9,'Paths'!$P$9))</x:f>
        <x:v>22000</x:v>
      </x:c>
      <x:c r="G241" s="46" t="n">
        <x:f>IF('Controls'!$D$7="Reference",1,IF(OR(D241=6,D241=7,D241=21,D241=46),'Paths'!$U$9,1))</x:f>
        <x:v>1</x:v>
      </x:c>
      <x:c r="H241" s="46" t="n">
        <x:f>IF('Controls'!$D$7="Reference",1,IF(OR(AND(D241&gt;=14,D241&lt;=16),AND(D241&gt;=34,D241&lt;=35),AND(D241&gt;=61,D241&lt;=63)),'Paths'!$V$9,1))</x:f>
        <x:v>1</x:v>
      </x:c>
      <x:c r="I241" s="46" t="n">
        <x:f>'Paths'!$W$9</x:f>
        <x:v>0.92</x:v>
      </x:c>
      <x:c r="J241" s="47" t="n">
        <x:f>IF(D241&lt;E241,0,MIN(F241*G241*H241*I241,IF('Paths'!$T$9&gt;0,MAX(0,'Paths'!$T$9-K240),1000000000)))</x:f>
        <x:v>20240</x:v>
      </x:c>
      <x:c r="K241" s="47" t="n">
        <x:f>K240+J241</x:f>
        <x:v>983940</x:v>
      </x:c>
      <x:c r="L241" s="46" t="n">
        <x:f>IF(C241="P0",1,IF(D241&lt;=3,0.8,IF(D241&lt;=14,0.65,IF(D241&lt;=45,0.5,0.3))))</x:f>
        <x:v>0.3</x:v>
      </x:c>
      <x:c r="M241" s="47" t="n">
        <x:f>J241*L241</x:f>
        <x:v>6072</x:v>
      </x:c>
      <x:c r="N241" s="47" t="n">
        <x:f>N240+M241</x:f>
        <x:v>509896.2</x:v>
      </x:c>
      <x:c r="O241" s="46" t="n">
        <x:f>IF(C241="P0",0,IF(D241&lt;=3,0.15,IF(D241&lt;=14,0.25,IF(D241&lt;=45,0.35,0.5))))</x:f>
        <x:v>0.5</x:v>
      </x:c>
      <x:c r="P241" s="47" t="n">
        <x:f>J241*O241</x:f>
        <x:v>10120</x:v>
      </x:c>
      <x:c r="Q241" s="46" t="n">
        <x:f>IF(C241="P0",0,IF(D241&lt;=3,0.05,IF(D241&lt;=14,0.1,IF(D241&lt;=45,0.15,0.2))))</x:f>
        <x:v>0.2</x:v>
      </x:c>
      <x:c r="R241" s="47" t="n">
        <x:f>J241*Q241</x:f>
        <x:v>4048</x:v>
      </x:c>
      <x:c r="S241" s="20" t="str">
        <x:f>IF(D241&lt;E241,"closed",IF(D241&lt;'Paths'!$N$9,"initial","expanded"))</x:f>
        <x:v>expanded</x:v>
      </x:c>
      <x:c r="T241" s="72"/>
    </x:row>
    <x:row r="242">
      <x:c r="C242" s="20" t="str">
        <x:v>P2</x:v>
      </x:c>
      <x:c r="D242" s="20" t="n">
        <x:v>53</x:v>
      </x:c>
      <x:c r="E242" s="45" t="n">
        <x:f>IF('Controls'!$D$7="Reference",'Paths'!$J$9,'Paths'!$K$9)</x:f>
        <x:v>1</x:v>
      </x:c>
      <x:c r="F242" s="47" t="n">
        <x:f>IF(D242&lt;'Paths'!$N$9,IF('Controls'!$D$7="Reference",'Paths'!$L$9,'Paths'!$M$9),IF('Controls'!$D$7="Reference",'Paths'!$O$9,'Paths'!$P$9))</x:f>
        <x:v>22000</x:v>
      </x:c>
      <x:c r="G242" s="46" t="n">
        <x:f>IF('Controls'!$D$7="Reference",1,IF(OR(D242=6,D242=7,D242=21,D242=46),'Paths'!$U$9,1))</x:f>
        <x:v>1</x:v>
      </x:c>
      <x:c r="H242" s="46" t="n">
        <x:f>IF('Controls'!$D$7="Reference",1,IF(OR(AND(D242&gt;=14,D242&lt;=16),AND(D242&gt;=34,D242&lt;=35),AND(D242&gt;=61,D242&lt;=63)),'Paths'!$V$9,1))</x:f>
        <x:v>1</x:v>
      </x:c>
      <x:c r="I242" s="46" t="n">
        <x:f>'Paths'!$W$9</x:f>
        <x:v>0.92</x:v>
      </x:c>
      <x:c r="J242" s="47" t="n">
        <x:f>IF(D242&lt;E242,0,MIN(F242*G242*H242*I242,IF('Paths'!$T$9&gt;0,MAX(0,'Paths'!$T$9-K241),1000000000)))</x:f>
        <x:v>20240</x:v>
      </x:c>
      <x:c r="K242" s="47" t="n">
        <x:f>K241+J242</x:f>
        <x:v>1004180</x:v>
      </x:c>
      <x:c r="L242" s="46" t="n">
        <x:f>IF(C242="P0",1,IF(D242&lt;=3,0.8,IF(D242&lt;=14,0.65,IF(D242&lt;=45,0.5,0.3))))</x:f>
        <x:v>0.3</x:v>
      </x:c>
      <x:c r="M242" s="47" t="n">
        <x:f>J242*L242</x:f>
        <x:v>6072</x:v>
      </x:c>
      <x:c r="N242" s="47" t="n">
        <x:f>N241+M242</x:f>
        <x:v>515968.2</x:v>
      </x:c>
      <x:c r="O242" s="46" t="n">
        <x:f>IF(C242="P0",0,IF(D242&lt;=3,0.15,IF(D242&lt;=14,0.25,IF(D242&lt;=45,0.35,0.5))))</x:f>
        <x:v>0.5</x:v>
      </x:c>
      <x:c r="P242" s="47" t="n">
        <x:f>J242*O242</x:f>
        <x:v>10120</x:v>
      </x:c>
      <x:c r="Q242" s="46" t="n">
        <x:f>IF(C242="P0",0,IF(D242&lt;=3,0.05,IF(D242&lt;=14,0.1,IF(D242&lt;=45,0.15,0.2))))</x:f>
        <x:v>0.2</x:v>
      </x:c>
      <x:c r="R242" s="47" t="n">
        <x:f>J242*Q242</x:f>
        <x:v>4048</x:v>
      </x:c>
      <x:c r="S242" s="20" t="str">
        <x:f>IF(D242&lt;E242,"closed",IF(D242&lt;'Paths'!$N$9,"initial","expanded"))</x:f>
        <x:v>expanded</x:v>
      </x:c>
      <x:c r="T242" s="72"/>
    </x:row>
    <x:row r="243">
      <x:c r="C243" s="20" t="str">
        <x:v>P2</x:v>
      </x:c>
      <x:c r="D243" s="20" t="n">
        <x:v>54</x:v>
      </x:c>
      <x:c r="E243" s="45" t="n">
        <x:f>IF('Controls'!$D$7="Reference",'Paths'!$J$9,'Paths'!$K$9)</x:f>
        <x:v>1</x:v>
      </x:c>
      <x:c r="F243" s="47" t="n">
        <x:f>IF(D243&lt;'Paths'!$N$9,IF('Controls'!$D$7="Reference",'Paths'!$L$9,'Paths'!$M$9),IF('Controls'!$D$7="Reference",'Paths'!$O$9,'Paths'!$P$9))</x:f>
        <x:v>22000</x:v>
      </x:c>
      <x:c r="G243" s="46" t="n">
        <x:f>IF('Controls'!$D$7="Reference",1,IF(OR(D243=6,D243=7,D243=21,D243=46),'Paths'!$U$9,1))</x:f>
        <x:v>1</x:v>
      </x:c>
      <x:c r="H243" s="46" t="n">
        <x:f>IF('Controls'!$D$7="Reference",1,IF(OR(AND(D243&gt;=14,D243&lt;=16),AND(D243&gt;=34,D243&lt;=35),AND(D243&gt;=61,D243&lt;=63)),'Paths'!$V$9,1))</x:f>
        <x:v>1</x:v>
      </x:c>
      <x:c r="I243" s="46" t="n">
        <x:f>'Paths'!$W$9</x:f>
        <x:v>0.92</x:v>
      </x:c>
      <x:c r="J243" s="47" t="n">
        <x:f>IF(D243&lt;E243,0,MIN(F243*G243*H243*I243,IF('Paths'!$T$9&gt;0,MAX(0,'Paths'!$T$9-K242),1000000000)))</x:f>
        <x:v>20240</x:v>
      </x:c>
      <x:c r="K243" s="47" t="n">
        <x:f>K242+J243</x:f>
        <x:v>1024420</x:v>
      </x:c>
      <x:c r="L243" s="46" t="n">
        <x:f>IF(C243="P0",1,IF(D243&lt;=3,0.8,IF(D243&lt;=14,0.65,IF(D243&lt;=45,0.5,0.3))))</x:f>
        <x:v>0.3</x:v>
      </x:c>
      <x:c r="M243" s="47" t="n">
        <x:f>J243*L243</x:f>
        <x:v>6072</x:v>
      </x:c>
      <x:c r="N243" s="47" t="n">
        <x:f>N242+M243</x:f>
        <x:v>522040.2</x:v>
      </x:c>
      <x:c r="O243" s="46" t="n">
        <x:f>IF(C243="P0",0,IF(D243&lt;=3,0.15,IF(D243&lt;=14,0.25,IF(D243&lt;=45,0.35,0.5))))</x:f>
        <x:v>0.5</x:v>
      </x:c>
      <x:c r="P243" s="47" t="n">
        <x:f>J243*O243</x:f>
        <x:v>10120</x:v>
      </x:c>
      <x:c r="Q243" s="46" t="n">
        <x:f>IF(C243="P0",0,IF(D243&lt;=3,0.05,IF(D243&lt;=14,0.1,IF(D243&lt;=45,0.15,0.2))))</x:f>
        <x:v>0.2</x:v>
      </x:c>
      <x:c r="R243" s="47" t="n">
        <x:f>J243*Q243</x:f>
        <x:v>4048</x:v>
      </x:c>
      <x:c r="S243" s="20" t="str">
        <x:f>IF(D243&lt;E243,"closed",IF(D243&lt;'Paths'!$N$9,"initial","expanded"))</x:f>
        <x:v>expanded</x:v>
      </x:c>
      <x:c r="T243" s="72"/>
    </x:row>
    <x:row r="244">
      <x:c r="C244" s="20" t="str">
        <x:v>P2</x:v>
      </x:c>
      <x:c r="D244" s="20" t="n">
        <x:v>55</x:v>
      </x:c>
      <x:c r="E244" s="45" t="n">
        <x:f>IF('Controls'!$D$7="Reference",'Paths'!$J$9,'Paths'!$K$9)</x:f>
        <x:v>1</x:v>
      </x:c>
      <x:c r="F244" s="47" t="n">
        <x:f>IF(D244&lt;'Paths'!$N$9,IF('Controls'!$D$7="Reference",'Paths'!$L$9,'Paths'!$M$9),IF('Controls'!$D$7="Reference",'Paths'!$O$9,'Paths'!$P$9))</x:f>
        <x:v>22000</x:v>
      </x:c>
      <x:c r="G244" s="46" t="n">
        <x:f>IF('Controls'!$D$7="Reference",1,IF(OR(D244=6,D244=7,D244=21,D244=46),'Paths'!$U$9,1))</x:f>
        <x:v>1</x:v>
      </x:c>
      <x:c r="H244" s="46" t="n">
        <x:f>IF('Controls'!$D$7="Reference",1,IF(OR(AND(D244&gt;=14,D244&lt;=16),AND(D244&gt;=34,D244&lt;=35),AND(D244&gt;=61,D244&lt;=63)),'Paths'!$V$9,1))</x:f>
        <x:v>1</x:v>
      </x:c>
      <x:c r="I244" s="46" t="n">
        <x:f>'Paths'!$W$9</x:f>
        <x:v>0.92</x:v>
      </x:c>
      <x:c r="J244" s="47" t="n">
        <x:f>IF(D244&lt;E244,0,MIN(F244*G244*H244*I244,IF('Paths'!$T$9&gt;0,MAX(0,'Paths'!$T$9-K243),1000000000)))</x:f>
        <x:v>20240</x:v>
      </x:c>
      <x:c r="K244" s="47" t="n">
        <x:f>K243+J244</x:f>
        <x:v>1044660</x:v>
      </x:c>
      <x:c r="L244" s="46" t="n">
        <x:f>IF(C244="P0",1,IF(D244&lt;=3,0.8,IF(D244&lt;=14,0.65,IF(D244&lt;=45,0.5,0.3))))</x:f>
        <x:v>0.3</x:v>
      </x:c>
      <x:c r="M244" s="47" t="n">
        <x:f>J244*L244</x:f>
        <x:v>6072</x:v>
      </x:c>
      <x:c r="N244" s="47" t="n">
        <x:f>N243+M244</x:f>
        <x:v>528112.2</x:v>
      </x:c>
      <x:c r="O244" s="46" t="n">
        <x:f>IF(C244="P0",0,IF(D244&lt;=3,0.15,IF(D244&lt;=14,0.25,IF(D244&lt;=45,0.35,0.5))))</x:f>
        <x:v>0.5</x:v>
      </x:c>
      <x:c r="P244" s="47" t="n">
        <x:f>J244*O244</x:f>
        <x:v>10120</x:v>
      </x:c>
      <x:c r="Q244" s="46" t="n">
        <x:f>IF(C244="P0",0,IF(D244&lt;=3,0.05,IF(D244&lt;=14,0.1,IF(D244&lt;=45,0.15,0.2))))</x:f>
        <x:v>0.2</x:v>
      </x:c>
      <x:c r="R244" s="47" t="n">
        <x:f>J244*Q244</x:f>
        <x:v>4048</x:v>
      </x:c>
      <x:c r="S244" s="20" t="str">
        <x:f>IF(D244&lt;E244,"closed",IF(D244&lt;'Paths'!$N$9,"initial","expanded"))</x:f>
        <x:v>expanded</x:v>
      </x:c>
      <x:c r="T244" s="72"/>
    </x:row>
    <x:row r="245">
      <x:c r="C245" s="20" t="str">
        <x:v>P2</x:v>
      </x:c>
      <x:c r="D245" s="20" t="n">
        <x:v>56</x:v>
      </x:c>
      <x:c r="E245" s="45" t="n">
        <x:f>IF('Controls'!$D$7="Reference",'Paths'!$J$9,'Paths'!$K$9)</x:f>
        <x:v>1</x:v>
      </x:c>
      <x:c r="F245" s="47" t="n">
        <x:f>IF(D245&lt;'Paths'!$N$9,IF('Controls'!$D$7="Reference",'Paths'!$L$9,'Paths'!$M$9),IF('Controls'!$D$7="Reference",'Paths'!$O$9,'Paths'!$P$9))</x:f>
        <x:v>22000</x:v>
      </x:c>
      <x:c r="G245" s="46" t="n">
        <x:f>IF('Controls'!$D$7="Reference",1,IF(OR(D245=6,D245=7,D245=21,D245=46),'Paths'!$U$9,1))</x:f>
        <x:v>1</x:v>
      </x:c>
      <x:c r="H245" s="46" t="n">
        <x:f>IF('Controls'!$D$7="Reference",1,IF(OR(AND(D245&gt;=14,D245&lt;=16),AND(D245&gt;=34,D245&lt;=35),AND(D245&gt;=61,D245&lt;=63)),'Paths'!$V$9,1))</x:f>
        <x:v>1</x:v>
      </x:c>
      <x:c r="I245" s="46" t="n">
        <x:f>'Paths'!$W$9</x:f>
        <x:v>0.92</x:v>
      </x:c>
      <x:c r="J245" s="47" t="n">
        <x:f>IF(D245&lt;E245,0,MIN(F245*G245*H245*I245,IF('Paths'!$T$9&gt;0,MAX(0,'Paths'!$T$9-K244),1000000000)))</x:f>
        <x:v>20240</x:v>
      </x:c>
      <x:c r="K245" s="47" t="n">
        <x:f>K244+J245</x:f>
        <x:v>1064900</x:v>
      </x:c>
      <x:c r="L245" s="46" t="n">
        <x:f>IF(C245="P0",1,IF(D245&lt;=3,0.8,IF(D245&lt;=14,0.65,IF(D245&lt;=45,0.5,0.3))))</x:f>
        <x:v>0.3</x:v>
      </x:c>
      <x:c r="M245" s="47" t="n">
        <x:f>J245*L245</x:f>
        <x:v>6072</x:v>
      </x:c>
      <x:c r="N245" s="47" t="n">
        <x:f>N244+M245</x:f>
        <x:v>534184.2</x:v>
      </x:c>
      <x:c r="O245" s="46" t="n">
        <x:f>IF(C245="P0",0,IF(D245&lt;=3,0.15,IF(D245&lt;=14,0.25,IF(D245&lt;=45,0.35,0.5))))</x:f>
        <x:v>0.5</x:v>
      </x:c>
      <x:c r="P245" s="47" t="n">
        <x:f>J245*O245</x:f>
        <x:v>10120</x:v>
      </x:c>
      <x:c r="Q245" s="46" t="n">
        <x:f>IF(C245="P0",0,IF(D245&lt;=3,0.05,IF(D245&lt;=14,0.1,IF(D245&lt;=45,0.15,0.2))))</x:f>
        <x:v>0.2</x:v>
      </x:c>
      <x:c r="R245" s="47" t="n">
        <x:f>J245*Q245</x:f>
        <x:v>4048</x:v>
      </x:c>
      <x:c r="S245" s="20" t="str">
        <x:f>IF(D245&lt;E245,"closed",IF(D245&lt;'Paths'!$N$9,"initial","expanded"))</x:f>
        <x:v>expanded</x:v>
      </x:c>
      <x:c r="T245" s="72"/>
    </x:row>
    <x:row r="246">
      <x:c r="C246" s="20" t="str">
        <x:v>P2</x:v>
      </x:c>
      <x:c r="D246" s="20" t="n">
        <x:v>57</x:v>
      </x:c>
      <x:c r="E246" s="45" t="n">
        <x:f>IF('Controls'!$D$7="Reference",'Paths'!$J$9,'Paths'!$K$9)</x:f>
        <x:v>1</x:v>
      </x:c>
      <x:c r="F246" s="47" t="n">
        <x:f>IF(D246&lt;'Paths'!$N$9,IF('Controls'!$D$7="Reference",'Paths'!$L$9,'Paths'!$M$9),IF('Controls'!$D$7="Reference",'Paths'!$O$9,'Paths'!$P$9))</x:f>
        <x:v>22000</x:v>
      </x:c>
      <x:c r="G246" s="46" t="n">
        <x:f>IF('Controls'!$D$7="Reference",1,IF(OR(D246=6,D246=7,D246=21,D246=46),'Paths'!$U$9,1))</x:f>
        <x:v>1</x:v>
      </x:c>
      <x:c r="H246" s="46" t="n">
        <x:f>IF('Controls'!$D$7="Reference",1,IF(OR(AND(D246&gt;=14,D246&lt;=16),AND(D246&gt;=34,D246&lt;=35),AND(D246&gt;=61,D246&lt;=63)),'Paths'!$V$9,1))</x:f>
        <x:v>1</x:v>
      </x:c>
      <x:c r="I246" s="46" t="n">
        <x:f>'Paths'!$W$9</x:f>
        <x:v>0.92</x:v>
      </x:c>
      <x:c r="J246" s="47" t="n">
        <x:f>IF(D246&lt;E246,0,MIN(F246*G246*H246*I246,IF('Paths'!$T$9&gt;0,MAX(0,'Paths'!$T$9-K245),1000000000)))</x:f>
        <x:v>20240</x:v>
      </x:c>
      <x:c r="K246" s="47" t="n">
        <x:f>K245+J246</x:f>
        <x:v>1085140</x:v>
      </x:c>
      <x:c r="L246" s="46" t="n">
        <x:f>IF(C246="P0",1,IF(D246&lt;=3,0.8,IF(D246&lt;=14,0.65,IF(D246&lt;=45,0.5,0.3))))</x:f>
        <x:v>0.3</x:v>
      </x:c>
      <x:c r="M246" s="47" t="n">
        <x:f>J246*L246</x:f>
        <x:v>6072</x:v>
      </x:c>
      <x:c r="N246" s="47" t="n">
        <x:f>N245+M246</x:f>
        <x:v>540256.2</x:v>
      </x:c>
      <x:c r="O246" s="46" t="n">
        <x:f>IF(C246="P0",0,IF(D246&lt;=3,0.15,IF(D246&lt;=14,0.25,IF(D246&lt;=45,0.35,0.5))))</x:f>
        <x:v>0.5</x:v>
      </x:c>
      <x:c r="P246" s="47" t="n">
        <x:f>J246*O246</x:f>
        <x:v>10120</x:v>
      </x:c>
      <x:c r="Q246" s="46" t="n">
        <x:f>IF(C246="P0",0,IF(D246&lt;=3,0.05,IF(D246&lt;=14,0.1,IF(D246&lt;=45,0.15,0.2))))</x:f>
        <x:v>0.2</x:v>
      </x:c>
      <x:c r="R246" s="47" t="n">
        <x:f>J246*Q246</x:f>
        <x:v>4048</x:v>
      </x:c>
      <x:c r="S246" s="20" t="str">
        <x:f>IF(D246&lt;E246,"closed",IF(D246&lt;'Paths'!$N$9,"initial","expanded"))</x:f>
        <x:v>expanded</x:v>
      </x:c>
      <x:c r="T246" s="72"/>
    </x:row>
    <x:row r="247">
      <x:c r="C247" s="20" t="str">
        <x:v>P2</x:v>
      </x:c>
      <x:c r="D247" s="20" t="n">
        <x:v>58</x:v>
      </x:c>
      <x:c r="E247" s="45" t="n">
        <x:f>IF('Controls'!$D$7="Reference",'Paths'!$J$9,'Paths'!$K$9)</x:f>
        <x:v>1</x:v>
      </x:c>
      <x:c r="F247" s="47" t="n">
        <x:f>IF(D247&lt;'Paths'!$N$9,IF('Controls'!$D$7="Reference",'Paths'!$L$9,'Paths'!$M$9),IF('Controls'!$D$7="Reference",'Paths'!$O$9,'Paths'!$P$9))</x:f>
        <x:v>22000</x:v>
      </x:c>
      <x:c r="G247" s="46" t="n">
        <x:f>IF('Controls'!$D$7="Reference",1,IF(OR(D247=6,D247=7,D247=21,D247=46),'Paths'!$U$9,1))</x:f>
        <x:v>1</x:v>
      </x:c>
      <x:c r="H247" s="46" t="n">
        <x:f>IF('Controls'!$D$7="Reference",1,IF(OR(AND(D247&gt;=14,D247&lt;=16),AND(D247&gt;=34,D247&lt;=35),AND(D247&gt;=61,D247&lt;=63)),'Paths'!$V$9,1))</x:f>
        <x:v>1</x:v>
      </x:c>
      <x:c r="I247" s="46" t="n">
        <x:f>'Paths'!$W$9</x:f>
        <x:v>0.92</x:v>
      </x:c>
      <x:c r="J247" s="47" t="n">
        <x:f>IF(D247&lt;E247,0,MIN(F247*G247*H247*I247,IF('Paths'!$T$9&gt;0,MAX(0,'Paths'!$T$9-K246),1000000000)))</x:f>
        <x:v>20240</x:v>
      </x:c>
      <x:c r="K247" s="47" t="n">
        <x:f>K246+J247</x:f>
        <x:v>1105380</x:v>
      </x:c>
      <x:c r="L247" s="46" t="n">
        <x:f>IF(C247="P0",1,IF(D247&lt;=3,0.8,IF(D247&lt;=14,0.65,IF(D247&lt;=45,0.5,0.3))))</x:f>
        <x:v>0.3</x:v>
      </x:c>
      <x:c r="M247" s="47" t="n">
        <x:f>J247*L247</x:f>
        <x:v>6072</x:v>
      </x:c>
      <x:c r="N247" s="47" t="n">
        <x:f>N246+M247</x:f>
        <x:v>546328.2</x:v>
      </x:c>
      <x:c r="O247" s="46" t="n">
        <x:f>IF(C247="P0",0,IF(D247&lt;=3,0.15,IF(D247&lt;=14,0.25,IF(D247&lt;=45,0.35,0.5))))</x:f>
        <x:v>0.5</x:v>
      </x:c>
      <x:c r="P247" s="47" t="n">
        <x:f>J247*O247</x:f>
        <x:v>10120</x:v>
      </x:c>
      <x:c r="Q247" s="46" t="n">
        <x:f>IF(C247="P0",0,IF(D247&lt;=3,0.05,IF(D247&lt;=14,0.1,IF(D247&lt;=45,0.15,0.2))))</x:f>
        <x:v>0.2</x:v>
      </x:c>
      <x:c r="R247" s="47" t="n">
        <x:f>J247*Q247</x:f>
        <x:v>4048</x:v>
      </x:c>
      <x:c r="S247" s="20" t="str">
        <x:f>IF(D247&lt;E247,"closed",IF(D247&lt;'Paths'!$N$9,"initial","expanded"))</x:f>
        <x:v>expanded</x:v>
      </x:c>
      <x:c r="T247" s="72"/>
    </x:row>
    <x:row r="248">
      <x:c r="C248" s="20" t="str">
        <x:v>P2</x:v>
      </x:c>
      <x:c r="D248" s="20" t="n">
        <x:v>59</x:v>
      </x:c>
      <x:c r="E248" s="45" t="n">
        <x:f>IF('Controls'!$D$7="Reference",'Paths'!$J$9,'Paths'!$K$9)</x:f>
        <x:v>1</x:v>
      </x:c>
      <x:c r="F248" s="47" t="n">
        <x:f>IF(D248&lt;'Paths'!$N$9,IF('Controls'!$D$7="Reference",'Paths'!$L$9,'Paths'!$M$9),IF('Controls'!$D$7="Reference",'Paths'!$O$9,'Paths'!$P$9))</x:f>
        <x:v>22000</x:v>
      </x:c>
      <x:c r="G248" s="46" t="n">
        <x:f>IF('Controls'!$D$7="Reference",1,IF(OR(D248=6,D248=7,D248=21,D248=46),'Paths'!$U$9,1))</x:f>
        <x:v>1</x:v>
      </x:c>
      <x:c r="H248" s="46" t="n">
        <x:f>IF('Controls'!$D$7="Reference",1,IF(OR(AND(D248&gt;=14,D248&lt;=16),AND(D248&gt;=34,D248&lt;=35),AND(D248&gt;=61,D248&lt;=63)),'Paths'!$V$9,1))</x:f>
        <x:v>1</x:v>
      </x:c>
      <x:c r="I248" s="46" t="n">
        <x:f>'Paths'!$W$9</x:f>
        <x:v>0.92</x:v>
      </x:c>
      <x:c r="J248" s="47" t="n">
        <x:f>IF(D248&lt;E248,0,MIN(F248*G248*H248*I248,IF('Paths'!$T$9&gt;0,MAX(0,'Paths'!$T$9-K247),1000000000)))</x:f>
        <x:v>20240</x:v>
      </x:c>
      <x:c r="K248" s="47" t="n">
        <x:f>K247+J248</x:f>
        <x:v>1125620</x:v>
      </x:c>
      <x:c r="L248" s="46" t="n">
        <x:f>IF(C248="P0",1,IF(D248&lt;=3,0.8,IF(D248&lt;=14,0.65,IF(D248&lt;=45,0.5,0.3))))</x:f>
        <x:v>0.3</x:v>
      </x:c>
      <x:c r="M248" s="47" t="n">
        <x:f>J248*L248</x:f>
        <x:v>6072</x:v>
      </x:c>
      <x:c r="N248" s="47" t="n">
        <x:f>N247+M248</x:f>
        <x:v>552400.2</x:v>
      </x:c>
      <x:c r="O248" s="46" t="n">
        <x:f>IF(C248="P0",0,IF(D248&lt;=3,0.15,IF(D248&lt;=14,0.25,IF(D248&lt;=45,0.35,0.5))))</x:f>
        <x:v>0.5</x:v>
      </x:c>
      <x:c r="P248" s="47" t="n">
        <x:f>J248*O248</x:f>
        <x:v>10120</x:v>
      </x:c>
      <x:c r="Q248" s="46" t="n">
        <x:f>IF(C248="P0",0,IF(D248&lt;=3,0.05,IF(D248&lt;=14,0.1,IF(D248&lt;=45,0.15,0.2))))</x:f>
        <x:v>0.2</x:v>
      </x:c>
      <x:c r="R248" s="47" t="n">
        <x:f>J248*Q248</x:f>
        <x:v>4048</x:v>
      </x:c>
      <x:c r="S248" s="20" t="str">
        <x:f>IF(D248&lt;E248,"closed",IF(D248&lt;'Paths'!$N$9,"initial","expanded"))</x:f>
        <x:v>expanded</x:v>
      </x:c>
      <x:c r="T248" s="72"/>
    </x:row>
    <x:row r="249">
      <x:c r="C249" s="20" t="str">
        <x:v>P2</x:v>
      </x:c>
      <x:c r="D249" s="20" t="n">
        <x:v>60</x:v>
      </x:c>
      <x:c r="E249" s="45" t="n">
        <x:f>IF('Controls'!$D$7="Reference",'Paths'!$J$9,'Paths'!$K$9)</x:f>
        <x:v>1</x:v>
      </x:c>
      <x:c r="F249" s="47" t="n">
        <x:f>IF(D249&lt;'Paths'!$N$9,IF('Controls'!$D$7="Reference",'Paths'!$L$9,'Paths'!$M$9),IF('Controls'!$D$7="Reference",'Paths'!$O$9,'Paths'!$P$9))</x:f>
        <x:v>22000</x:v>
      </x:c>
      <x:c r="G249" s="46" t="n">
        <x:f>IF('Controls'!$D$7="Reference",1,IF(OR(D249=6,D249=7,D249=21,D249=46),'Paths'!$U$9,1))</x:f>
        <x:v>1</x:v>
      </x:c>
      <x:c r="H249" s="46" t="n">
        <x:f>IF('Controls'!$D$7="Reference",1,IF(OR(AND(D249&gt;=14,D249&lt;=16),AND(D249&gt;=34,D249&lt;=35),AND(D249&gt;=61,D249&lt;=63)),'Paths'!$V$9,1))</x:f>
        <x:v>1</x:v>
      </x:c>
      <x:c r="I249" s="46" t="n">
        <x:f>'Paths'!$W$9</x:f>
        <x:v>0.92</x:v>
      </x:c>
      <x:c r="J249" s="47" t="n">
        <x:f>IF(D249&lt;E249,0,MIN(F249*G249*H249*I249,IF('Paths'!$T$9&gt;0,MAX(0,'Paths'!$T$9-K248),1000000000)))</x:f>
        <x:v>20240</x:v>
      </x:c>
      <x:c r="K249" s="47" t="n">
        <x:f>K248+J249</x:f>
        <x:v>1145860</x:v>
      </x:c>
      <x:c r="L249" s="46" t="n">
        <x:f>IF(C249="P0",1,IF(D249&lt;=3,0.8,IF(D249&lt;=14,0.65,IF(D249&lt;=45,0.5,0.3))))</x:f>
        <x:v>0.3</x:v>
      </x:c>
      <x:c r="M249" s="47" t="n">
        <x:f>J249*L249</x:f>
        <x:v>6072</x:v>
      </x:c>
      <x:c r="N249" s="47" t="n">
        <x:f>N248+M249</x:f>
        <x:v>558472.2</x:v>
      </x:c>
      <x:c r="O249" s="46" t="n">
        <x:f>IF(C249="P0",0,IF(D249&lt;=3,0.15,IF(D249&lt;=14,0.25,IF(D249&lt;=45,0.35,0.5))))</x:f>
        <x:v>0.5</x:v>
      </x:c>
      <x:c r="P249" s="47" t="n">
        <x:f>J249*O249</x:f>
        <x:v>10120</x:v>
      </x:c>
      <x:c r="Q249" s="46" t="n">
        <x:f>IF(C249="P0",0,IF(D249&lt;=3,0.05,IF(D249&lt;=14,0.1,IF(D249&lt;=45,0.15,0.2))))</x:f>
        <x:v>0.2</x:v>
      </x:c>
      <x:c r="R249" s="47" t="n">
        <x:f>J249*Q249</x:f>
        <x:v>4048</x:v>
      </x:c>
      <x:c r="S249" s="20" t="str">
        <x:f>IF(D249&lt;E249,"closed",IF(D249&lt;'Paths'!$N$9,"initial","expanded"))</x:f>
        <x:v>expanded</x:v>
      </x:c>
      <x:c r="T249" s="72"/>
    </x:row>
    <x:row r="250">
      <x:c r="C250" s="20" t="str">
        <x:v>P2</x:v>
      </x:c>
      <x:c r="D250" s="20" t="n">
        <x:v>61</x:v>
      </x:c>
      <x:c r="E250" s="45" t="n">
        <x:f>IF('Controls'!$D$7="Reference",'Paths'!$J$9,'Paths'!$K$9)</x:f>
        <x:v>1</x:v>
      </x:c>
      <x:c r="F250" s="47" t="n">
        <x:f>IF(D250&lt;'Paths'!$N$9,IF('Controls'!$D$7="Reference",'Paths'!$L$9,'Paths'!$M$9),IF('Controls'!$D$7="Reference",'Paths'!$O$9,'Paths'!$P$9))</x:f>
        <x:v>22000</x:v>
      </x:c>
      <x:c r="G250" s="46" t="n">
        <x:f>IF('Controls'!$D$7="Reference",1,IF(OR(D250=6,D250=7,D250=21,D250=46),'Paths'!$U$9,1))</x:f>
        <x:v>1</x:v>
      </x:c>
      <x:c r="H250" s="46" t="n">
        <x:f>IF('Controls'!$D$7="Reference",1,IF(OR(AND(D250&gt;=14,D250&lt;=16),AND(D250&gt;=34,D250&lt;=35),AND(D250&gt;=61,D250&lt;=63)),'Paths'!$V$9,1))</x:f>
        <x:v>0.7</x:v>
      </x:c>
      <x:c r="I250" s="46" t="n">
        <x:f>'Paths'!$W$9</x:f>
        <x:v>0.92</x:v>
      </x:c>
      <x:c r="J250" s="47" t="n">
        <x:f>IF(D250&lt;E250,0,MIN(F250*G250*H250*I250,IF('Paths'!$T$9&gt;0,MAX(0,'Paths'!$T$9-K249),1000000000)))</x:f>
        <x:v>14167.999999999998</x:v>
      </x:c>
      <x:c r="K250" s="47" t="n">
        <x:f>K249+J250</x:f>
        <x:v>1160028</x:v>
      </x:c>
      <x:c r="L250" s="46" t="n">
        <x:f>IF(C250="P0",1,IF(D250&lt;=3,0.8,IF(D250&lt;=14,0.65,IF(D250&lt;=45,0.5,0.3))))</x:f>
        <x:v>0.3</x:v>
      </x:c>
      <x:c r="M250" s="47" t="n">
        <x:f>J250*L250</x:f>
        <x:v>4250.4</x:v>
      </x:c>
      <x:c r="N250" s="47" t="n">
        <x:f>N249+M250</x:f>
        <x:v>562722.6</x:v>
      </x:c>
      <x:c r="O250" s="46" t="n">
        <x:f>IF(C250="P0",0,IF(D250&lt;=3,0.15,IF(D250&lt;=14,0.25,IF(D250&lt;=45,0.35,0.5))))</x:f>
        <x:v>0.5</x:v>
      </x:c>
      <x:c r="P250" s="47" t="n">
        <x:f>J250*O250</x:f>
        <x:v>7083.999999999999</x:v>
      </x:c>
      <x:c r="Q250" s="46" t="n">
        <x:f>IF(C250="P0",0,IF(D250&lt;=3,0.05,IF(D250&lt;=14,0.1,IF(D250&lt;=45,0.15,0.2))))</x:f>
        <x:v>0.2</x:v>
      </x:c>
      <x:c r="R250" s="47" t="n">
        <x:f>J250*Q250</x:f>
        <x:v>2833.6</x:v>
      </x:c>
      <x:c r="S250" s="20" t="str">
        <x:f>IF(D250&lt;E250,"closed",IF(D250&lt;'Paths'!$N$9,"initial","expanded"))</x:f>
        <x:v>expanded</x:v>
      </x:c>
      <x:c r="T250" s="72"/>
    </x:row>
    <x:row r="251">
      <x:c r="C251" s="20" t="str">
        <x:v>P2</x:v>
      </x:c>
      <x:c r="D251" s="20" t="n">
        <x:v>62</x:v>
      </x:c>
      <x:c r="E251" s="45" t="n">
        <x:f>IF('Controls'!$D$7="Reference",'Paths'!$J$9,'Paths'!$K$9)</x:f>
        <x:v>1</x:v>
      </x:c>
      <x:c r="F251" s="47" t="n">
        <x:f>IF(D251&lt;'Paths'!$N$9,IF('Controls'!$D$7="Reference",'Paths'!$L$9,'Paths'!$M$9),IF('Controls'!$D$7="Reference",'Paths'!$O$9,'Paths'!$P$9))</x:f>
        <x:v>22000</x:v>
      </x:c>
      <x:c r="G251" s="46" t="n">
        <x:f>IF('Controls'!$D$7="Reference",1,IF(OR(D251=6,D251=7,D251=21,D251=46),'Paths'!$U$9,1))</x:f>
        <x:v>1</x:v>
      </x:c>
      <x:c r="H251" s="46" t="n">
        <x:f>IF('Controls'!$D$7="Reference",1,IF(OR(AND(D251&gt;=14,D251&lt;=16),AND(D251&gt;=34,D251&lt;=35),AND(D251&gt;=61,D251&lt;=63)),'Paths'!$V$9,1))</x:f>
        <x:v>0.7</x:v>
      </x:c>
      <x:c r="I251" s="46" t="n">
        <x:f>'Paths'!$W$9</x:f>
        <x:v>0.92</x:v>
      </x:c>
      <x:c r="J251" s="47" t="n">
        <x:f>IF(D251&lt;E251,0,MIN(F251*G251*H251*I251,IF('Paths'!$T$9&gt;0,MAX(0,'Paths'!$T$9-K250),1000000000)))</x:f>
        <x:v>14167.999999999998</x:v>
      </x:c>
      <x:c r="K251" s="47" t="n">
        <x:f>K250+J251</x:f>
        <x:v>1174196</x:v>
      </x:c>
      <x:c r="L251" s="46" t="n">
        <x:f>IF(C251="P0",1,IF(D251&lt;=3,0.8,IF(D251&lt;=14,0.65,IF(D251&lt;=45,0.5,0.3))))</x:f>
        <x:v>0.3</x:v>
      </x:c>
      <x:c r="M251" s="47" t="n">
        <x:f>J251*L251</x:f>
        <x:v>4250.4</x:v>
      </x:c>
      <x:c r="N251" s="47" t="n">
        <x:f>N250+M251</x:f>
        <x:v>566973</x:v>
      </x:c>
      <x:c r="O251" s="46" t="n">
        <x:f>IF(C251="P0",0,IF(D251&lt;=3,0.15,IF(D251&lt;=14,0.25,IF(D251&lt;=45,0.35,0.5))))</x:f>
        <x:v>0.5</x:v>
      </x:c>
      <x:c r="P251" s="47" t="n">
        <x:f>J251*O251</x:f>
        <x:v>7083.999999999999</x:v>
      </x:c>
      <x:c r="Q251" s="46" t="n">
        <x:f>IF(C251="P0",0,IF(D251&lt;=3,0.05,IF(D251&lt;=14,0.1,IF(D251&lt;=45,0.15,0.2))))</x:f>
        <x:v>0.2</x:v>
      </x:c>
      <x:c r="R251" s="47" t="n">
        <x:f>J251*Q251</x:f>
        <x:v>2833.6</x:v>
      </x:c>
      <x:c r="S251" s="20" t="str">
        <x:f>IF(D251&lt;E251,"closed",IF(D251&lt;'Paths'!$N$9,"initial","expanded"))</x:f>
        <x:v>expanded</x:v>
      </x:c>
      <x:c r="T251" s="72"/>
    </x:row>
    <x:row r="252">
      <x:c r="C252" s="20" t="str">
        <x:v>P2</x:v>
      </x:c>
      <x:c r="D252" s="20" t="n">
        <x:v>63</x:v>
      </x:c>
      <x:c r="E252" s="45" t="n">
        <x:f>IF('Controls'!$D$7="Reference",'Paths'!$J$9,'Paths'!$K$9)</x:f>
        <x:v>1</x:v>
      </x:c>
      <x:c r="F252" s="47" t="n">
        <x:f>IF(D252&lt;'Paths'!$N$9,IF('Controls'!$D$7="Reference",'Paths'!$L$9,'Paths'!$M$9),IF('Controls'!$D$7="Reference",'Paths'!$O$9,'Paths'!$P$9))</x:f>
        <x:v>22000</x:v>
      </x:c>
      <x:c r="G252" s="46" t="n">
        <x:f>IF('Controls'!$D$7="Reference",1,IF(OR(D252=6,D252=7,D252=21,D252=46),'Paths'!$U$9,1))</x:f>
        <x:v>1</x:v>
      </x:c>
      <x:c r="H252" s="46" t="n">
        <x:f>IF('Controls'!$D$7="Reference",1,IF(OR(AND(D252&gt;=14,D252&lt;=16),AND(D252&gt;=34,D252&lt;=35),AND(D252&gt;=61,D252&lt;=63)),'Paths'!$V$9,1))</x:f>
        <x:v>0.7</x:v>
      </x:c>
      <x:c r="I252" s="46" t="n">
        <x:f>'Paths'!$W$9</x:f>
        <x:v>0.92</x:v>
      </x:c>
      <x:c r="J252" s="47" t="n">
        <x:f>IF(D252&lt;E252,0,MIN(F252*G252*H252*I252,IF('Paths'!$T$9&gt;0,MAX(0,'Paths'!$T$9-K251),1000000000)))</x:f>
        <x:v>14167.999999999998</x:v>
      </x:c>
      <x:c r="K252" s="47" t="n">
        <x:f>K251+J252</x:f>
        <x:v>1188364</x:v>
      </x:c>
      <x:c r="L252" s="46" t="n">
        <x:f>IF(C252="P0",1,IF(D252&lt;=3,0.8,IF(D252&lt;=14,0.65,IF(D252&lt;=45,0.5,0.3))))</x:f>
        <x:v>0.3</x:v>
      </x:c>
      <x:c r="M252" s="47" t="n">
        <x:f>J252*L252</x:f>
        <x:v>4250.4</x:v>
      </x:c>
      <x:c r="N252" s="47" t="n">
        <x:f>N251+M252</x:f>
        <x:v>571223.4</x:v>
      </x:c>
      <x:c r="O252" s="46" t="n">
        <x:f>IF(C252="P0",0,IF(D252&lt;=3,0.15,IF(D252&lt;=14,0.25,IF(D252&lt;=45,0.35,0.5))))</x:f>
        <x:v>0.5</x:v>
      </x:c>
      <x:c r="P252" s="47" t="n">
        <x:f>J252*O252</x:f>
        <x:v>7083.999999999999</x:v>
      </x:c>
      <x:c r="Q252" s="46" t="n">
        <x:f>IF(C252="P0",0,IF(D252&lt;=3,0.05,IF(D252&lt;=14,0.1,IF(D252&lt;=45,0.15,0.2))))</x:f>
        <x:v>0.2</x:v>
      </x:c>
      <x:c r="R252" s="47" t="n">
        <x:f>J252*Q252</x:f>
        <x:v>2833.6</x:v>
      </x:c>
      <x:c r="S252" s="20" t="str">
        <x:f>IF(D252&lt;E252,"closed",IF(D252&lt;'Paths'!$N$9,"initial","expanded"))</x:f>
        <x:v>expanded</x:v>
      </x:c>
      <x:c r="T252" s="72"/>
    </x:row>
    <x:row r="253">
      <x:c r="C253" s="20" t="str">
        <x:v>P2</x:v>
      </x:c>
      <x:c r="D253" s="20" t="n">
        <x:v>64</x:v>
      </x:c>
      <x:c r="E253" s="45" t="n">
        <x:f>IF('Controls'!$D$7="Reference",'Paths'!$J$9,'Paths'!$K$9)</x:f>
        <x:v>1</x:v>
      </x:c>
      <x:c r="F253" s="47" t="n">
        <x:f>IF(D253&lt;'Paths'!$N$9,IF('Controls'!$D$7="Reference",'Paths'!$L$9,'Paths'!$M$9),IF('Controls'!$D$7="Reference",'Paths'!$O$9,'Paths'!$P$9))</x:f>
        <x:v>22000</x:v>
      </x:c>
      <x:c r="G253" s="46" t="n">
        <x:f>IF('Controls'!$D$7="Reference",1,IF(OR(D253=6,D253=7,D253=21,D253=46),'Paths'!$U$9,1))</x:f>
        <x:v>1</x:v>
      </x:c>
      <x:c r="H253" s="46" t="n">
        <x:f>IF('Controls'!$D$7="Reference",1,IF(OR(AND(D253&gt;=14,D253&lt;=16),AND(D253&gt;=34,D253&lt;=35),AND(D253&gt;=61,D253&lt;=63)),'Paths'!$V$9,1))</x:f>
        <x:v>1</x:v>
      </x:c>
      <x:c r="I253" s="46" t="n">
        <x:f>'Paths'!$W$9</x:f>
        <x:v>0.92</x:v>
      </x:c>
      <x:c r="J253" s="47" t="n">
        <x:f>IF(D253&lt;E253,0,MIN(F253*G253*H253*I253,IF('Paths'!$T$9&gt;0,MAX(0,'Paths'!$T$9-K252),1000000000)))</x:f>
        <x:v>20240</x:v>
      </x:c>
      <x:c r="K253" s="47" t="n">
        <x:f>K252+J253</x:f>
        <x:v>1208604</x:v>
      </x:c>
      <x:c r="L253" s="46" t="n">
        <x:f>IF(C253="P0",1,IF(D253&lt;=3,0.8,IF(D253&lt;=14,0.65,IF(D253&lt;=45,0.5,0.3))))</x:f>
        <x:v>0.3</x:v>
      </x:c>
      <x:c r="M253" s="47" t="n">
        <x:f>J253*L253</x:f>
        <x:v>6072</x:v>
      </x:c>
      <x:c r="N253" s="47" t="n">
        <x:f>N252+M253</x:f>
        <x:v>577295.4</x:v>
      </x:c>
      <x:c r="O253" s="46" t="n">
        <x:f>IF(C253="P0",0,IF(D253&lt;=3,0.15,IF(D253&lt;=14,0.25,IF(D253&lt;=45,0.35,0.5))))</x:f>
        <x:v>0.5</x:v>
      </x:c>
      <x:c r="P253" s="47" t="n">
        <x:f>J253*O253</x:f>
        <x:v>10120</x:v>
      </x:c>
      <x:c r="Q253" s="46" t="n">
        <x:f>IF(C253="P0",0,IF(D253&lt;=3,0.05,IF(D253&lt;=14,0.1,IF(D253&lt;=45,0.15,0.2))))</x:f>
        <x:v>0.2</x:v>
      </x:c>
      <x:c r="R253" s="47" t="n">
        <x:f>J253*Q253</x:f>
        <x:v>4048</x:v>
      </x:c>
      <x:c r="S253" s="20" t="str">
        <x:f>IF(D253&lt;E253,"closed",IF(D253&lt;'Paths'!$N$9,"initial","expanded"))</x:f>
        <x:v>expanded</x:v>
      </x:c>
      <x:c r="T253" s="72"/>
    </x:row>
    <x:row r="254">
      <x:c r="C254" s="20" t="str">
        <x:v>P2</x:v>
      </x:c>
      <x:c r="D254" s="20" t="n">
        <x:v>65</x:v>
      </x:c>
      <x:c r="E254" s="45" t="n">
        <x:f>IF('Controls'!$D$7="Reference",'Paths'!$J$9,'Paths'!$K$9)</x:f>
        <x:v>1</x:v>
      </x:c>
      <x:c r="F254" s="47" t="n">
        <x:f>IF(D254&lt;'Paths'!$N$9,IF('Controls'!$D$7="Reference",'Paths'!$L$9,'Paths'!$M$9),IF('Controls'!$D$7="Reference",'Paths'!$O$9,'Paths'!$P$9))</x:f>
        <x:v>22000</x:v>
      </x:c>
      <x:c r="G254" s="46" t="n">
        <x:f>IF('Controls'!$D$7="Reference",1,IF(OR(D254=6,D254=7,D254=21,D254=46),'Paths'!$U$9,1))</x:f>
        <x:v>1</x:v>
      </x:c>
      <x:c r="H254" s="46" t="n">
        <x:f>IF('Controls'!$D$7="Reference",1,IF(OR(AND(D254&gt;=14,D254&lt;=16),AND(D254&gt;=34,D254&lt;=35),AND(D254&gt;=61,D254&lt;=63)),'Paths'!$V$9,1))</x:f>
        <x:v>1</x:v>
      </x:c>
      <x:c r="I254" s="46" t="n">
        <x:f>'Paths'!$W$9</x:f>
        <x:v>0.92</x:v>
      </x:c>
      <x:c r="J254" s="47" t="n">
        <x:f>IF(D254&lt;E254,0,MIN(F254*G254*H254*I254,IF('Paths'!$T$9&gt;0,MAX(0,'Paths'!$T$9-K253),1000000000)))</x:f>
        <x:v>20240</x:v>
      </x:c>
      <x:c r="K254" s="47" t="n">
        <x:f>K253+J254</x:f>
        <x:v>1228844</x:v>
      </x:c>
      <x:c r="L254" s="46" t="n">
        <x:f>IF(C254="P0",1,IF(D254&lt;=3,0.8,IF(D254&lt;=14,0.65,IF(D254&lt;=45,0.5,0.3))))</x:f>
        <x:v>0.3</x:v>
      </x:c>
      <x:c r="M254" s="47" t="n">
        <x:f>J254*L254</x:f>
        <x:v>6072</x:v>
      </x:c>
      <x:c r="N254" s="47" t="n">
        <x:f>N253+M254</x:f>
        <x:v>583367.4</x:v>
      </x:c>
      <x:c r="O254" s="46" t="n">
        <x:f>IF(C254="P0",0,IF(D254&lt;=3,0.15,IF(D254&lt;=14,0.25,IF(D254&lt;=45,0.35,0.5))))</x:f>
        <x:v>0.5</x:v>
      </x:c>
      <x:c r="P254" s="47" t="n">
        <x:f>J254*O254</x:f>
        <x:v>10120</x:v>
      </x:c>
      <x:c r="Q254" s="46" t="n">
        <x:f>IF(C254="P0",0,IF(D254&lt;=3,0.05,IF(D254&lt;=14,0.1,IF(D254&lt;=45,0.15,0.2))))</x:f>
        <x:v>0.2</x:v>
      </x:c>
      <x:c r="R254" s="47" t="n">
        <x:f>J254*Q254</x:f>
        <x:v>4048</x:v>
      </x:c>
      <x:c r="S254" s="20" t="str">
        <x:f>IF(D254&lt;E254,"closed",IF(D254&lt;'Paths'!$N$9,"initial","expanded"))</x:f>
        <x:v>expanded</x:v>
      </x:c>
      <x:c r="T254" s="72"/>
    </x:row>
    <x:row r="255">
      <x:c r="C255" s="20" t="str">
        <x:v>P2</x:v>
      </x:c>
      <x:c r="D255" s="20" t="n">
        <x:v>66</x:v>
      </x:c>
      <x:c r="E255" s="45" t="n">
        <x:f>IF('Controls'!$D$7="Reference",'Paths'!$J$9,'Paths'!$K$9)</x:f>
        <x:v>1</x:v>
      </x:c>
      <x:c r="F255" s="47" t="n">
        <x:f>IF(D255&lt;'Paths'!$N$9,IF('Controls'!$D$7="Reference",'Paths'!$L$9,'Paths'!$M$9),IF('Controls'!$D$7="Reference",'Paths'!$O$9,'Paths'!$P$9))</x:f>
        <x:v>22000</x:v>
      </x:c>
      <x:c r="G255" s="46" t="n">
        <x:f>IF('Controls'!$D$7="Reference",1,IF(OR(D255=6,D255=7,D255=21,D255=46),'Paths'!$U$9,1))</x:f>
        <x:v>1</x:v>
      </x:c>
      <x:c r="H255" s="46" t="n">
        <x:f>IF('Controls'!$D$7="Reference",1,IF(OR(AND(D255&gt;=14,D255&lt;=16),AND(D255&gt;=34,D255&lt;=35),AND(D255&gt;=61,D255&lt;=63)),'Paths'!$V$9,1))</x:f>
        <x:v>1</x:v>
      </x:c>
      <x:c r="I255" s="46" t="n">
        <x:f>'Paths'!$W$9</x:f>
        <x:v>0.92</x:v>
      </x:c>
      <x:c r="J255" s="47" t="n">
        <x:f>IF(D255&lt;E255,0,MIN(F255*G255*H255*I255,IF('Paths'!$T$9&gt;0,MAX(0,'Paths'!$T$9-K254),1000000000)))</x:f>
        <x:v>20240</x:v>
      </x:c>
      <x:c r="K255" s="47" t="n">
        <x:f>K254+J255</x:f>
        <x:v>1249084</x:v>
      </x:c>
      <x:c r="L255" s="46" t="n">
        <x:f>IF(C255="P0",1,IF(D255&lt;=3,0.8,IF(D255&lt;=14,0.65,IF(D255&lt;=45,0.5,0.3))))</x:f>
        <x:v>0.3</x:v>
      </x:c>
      <x:c r="M255" s="47" t="n">
        <x:f>J255*L255</x:f>
        <x:v>6072</x:v>
      </x:c>
      <x:c r="N255" s="47" t="n">
        <x:f>N254+M255</x:f>
        <x:v>589439.4</x:v>
      </x:c>
      <x:c r="O255" s="46" t="n">
        <x:f>IF(C255="P0",0,IF(D255&lt;=3,0.15,IF(D255&lt;=14,0.25,IF(D255&lt;=45,0.35,0.5))))</x:f>
        <x:v>0.5</x:v>
      </x:c>
      <x:c r="P255" s="47" t="n">
        <x:f>J255*O255</x:f>
        <x:v>10120</x:v>
      </x:c>
      <x:c r="Q255" s="46" t="n">
        <x:f>IF(C255="P0",0,IF(D255&lt;=3,0.05,IF(D255&lt;=14,0.1,IF(D255&lt;=45,0.15,0.2))))</x:f>
        <x:v>0.2</x:v>
      </x:c>
      <x:c r="R255" s="47" t="n">
        <x:f>J255*Q255</x:f>
        <x:v>4048</x:v>
      </x:c>
      <x:c r="S255" s="20" t="str">
        <x:f>IF(D255&lt;E255,"closed",IF(D255&lt;'Paths'!$N$9,"initial","expanded"))</x:f>
        <x:v>expanded</x:v>
      </x:c>
      <x:c r="T255" s="72"/>
    </x:row>
    <x:row r="256">
      <x:c r="C256" s="20" t="str">
        <x:v>P2</x:v>
      </x:c>
      <x:c r="D256" s="20" t="n">
        <x:v>67</x:v>
      </x:c>
      <x:c r="E256" s="45" t="n">
        <x:f>IF('Controls'!$D$7="Reference",'Paths'!$J$9,'Paths'!$K$9)</x:f>
        <x:v>1</x:v>
      </x:c>
      <x:c r="F256" s="47" t="n">
        <x:f>IF(D256&lt;'Paths'!$N$9,IF('Controls'!$D$7="Reference",'Paths'!$L$9,'Paths'!$M$9),IF('Controls'!$D$7="Reference",'Paths'!$O$9,'Paths'!$P$9))</x:f>
        <x:v>22000</x:v>
      </x:c>
      <x:c r="G256" s="46" t="n">
        <x:f>IF('Controls'!$D$7="Reference",1,IF(OR(D256=6,D256=7,D256=21,D256=46),'Paths'!$U$9,1))</x:f>
        <x:v>1</x:v>
      </x:c>
      <x:c r="H256" s="46" t="n">
        <x:f>IF('Controls'!$D$7="Reference",1,IF(OR(AND(D256&gt;=14,D256&lt;=16),AND(D256&gt;=34,D256&lt;=35),AND(D256&gt;=61,D256&lt;=63)),'Paths'!$V$9,1))</x:f>
        <x:v>1</x:v>
      </x:c>
      <x:c r="I256" s="46" t="n">
        <x:f>'Paths'!$W$9</x:f>
        <x:v>0.92</x:v>
      </x:c>
      <x:c r="J256" s="47" t="n">
        <x:f>IF(D256&lt;E256,0,MIN(F256*G256*H256*I256,IF('Paths'!$T$9&gt;0,MAX(0,'Paths'!$T$9-K255),1000000000)))</x:f>
        <x:v>20240</x:v>
      </x:c>
      <x:c r="K256" s="47" t="n">
        <x:f>K255+J256</x:f>
        <x:v>1269324</x:v>
      </x:c>
      <x:c r="L256" s="46" t="n">
        <x:f>IF(C256="P0",1,IF(D256&lt;=3,0.8,IF(D256&lt;=14,0.65,IF(D256&lt;=45,0.5,0.3))))</x:f>
        <x:v>0.3</x:v>
      </x:c>
      <x:c r="M256" s="47" t="n">
        <x:f>J256*L256</x:f>
        <x:v>6072</x:v>
      </x:c>
      <x:c r="N256" s="47" t="n">
        <x:f>N255+M256</x:f>
        <x:v>595511.4</x:v>
      </x:c>
      <x:c r="O256" s="46" t="n">
        <x:f>IF(C256="P0",0,IF(D256&lt;=3,0.15,IF(D256&lt;=14,0.25,IF(D256&lt;=45,0.35,0.5))))</x:f>
        <x:v>0.5</x:v>
      </x:c>
      <x:c r="P256" s="47" t="n">
        <x:f>J256*O256</x:f>
        <x:v>10120</x:v>
      </x:c>
      <x:c r="Q256" s="46" t="n">
        <x:f>IF(C256="P0",0,IF(D256&lt;=3,0.05,IF(D256&lt;=14,0.1,IF(D256&lt;=45,0.15,0.2))))</x:f>
        <x:v>0.2</x:v>
      </x:c>
      <x:c r="R256" s="47" t="n">
        <x:f>J256*Q256</x:f>
        <x:v>4048</x:v>
      </x:c>
      <x:c r="S256" s="20" t="str">
        <x:f>IF(D256&lt;E256,"closed",IF(D256&lt;'Paths'!$N$9,"initial","expanded"))</x:f>
        <x:v>expanded</x:v>
      </x:c>
      <x:c r="T256" s="72"/>
    </x:row>
    <x:row r="257">
      <x:c r="C257" s="20" t="str">
        <x:v>P2</x:v>
      </x:c>
      <x:c r="D257" s="20" t="n">
        <x:v>68</x:v>
      </x:c>
      <x:c r="E257" s="45" t="n">
        <x:f>IF('Controls'!$D$7="Reference",'Paths'!$J$9,'Paths'!$K$9)</x:f>
        <x:v>1</x:v>
      </x:c>
      <x:c r="F257" s="47" t="n">
        <x:f>IF(D257&lt;'Paths'!$N$9,IF('Controls'!$D$7="Reference",'Paths'!$L$9,'Paths'!$M$9),IF('Controls'!$D$7="Reference",'Paths'!$O$9,'Paths'!$P$9))</x:f>
        <x:v>22000</x:v>
      </x:c>
      <x:c r="G257" s="46" t="n">
        <x:f>IF('Controls'!$D$7="Reference",1,IF(OR(D257=6,D257=7,D257=21,D257=46),'Paths'!$U$9,1))</x:f>
        <x:v>1</x:v>
      </x:c>
      <x:c r="H257" s="46" t="n">
        <x:f>IF('Controls'!$D$7="Reference",1,IF(OR(AND(D257&gt;=14,D257&lt;=16),AND(D257&gt;=34,D257&lt;=35),AND(D257&gt;=61,D257&lt;=63)),'Paths'!$V$9,1))</x:f>
        <x:v>1</x:v>
      </x:c>
      <x:c r="I257" s="46" t="n">
        <x:f>'Paths'!$W$9</x:f>
        <x:v>0.92</x:v>
      </x:c>
      <x:c r="J257" s="47" t="n">
        <x:f>IF(D257&lt;E257,0,MIN(F257*G257*H257*I257,IF('Paths'!$T$9&gt;0,MAX(0,'Paths'!$T$9-K256),1000000000)))</x:f>
        <x:v>20240</x:v>
      </x:c>
      <x:c r="K257" s="47" t="n">
        <x:f>K256+J257</x:f>
        <x:v>1289564</x:v>
      </x:c>
      <x:c r="L257" s="46" t="n">
        <x:f>IF(C257="P0",1,IF(D257&lt;=3,0.8,IF(D257&lt;=14,0.65,IF(D257&lt;=45,0.5,0.3))))</x:f>
        <x:v>0.3</x:v>
      </x:c>
      <x:c r="M257" s="47" t="n">
        <x:f>J257*L257</x:f>
        <x:v>6072</x:v>
      </x:c>
      <x:c r="N257" s="47" t="n">
        <x:f>N256+M257</x:f>
        <x:v>601583.4</x:v>
      </x:c>
      <x:c r="O257" s="46" t="n">
        <x:f>IF(C257="P0",0,IF(D257&lt;=3,0.15,IF(D257&lt;=14,0.25,IF(D257&lt;=45,0.35,0.5))))</x:f>
        <x:v>0.5</x:v>
      </x:c>
      <x:c r="P257" s="47" t="n">
        <x:f>J257*O257</x:f>
        <x:v>10120</x:v>
      </x:c>
      <x:c r="Q257" s="46" t="n">
        <x:f>IF(C257="P0",0,IF(D257&lt;=3,0.05,IF(D257&lt;=14,0.1,IF(D257&lt;=45,0.15,0.2))))</x:f>
        <x:v>0.2</x:v>
      </x:c>
      <x:c r="R257" s="47" t="n">
        <x:f>J257*Q257</x:f>
        <x:v>4048</x:v>
      </x:c>
      <x:c r="S257" s="20" t="str">
        <x:f>IF(D257&lt;E257,"closed",IF(D257&lt;'Paths'!$N$9,"initial","expanded"))</x:f>
        <x:v>expanded</x:v>
      </x:c>
      <x:c r="T257" s="72"/>
    </x:row>
    <x:row r="258">
      <x:c r="C258" s="20" t="str">
        <x:v>P2</x:v>
      </x:c>
      <x:c r="D258" s="20" t="n">
        <x:v>69</x:v>
      </x:c>
      <x:c r="E258" s="45" t="n">
        <x:f>IF('Controls'!$D$7="Reference",'Paths'!$J$9,'Paths'!$K$9)</x:f>
        <x:v>1</x:v>
      </x:c>
      <x:c r="F258" s="47" t="n">
        <x:f>IF(D258&lt;'Paths'!$N$9,IF('Controls'!$D$7="Reference",'Paths'!$L$9,'Paths'!$M$9),IF('Controls'!$D$7="Reference",'Paths'!$O$9,'Paths'!$P$9))</x:f>
        <x:v>22000</x:v>
      </x:c>
      <x:c r="G258" s="46" t="n">
        <x:f>IF('Controls'!$D$7="Reference",1,IF(OR(D258=6,D258=7,D258=21,D258=46),'Paths'!$U$9,1))</x:f>
        <x:v>1</x:v>
      </x:c>
      <x:c r="H258" s="46" t="n">
        <x:f>IF('Controls'!$D$7="Reference",1,IF(OR(AND(D258&gt;=14,D258&lt;=16),AND(D258&gt;=34,D258&lt;=35),AND(D258&gt;=61,D258&lt;=63)),'Paths'!$V$9,1))</x:f>
        <x:v>1</x:v>
      </x:c>
      <x:c r="I258" s="46" t="n">
        <x:f>'Paths'!$W$9</x:f>
        <x:v>0.92</x:v>
      </x:c>
      <x:c r="J258" s="47" t="n">
        <x:f>IF(D258&lt;E258,0,MIN(F258*G258*H258*I258,IF('Paths'!$T$9&gt;0,MAX(0,'Paths'!$T$9-K257),1000000000)))</x:f>
        <x:v>20240</x:v>
      </x:c>
      <x:c r="K258" s="47" t="n">
        <x:f>K257+J258</x:f>
        <x:v>1309804</x:v>
      </x:c>
      <x:c r="L258" s="46" t="n">
        <x:f>IF(C258="P0",1,IF(D258&lt;=3,0.8,IF(D258&lt;=14,0.65,IF(D258&lt;=45,0.5,0.3))))</x:f>
        <x:v>0.3</x:v>
      </x:c>
      <x:c r="M258" s="47" t="n">
        <x:f>J258*L258</x:f>
        <x:v>6072</x:v>
      </x:c>
      <x:c r="N258" s="47" t="n">
        <x:f>N257+M258</x:f>
        <x:v>607655.4</x:v>
      </x:c>
      <x:c r="O258" s="46" t="n">
        <x:f>IF(C258="P0",0,IF(D258&lt;=3,0.15,IF(D258&lt;=14,0.25,IF(D258&lt;=45,0.35,0.5))))</x:f>
        <x:v>0.5</x:v>
      </x:c>
      <x:c r="P258" s="47" t="n">
        <x:f>J258*O258</x:f>
        <x:v>10120</x:v>
      </x:c>
      <x:c r="Q258" s="46" t="n">
        <x:f>IF(C258="P0",0,IF(D258&lt;=3,0.05,IF(D258&lt;=14,0.1,IF(D258&lt;=45,0.15,0.2))))</x:f>
        <x:v>0.2</x:v>
      </x:c>
      <x:c r="R258" s="47" t="n">
        <x:f>J258*Q258</x:f>
        <x:v>4048</x:v>
      </x:c>
      <x:c r="S258" s="20" t="str">
        <x:f>IF(D258&lt;E258,"closed",IF(D258&lt;'Paths'!$N$9,"initial","expanded"))</x:f>
        <x:v>expanded</x:v>
      </x:c>
      <x:c r="T258" s="72"/>
    </x:row>
    <x:row r="259">
      <x:c r="C259" s="20" t="str">
        <x:v>P2</x:v>
      </x:c>
      <x:c r="D259" s="20" t="n">
        <x:v>70</x:v>
      </x:c>
      <x:c r="E259" s="45" t="n">
        <x:f>IF('Controls'!$D$7="Reference",'Paths'!$J$9,'Paths'!$K$9)</x:f>
        <x:v>1</x:v>
      </x:c>
      <x:c r="F259" s="47" t="n">
        <x:f>IF(D259&lt;'Paths'!$N$9,IF('Controls'!$D$7="Reference",'Paths'!$L$9,'Paths'!$M$9),IF('Controls'!$D$7="Reference",'Paths'!$O$9,'Paths'!$P$9))</x:f>
        <x:v>22000</x:v>
      </x:c>
      <x:c r="G259" s="46" t="n">
        <x:f>IF('Controls'!$D$7="Reference",1,IF(OR(D259=6,D259=7,D259=21,D259=46),'Paths'!$U$9,1))</x:f>
        <x:v>1</x:v>
      </x:c>
      <x:c r="H259" s="46" t="n">
        <x:f>IF('Controls'!$D$7="Reference",1,IF(OR(AND(D259&gt;=14,D259&lt;=16),AND(D259&gt;=34,D259&lt;=35),AND(D259&gt;=61,D259&lt;=63)),'Paths'!$V$9,1))</x:f>
        <x:v>1</x:v>
      </x:c>
      <x:c r="I259" s="46" t="n">
        <x:f>'Paths'!$W$9</x:f>
        <x:v>0.92</x:v>
      </x:c>
      <x:c r="J259" s="47" t="n">
        <x:f>IF(D259&lt;E259,0,MIN(F259*G259*H259*I259,IF('Paths'!$T$9&gt;0,MAX(0,'Paths'!$T$9-K258),1000000000)))</x:f>
        <x:v>20240</x:v>
      </x:c>
      <x:c r="K259" s="47" t="n">
        <x:f>K258+J259</x:f>
        <x:v>1330044</x:v>
      </x:c>
      <x:c r="L259" s="46" t="n">
        <x:f>IF(C259="P0",1,IF(D259&lt;=3,0.8,IF(D259&lt;=14,0.65,IF(D259&lt;=45,0.5,0.3))))</x:f>
        <x:v>0.3</x:v>
      </x:c>
      <x:c r="M259" s="47" t="n">
        <x:f>J259*L259</x:f>
        <x:v>6072</x:v>
      </x:c>
      <x:c r="N259" s="47" t="n">
        <x:f>N258+M259</x:f>
        <x:v>613727.4</x:v>
      </x:c>
      <x:c r="O259" s="46" t="n">
        <x:f>IF(C259="P0",0,IF(D259&lt;=3,0.15,IF(D259&lt;=14,0.25,IF(D259&lt;=45,0.35,0.5))))</x:f>
        <x:v>0.5</x:v>
      </x:c>
      <x:c r="P259" s="47" t="n">
        <x:f>J259*O259</x:f>
        <x:v>10120</x:v>
      </x:c>
      <x:c r="Q259" s="46" t="n">
        <x:f>IF(C259="P0",0,IF(D259&lt;=3,0.05,IF(D259&lt;=14,0.1,IF(D259&lt;=45,0.15,0.2))))</x:f>
        <x:v>0.2</x:v>
      </x:c>
      <x:c r="R259" s="47" t="n">
        <x:f>J259*Q259</x:f>
        <x:v>4048</x:v>
      </x:c>
      <x:c r="S259" s="20" t="str">
        <x:f>IF(D259&lt;E259,"closed",IF(D259&lt;'Paths'!$N$9,"initial","expanded"))</x:f>
        <x:v>expanded</x:v>
      </x:c>
      <x:c r="T259" s="72"/>
    </x:row>
    <x:row r="260">
      <x:c r="C260" s="20" t="str">
        <x:v>P2</x:v>
      </x:c>
      <x:c r="D260" s="20" t="n">
        <x:v>71</x:v>
      </x:c>
      <x:c r="E260" s="45" t="n">
        <x:f>IF('Controls'!$D$7="Reference",'Paths'!$J$9,'Paths'!$K$9)</x:f>
        <x:v>1</x:v>
      </x:c>
      <x:c r="F260" s="47" t="n">
        <x:f>IF(D260&lt;'Paths'!$N$9,IF('Controls'!$D$7="Reference",'Paths'!$L$9,'Paths'!$M$9),IF('Controls'!$D$7="Reference",'Paths'!$O$9,'Paths'!$P$9))</x:f>
        <x:v>22000</x:v>
      </x:c>
      <x:c r="G260" s="46" t="n">
        <x:f>IF('Controls'!$D$7="Reference",1,IF(OR(D260=6,D260=7,D260=21,D260=46),'Paths'!$U$9,1))</x:f>
        <x:v>1</x:v>
      </x:c>
      <x:c r="H260" s="46" t="n">
        <x:f>IF('Controls'!$D$7="Reference",1,IF(OR(AND(D260&gt;=14,D260&lt;=16),AND(D260&gt;=34,D260&lt;=35),AND(D260&gt;=61,D260&lt;=63)),'Paths'!$V$9,1))</x:f>
        <x:v>1</x:v>
      </x:c>
      <x:c r="I260" s="46" t="n">
        <x:f>'Paths'!$W$9</x:f>
        <x:v>0.92</x:v>
      </x:c>
      <x:c r="J260" s="47" t="n">
        <x:f>IF(D260&lt;E260,0,MIN(F260*G260*H260*I260,IF('Paths'!$T$9&gt;0,MAX(0,'Paths'!$T$9-K259),1000000000)))</x:f>
        <x:v>20240</x:v>
      </x:c>
      <x:c r="K260" s="47" t="n">
        <x:f>K259+J260</x:f>
        <x:v>1350284</x:v>
      </x:c>
      <x:c r="L260" s="46" t="n">
        <x:f>IF(C260="P0",1,IF(D260&lt;=3,0.8,IF(D260&lt;=14,0.65,IF(D260&lt;=45,0.5,0.3))))</x:f>
        <x:v>0.3</x:v>
      </x:c>
      <x:c r="M260" s="47" t="n">
        <x:f>J260*L260</x:f>
        <x:v>6072</x:v>
      </x:c>
      <x:c r="N260" s="47" t="n">
        <x:f>N259+M260</x:f>
        <x:v>619799.4</x:v>
      </x:c>
      <x:c r="O260" s="46" t="n">
        <x:f>IF(C260="P0",0,IF(D260&lt;=3,0.15,IF(D260&lt;=14,0.25,IF(D260&lt;=45,0.35,0.5))))</x:f>
        <x:v>0.5</x:v>
      </x:c>
      <x:c r="P260" s="47" t="n">
        <x:f>J260*O260</x:f>
        <x:v>10120</x:v>
      </x:c>
      <x:c r="Q260" s="46" t="n">
        <x:f>IF(C260="P0",0,IF(D260&lt;=3,0.05,IF(D260&lt;=14,0.1,IF(D260&lt;=45,0.15,0.2))))</x:f>
        <x:v>0.2</x:v>
      </x:c>
      <x:c r="R260" s="47" t="n">
        <x:f>J260*Q260</x:f>
        <x:v>4048</x:v>
      </x:c>
      <x:c r="S260" s="20" t="str">
        <x:f>IF(D260&lt;E260,"closed",IF(D260&lt;'Paths'!$N$9,"initial","expanded"))</x:f>
        <x:v>expanded</x:v>
      </x:c>
      <x:c r="T260" s="72"/>
    </x:row>
    <x:row r="261">
      <x:c r="C261" s="20" t="str">
        <x:v>P2</x:v>
      </x:c>
      <x:c r="D261" s="20" t="n">
        <x:v>72</x:v>
      </x:c>
      <x:c r="E261" s="45" t="n">
        <x:f>IF('Controls'!$D$7="Reference",'Paths'!$J$9,'Paths'!$K$9)</x:f>
        <x:v>1</x:v>
      </x:c>
      <x:c r="F261" s="47" t="n">
        <x:f>IF(D261&lt;'Paths'!$N$9,IF('Controls'!$D$7="Reference",'Paths'!$L$9,'Paths'!$M$9),IF('Controls'!$D$7="Reference",'Paths'!$O$9,'Paths'!$P$9))</x:f>
        <x:v>22000</x:v>
      </x:c>
      <x:c r="G261" s="46" t="n">
        <x:f>IF('Controls'!$D$7="Reference",1,IF(OR(D261=6,D261=7,D261=21,D261=46),'Paths'!$U$9,1))</x:f>
        <x:v>1</x:v>
      </x:c>
      <x:c r="H261" s="46" t="n">
        <x:f>IF('Controls'!$D$7="Reference",1,IF(OR(AND(D261&gt;=14,D261&lt;=16),AND(D261&gt;=34,D261&lt;=35),AND(D261&gt;=61,D261&lt;=63)),'Paths'!$V$9,1))</x:f>
        <x:v>1</x:v>
      </x:c>
      <x:c r="I261" s="46" t="n">
        <x:f>'Paths'!$W$9</x:f>
        <x:v>0.92</x:v>
      </x:c>
      <x:c r="J261" s="47" t="n">
        <x:f>IF(D261&lt;E261,0,MIN(F261*G261*H261*I261,IF('Paths'!$T$9&gt;0,MAX(0,'Paths'!$T$9-K260),1000000000)))</x:f>
        <x:v>20240</x:v>
      </x:c>
      <x:c r="K261" s="47" t="n">
        <x:f>K260+J261</x:f>
        <x:v>1370524</x:v>
      </x:c>
      <x:c r="L261" s="46" t="n">
        <x:f>IF(C261="P0",1,IF(D261&lt;=3,0.8,IF(D261&lt;=14,0.65,IF(D261&lt;=45,0.5,0.3))))</x:f>
        <x:v>0.3</x:v>
      </x:c>
      <x:c r="M261" s="47" t="n">
        <x:f>J261*L261</x:f>
        <x:v>6072</x:v>
      </x:c>
      <x:c r="N261" s="47" t="n">
        <x:f>N260+M261</x:f>
        <x:v>625871.4</x:v>
      </x:c>
      <x:c r="O261" s="46" t="n">
        <x:f>IF(C261="P0",0,IF(D261&lt;=3,0.15,IF(D261&lt;=14,0.25,IF(D261&lt;=45,0.35,0.5))))</x:f>
        <x:v>0.5</x:v>
      </x:c>
      <x:c r="P261" s="47" t="n">
        <x:f>J261*O261</x:f>
        <x:v>10120</x:v>
      </x:c>
      <x:c r="Q261" s="46" t="n">
        <x:f>IF(C261="P0",0,IF(D261&lt;=3,0.05,IF(D261&lt;=14,0.1,IF(D261&lt;=45,0.15,0.2))))</x:f>
        <x:v>0.2</x:v>
      </x:c>
      <x:c r="R261" s="47" t="n">
        <x:f>J261*Q261</x:f>
        <x:v>4048</x:v>
      </x:c>
      <x:c r="S261" s="20" t="str">
        <x:f>IF(D261&lt;E261,"closed",IF(D261&lt;'Paths'!$N$9,"initial","expanded"))</x:f>
        <x:v>expanded</x:v>
      </x:c>
      <x:c r="T261" s="72"/>
    </x:row>
    <x:row r="262">
      <x:c r="C262" s="20" t="str">
        <x:v>P2</x:v>
      </x:c>
      <x:c r="D262" s="20" t="n">
        <x:v>73</x:v>
      </x:c>
      <x:c r="E262" s="45" t="n">
        <x:f>IF('Controls'!$D$7="Reference",'Paths'!$J$9,'Paths'!$K$9)</x:f>
        <x:v>1</x:v>
      </x:c>
      <x:c r="F262" s="47" t="n">
        <x:f>IF(D262&lt;'Paths'!$N$9,IF('Controls'!$D$7="Reference",'Paths'!$L$9,'Paths'!$M$9),IF('Controls'!$D$7="Reference",'Paths'!$O$9,'Paths'!$P$9))</x:f>
        <x:v>22000</x:v>
      </x:c>
      <x:c r="G262" s="46" t="n">
        <x:f>IF('Controls'!$D$7="Reference",1,IF(OR(D262=6,D262=7,D262=21,D262=46),'Paths'!$U$9,1))</x:f>
        <x:v>1</x:v>
      </x:c>
      <x:c r="H262" s="46" t="n">
        <x:f>IF('Controls'!$D$7="Reference",1,IF(OR(AND(D262&gt;=14,D262&lt;=16),AND(D262&gt;=34,D262&lt;=35),AND(D262&gt;=61,D262&lt;=63)),'Paths'!$V$9,1))</x:f>
        <x:v>1</x:v>
      </x:c>
      <x:c r="I262" s="46" t="n">
        <x:f>'Paths'!$W$9</x:f>
        <x:v>0.92</x:v>
      </x:c>
      <x:c r="J262" s="47" t="n">
        <x:f>IF(D262&lt;E262,0,MIN(F262*G262*H262*I262,IF('Paths'!$T$9&gt;0,MAX(0,'Paths'!$T$9-K261),1000000000)))</x:f>
        <x:v>20240</x:v>
      </x:c>
      <x:c r="K262" s="47" t="n">
        <x:f>K261+J262</x:f>
        <x:v>1390764</x:v>
      </x:c>
      <x:c r="L262" s="46" t="n">
        <x:f>IF(C262="P0",1,IF(D262&lt;=3,0.8,IF(D262&lt;=14,0.65,IF(D262&lt;=45,0.5,0.3))))</x:f>
        <x:v>0.3</x:v>
      </x:c>
      <x:c r="M262" s="47" t="n">
        <x:f>J262*L262</x:f>
        <x:v>6072</x:v>
      </x:c>
      <x:c r="N262" s="47" t="n">
        <x:f>N261+M262</x:f>
        <x:v>631943.4</x:v>
      </x:c>
      <x:c r="O262" s="46" t="n">
        <x:f>IF(C262="P0",0,IF(D262&lt;=3,0.15,IF(D262&lt;=14,0.25,IF(D262&lt;=45,0.35,0.5))))</x:f>
        <x:v>0.5</x:v>
      </x:c>
      <x:c r="P262" s="47" t="n">
        <x:f>J262*O262</x:f>
        <x:v>10120</x:v>
      </x:c>
      <x:c r="Q262" s="46" t="n">
        <x:f>IF(C262="P0",0,IF(D262&lt;=3,0.05,IF(D262&lt;=14,0.1,IF(D262&lt;=45,0.15,0.2))))</x:f>
        <x:v>0.2</x:v>
      </x:c>
      <x:c r="R262" s="47" t="n">
        <x:f>J262*Q262</x:f>
        <x:v>4048</x:v>
      </x:c>
      <x:c r="S262" s="20" t="str">
        <x:f>IF(D262&lt;E262,"closed",IF(D262&lt;'Paths'!$N$9,"initial","expanded"))</x:f>
        <x:v>expanded</x:v>
      </x:c>
      <x:c r="T262" s="72"/>
    </x:row>
    <x:row r="263">
      <x:c r="C263" s="20" t="str">
        <x:v>P2</x:v>
      </x:c>
      <x:c r="D263" s="20" t="n">
        <x:v>74</x:v>
      </x:c>
      <x:c r="E263" s="45" t="n">
        <x:f>IF('Controls'!$D$7="Reference",'Paths'!$J$9,'Paths'!$K$9)</x:f>
        <x:v>1</x:v>
      </x:c>
      <x:c r="F263" s="47" t="n">
        <x:f>IF(D263&lt;'Paths'!$N$9,IF('Controls'!$D$7="Reference",'Paths'!$L$9,'Paths'!$M$9),IF('Controls'!$D$7="Reference",'Paths'!$O$9,'Paths'!$P$9))</x:f>
        <x:v>22000</x:v>
      </x:c>
      <x:c r="G263" s="46" t="n">
        <x:f>IF('Controls'!$D$7="Reference",1,IF(OR(D263=6,D263=7,D263=21,D263=46),'Paths'!$U$9,1))</x:f>
        <x:v>1</x:v>
      </x:c>
      <x:c r="H263" s="46" t="n">
        <x:f>IF('Controls'!$D$7="Reference",1,IF(OR(AND(D263&gt;=14,D263&lt;=16),AND(D263&gt;=34,D263&lt;=35),AND(D263&gt;=61,D263&lt;=63)),'Paths'!$V$9,1))</x:f>
        <x:v>1</x:v>
      </x:c>
      <x:c r="I263" s="46" t="n">
        <x:f>'Paths'!$W$9</x:f>
        <x:v>0.92</x:v>
      </x:c>
      <x:c r="J263" s="47" t="n">
        <x:f>IF(D263&lt;E263,0,MIN(F263*G263*H263*I263,IF('Paths'!$T$9&gt;0,MAX(0,'Paths'!$T$9-K262),1000000000)))</x:f>
        <x:v>20240</x:v>
      </x:c>
      <x:c r="K263" s="47" t="n">
        <x:f>K262+J263</x:f>
        <x:v>1411004</x:v>
      </x:c>
      <x:c r="L263" s="46" t="n">
        <x:f>IF(C263="P0",1,IF(D263&lt;=3,0.8,IF(D263&lt;=14,0.65,IF(D263&lt;=45,0.5,0.3))))</x:f>
        <x:v>0.3</x:v>
      </x:c>
      <x:c r="M263" s="47" t="n">
        <x:f>J263*L263</x:f>
        <x:v>6072</x:v>
      </x:c>
      <x:c r="N263" s="47" t="n">
        <x:f>N262+M263</x:f>
        <x:v>638015.4</x:v>
      </x:c>
      <x:c r="O263" s="46" t="n">
        <x:f>IF(C263="P0",0,IF(D263&lt;=3,0.15,IF(D263&lt;=14,0.25,IF(D263&lt;=45,0.35,0.5))))</x:f>
        <x:v>0.5</x:v>
      </x:c>
      <x:c r="P263" s="47" t="n">
        <x:f>J263*O263</x:f>
        <x:v>10120</x:v>
      </x:c>
      <x:c r="Q263" s="46" t="n">
        <x:f>IF(C263="P0",0,IF(D263&lt;=3,0.05,IF(D263&lt;=14,0.1,IF(D263&lt;=45,0.15,0.2))))</x:f>
        <x:v>0.2</x:v>
      </x:c>
      <x:c r="R263" s="47" t="n">
        <x:f>J263*Q263</x:f>
        <x:v>4048</x:v>
      </x:c>
      <x:c r="S263" s="20" t="str">
        <x:f>IF(D263&lt;E263,"closed",IF(D263&lt;'Paths'!$N$9,"initial","expanded"))</x:f>
        <x:v>expanded</x:v>
      </x:c>
      <x:c r="T263" s="72"/>
    </x:row>
    <x:row r="264">
      <x:c r="C264" s="20" t="str">
        <x:v>P2</x:v>
      </x:c>
      <x:c r="D264" s="20" t="n">
        <x:v>75</x:v>
      </x:c>
      <x:c r="E264" s="45" t="n">
        <x:f>IF('Controls'!$D$7="Reference",'Paths'!$J$9,'Paths'!$K$9)</x:f>
        <x:v>1</x:v>
      </x:c>
      <x:c r="F264" s="47" t="n">
        <x:f>IF(D264&lt;'Paths'!$N$9,IF('Controls'!$D$7="Reference",'Paths'!$L$9,'Paths'!$M$9),IF('Controls'!$D$7="Reference",'Paths'!$O$9,'Paths'!$P$9))</x:f>
        <x:v>22000</x:v>
      </x:c>
      <x:c r="G264" s="46" t="n">
        <x:f>IF('Controls'!$D$7="Reference",1,IF(OR(D264=6,D264=7,D264=21,D264=46),'Paths'!$U$9,1))</x:f>
        <x:v>1</x:v>
      </x:c>
      <x:c r="H264" s="46" t="n">
        <x:f>IF('Controls'!$D$7="Reference",1,IF(OR(AND(D264&gt;=14,D264&lt;=16),AND(D264&gt;=34,D264&lt;=35),AND(D264&gt;=61,D264&lt;=63)),'Paths'!$V$9,1))</x:f>
        <x:v>1</x:v>
      </x:c>
      <x:c r="I264" s="46" t="n">
        <x:f>'Paths'!$W$9</x:f>
        <x:v>0.92</x:v>
      </x:c>
      <x:c r="J264" s="47" t="n">
        <x:f>IF(D264&lt;E264,0,MIN(F264*G264*H264*I264,IF('Paths'!$T$9&gt;0,MAX(0,'Paths'!$T$9-K263),1000000000)))</x:f>
        <x:v>20240</x:v>
      </x:c>
      <x:c r="K264" s="47" t="n">
        <x:f>K263+J264</x:f>
        <x:v>1431244</x:v>
      </x:c>
      <x:c r="L264" s="46" t="n">
        <x:f>IF(C264="P0",1,IF(D264&lt;=3,0.8,IF(D264&lt;=14,0.65,IF(D264&lt;=45,0.5,0.3))))</x:f>
        <x:v>0.3</x:v>
      </x:c>
      <x:c r="M264" s="47" t="n">
        <x:f>J264*L264</x:f>
        <x:v>6072</x:v>
      </x:c>
      <x:c r="N264" s="47" t="n">
        <x:f>N263+M264</x:f>
        <x:v>644087.4</x:v>
      </x:c>
      <x:c r="O264" s="46" t="n">
        <x:f>IF(C264="P0",0,IF(D264&lt;=3,0.15,IF(D264&lt;=14,0.25,IF(D264&lt;=45,0.35,0.5))))</x:f>
        <x:v>0.5</x:v>
      </x:c>
      <x:c r="P264" s="47" t="n">
        <x:f>J264*O264</x:f>
        <x:v>10120</x:v>
      </x:c>
      <x:c r="Q264" s="46" t="n">
        <x:f>IF(C264="P0",0,IF(D264&lt;=3,0.05,IF(D264&lt;=14,0.1,IF(D264&lt;=45,0.15,0.2))))</x:f>
        <x:v>0.2</x:v>
      </x:c>
      <x:c r="R264" s="47" t="n">
        <x:f>J264*Q264</x:f>
        <x:v>4048</x:v>
      </x:c>
      <x:c r="S264" s="20" t="str">
        <x:f>IF(D264&lt;E264,"closed",IF(D264&lt;'Paths'!$N$9,"initial","expanded"))</x:f>
        <x:v>expanded</x:v>
      </x:c>
      <x:c r="T264" s="72"/>
    </x:row>
    <x:row r="265">
      <x:c r="C265" s="20" t="str">
        <x:v>P2</x:v>
      </x:c>
      <x:c r="D265" s="20" t="n">
        <x:v>76</x:v>
      </x:c>
      <x:c r="E265" s="45" t="n">
        <x:f>IF('Controls'!$D$7="Reference",'Paths'!$J$9,'Paths'!$K$9)</x:f>
        <x:v>1</x:v>
      </x:c>
      <x:c r="F265" s="47" t="n">
        <x:f>IF(D265&lt;'Paths'!$N$9,IF('Controls'!$D$7="Reference",'Paths'!$L$9,'Paths'!$M$9),IF('Controls'!$D$7="Reference",'Paths'!$O$9,'Paths'!$P$9))</x:f>
        <x:v>22000</x:v>
      </x:c>
      <x:c r="G265" s="46" t="n">
        <x:f>IF('Controls'!$D$7="Reference",1,IF(OR(D265=6,D265=7,D265=21,D265=46),'Paths'!$U$9,1))</x:f>
        <x:v>1</x:v>
      </x:c>
      <x:c r="H265" s="46" t="n">
        <x:f>IF('Controls'!$D$7="Reference",1,IF(OR(AND(D265&gt;=14,D265&lt;=16),AND(D265&gt;=34,D265&lt;=35),AND(D265&gt;=61,D265&lt;=63)),'Paths'!$V$9,1))</x:f>
        <x:v>1</x:v>
      </x:c>
      <x:c r="I265" s="46" t="n">
        <x:f>'Paths'!$W$9</x:f>
        <x:v>0.92</x:v>
      </x:c>
      <x:c r="J265" s="47" t="n">
        <x:f>IF(D265&lt;E265,0,MIN(F265*G265*H265*I265,IF('Paths'!$T$9&gt;0,MAX(0,'Paths'!$T$9-K264),1000000000)))</x:f>
        <x:v>20240</x:v>
      </x:c>
      <x:c r="K265" s="47" t="n">
        <x:f>K264+J265</x:f>
        <x:v>1451484</x:v>
      </x:c>
      <x:c r="L265" s="46" t="n">
        <x:f>IF(C265="P0",1,IF(D265&lt;=3,0.8,IF(D265&lt;=14,0.65,IF(D265&lt;=45,0.5,0.3))))</x:f>
        <x:v>0.3</x:v>
      </x:c>
      <x:c r="M265" s="47" t="n">
        <x:f>J265*L265</x:f>
        <x:v>6072</x:v>
      </x:c>
      <x:c r="N265" s="47" t="n">
        <x:f>N264+M265</x:f>
        <x:v>650159.4</x:v>
      </x:c>
      <x:c r="O265" s="46" t="n">
        <x:f>IF(C265="P0",0,IF(D265&lt;=3,0.15,IF(D265&lt;=14,0.25,IF(D265&lt;=45,0.35,0.5))))</x:f>
        <x:v>0.5</x:v>
      </x:c>
      <x:c r="P265" s="47" t="n">
        <x:f>J265*O265</x:f>
        <x:v>10120</x:v>
      </x:c>
      <x:c r="Q265" s="46" t="n">
        <x:f>IF(C265="P0",0,IF(D265&lt;=3,0.05,IF(D265&lt;=14,0.1,IF(D265&lt;=45,0.15,0.2))))</x:f>
        <x:v>0.2</x:v>
      </x:c>
      <x:c r="R265" s="47" t="n">
        <x:f>J265*Q265</x:f>
        <x:v>4048</x:v>
      </x:c>
      <x:c r="S265" s="20" t="str">
        <x:f>IF(D265&lt;E265,"closed",IF(D265&lt;'Paths'!$N$9,"initial","expanded"))</x:f>
        <x:v>expanded</x:v>
      </x:c>
      <x:c r="T265" s="72"/>
    </x:row>
    <x:row r="266">
      <x:c r="C266" s="20" t="str">
        <x:v>P2</x:v>
      </x:c>
      <x:c r="D266" s="20" t="n">
        <x:v>77</x:v>
      </x:c>
      <x:c r="E266" s="45" t="n">
        <x:f>IF('Controls'!$D$7="Reference",'Paths'!$J$9,'Paths'!$K$9)</x:f>
        <x:v>1</x:v>
      </x:c>
      <x:c r="F266" s="47" t="n">
        <x:f>IF(D266&lt;'Paths'!$N$9,IF('Controls'!$D$7="Reference",'Paths'!$L$9,'Paths'!$M$9),IF('Controls'!$D$7="Reference",'Paths'!$O$9,'Paths'!$P$9))</x:f>
        <x:v>22000</x:v>
      </x:c>
      <x:c r="G266" s="46" t="n">
        <x:f>IF('Controls'!$D$7="Reference",1,IF(OR(D266=6,D266=7,D266=21,D266=46),'Paths'!$U$9,1))</x:f>
        <x:v>1</x:v>
      </x:c>
      <x:c r="H266" s="46" t="n">
        <x:f>IF('Controls'!$D$7="Reference",1,IF(OR(AND(D266&gt;=14,D266&lt;=16),AND(D266&gt;=34,D266&lt;=35),AND(D266&gt;=61,D266&lt;=63)),'Paths'!$V$9,1))</x:f>
        <x:v>1</x:v>
      </x:c>
      <x:c r="I266" s="46" t="n">
        <x:f>'Paths'!$W$9</x:f>
        <x:v>0.92</x:v>
      </x:c>
      <x:c r="J266" s="47" t="n">
        <x:f>IF(D266&lt;E266,0,MIN(F266*G266*H266*I266,IF('Paths'!$T$9&gt;0,MAX(0,'Paths'!$T$9-K265),1000000000)))</x:f>
        <x:v>20240</x:v>
      </x:c>
      <x:c r="K266" s="47" t="n">
        <x:f>K265+J266</x:f>
        <x:v>1471724</x:v>
      </x:c>
      <x:c r="L266" s="46" t="n">
        <x:f>IF(C266="P0",1,IF(D266&lt;=3,0.8,IF(D266&lt;=14,0.65,IF(D266&lt;=45,0.5,0.3))))</x:f>
        <x:v>0.3</x:v>
      </x:c>
      <x:c r="M266" s="47" t="n">
        <x:f>J266*L266</x:f>
        <x:v>6072</x:v>
      </x:c>
      <x:c r="N266" s="47" t="n">
        <x:f>N265+M266</x:f>
        <x:v>656231.4</x:v>
      </x:c>
      <x:c r="O266" s="46" t="n">
        <x:f>IF(C266="P0",0,IF(D266&lt;=3,0.15,IF(D266&lt;=14,0.25,IF(D266&lt;=45,0.35,0.5))))</x:f>
        <x:v>0.5</x:v>
      </x:c>
      <x:c r="P266" s="47" t="n">
        <x:f>J266*O266</x:f>
        <x:v>10120</x:v>
      </x:c>
      <x:c r="Q266" s="46" t="n">
        <x:f>IF(C266="P0",0,IF(D266&lt;=3,0.05,IF(D266&lt;=14,0.1,IF(D266&lt;=45,0.15,0.2))))</x:f>
        <x:v>0.2</x:v>
      </x:c>
      <x:c r="R266" s="47" t="n">
        <x:f>J266*Q266</x:f>
        <x:v>4048</x:v>
      </x:c>
      <x:c r="S266" s="20" t="str">
        <x:f>IF(D266&lt;E266,"closed",IF(D266&lt;'Paths'!$N$9,"initial","expanded"))</x:f>
        <x:v>expanded</x:v>
      </x:c>
      <x:c r="T266" s="72"/>
    </x:row>
    <x:row r="267">
      <x:c r="C267" s="20" t="str">
        <x:v>P2</x:v>
      </x:c>
      <x:c r="D267" s="20" t="n">
        <x:v>78</x:v>
      </x:c>
      <x:c r="E267" s="45" t="n">
        <x:f>IF('Controls'!$D$7="Reference",'Paths'!$J$9,'Paths'!$K$9)</x:f>
        <x:v>1</x:v>
      </x:c>
      <x:c r="F267" s="47" t="n">
        <x:f>IF(D267&lt;'Paths'!$N$9,IF('Controls'!$D$7="Reference",'Paths'!$L$9,'Paths'!$M$9),IF('Controls'!$D$7="Reference",'Paths'!$O$9,'Paths'!$P$9))</x:f>
        <x:v>22000</x:v>
      </x:c>
      <x:c r="G267" s="46" t="n">
        <x:f>IF('Controls'!$D$7="Reference",1,IF(OR(D267=6,D267=7,D267=21,D267=46),'Paths'!$U$9,1))</x:f>
        <x:v>1</x:v>
      </x:c>
      <x:c r="H267" s="46" t="n">
        <x:f>IF('Controls'!$D$7="Reference",1,IF(OR(AND(D267&gt;=14,D267&lt;=16),AND(D267&gt;=34,D267&lt;=35),AND(D267&gt;=61,D267&lt;=63)),'Paths'!$V$9,1))</x:f>
        <x:v>1</x:v>
      </x:c>
      <x:c r="I267" s="46" t="n">
        <x:f>'Paths'!$W$9</x:f>
        <x:v>0.92</x:v>
      </x:c>
      <x:c r="J267" s="47" t="n">
        <x:f>IF(D267&lt;E267,0,MIN(F267*G267*H267*I267,IF('Paths'!$T$9&gt;0,MAX(0,'Paths'!$T$9-K266),1000000000)))</x:f>
        <x:v>20240</x:v>
      </x:c>
      <x:c r="K267" s="47" t="n">
        <x:f>K266+J267</x:f>
        <x:v>1491964</x:v>
      </x:c>
      <x:c r="L267" s="46" t="n">
        <x:f>IF(C267="P0",1,IF(D267&lt;=3,0.8,IF(D267&lt;=14,0.65,IF(D267&lt;=45,0.5,0.3))))</x:f>
        <x:v>0.3</x:v>
      </x:c>
      <x:c r="M267" s="47" t="n">
        <x:f>J267*L267</x:f>
        <x:v>6072</x:v>
      </x:c>
      <x:c r="N267" s="47" t="n">
        <x:f>N266+M267</x:f>
        <x:v>662303.4</x:v>
      </x:c>
      <x:c r="O267" s="46" t="n">
        <x:f>IF(C267="P0",0,IF(D267&lt;=3,0.15,IF(D267&lt;=14,0.25,IF(D267&lt;=45,0.35,0.5))))</x:f>
        <x:v>0.5</x:v>
      </x:c>
      <x:c r="P267" s="47" t="n">
        <x:f>J267*O267</x:f>
        <x:v>10120</x:v>
      </x:c>
      <x:c r="Q267" s="46" t="n">
        <x:f>IF(C267="P0",0,IF(D267&lt;=3,0.05,IF(D267&lt;=14,0.1,IF(D267&lt;=45,0.15,0.2))))</x:f>
        <x:v>0.2</x:v>
      </x:c>
      <x:c r="R267" s="47" t="n">
        <x:f>J267*Q267</x:f>
        <x:v>4048</x:v>
      </x:c>
      <x:c r="S267" s="20" t="str">
        <x:f>IF(D267&lt;E267,"closed",IF(D267&lt;'Paths'!$N$9,"initial","expanded"))</x:f>
        <x:v>expanded</x:v>
      </x:c>
      <x:c r="T267" s="72"/>
    </x:row>
    <x:row r="268">
      <x:c r="C268" s="20" t="str">
        <x:v>P2</x:v>
      </x:c>
      <x:c r="D268" s="20" t="n">
        <x:v>79</x:v>
      </x:c>
      <x:c r="E268" s="45" t="n">
        <x:f>IF('Controls'!$D$7="Reference",'Paths'!$J$9,'Paths'!$K$9)</x:f>
        <x:v>1</x:v>
      </x:c>
      <x:c r="F268" s="47" t="n">
        <x:f>IF(D268&lt;'Paths'!$N$9,IF('Controls'!$D$7="Reference",'Paths'!$L$9,'Paths'!$M$9),IF('Controls'!$D$7="Reference",'Paths'!$O$9,'Paths'!$P$9))</x:f>
        <x:v>22000</x:v>
      </x:c>
      <x:c r="G268" s="46" t="n">
        <x:f>IF('Controls'!$D$7="Reference",1,IF(OR(D268=6,D268=7,D268=21,D268=46),'Paths'!$U$9,1))</x:f>
        <x:v>1</x:v>
      </x:c>
      <x:c r="H268" s="46" t="n">
        <x:f>IF('Controls'!$D$7="Reference",1,IF(OR(AND(D268&gt;=14,D268&lt;=16),AND(D268&gt;=34,D268&lt;=35),AND(D268&gt;=61,D268&lt;=63)),'Paths'!$V$9,1))</x:f>
        <x:v>1</x:v>
      </x:c>
      <x:c r="I268" s="46" t="n">
        <x:f>'Paths'!$W$9</x:f>
        <x:v>0.92</x:v>
      </x:c>
      <x:c r="J268" s="47" t="n">
        <x:f>IF(D268&lt;E268,0,MIN(F268*G268*H268*I268,IF('Paths'!$T$9&gt;0,MAX(0,'Paths'!$T$9-K267),1000000000)))</x:f>
        <x:v>20240</x:v>
      </x:c>
      <x:c r="K268" s="47" t="n">
        <x:f>K267+J268</x:f>
        <x:v>1512204</x:v>
      </x:c>
      <x:c r="L268" s="46" t="n">
        <x:f>IF(C268="P0",1,IF(D268&lt;=3,0.8,IF(D268&lt;=14,0.65,IF(D268&lt;=45,0.5,0.3))))</x:f>
        <x:v>0.3</x:v>
      </x:c>
      <x:c r="M268" s="47" t="n">
        <x:f>J268*L268</x:f>
        <x:v>6072</x:v>
      </x:c>
      <x:c r="N268" s="47" t="n">
        <x:f>N267+M268</x:f>
        <x:v>668375.4</x:v>
      </x:c>
      <x:c r="O268" s="46" t="n">
        <x:f>IF(C268="P0",0,IF(D268&lt;=3,0.15,IF(D268&lt;=14,0.25,IF(D268&lt;=45,0.35,0.5))))</x:f>
        <x:v>0.5</x:v>
      </x:c>
      <x:c r="P268" s="47" t="n">
        <x:f>J268*O268</x:f>
        <x:v>10120</x:v>
      </x:c>
      <x:c r="Q268" s="46" t="n">
        <x:f>IF(C268="P0",0,IF(D268&lt;=3,0.05,IF(D268&lt;=14,0.1,IF(D268&lt;=45,0.15,0.2))))</x:f>
        <x:v>0.2</x:v>
      </x:c>
      <x:c r="R268" s="47" t="n">
        <x:f>J268*Q268</x:f>
        <x:v>4048</x:v>
      </x:c>
      <x:c r="S268" s="20" t="str">
        <x:f>IF(D268&lt;E268,"closed",IF(D268&lt;'Paths'!$N$9,"initial","expanded"))</x:f>
        <x:v>expanded</x:v>
      </x:c>
      <x:c r="T268" s="72"/>
    </x:row>
    <x:row r="269">
      <x:c r="C269" s="20" t="str">
        <x:v>P2</x:v>
      </x:c>
      <x:c r="D269" s="20" t="n">
        <x:v>80</x:v>
      </x:c>
      <x:c r="E269" s="45" t="n">
        <x:f>IF('Controls'!$D$7="Reference",'Paths'!$J$9,'Paths'!$K$9)</x:f>
        <x:v>1</x:v>
      </x:c>
      <x:c r="F269" s="47" t="n">
        <x:f>IF(D269&lt;'Paths'!$N$9,IF('Controls'!$D$7="Reference",'Paths'!$L$9,'Paths'!$M$9),IF('Controls'!$D$7="Reference",'Paths'!$O$9,'Paths'!$P$9))</x:f>
        <x:v>22000</x:v>
      </x:c>
      <x:c r="G269" s="46" t="n">
        <x:f>IF('Controls'!$D$7="Reference",1,IF(OR(D269=6,D269=7,D269=21,D269=46),'Paths'!$U$9,1))</x:f>
        <x:v>1</x:v>
      </x:c>
      <x:c r="H269" s="46" t="n">
        <x:f>IF('Controls'!$D$7="Reference",1,IF(OR(AND(D269&gt;=14,D269&lt;=16),AND(D269&gt;=34,D269&lt;=35),AND(D269&gt;=61,D269&lt;=63)),'Paths'!$V$9,1))</x:f>
        <x:v>1</x:v>
      </x:c>
      <x:c r="I269" s="46" t="n">
        <x:f>'Paths'!$W$9</x:f>
        <x:v>0.92</x:v>
      </x:c>
      <x:c r="J269" s="47" t="n">
        <x:f>IF(D269&lt;E269,0,MIN(F269*G269*H269*I269,IF('Paths'!$T$9&gt;0,MAX(0,'Paths'!$T$9-K268),1000000000)))</x:f>
        <x:v>20240</x:v>
      </x:c>
      <x:c r="K269" s="47" t="n">
        <x:f>K268+J269</x:f>
        <x:v>1532444</x:v>
      </x:c>
      <x:c r="L269" s="46" t="n">
        <x:f>IF(C269="P0",1,IF(D269&lt;=3,0.8,IF(D269&lt;=14,0.65,IF(D269&lt;=45,0.5,0.3))))</x:f>
        <x:v>0.3</x:v>
      </x:c>
      <x:c r="M269" s="47" t="n">
        <x:f>J269*L269</x:f>
        <x:v>6072</x:v>
      </x:c>
      <x:c r="N269" s="47" t="n">
        <x:f>N268+M269</x:f>
        <x:v>674447.4</x:v>
      </x:c>
      <x:c r="O269" s="46" t="n">
        <x:f>IF(C269="P0",0,IF(D269&lt;=3,0.15,IF(D269&lt;=14,0.25,IF(D269&lt;=45,0.35,0.5))))</x:f>
        <x:v>0.5</x:v>
      </x:c>
      <x:c r="P269" s="47" t="n">
        <x:f>J269*O269</x:f>
        <x:v>10120</x:v>
      </x:c>
      <x:c r="Q269" s="46" t="n">
        <x:f>IF(C269="P0",0,IF(D269&lt;=3,0.05,IF(D269&lt;=14,0.1,IF(D269&lt;=45,0.15,0.2))))</x:f>
        <x:v>0.2</x:v>
      </x:c>
      <x:c r="R269" s="47" t="n">
        <x:f>J269*Q269</x:f>
        <x:v>4048</x:v>
      </x:c>
      <x:c r="S269" s="20" t="str">
        <x:f>IF(D269&lt;E269,"closed",IF(D269&lt;'Paths'!$N$9,"initial","expanded"))</x:f>
        <x:v>expanded</x:v>
      </x:c>
      <x:c r="T269" s="72"/>
    </x:row>
    <x:row r="270">
      <x:c r="C270" s="20" t="str">
        <x:v>P2</x:v>
      </x:c>
      <x:c r="D270" s="20" t="n">
        <x:v>81</x:v>
      </x:c>
      <x:c r="E270" s="45" t="n">
        <x:f>IF('Controls'!$D$7="Reference",'Paths'!$J$9,'Paths'!$K$9)</x:f>
        <x:v>1</x:v>
      </x:c>
      <x:c r="F270" s="47" t="n">
        <x:f>IF(D270&lt;'Paths'!$N$9,IF('Controls'!$D$7="Reference",'Paths'!$L$9,'Paths'!$M$9),IF('Controls'!$D$7="Reference",'Paths'!$O$9,'Paths'!$P$9))</x:f>
        <x:v>22000</x:v>
      </x:c>
      <x:c r="G270" s="46" t="n">
        <x:f>IF('Controls'!$D$7="Reference",1,IF(OR(D270=6,D270=7,D270=21,D270=46),'Paths'!$U$9,1))</x:f>
        <x:v>1</x:v>
      </x:c>
      <x:c r="H270" s="46" t="n">
        <x:f>IF('Controls'!$D$7="Reference",1,IF(OR(AND(D270&gt;=14,D270&lt;=16),AND(D270&gt;=34,D270&lt;=35),AND(D270&gt;=61,D270&lt;=63)),'Paths'!$V$9,1))</x:f>
        <x:v>1</x:v>
      </x:c>
      <x:c r="I270" s="46" t="n">
        <x:f>'Paths'!$W$9</x:f>
        <x:v>0.92</x:v>
      </x:c>
      <x:c r="J270" s="47" t="n">
        <x:f>IF(D270&lt;E270,0,MIN(F270*G270*H270*I270,IF('Paths'!$T$9&gt;0,MAX(0,'Paths'!$T$9-K269),1000000000)))</x:f>
        <x:v>20240</x:v>
      </x:c>
      <x:c r="K270" s="47" t="n">
        <x:f>K269+J270</x:f>
        <x:v>1552684</x:v>
      </x:c>
      <x:c r="L270" s="46" t="n">
        <x:f>IF(C270="P0",1,IF(D270&lt;=3,0.8,IF(D270&lt;=14,0.65,IF(D270&lt;=45,0.5,0.3))))</x:f>
        <x:v>0.3</x:v>
      </x:c>
      <x:c r="M270" s="47" t="n">
        <x:f>J270*L270</x:f>
        <x:v>6072</x:v>
      </x:c>
      <x:c r="N270" s="47" t="n">
        <x:f>N269+M270</x:f>
        <x:v>680519.4</x:v>
      </x:c>
      <x:c r="O270" s="46" t="n">
        <x:f>IF(C270="P0",0,IF(D270&lt;=3,0.15,IF(D270&lt;=14,0.25,IF(D270&lt;=45,0.35,0.5))))</x:f>
        <x:v>0.5</x:v>
      </x:c>
      <x:c r="P270" s="47" t="n">
        <x:f>J270*O270</x:f>
        <x:v>10120</x:v>
      </x:c>
      <x:c r="Q270" s="46" t="n">
        <x:f>IF(C270="P0",0,IF(D270&lt;=3,0.05,IF(D270&lt;=14,0.1,IF(D270&lt;=45,0.15,0.2))))</x:f>
        <x:v>0.2</x:v>
      </x:c>
      <x:c r="R270" s="47" t="n">
        <x:f>J270*Q270</x:f>
        <x:v>4048</x:v>
      </x:c>
      <x:c r="S270" s="20" t="str">
        <x:f>IF(D270&lt;E270,"closed",IF(D270&lt;'Paths'!$N$9,"initial","expanded"))</x:f>
        <x:v>expanded</x:v>
      </x:c>
      <x:c r="T270" s="72"/>
    </x:row>
    <x:row r="271">
      <x:c r="C271" s="20" t="str">
        <x:v>P2</x:v>
      </x:c>
      <x:c r="D271" s="20" t="n">
        <x:v>82</x:v>
      </x:c>
      <x:c r="E271" s="45" t="n">
        <x:f>IF('Controls'!$D$7="Reference",'Paths'!$J$9,'Paths'!$K$9)</x:f>
        <x:v>1</x:v>
      </x:c>
      <x:c r="F271" s="47" t="n">
        <x:f>IF(D271&lt;'Paths'!$N$9,IF('Controls'!$D$7="Reference",'Paths'!$L$9,'Paths'!$M$9),IF('Controls'!$D$7="Reference",'Paths'!$O$9,'Paths'!$P$9))</x:f>
        <x:v>22000</x:v>
      </x:c>
      <x:c r="G271" s="46" t="n">
        <x:f>IF('Controls'!$D$7="Reference",1,IF(OR(D271=6,D271=7,D271=21,D271=46),'Paths'!$U$9,1))</x:f>
        <x:v>1</x:v>
      </x:c>
      <x:c r="H271" s="46" t="n">
        <x:f>IF('Controls'!$D$7="Reference",1,IF(OR(AND(D271&gt;=14,D271&lt;=16),AND(D271&gt;=34,D271&lt;=35),AND(D271&gt;=61,D271&lt;=63)),'Paths'!$V$9,1))</x:f>
        <x:v>1</x:v>
      </x:c>
      <x:c r="I271" s="46" t="n">
        <x:f>'Paths'!$W$9</x:f>
        <x:v>0.92</x:v>
      </x:c>
      <x:c r="J271" s="47" t="n">
        <x:f>IF(D271&lt;E271,0,MIN(F271*G271*H271*I271,IF('Paths'!$T$9&gt;0,MAX(0,'Paths'!$T$9-K270),1000000000)))</x:f>
        <x:v>20240</x:v>
      </x:c>
      <x:c r="K271" s="47" t="n">
        <x:f>K270+J271</x:f>
        <x:v>1572924</x:v>
      </x:c>
      <x:c r="L271" s="46" t="n">
        <x:f>IF(C271="P0",1,IF(D271&lt;=3,0.8,IF(D271&lt;=14,0.65,IF(D271&lt;=45,0.5,0.3))))</x:f>
        <x:v>0.3</x:v>
      </x:c>
      <x:c r="M271" s="47" t="n">
        <x:f>J271*L271</x:f>
        <x:v>6072</x:v>
      </x:c>
      <x:c r="N271" s="47" t="n">
        <x:f>N270+M271</x:f>
        <x:v>686591.4</x:v>
      </x:c>
      <x:c r="O271" s="46" t="n">
        <x:f>IF(C271="P0",0,IF(D271&lt;=3,0.15,IF(D271&lt;=14,0.25,IF(D271&lt;=45,0.35,0.5))))</x:f>
        <x:v>0.5</x:v>
      </x:c>
      <x:c r="P271" s="47" t="n">
        <x:f>J271*O271</x:f>
        <x:v>10120</x:v>
      </x:c>
      <x:c r="Q271" s="46" t="n">
        <x:f>IF(C271="P0",0,IF(D271&lt;=3,0.05,IF(D271&lt;=14,0.1,IF(D271&lt;=45,0.15,0.2))))</x:f>
        <x:v>0.2</x:v>
      </x:c>
      <x:c r="R271" s="47" t="n">
        <x:f>J271*Q271</x:f>
        <x:v>4048</x:v>
      </x:c>
      <x:c r="S271" s="20" t="str">
        <x:f>IF(D271&lt;E271,"closed",IF(D271&lt;'Paths'!$N$9,"initial","expanded"))</x:f>
        <x:v>expanded</x:v>
      </x:c>
      <x:c r="T271" s="72"/>
    </x:row>
    <x:row r="272">
      <x:c r="C272" s="20" t="str">
        <x:v>P2</x:v>
      </x:c>
      <x:c r="D272" s="20" t="n">
        <x:v>83</x:v>
      </x:c>
      <x:c r="E272" s="45" t="n">
        <x:f>IF('Controls'!$D$7="Reference",'Paths'!$J$9,'Paths'!$K$9)</x:f>
        <x:v>1</x:v>
      </x:c>
      <x:c r="F272" s="47" t="n">
        <x:f>IF(D272&lt;'Paths'!$N$9,IF('Controls'!$D$7="Reference",'Paths'!$L$9,'Paths'!$M$9),IF('Controls'!$D$7="Reference",'Paths'!$O$9,'Paths'!$P$9))</x:f>
        <x:v>22000</x:v>
      </x:c>
      <x:c r="G272" s="46" t="n">
        <x:f>IF('Controls'!$D$7="Reference",1,IF(OR(D272=6,D272=7,D272=21,D272=46),'Paths'!$U$9,1))</x:f>
        <x:v>1</x:v>
      </x:c>
      <x:c r="H272" s="46" t="n">
        <x:f>IF('Controls'!$D$7="Reference",1,IF(OR(AND(D272&gt;=14,D272&lt;=16),AND(D272&gt;=34,D272&lt;=35),AND(D272&gt;=61,D272&lt;=63)),'Paths'!$V$9,1))</x:f>
        <x:v>1</x:v>
      </x:c>
      <x:c r="I272" s="46" t="n">
        <x:f>'Paths'!$W$9</x:f>
        <x:v>0.92</x:v>
      </x:c>
      <x:c r="J272" s="47" t="n">
        <x:f>IF(D272&lt;E272,0,MIN(F272*G272*H272*I272,IF('Paths'!$T$9&gt;0,MAX(0,'Paths'!$T$9-K271),1000000000)))</x:f>
        <x:v>20240</x:v>
      </x:c>
      <x:c r="K272" s="47" t="n">
        <x:f>K271+J272</x:f>
        <x:v>1593164</x:v>
      </x:c>
      <x:c r="L272" s="46" t="n">
        <x:f>IF(C272="P0",1,IF(D272&lt;=3,0.8,IF(D272&lt;=14,0.65,IF(D272&lt;=45,0.5,0.3))))</x:f>
        <x:v>0.3</x:v>
      </x:c>
      <x:c r="M272" s="47" t="n">
        <x:f>J272*L272</x:f>
        <x:v>6072</x:v>
      </x:c>
      <x:c r="N272" s="47" t="n">
        <x:f>N271+M272</x:f>
        <x:v>692663.4</x:v>
      </x:c>
      <x:c r="O272" s="46" t="n">
        <x:f>IF(C272="P0",0,IF(D272&lt;=3,0.15,IF(D272&lt;=14,0.25,IF(D272&lt;=45,0.35,0.5))))</x:f>
        <x:v>0.5</x:v>
      </x:c>
      <x:c r="P272" s="47" t="n">
        <x:f>J272*O272</x:f>
        <x:v>10120</x:v>
      </x:c>
      <x:c r="Q272" s="46" t="n">
        <x:f>IF(C272="P0",0,IF(D272&lt;=3,0.05,IF(D272&lt;=14,0.1,IF(D272&lt;=45,0.15,0.2))))</x:f>
        <x:v>0.2</x:v>
      </x:c>
      <x:c r="R272" s="47" t="n">
        <x:f>J272*Q272</x:f>
        <x:v>4048</x:v>
      </x:c>
      <x:c r="S272" s="20" t="str">
        <x:f>IF(D272&lt;E272,"closed",IF(D272&lt;'Paths'!$N$9,"initial","expanded"))</x:f>
        <x:v>expanded</x:v>
      </x:c>
      <x:c r="T272" s="72"/>
    </x:row>
    <x:row r="273">
      <x:c r="C273" s="20" t="str">
        <x:v>P2</x:v>
      </x:c>
      <x:c r="D273" s="20" t="n">
        <x:v>84</x:v>
      </x:c>
      <x:c r="E273" s="45" t="n">
        <x:f>IF('Controls'!$D$7="Reference",'Paths'!$J$9,'Paths'!$K$9)</x:f>
        <x:v>1</x:v>
      </x:c>
      <x:c r="F273" s="47" t="n">
        <x:f>IF(D273&lt;'Paths'!$N$9,IF('Controls'!$D$7="Reference",'Paths'!$L$9,'Paths'!$M$9),IF('Controls'!$D$7="Reference",'Paths'!$O$9,'Paths'!$P$9))</x:f>
        <x:v>22000</x:v>
      </x:c>
      <x:c r="G273" s="46" t="n">
        <x:f>IF('Controls'!$D$7="Reference",1,IF(OR(D273=6,D273=7,D273=21,D273=46),'Paths'!$U$9,1))</x:f>
        <x:v>1</x:v>
      </x:c>
      <x:c r="H273" s="46" t="n">
        <x:f>IF('Controls'!$D$7="Reference",1,IF(OR(AND(D273&gt;=14,D273&lt;=16),AND(D273&gt;=34,D273&lt;=35),AND(D273&gt;=61,D273&lt;=63)),'Paths'!$V$9,1))</x:f>
        <x:v>1</x:v>
      </x:c>
      <x:c r="I273" s="46" t="n">
        <x:f>'Paths'!$W$9</x:f>
        <x:v>0.92</x:v>
      </x:c>
      <x:c r="J273" s="47" t="n">
        <x:f>IF(D273&lt;E273,0,MIN(F273*G273*H273*I273,IF('Paths'!$T$9&gt;0,MAX(0,'Paths'!$T$9-K272),1000000000)))</x:f>
        <x:v>20240</x:v>
      </x:c>
      <x:c r="K273" s="47" t="n">
        <x:f>K272+J273</x:f>
        <x:v>1613404</x:v>
      </x:c>
      <x:c r="L273" s="46" t="n">
        <x:f>IF(C273="P0",1,IF(D273&lt;=3,0.8,IF(D273&lt;=14,0.65,IF(D273&lt;=45,0.5,0.3))))</x:f>
        <x:v>0.3</x:v>
      </x:c>
      <x:c r="M273" s="47" t="n">
        <x:f>J273*L273</x:f>
        <x:v>6072</x:v>
      </x:c>
      <x:c r="N273" s="47" t="n">
        <x:f>N272+M273</x:f>
        <x:v>698735.4</x:v>
      </x:c>
      <x:c r="O273" s="46" t="n">
        <x:f>IF(C273="P0",0,IF(D273&lt;=3,0.15,IF(D273&lt;=14,0.25,IF(D273&lt;=45,0.35,0.5))))</x:f>
        <x:v>0.5</x:v>
      </x:c>
      <x:c r="P273" s="47" t="n">
        <x:f>J273*O273</x:f>
        <x:v>10120</x:v>
      </x:c>
      <x:c r="Q273" s="46" t="n">
        <x:f>IF(C273="P0",0,IF(D273&lt;=3,0.05,IF(D273&lt;=14,0.1,IF(D273&lt;=45,0.15,0.2))))</x:f>
        <x:v>0.2</x:v>
      </x:c>
      <x:c r="R273" s="47" t="n">
        <x:f>J273*Q273</x:f>
        <x:v>4048</x:v>
      </x:c>
      <x:c r="S273" s="20" t="str">
        <x:f>IF(D273&lt;E273,"closed",IF(D273&lt;'Paths'!$N$9,"initial","expanded"))</x:f>
        <x:v>expanded</x:v>
      </x:c>
      <x:c r="T273" s="72"/>
    </x:row>
    <x:row r="274">
      <x:c r="C274" s="20" t="str">
        <x:v>P2</x:v>
      </x:c>
      <x:c r="D274" s="20" t="n">
        <x:v>85</x:v>
      </x:c>
      <x:c r="E274" s="45" t="n">
        <x:f>IF('Controls'!$D$7="Reference",'Paths'!$J$9,'Paths'!$K$9)</x:f>
        <x:v>1</x:v>
      </x:c>
      <x:c r="F274" s="47" t="n">
        <x:f>IF(D274&lt;'Paths'!$N$9,IF('Controls'!$D$7="Reference",'Paths'!$L$9,'Paths'!$M$9),IF('Controls'!$D$7="Reference",'Paths'!$O$9,'Paths'!$P$9))</x:f>
        <x:v>22000</x:v>
      </x:c>
      <x:c r="G274" s="46" t="n">
        <x:f>IF('Controls'!$D$7="Reference",1,IF(OR(D274=6,D274=7,D274=21,D274=46),'Paths'!$U$9,1))</x:f>
        <x:v>1</x:v>
      </x:c>
      <x:c r="H274" s="46" t="n">
        <x:f>IF('Controls'!$D$7="Reference",1,IF(OR(AND(D274&gt;=14,D274&lt;=16),AND(D274&gt;=34,D274&lt;=35),AND(D274&gt;=61,D274&lt;=63)),'Paths'!$V$9,1))</x:f>
        <x:v>1</x:v>
      </x:c>
      <x:c r="I274" s="46" t="n">
        <x:f>'Paths'!$W$9</x:f>
        <x:v>0.92</x:v>
      </x:c>
      <x:c r="J274" s="47" t="n">
        <x:f>IF(D274&lt;E274,0,MIN(F274*G274*H274*I274,IF('Paths'!$T$9&gt;0,MAX(0,'Paths'!$T$9-K273),1000000000)))</x:f>
        <x:v>20240</x:v>
      </x:c>
      <x:c r="K274" s="47" t="n">
        <x:f>K273+J274</x:f>
        <x:v>1633644</x:v>
      </x:c>
      <x:c r="L274" s="46" t="n">
        <x:f>IF(C274="P0",1,IF(D274&lt;=3,0.8,IF(D274&lt;=14,0.65,IF(D274&lt;=45,0.5,0.3))))</x:f>
        <x:v>0.3</x:v>
      </x:c>
      <x:c r="M274" s="47" t="n">
        <x:f>J274*L274</x:f>
        <x:v>6072</x:v>
      </x:c>
      <x:c r="N274" s="47" t="n">
        <x:f>N273+M274</x:f>
        <x:v>704807.4</x:v>
      </x:c>
      <x:c r="O274" s="46" t="n">
        <x:f>IF(C274="P0",0,IF(D274&lt;=3,0.15,IF(D274&lt;=14,0.25,IF(D274&lt;=45,0.35,0.5))))</x:f>
        <x:v>0.5</x:v>
      </x:c>
      <x:c r="P274" s="47" t="n">
        <x:f>J274*O274</x:f>
        <x:v>10120</x:v>
      </x:c>
      <x:c r="Q274" s="46" t="n">
        <x:f>IF(C274="P0",0,IF(D274&lt;=3,0.05,IF(D274&lt;=14,0.1,IF(D274&lt;=45,0.15,0.2))))</x:f>
        <x:v>0.2</x:v>
      </x:c>
      <x:c r="R274" s="47" t="n">
        <x:f>J274*Q274</x:f>
        <x:v>4048</x:v>
      </x:c>
      <x:c r="S274" s="20" t="str">
        <x:f>IF(D274&lt;E274,"closed",IF(D274&lt;'Paths'!$N$9,"initial","expanded"))</x:f>
        <x:v>expanded</x:v>
      </x:c>
      <x:c r="T274" s="72"/>
    </x:row>
    <x:row r="275">
      <x:c r="C275" s="20" t="str">
        <x:v>P2</x:v>
      </x:c>
      <x:c r="D275" s="20" t="n">
        <x:v>86</x:v>
      </x:c>
      <x:c r="E275" s="45" t="n">
        <x:f>IF('Controls'!$D$7="Reference",'Paths'!$J$9,'Paths'!$K$9)</x:f>
        <x:v>1</x:v>
      </x:c>
      <x:c r="F275" s="47" t="n">
        <x:f>IF(D275&lt;'Paths'!$N$9,IF('Controls'!$D$7="Reference",'Paths'!$L$9,'Paths'!$M$9),IF('Controls'!$D$7="Reference",'Paths'!$O$9,'Paths'!$P$9))</x:f>
        <x:v>22000</x:v>
      </x:c>
      <x:c r="G275" s="46" t="n">
        <x:f>IF('Controls'!$D$7="Reference",1,IF(OR(D275=6,D275=7,D275=21,D275=46),'Paths'!$U$9,1))</x:f>
        <x:v>1</x:v>
      </x:c>
      <x:c r="H275" s="46" t="n">
        <x:f>IF('Controls'!$D$7="Reference",1,IF(OR(AND(D275&gt;=14,D275&lt;=16),AND(D275&gt;=34,D275&lt;=35),AND(D275&gt;=61,D275&lt;=63)),'Paths'!$V$9,1))</x:f>
        <x:v>1</x:v>
      </x:c>
      <x:c r="I275" s="46" t="n">
        <x:f>'Paths'!$W$9</x:f>
        <x:v>0.92</x:v>
      </x:c>
      <x:c r="J275" s="47" t="n">
        <x:f>IF(D275&lt;E275,0,MIN(F275*G275*H275*I275,IF('Paths'!$T$9&gt;0,MAX(0,'Paths'!$T$9-K274),1000000000)))</x:f>
        <x:v>20240</x:v>
      </x:c>
      <x:c r="K275" s="47" t="n">
        <x:f>K274+J275</x:f>
        <x:v>1653884</x:v>
      </x:c>
      <x:c r="L275" s="46" t="n">
        <x:f>IF(C275="P0",1,IF(D275&lt;=3,0.8,IF(D275&lt;=14,0.65,IF(D275&lt;=45,0.5,0.3))))</x:f>
        <x:v>0.3</x:v>
      </x:c>
      <x:c r="M275" s="47" t="n">
        <x:f>J275*L275</x:f>
        <x:v>6072</x:v>
      </x:c>
      <x:c r="N275" s="47" t="n">
        <x:f>N274+M275</x:f>
        <x:v>710879.4</x:v>
      </x:c>
      <x:c r="O275" s="46" t="n">
        <x:f>IF(C275="P0",0,IF(D275&lt;=3,0.15,IF(D275&lt;=14,0.25,IF(D275&lt;=45,0.35,0.5))))</x:f>
        <x:v>0.5</x:v>
      </x:c>
      <x:c r="P275" s="47" t="n">
        <x:f>J275*O275</x:f>
        <x:v>10120</x:v>
      </x:c>
      <x:c r="Q275" s="46" t="n">
        <x:f>IF(C275="P0",0,IF(D275&lt;=3,0.05,IF(D275&lt;=14,0.1,IF(D275&lt;=45,0.15,0.2))))</x:f>
        <x:v>0.2</x:v>
      </x:c>
      <x:c r="R275" s="47" t="n">
        <x:f>J275*Q275</x:f>
        <x:v>4048</x:v>
      </x:c>
      <x:c r="S275" s="20" t="str">
        <x:f>IF(D275&lt;E275,"closed",IF(D275&lt;'Paths'!$N$9,"initial","expanded"))</x:f>
        <x:v>expanded</x:v>
      </x:c>
      <x:c r="T275" s="72"/>
    </x:row>
    <x:row r="276">
      <x:c r="C276" s="20" t="str">
        <x:v>P2</x:v>
      </x:c>
      <x:c r="D276" s="20" t="n">
        <x:v>87</x:v>
      </x:c>
      <x:c r="E276" s="45" t="n">
        <x:f>IF('Controls'!$D$7="Reference",'Paths'!$J$9,'Paths'!$K$9)</x:f>
        <x:v>1</x:v>
      </x:c>
      <x:c r="F276" s="47" t="n">
        <x:f>IF(D276&lt;'Paths'!$N$9,IF('Controls'!$D$7="Reference",'Paths'!$L$9,'Paths'!$M$9),IF('Controls'!$D$7="Reference",'Paths'!$O$9,'Paths'!$P$9))</x:f>
        <x:v>22000</x:v>
      </x:c>
      <x:c r="G276" s="46" t="n">
        <x:f>IF('Controls'!$D$7="Reference",1,IF(OR(D276=6,D276=7,D276=21,D276=46),'Paths'!$U$9,1))</x:f>
        <x:v>1</x:v>
      </x:c>
      <x:c r="H276" s="46" t="n">
        <x:f>IF('Controls'!$D$7="Reference",1,IF(OR(AND(D276&gt;=14,D276&lt;=16),AND(D276&gt;=34,D276&lt;=35),AND(D276&gt;=61,D276&lt;=63)),'Paths'!$V$9,1))</x:f>
        <x:v>1</x:v>
      </x:c>
      <x:c r="I276" s="46" t="n">
        <x:f>'Paths'!$W$9</x:f>
        <x:v>0.92</x:v>
      </x:c>
      <x:c r="J276" s="47" t="n">
        <x:f>IF(D276&lt;E276,0,MIN(F276*G276*H276*I276,IF('Paths'!$T$9&gt;0,MAX(0,'Paths'!$T$9-K275),1000000000)))</x:f>
        <x:v>20240</x:v>
      </x:c>
      <x:c r="K276" s="47" t="n">
        <x:f>K275+J276</x:f>
        <x:v>1674124</x:v>
      </x:c>
      <x:c r="L276" s="46" t="n">
        <x:f>IF(C276="P0",1,IF(D276&lt;=3,0.8,IF(D276&lt;=14,0.65,IF(D276&lt;=45,0.5,0.3))))</x:f>
        <x:v>0.3</x:v>
      </x:c>
      <x:c r="M276" s="47" t="n">
        <x:f>J276*L276</x:f>
        <x:v>6072</x:v>
      </x:c>
      <x:c r="N276" s="47" t="n">
        <x:f>N275+M276</x:f>
        <x:v>716951.4</x:v>
      </x:c>
      <x:c r="O276" s="46" t="n">
        <x:f>IF(C276="P0",0,IF(D276&lt;=3,0.15,IF(D276&lt;=14,0.25,IF(D276&lt;=45,0.35,0.5))))</x:f>
        <x:v>0.5</x:v>
      </x:c>
      <x:c r="P276" s="47" t="n">
        <x:f>J276*O276</x:f>
        <x:v>10120</x:v>
      </x:c>
      <x:c r="Q276" s="46" t="n">
        <x:f>IF(C276="P0",0,IF(D276&lt;=3,0.05,IF(D276&lt;=14,0.1,IF(D276&lt;=45,0.15,0.2))))</x:f>
        <x:v>0.2</x:v>
      </x:c>
      <x:c r="R276" s="47" t="n">
        <x:f>J276*Q276</x:f>
        <x:v>4048</x:v>
      </x:c>
      <x:c r="S276" s="20" t="str">
        <x:f>IF(D276&lt;E276,"closed",IF(D276&lt;'Paths'!$N$9,"initial","expanded"))</x:f>
        <x:v>expanded</x:v>
      </x:c>
      <x:c r="T276" s="72"/>
    </x:row>
    <x:row r="277">
      <x:c r="C277" s="20" t="str">
        <x:v>P2</x:v>
      </x:c>
      <x:c r="D277" s="20" t="n">
        <x:v>88</x:v>
      </x:c>
      <x:c r="E277" s="45" t="n">
        <x:f>IF('Controls'!$D$7="Reference",'Paths'!$J$9,'Paths'!$K$9)</x:f>
        <x:v>1</x:v>
      </x:c>
      <x:c r="F277" s="47" t="n">
        <x:f>IF(D277&lt;'Paths'!$N$9,IF('Controls'!$D$7="Reference",'Paths'!$L$9,'Paths'!$M$9),IF('Controls'!$D$7="Reference",'Paths'!$O$9,'Paths'!$P$9))</x:f>
        <x:v>22000</x:v>
      </x:c>
      <x:c r="G277" s="46" t="n">
        <x:f>IF('Controls'!$D$7="Reference",1,IF(OR(D277=6,D277=7,D277=21,D277=46),'Paths'!$U$9,1))</x:f>
        <x:v>1</x:v>
      </x:c>
      <x:c r="H277" s="46" t="n">
        <x:f>IF('Controls'!$D$7="Reference",1,IF(OR(AND(D277&gt;=14,D277&lt;=16),AND(D277&gt;=34,D277&lt;=35),AND(D277&gt;=61,D277&lt;=63)),'Paths'!$V$9,1))</x:f>
        <x:v>1</x:v>
      </x:c>
      <x:c r="I277" s="46" t="n">
        <x:f>'Paths'!$W$9</x:f>
        <x:v>0.92</x:v>
      </x:c>
      <x:c r="J277" s="47" t="n">
        <x:f>IF(D277&lt;E277,0,MIN(F277*G277*H277*I277,IF('Paths'!$T$9&gt;0,MAX(0,'Paths'!$T$9-K276),1000000000)))</x:f>
        <x:v>20240</x:v>
      </x:c>
      <x:c r="K277" s="47" t="n">
        <x:f>K276+J277</x:f>
        <x:v>1694364</x:v>
      </x:c>
      <x:c r="L277" s="46" t="n">
        <x:f>IF(C277="P0",1,IF(D277&lt;=3,0.8,IF(D277&lt;=14,0.65,IF(D277&lt;=45,0.5,0.3))))</x:f>
        <x:v>0.3</x:v>
      </x:c>
      <x:c r="M277" s="47" t="n">
        <x:f>J277*L277</x:f>
        <x:v>6072</x:v>
      </x:c>
      <x:c r="N277" s="47" t="n">
        <x:f>N276+M277</x:f>
        <x:v>723023.4</x:v>
      </x:c>
      <x:c r="O277" s="46" t="n">
        <x:f>IF(C277="P0",0,IF(D277&lt;=3,0.15,IF(D277&lt;=14,0.25,IF(D277&lt;=45,0.35,0.5))))</x:f>
        <x:v>0.5</x:v>
      </x:c>
      <x:c r="P277" s="47" t="n">
        <x:f>J277*O277</x:f>
        <x:v>10120</x:v>
      </x:c>
      <x:c r="Q277" s="46" t="n">
        <x:f>IF(C277="P0",0,IF(D277&lt;=3,0.05,IF(D277&lt;=14,0.1,IF(D277&lt;=45,0.15,0.2))))</x:f>
        <x:v>0.2</x:v>
      </x:c>
      <x:c r="R277" s="47" t="n">
        <x:f>J277*Q277</x:f>
        <x:v>4048</x:v>
      </x:c>
      <x:c r="S277" s="20" t="str">
        <x:f>IF(D277&lt;E277,"closed",IF(D277&lt;'Paths'!$N$9,"initial","expanded"))</x:f>
        <x:v>expanded</x:v>
      </x:c>
      <x:c r="T277" s="72"/>
    </x:row>
    <x:row r="278">
      <x:c r="C278" s="20" t="str">
        <x:v>P2</x:v>
      </x:c>
      <x:c r="D278" s="20" t="n">
        <x:v>89</x:v>
      </x:c>
      <x:c r="E278" s="45" t="n">
        <x:f>IF('Controls'!$D$7="Reference",'Paths'!$J$9,'Paths'!$K$9)</x:f>
        <x:v>1</x:v>
      </x:c>
      <x:c r="F278" s="47" t="n">
        <x:f>IF(D278&lt;'Paths'!$N$9,IF('Controls'!$D$7="Reference",'Paths'!$L$9,'Paths'!$M$9),IF('Controls'!$D$7="Reference",'Paths'!$O$9,'Paths'!$P$9))</x:f>
        <x:v>22000</x:v>
      </x:c>
      <x:c r="G278" s="46" t="n">
        <x:f>IF('Controls'!$D$7="Reference",1,IF(OR(D278=6,D278=7,D278=21,D278=46),'Paths'!$U$9,1))</x:f>
        <x:v>1</x:v>
      </x:c>
      <x:c r="H278" s="46" t="n">
        <x:f>IF('Controls'!$D$7="Reference",1,IF(OR(AND(D278&gt;=14,D278&lt;=16),AND(D278&gt;=34,D278&lt;=35),AND(D278&gt;=61,D278&lt;=63)),'Paths'!$V$9,1))</x:f>
        <x:v>1</x:v>
      </x:c>
      <x:c r="I278" s="46" t="n">
        <x:f>'Paths'!$W$9</x:f>
        <x:v>0.92</x:v>
      </x:c>
      <x:c r="J278" s="47" t="n">
        <x:f>IF(D278&lt;E278,0,MIN(F278*G278*H278*I278,IF('Paths'!$T$9&gt;0,MAX(0,'Paths'!$T$9-K277),1000000000)))</x:f>
        <x:v>20240</x:v>
      </x:c>
      <x:c r="K278" s="47" t="n">
        <x:f>K277+J278</x:f>
        <x:v>1714604</x:v>
      </x:c>
      <x:c r="L278" s="46" t="n">
        <x:f>IF(C278="P0",1,IF(D278&lt;=3,0.8,IF(D278&lt;=14,0.65,IF(D278&lt;=45,0.5,0.3))))</x:f>
        <x:v>0.3</x:v>
      </x:c>
      <x:c r="M278" s="47" t="n">
        <x:f>J278*L278</x:f>
        <x:v>6072</x:v>
      </x:c>
      <x:c r="N278" s="47" t="n">
        <x:f>N277+M278</x:f>
        <x:v>729095.4</x:v>
      </x:c>
      <x:c r="O278" s="46" t="n">
        <x:f>IF(C278="P0",0,IF(D278&lt;=3,0.15,IF(D278&lt;=14,0.25,IF(D278&lt;=45,0.35,0.5))))</x:f>
        <x:v>0.5</x:v>
      </x:c>
      <x:c r="P278" s="47" t="n">
        <x:f>J278*O278</x:f>
        <x:v>10120</x:v>
      </x:c>
      <x:c r="Q278" s="46" t="n">
        <x:f>IF(C278="P0",0,IF(D278&lt;=3,0.05,IF(D278&lt;=14,0.1,IF(D278&lt;=45,0.15,0.2))))</x:f>
        <x:v>0.2</x:v>
      </x:c>
      <x:c r="R278" s="47" t="n">
        <x:f>J278*Q278</x:f>
        <x:v>4048</x:v>
      </x:c>
      <x:c r="S278" s="20" t="str">
        <x:f>IF(D278&lt;E278,"closed",IF(D278&lt;'Paths'!$N$9,"initial","expanded"))</x:f>
        <x:v>expanded</x:v>
      </x:c>
      <x:c r="T278" s="72"/>
    </x:row>
    <x:row r="279">
      <x:c r="C279" s="20" t="str">
        <x:v>P2</x:v>
      </x:c>
      <x:c r="D279" s="20" t="n">
        <x:v>90</x:v>
      </x:c>
      <x:c r="E279" s="45" t="n">
        <x:f>IF('Controls'!$D$7="Reference",'Paths'!$J$9,'Paths'!$K$9)</x:f>
        <x:v>1</x:v>
      </x:c>
      <x:c r="F279" s="47" t="n">
        <x:f>IF(D279&lt;'Paths'!$N$9,IF('Controls'!$D$7="Reference",'Paths'!$L$9,'Paths'!$M$9),IF('Controls'!$D$7="Reference",'Paths'!$O$9,'Paths'!$P$9))</x:f>
        <x:v>22000</x:v>
      </x:c>
      <x:c r="G279" s="46" t="n">
        <x:f>IF('Controls'!$D$7="Reference",1,IF(OR(D279=6,D279=7,D279=21,D279=46),'Paths'!$U$9,1))</x:f>
        <x:v>1</x:v>
      </x:c>
      <x:c r="H279" s="46" t="n">
        <x:f>IF('Controls'!$D$7="Reference",1,IF(OR(AND(D279&gt;=14,D279&lt;=16),AND(D279&gt;=34,D279&lt;=35),AND(D279&gt;=61,D279&lt;=63)),'Paths'!$V$9,1))</x:f>
        <x:v>1</x:v>
      </x:c>
      <x:c r="I279" s="46" t="n">
        <x:f>'Paths'!$W$9</x:f>
        <x:v>0.92</x:v>
      </x:c>
      <x:c r="J279" s="47" t="n">
        <x:f>IF(D279&lt;E279,0,MIN(F279*G279*H279*I279,IF('Paths'!$T$9&gt;0,MAX(0,'Paths'!$T$9-K278),1000000000)))</x:f>
        <x:v>20240</x:v>
      </x:c>
      <x:c r="K279" s="47" t="n">
        <x:f>K278+J279</x:f>
        <x:v>1734844</x:v>
      </x:c>
      <x:c r="L279" s="46" t="n">
        <x:f>IF(C279="P0",1,IF(D279&lt;=3,0.8,IF(D279&lt;=14,0.65,IF(D279&lt;=45,0.5,0.3))))</x:f>
        <x:v>0.3</x:v>
      </x:c>
      <x:c r="M279" s="47" t="n">
        <x:f>J279*L279</x:f>
        <x:v>6072</x:v>
      </x:c>
      <x:c r="N279" s="47" t="n">
        <x:f>N278+M279</x:f>
        <x:v>735167.4</x:v>
      </x:c>
      <x:c r="O279" s="46" t="n">
        <x:f>IF(C279="P0",0,IF(D279&lt;=3,0.15,IF(D279&lt;=14,0.25,IF(D279&lt;=45,0.35,0.5))))</x:f>
        <x:v>0.5</x:v>
      </x:c>
      <x:c r="P279" s="47" t="n">
        <x:f>J279*O279</x:f>
        <x:v>10120</x:v>
      </x:c>
      <x:c r="Q279" s="46" t="n">
        <x:f>IF(C279="P0",0,IF(D279&lt;=3,0.05,IF(D279&lt;=14,0.1,IF(D279&lt;=45,0.15,0.2))))</x:f>
        <x:v>0.2</x:v>
      </x:c>
      <x:c r="R279" s="47" t="n">
        <x:f>J279*Q279</x:f>
        <x:v>4048</x:v>
      </x:c>
      <x:c r="S279" s="20" t="str">
        <x:f>IF(D279&lt;E279,"closed",IF(D279&lt;'Paths'!$N$9,"initial","expanded"))</x:f>
        <x:v>expanded</x:v>
      </x:c>
      <x:c r="T279" s="72"/>
    </x:row>
    <x:row r="280">
      <x:c r="C280" s="20" t="str">
        <x:v>P3</x:v>
      </x:c>
      <x:c r="D280" s="20" t="n">
        <x:v>0</x:v>
      </x:c>
      <x:c r="E280" s="45" t="n">
        <x:f>IF('Controls'!$D$7="Reference",'Paths'!$J$10,'Paths'!$K$10)</x:f>
        <x:v>0</x:v>
      </x:c>
      <x:c r="F280" s="47" t="n">
        <x:f>IF(D280&lt;'Paths'!$N$10,IF('Controls'!$D$7="Reference",'Paths'!$L$10,'Paths'!$M$10),IF('Controls'!$D$7="Reference",'Paths'!$O$10,'Paths'!$P$10))</x:f>
        <x:v>14000</x:v>
      </x:c>
      <x:c r="G280" s="46" t="n">
        <x:f>IF('Controls'!$D$7="Reference",1,IF(OR(D280=6,D280=7,D280=21,D280=46),'Paths'!$U$10,1))</x:f>
        <x:v>1</x:v>
      </x:c>
      <x:c r="H280" s="46" t="n">
        <x:f>IF('Controls'!$D$7="Reference",1,IF(OR(AND(D280&gt;=14,D280&lt;=16),AND(D280&gt;=34,D280&lt;=35),AND(D280&gt;=61,D280&lt;=63)),'Paths'!$V$10,1))</x:f>
        <x:v>1</x:v>
      </x:c>
      <x:c r="I280" s="46" t="n">
        <x:f>'Paths'!$W$10</x:f>
        <x:v>0.9</x:v>
      </x:c>
      <x:c r="J280" s="47" t="n">
        <x:f>IF(D280&lt;E280,0,MIN(F280*G280*H280*I280,IF('Paths'!$T$10&gt;0,MAX(0,'Paths'!$T$10-0),1000000000)))</x:f>
        <x:v>12600</x:v>
      </x:c>
      <x:c r="K280" s="47" t="n">
        <x:f>0+J280</x:f>
        <x:v>12600</x:v>
      </x:c>
      <x:c r="L280" s="46" t="n">
        <x:f>IF(C280="P0",1,IF(D280&lt;=3,0.8,IF(D280&lt;=14,0.65,IF(D280&lt;=45,0.5,0.3))))</x:f>
        <x:v>0.8</x:v>
      </x:c>
      <x:c r="M280" s="47" t="n">
        <x:f>J280*L280</x:f>
        <x:v>10080</x:v>
      </x:c>
      <x:c r="N280" s="47" t="n">
        <x:f>0+M280</x:f>
        <x:v>10080</x:v>
      </x:c>
      <x:c r="O280" s="46" t="n">
        <x:f>IF(C280="P0",0,IF(D280&lt;=3,0.15,IF(D280&lt;=14,0.25,IF(D280&lt;=45,0.35,0.5))))</x:f>
        <x:v>0.15</x:v>
      </x:c>
      <x:c r="P280" s="47" t="n">
        <x:f>J280*O280</x:f>
        <x:v>1890</x:v>
      </x:c>
      <x:c r="Q280" s="46" t="n">
        <x:f>IF(C280="P0",0,IF(D280&lt;=3,0.05,IF(D280&lt;=14,0.1,IF(D280&lt;=45,0.15,0.2))))</x:f>
        <x:v>0.05</x:v>
      </x:c>
      <x:c r="R280" s="47" t="n">
        <x:f>J280*Q280</x:f>
        <x:v>630</x:v>
      </x:c>
      <x:c r="S280" s="20" t="str">
        <x:f>IF(D280&lt;E280,"closed",IF(D280&lt;'Paths'!$N$10,"initial","expanded"))</x:f>
        <x:v>initial</x:v>
      </x:c>
      <x:c r="T280" s="72"/>
    </x:row>
    <x:row r="281">
      <x:c r="C281" s="20" t="str">
        <x:v>P3</x:v>
      </x:c>
      <x:c r="D281" s="20" t="n">
        <x:v>1</x:v>
      </x:c>
      <x:c r="E281" s="45" t="n">
        <x:f>IF('Controls'!$D$7="Reference",'Paths'!$J$10,'Paths'!$K$10)</x:f>
        <x:v>0</x:v>
      </x:c>
      <x:c r="F281" s="47" t="n">
        <x:f>IF(D281&lt;'Paths'!$N$10,IF('Controls'!$D$7="Reference",'Paths'!$L$10,'Paths'!$M$10),IF('Controls'!$D$7="Reference",'Paths'!$O$10,'Paths'!$P$10))</x:f>
        <x:v>14000</x:v>
      </x:c>
      <x:c r="G281" s="46" t="n">
        <x:f>IF('Controls'!$D$7="Reference",1,IF(OR(D281=6,D281=7,D281=21,D281=46),'Paths'!$U$10,1))</x:f>
        <x:v>1</x:v>
      </x:c>
      <x:c r="H281" s="46" t="n">
        <x:f>IF('Controls'!$D$7="Reference",1,IF(OR(AND(D281&gt;=14,D281&lt;=16),AND(D281&gt;=34,D281&lt;=35),AND(D281&gt;=61,D281&lt;=63)),'Paths'!$V$10,1))</x:f>
        <x:v>1</x:v>
      </x:c>
      <x:c r="I281" s="46" t="n">
        <x:f>'Paths'!$W$10</x:f>
        <x:v>0.9</x:v>
      </x:c>
      <x:c r="J281" s="47" t="n">
        <x:f>IF(D281&lt;E281,0,MIN(F281*G281*H281*I281,IF('Paths'!$T$10&gt;0,MAX(0,'Paths'!$T$10-K280),1000000000)))</x:f>
        <x:v>12600</x:v>
      </x:c>
      <x:c r="K281" s="47" t="n">
        <x:f>K280+J281</x:f>
        <x:v>25200</x:v>
      </x:c>
      <x:c r="L281" s="46" t="n">
        <x:f>IF(C281="P0",1,IF(D281&lt;=3,0.8,IF(D281&lt;=14,0.65,IF(D281&lt;=45,0.5,0.3))))</x:f>
        <x:v>0.8</x:v>
      </x:c>
      <x:c r="M281" s="47" t="n">
        <x:f>J281*L281</x:f>
        <x:v>10080</x:v>
      </x:c>
      <x:c r="N281" s="47" t="n">
        <x:f>N280+M281</x:f>
        <x:v>20160</x:v>
      </x:c>
      <x:c r="O281" s="46" t="n">
        <x:f>IF(C281="P0",0,IF(D281&lt;=3,0.15,IF(D281&lt;=14,0.25,IF(D281&lt;=45,0.35,0.5))))</x:f>
        <x:v>0.15</x:v>
      </x:c>
      <x:c r="P281" s="47" t="n">
        <x:f>J281*O281</x:f>
        <x:v>1890</x:v>
      </x:c>
      <x:c r="Q281" s="46" t="n">
        <x:f>IF(C281="P0",0,IF(D281&lt;=3,0.05,IF(D281&lt;=14,0.1,IF(D281&lt;=45,0.15,0.2))))</x:f>
        <x:v>0.05</x:v>
      </x:c>
      <x:c r="R281" s="47" t="n">
        <x:f>J281*Q281</x:f>
        <x:v>630</x:v>
      </x:c>
      <x:c r="S281" s="20" t="str">
        <x:f>IF(D281&lt;E281,"closed",IF(D281&lt;'Paths'!$N$10,"initial","expanded"))</x:f>
        <x:v>initial</x:v>
      </x:c>
      <x:c r="T281" s="72"/>
    </x:row>
    <x:row r="282">
      <x:c r="C282" s="20" t="str">
        <x:v>P3</x:v>
      </x:c>
      <x:c r="D282" s="20" t="n">
        <x:v>2</x:v>
      </x:c>
      <x:c r="E282" s="45" t="n">
        <x:f>IF('Controls'!$D$7="Reference",'Paths'!$J$10,'Paths'!$K$10)</x:f>
        <x:v>0</x:v>
      </x:c>
      <x:c r="F282" s="47" t="n">
        <x:f>IF(D282&lt;'Paths'!$N$10,IF('Controls'!$D$7="Reference",'Paths'!$L$10,'Paths'!$M$10),IF('Controls'!$D$7="Reference",'Paths'!$O$10,'Paths'!$P$10))</x:f>
        <x:v>14000</x:v>
      </x:c>
      <x:c r="G282" s="46" t="n">
        <x:f>IF('Controls'!$D$7="Reference",1,IF(OR(D282=6,D282=7,D282=21,D282=46),'Paths'!$U$10,1))</x:f>
        <x:v>1</x:v>
      </x:c>
      <x:c r="H282" s="46" t="n">
        <x:f>IF('Controls'!$D$7="Reference",1,IF(OR(AND(D282&gt;=14,D282&lt;=16),AND(D282&gt;=34,D282&lt;=35),AND(D282&gt;=61,D282&lt;=63)),'Paths'!$V$10,1))</x:f>
        <x:v>1</x:v>
      </x:c>
      <x:c r="I282" s="46" t="n">
        <x:f>'Paths'!$W$10</x:f>
        <x:v>0.9</x:v>
      </x:c>
      <x:c r="J282" s="47" t="n">
        <x:f>IF(D282&lt;E282,0,MIN(F282*G282*H282*I282,IF('Paths'!$T$10&gt;0,MAX(0,'Paths'!$T$10-K281),1000000000)))</x:f>
        <x:v>12600</x:v>
      </x:c>
      <x:c r="K282" s="47" t="n">
        <x:f>K281+J282</x:f>
        <x:v>37800</x:v>
      </x:c>
      <x:c r="L282" s="46" t="n">
        <x:f>IF(C282="P0",1,IF(D282&lt;=3,0.8,IF(D282&lt;=14,0.65,IF(D282&lt;=45,0.5,0.3))))</x:f>
        <x:v>0.8</x:v>
      </x:c>
      <x:c r="M282" s="47" t="n">
        <x:f>J282*L282</x:f>
        <x:v>10080</x:v>
      </x:c>
      <x:c r="N282" s="47" t="n">
        <x:f>N281+M282</x:f>
        <x:v>30240</x:v>
      </x:c>
      <x:c r="O282" s="46" t="n">
        <x:f>IF(C282="P0",0,IF(D282&lt;=3,0.15,IF(D282&lt;=14,0.25,IF(D282&lt;=45,0.35,0.5))))</x:f>
        <x:v>0.15</x:v>
      </x:c>
      <x:c r="P282" s="47" t="n">
        <x:f>J282*O282</x:f>
        <x:v>1890</x:v>
      </x:c>
      <x:c r="Q282" s="46" t="n">
        <x:f>IF(C282="P0",0,IF(D282&lt;=3,0.05,IF(D282&lt;=14,0.1,IF(D282&lt;=45,0.15,0.2))))</x:f>
        <x:v>0.05</x:v>
      </x:c>
      <x:c r="R282" s="47" t="n">
        <x:f>J282*Q282</x:f>
        <x:v>630</x:v>
      </x:c>
      <x:c r="S282" s="20" t="str">
        <x:f>IF(D282&lt;E282,"closed",IF(D282&lt;'Paths'!$N$10,"initial","expanded"))</x:f>
        <x:v>initial</x:v>
      </x:c>
      <x:c r="T282" s="72"/>
    </x:row>
    <x:row r="283">
      <x:c r="C283" s="20" t="str">
        <x:v>P3</x:v>
      </x:c>
      <x:c r="D283" s="20" t="n">
        <x:v>3</x:v>
      </x:c>
      <x:c r="E283" s="45" t="n">
        <x:f>IF('Controls'!$D$7="Reference",'Paths'!$J$10,'Paths'!$K$10)</x:f>
        <x:v>0</x:v>
      </x:c>
      <x:c r="F283" s="47" t="n">
        <x:f>IF(D283&lt;'Paths'!$N$10,IF('Controls'!$D$7="Reference",'Paths'!$L$10,'Paths'!$M$10),IF('Controls'!$D$7="Reference",'Paths'!$O$10,'Paths'!$P$10))</x:f>
        <x:v>18000</x:v>
      </x:c>
      <x:c r="G283" s="46" t="n">
        <x:f>IF('Controls'!$D$7="Reference",1,IF(OR(D283=6,D283=7,D283=21,D283=46),'Paths'!$U$10,1))</x:f>
        <x:v>1</x:v>
      </x:c>
      <x:c r="H283" s="46" t="n">
        <x:f>IF('Controls'!$D$7="Reference",1,IF(OR(AND(D283&gt;=14,D283&lt;=16),AND(D283&gt;=34,D283&lt;=35),AND(D283&gt;=61,D283&lt;=63)),'Paths'!$V$10,1))</x:f>
        <x:v>1</x:v>
      </x:c>
      <x:c r="I283" s="46" t="n">
        <x:f>'Paths'!$W$10</x:f>
        <x:v>0.9</x:v>
      </x:c>
      <x:c r="J283" s="47" t="n">
        <x:f>IF(D283&lt;E283,0,MIN(F283*G283*H283*I283,IF('Paths'!$T$10&gt;0,MAX(0,'Paths'!$T$10-K282),1000000000)))</x:f>
        <x:v>16200</x:v>
      </x:c>
      <x:c r="K283" s="47" t="n">
        <x:f>K282+J283</x:f>
        <x:v>54000</x:v>
      </x:c>
      <x:c r="L283" s="46" t="n">
        <x:f>IF(C283="P0",1,IF(D283&lt;=3,0.8,IF(D283&lt;=14,0.65,IF(D283&lt;=45,0.5,0.3))))</x:f>
        <x:v>0.8</x:v>
      </x:c>
      <x:c r="M283" s="47" t="n">
        <x:f>J283*L283</x:f>
        <x:v>12960</x:v>
      </x:c>
      <x:c r="N283" s="47" t="n">
        <x:f>N282+M283</x:f>
        <x:v>43200</x:v>
      </x:c>
      <x:c r="O283" s="46" t="n">
        <x:f>IF(C283="P0",0,IF(D283&lt;=3,0.15,IF(D283&lt;=14,0.25,IF(D283&lt;=45,0.35,0.5))))</x:f>
        <x:v>0.15</x:v>
      </x:c>
      <x:c r="P283" s="47" t="n">
        <x:f>J283*O283</x:f>
        <x:v>2430</x:v>
      </x:c>
      <x:c r="Q283" s="46" t="n">
        <x:f>IF(C283="P0",0,IF(D283&lt;=3,0.05,IF(D283&lt;=14,0.1,IF(D283&lt;=45,0.15,0.2))))</x:f>
        <x:v>0.05</x:v>
      </x:c>
      <x:c r="R283" s="47" t="n">
        <x:f>J283*Q283</x:f>
        <x:v>810</x:v>
      </x:c>
      <x:c r="S283" s="20" t="str">
        <x:f>IF(D283&lt;E283,"closed",IF(D283&lt;'Paths'!$N$10,"initial","expanded"))</x:f>
        <x:v>expanded</x:v>
      </x:c>
      <x:c r="T283" s="72"/>
    </x:row>
    <x:row r="284">
      <x:c r="C284" s="20" t="str">
        <x:v>P3</x:v>
      </x:c>
      <x:c r="D284" s="20" t="n">
        <x:v>4</x:v>
      </x:c>
      <x:c r="E284" s="45" t="n">
        <x:f>IF('Controls'!$D$7="Reference",'Paths'!$J$10,'Paths'!$K$10)</x:f>
        <x:v>0</x:v>
      </x:c>
      <x:c r="F284" s="47" t="n">
        <x:f>IF(D284&lt;'Paths'!$N$10,IF('Controls'!$D$7="Reference",'Paths'!$L$10,'Paths'!$M$10),IF('Controls'!$D$7="Reference",'Paths'!$O$10,'Paths'!$P$10))</x:f>
        <x:v>18000</x:v>
      </x:c>
      <x:c r="G284" s="46" t="n">
        <x:f>IF('Controls'!$D$7="Reference",1,IF(OR(D284=6,D284=7,D284=21,D284=46),'Paths'!$U$10,1))</x:f>
        <x:v>1</x:v>
      </x:c>
      <x:c r="H284" s="46" t="n">
        <x:f>IF('Controls'!$D$7="Reference",1,IF(OR(AND(D284&gt;=14,D284&lt;=16),AND(D284&gt;=34,D284&lt;=35),AND(D284&gt;=61,D284&lt;=63)),'Paths'!$V$10,1))</x:f>
        <x:v>1</x:v>
      </x:c>
      <x:c r="I284" s="46" t="n">
        <x:f>'Paths'!$W$10</x:f>
        <x:v>0.9</x:v>
      </x:c>
      <x:c r="J284" s="47" t="n">
        <x:f>IF(D284&lt;E284,0,MIN(F284*G284*H284*I284,IF('Paths'!$T$10&gt;0,MAX(0,'Paths'!$T$10-K283),1000000000)))</x:f>
        <x:v>16200</x:v>
      </x:c>
      <x:c r="K284" s="47" t="n">
        <x:f>K283+J284</x:f>
        <x:v>70200</x:v>
      </x:c>
      <x:c r="L284" s="46" t="n">
        <x:f>IF(C284="P0",1,IF(D284&lt;=3,0.8,IF(D284&lt;=14,0.65,IF(D284&lt;=45,0.5,0.3))))</x:f>
        <x:v>0.65</x:v>
      </x:c>
      <x:c r="M284" s="47" t="n">
        <x:f>J284*L284</x:f>
        <x:v>10530</x:v>
      </x:c>
      <x:c r="N284" s="47" t="n">
        <x:f>N283+M284</x:f>
        <x:v>53730</x:v>
      </x:c>
      <x:c r="O284" s="46" t="n">
        <x:f>IF(C284="P0",0,IF(D284&lt;=3,0.15,IF(D284&lt;=14,0.25,IF(D284&lt;=45,0.35,0.5))))</x:f>
        <x:v>0.25</x:v>
      </x:c>
      <x:c r="P284" s="47" t="n">
        <x:f>J284*O284</x:f>
        <x:v>4050</x:v>
      </x:c>
      <x:c r="Q284" s="46" t="n">
        <x:f>IF(C284="P0",0,IF(D284&lt;=3,0.05,IF(D284&lt;=14,0.1,IF(D284&lt;=45,0.15,0.2))))</x:f>
        <x:v>0.1</x:v>
      </x:c>
      <x:c r="R284" s="47" t="n">
        <x:f>J284*Q284</x:f>
        <x:v>1620</x:v>
      </x:c>
      <x:c r="S284" s="20" t="str">
        <x:f>IF(D284&lt;E284,"closed",IF(D284&lt;'Paths'!$N$10,"initial","expanded"))</x:f>
        <x:v>expanded</x:v>
      </x:c>
      <x:c r="T284" s="72"/>
    </x:row>
    <x:row r="285">
      <x:c r="C285" s="20" t="str">
        <x:v>P3</x:v>
      </x:c>
      <x:c r="D285" s="20" t="n">
        <x:v>5</x:v>
      </x:c>
      <x:c r="E285" s="45" t="n">
        <x:f>IF('Controls'!$D$7="Reference",'Paths'!$J$10,'Paths'!$K$10)</x:f>
        <x:v>0</x:v>
      </x:c>
      <x:c r="F285" s="47" t="n">
        <x:f>IF(D285&lt;'Paths'!$N$10,IF('Controls'!$D$7="Reference",'Paths'!$L$10,'Paths'!$M$10),IF('Controls'!$D$7="Reference",'Paths'!$O$10,'Paths'!$P$10))</x:f>
        <x:v>18000</x:v>
      </x:c>
      <x:c r="G285" s="46" t="n">
        <x:f>IF('Controls'!$D$7="Reference",1,IF(OR(D285=6,D285=7,D285=21,D285=46),'Paths'!$U$10,1))</x:f>
        <x:v>1</x:v>
      </x:c>
      <x:c r="H285" s="46" t="n">
        <x:f>IF('Controls'!$D$7="Reference",1,IF(OR(AND(D285&gt;=14,D285&lt;=16),AND(D285&gt;=34,D285&lt;=35),AND(D285&gt;=61,D285&lt;=63)),'Paths'!$V$10,1))</x:f>
        <x:v>1</x:v>
      </x:c>
      <x:c r="I285" s="46" t="n">
        <x:f>'Paths'!$W$10</x:f>
        <x:v>0.9</x:v>
      </x:c>
      <x:c r="J285" s="47" t="n">
        <x:f>IF(D285&lt;E285,0,MIN(F285*G285*H285*I285,IF('Paths'!$T$10&gt;0,MAX(0,'Paths'!$T$10-K284),1000000000)))</x:f>
        <x:v>16200</x:v>
      </x:c>
      <x:c r="K285" s="47" t="n">
        <x:f>K284+J285</x:f>
        <x:v>86400</x:v>
      </x:c>
      <x:c r="L285" s="46" t="n">
        <x:f>IF(C285="P0",1,IF(D285&lt;=3,0.8,IF(D285&lt;=14,0.65,IF(D285&lt;=45,0.5,0.3))))</x:f>
        <x:v>0.65</x:v>
      </x:c>
      <x:c r="M285" s="47" t="n">
        <x:f>J285*L285</x:f>
        <x:v>10530</x:v>
      </x:c>
      <x:c r="N285" s="47" t="n">
        <x:f>N284+M285</x:f>
        <x:v>64260</x:v>
      </x:c>
      <x:c r="O285" s="46" t="n">
        <x:f>IF(C285="P0",0,IF(D285&lt;=3,0.15,IF(D285&lt;=14,0.25,IF(D285&lt;=45,0.35,0.5))))</x:f>
        <x:v>0.25</x:v>
      </x:c>
      <x:c r="P285" s="47" t="n">
        <x:f>J285*O285</x:f>
        <x:v>4050</x:v>
      </x:c>
      <x:c r="Q285" s="46" t="n">
        <x:f>IF(C285="P0",0,IF(D285&lt;=3,0.05,IF(D285&lt;=14,0.1,IF(D285&lt;=45,0.15,0.2))))</x:f>
        <x:v>0.1</x:v>
      </x:c>
      <x:c r="R285" s="47" t="n">
        <x:f>J285*Q285</x:f>
        <x:v>1620</x:v>
      </x:c>
      <x:c r="S285" s="20" t="str">
        <x:f>IF(D285&lt;E285,"closed",IF(D285&lt;'Paths'!$N$10,"initial","expanded"))</x:f>
        <x:v>expanded</x:v>
      </x:c>
      <x:c r="T285" s="72"/>
    </x:row>
    <x:row r="286">
      <x:c r="C286" s="20" t="str">
        <x:v>P3</x:v>
      </x:c>
      <x:c r="D286" s="20" t="n">
        <x:v>6</x:v>
      </x:c>
      <x:c r="E286" s="45" t="n">
        <x:f>IF('Controls'!$D$7="Reference",'Paths'!$J$10,'Paths'!$K$10)</x:f>
        <x:v>0</x:v>
      </x:c>
      <x:c r="F286" s="47" t="n">
        <x:f>IF(D286&lt;'Paths'!$N$10,IF('Controls'!$D$7="Reference",'Paths'!$L$10,'Paths'!$M$10),IF('Controls'!$D$7="Reference",'Paths'!$O$10,'Paths'!$P$10))</x:f>
        <x:v>18000</x:v>
      </x:c>
      <x:c r="G286" s="46" t="n">
        <x:f>IF('Controls'!$D$7="Reference",1,IF(OR(D286=6,D286=7,D286=21,D286=46),'Paths'!$U$10,1))</x:f>
        <x:v>0.8</x:v>
      </x:c>
      <x:c r="H286" s="46" t="n">
        <x:f>IF('Controls'!$D$7="Reference",1,IF(OR(AND(D286&gt;=14,D286&lt;=16),AND(D286&gt;=34,D286&lt;=35),AND(D286&gt;=61,D286&lt;=63)),'Paths'!$V$10,1))</x:f>
        <x:v>1</x:v>
      </x:c>
      <x:c r="I286" s="46" t="n">
        <x:f>'Paths'!$W$10</x:f>
        <x:v>0.9</x:v>
      </x:c>
      <x:c r="J286" s="47" t="n">
        <x:f>IF(D286&lt;E286,0,MIN(F286*G286*H286*I286,IF('Paths'!$T$10&gt;0,MAX(0,'Paths'!$T$10-K285),1000000000)))</x:f>
        <x:v>12960</x:v>
      </x:c>
      <x:c r="K286" s="47" t="n">
        <x:f>K285+J286</x:f>
        <x:v>99360</x:v>
      </x:c>
      <x:c r="L286" s="46" t="n">
        <x:f>IF(C286="P0",1,IF(D286&lt;=3,0.8,IF(D286&lt;=14,0.65,IF(D286&lt;=45,0.5,0.3))))</x:f>
        <x:v>0.65</x:v>
      </x:c>
      <x:c r="M286" s="47" t="n">
        <x:f>J286*L286</x:f>
        <x:v>8424</x:v>
      </x:c>
      <x:c r="N286" s="47" t="n">
        <x:f>N285+M286</x:f>
        <x:v>72684</x:v>
      </x:c>
      <x:c r="O286" s="46" t="n">
        <x:f>IF(C286="P0",0,IF(D286&lt;=3,0.15,IF(D286&lt;=14,0.25,IF(D286&lt;=45,0.35,0.5))))</x:f>
        <x:v>0.25</x:v>
      </x:c>
      <x:c r="P286" s="47" t="n">
        <x:f>J286*O286</x:f>
        <x:v>3240</x:v>
      </x:c>
      <x:c r="Q286" s="46" t="n">
        <x:f>IF(C286="P0",0,IF(D286&lt;=3,0.05,IF(D286&lt;=14,0.1,IF(D286&lt;=45,0.15,0.2))))</x:f>
        <x:v>0.1</x:v>
      </x:c>
      <x:c r="R286" s="47" t="n">
        <x:f>J286*Q286</x:f>
        <x:v>1296</x:v>
      </x:c>
      <x:c r="S286" s="20" t="str">
        <x:f>IF(D286&lt;E286,"closed",IF(D286&lt;'Paths'!$N$10,"initial","expanded"))</x:f>
        <x:v>expanded</x:v>
      </x:c>
      <x:c r="T286" s="72"/>
    </x:row>
    <x:row r="287">
      <x:c r="C287" s="20" t="str">
        <x:v>P3</x:v>
      </x:c>
      <x:c r="D287" s="20" t="n">
        <x:v>7</x:v>
      </x:c>
      <x:c r="E287" s="45" t="n">
        <x:f>IF('Controls'!$D$7="Reference",'Paths'!$J$10,'Paths'!$K$10)</x:f>
        <x:v>0</x:v>
      </x:c>
      <x:c r="F287" s="47" t="n">
        <x:f>IF(D287&lt;'Paths'!$N$10,IF('Controls'!$D$7="Reference",'Paths'!$L$10,'Paths'!$M$10),IF('Controls'!$D$7="Reference",'Paths'!$O$10,'Paths'!$P$10))</x:f>
        <x:v>18000</x:v>
      </x:c>
      <x:c r="G287" s="46" t="n">
        <x:f>IF('Controls'!$D$7="Reference",1,IF(OR(D287=6,D287=7,D287=21,D287=46),'Paths'!$U$10,1))</x:f>
        <x:v>0.8</x:v>
      </x:c>
      <x:c r="H287" s="46" t="n">
        <x:f>IF('Controls'!$D$7="Reference",1,IF(OR(AND(D287&gt;=14,D287&lt;=16),AND(D287&gt;=34,D287&lt;=35),AND(D287&gt;=61,D287&lt;=63)),'Paths'!$V$10,1))</x:f>
        <x:v>1</x:v>
      </x:c>
      <x:c r="I287" s="46" t="n">
        <x:f>'Paths'!$W$10</x:f>
        <x:v>0.9</x:v>
      </x:c>
      <x:c r="J287" s="47" t="n">
        <x:f>IF(D287&lt;E287,0,MIN(F287*G287*H287*I287,IF('Paths'!$T$10&gt;0,MAX(0,'Paths'!$T$10-K286),1000000000)))</x:f>
        <x:v>12960</x:v>
      </x:c>
      <x:c r="K287" s="47" t="n">
        <x:f>K286+J287</x:f>
        <x:v>112320</x:v>
      </x:c>
      <x:c r="L287" s="46" t="n">
        <x:f>IF(C287="P0",1,IF(D287&lt;=3,0.8,IF(D287&lt;=14,0.65,IF(D287&lt;=45,0.5,0.3))))</x:f>
        <x:v>0.65</x:v>
      </x:c>
      <x:c r="M287" s="47" t="n">
        <x:f>J287*L287</x:f>
        <x:v>8424</x:v>
      </x:c>
      <x:c r="N287" s="47" t="n">
        <x:f>N286+M287</x:f>
        <x:v>81108</x:v>
      </x:c>
      <x:c r="O287" s="46" t="n">
        <x:f>IF(C287="P0",0,IF(D287&lt;=3,0.15,IF(D287&lt;=14,0.25,IF(D287&lt;=45,0.35,0.5))))</x:f>
        <x:v>0.25</x:v>
      </x:c>
      <x:c r="P287" s="47" t="n">
        <x:f>J287*O287</x:f>
        <x:v>3240</x:v>
      </x:c>
      <x:c r="Q287" s="46" t="n">
        <x:f>IF(C287="P0",0,IF(D287&lt;=3,0.05,IF(D287&lt;=14,0.1,IF(D287&lt;=45,0.15,0.2))))</x:f>
        <x:v>0.1</x:v>
      </x:c>
      <x:c r="R287" s="47" t="n">
        <x:f>J287*Q287</x:f>
        <x:v>1296</x:v>
      </x:c>
      <x:c r="S287" s="20" t="str">
        <x:f>IF(D287&lt;E287,"closed",IF(D287&lt;'Paths'!$N$10,"initial","expanded"))</x:f>
        <x:v>expanded</x:v>
      </x:c>
      <x:c r="T287" s="72"/>
    </x:row>
    <x:row r="288">
      <x:c r="C288" s="20" t="str">
        <x:v>P3</x:v>
      </x:c>
      <x:c r="D288" s="20" t="n">
        <x:v>8</x:v>
      </x:c>
      <x:c r="E288" s="45" t="n">
        <x:f>IF('Controls'!$D$7="Reference",'Paths'!$J$10,'Paths'!$K$10)</x:f>
        <x:v>0</x:v>
      </x:c>
      <x:c r="F288" s="47" t="n">
        <x:f>IF(D288&lt;'Paths'!$N$10,IF('Controls'!$D$7="Reference",'Paths'!$L$10,'Paths'!$M$10),IF('Controls'!$D$7="Reference",'Paths'!$O$10,'Paths'!$P$10))</x:f>
        <x:v>18000</x:v>
      </x:c>
      <x:c r="G288" s="46" t="n">
        <x:f>IF('Controls'!$D$7="Reference",1,IF(OR(D288=6,D288=7,D288=21,D288=46),'Paths'!$U$10,1))</x:f>
        <x:v>1</x:v>
      </x:c>
      <x:c r="H288" s="46" t="n">
        <x:f>IF('Controls'!$D$7="Reference",1,IF(OR(AND(D288&gt;=14,D288&lt;=16),AND(D288&gt;=34,D288&lt;=35),AND(D288&gt;=61,D288&lt;=63)),'Paths'!$V$10,1))</x:f>
        <x:v>1</x:v>
      </x:c>
      <x:c r="I288" s="46" t="n">
        <x:f>'Paths'!$W$10</x:f>
        <x:v>0.9</x:v>
      </x:c>
      <x:c r="J288" s="47" t="n">
        <x:f>IF(D288&lt;E288,0,MIN(F288*G288*H288*I288,IF('Paths'!$T$10&gt;0,MAX(0,'Paths'!$T$10-K287),1000000000)))</x:f>
        <x:v>16200</x:v>
      </x:c>
      <x:c r="K288" s="47" t="n">
        <x:f>K287+J288</x:f>
        <x:v>128520</x:v>
      </x:c>
      <x:c r="L288" s="46" t="n">
        <x:f>IF(C288="P0",1,IF(D288&lt;=3,0.8,IF(D288&lt;=14,0.65,IF(D288&lt;=45,0.5,0.3))))</x:f>
        <x:v>0.65</x:v>
      </x:c>
      <x:c r="M288" s="47" t="n">
        <x:f>J288*L288</x:f>
        <x:v>10530</x:v>
      </x:c>
      <x:c r="N288" s="47" t="n">
        <x:f>N287+M288</x:f>
        <x:v>91638</x:v>
      </x:c>
      <x:c r="O288" s="46" t="n">
        <x:f>IF(C288="P0",0,IF(D288&lt;=3,0.15,IF(D288&lt;=14,0.25,IF(D288&lt;=45,0.35,0.5))))</x:f>
        <x:v>0.25</x:v>
      </x:c>
      <x:c r="P288" s="47" t="n">
        <x:f>J288*O288</x:f>
        <x:v>4050</x:v>
      </x:c>
      <x:c r="Q288" s="46" t="n">
        <x:f>IF(C288="P0",0,IF(D288&lt;=3,0.05,IF(D288&lt;=14,0.1,IF(D288&lt;=45,0.15,0.2))))</x:f>
        <x:v>0.1</x:v>
      </x:c>
      <x:c r="R288" s="47" t="n">
        <x:f>J288*Q288</x:f>
        <x:v>1620</x:v>
      </x:c>
      <x:c r="S288" s="20" t="str">
        <x:f>IF(D288&lt;E288,"closed",IF(D288&lt;'Paths'!$N$10,"initial","expanded"))</x:f>
        <x:v>expanded</x:v>
      </x:c>
      <x:c r="T288" s="72"/>
    </x:row>
    <x:row r="289">
      <x:c r="C289" s="20" t="str">
        <x:v>P3</x:v>
      </x:c>
      <x:c r="D289" s="20" t="n">
        <x:v>9</x:v>
      </x:c>
      <x:c r="E289" s="45" t="n">
        <x:f>IF('Controls'!$D$7="Reference",'Paths'!$J$10,'Paths'!$K$10)</x:f>
        <x:v>0</x:v>
      </x:c>
      <x:c r="F289" s="47" t="n">
        <x:f>IF(D289&lt;'Paths'!$N$10,IF('Controls'!$D$7="Reference",'Paths'!$L$10,'Paths'!$M$10),IF('Controls'!$D$7="Reference",'Paths'!$O$10,'Paths'!$P$10))</x:f>
        <x:v>18000</x:v>
      </x:c>
      <x:c r="G289" s="46" t="n">
        <x:f>IF('Controls'!$D$7="Reference",1,IF(OR(D289=6,D289=7,D289=21,D289=46),'Paths'!$U$10,1))</x:f>
        <x:v>1</x:v>
      </x:c>
      <x:c r="H289" s="46" t="n">
        <x:f>IF('Controls'!$D$7="Reference",1,IF(OR(AND(D289&gt;=14,D289&lt;=16),AND(D289&gt;=34,D289&lt;=35),AND(D289&gt;=61,D289&lt;=63)),'Paths'!$V$10,1))</x:f>
        <x:v>1</x:v>
      </x:c>
      <x:c r="I289" s="46" t="n">
        <x:f>'Paths'!$W$10</x:f>
        <x:v>0.9</x:v>
      </x:c>
      <x:c r="J289" s="47" t="n">
        <x:f>IF(D289&lt;E289,0,MIN(F289*G289*H289*I289,IF('Paths'!$T$10&gt;0,MAX(0,'Paths'!$T$10-K288),1000000000)))</x:f>
        <x:v>16200</x:v>
      </x:c>
      <x:c r="K289" s="47" t="n">
        <x:f>K288+J289</x:f>
        <x:v>144720</x:v>
      </x:c>
      <x:c r="L289" s="46" t="n">
        <x:f>IF(C289="P0",1,IF(D289&lt;=3,0.8,IF(D289&lt;=14,0.65,IF(D289&lt;=45,0.5,0.3))))</x:f>
        <x:v>0.65</x:v>
      </x:c>
      <x:c r="M289" s="47" t="n">
        <x:f>J289*L289</x:f>
        <x:v>10530</x:v>
      </x:c>
      <x:c r="N289" s="47" t="n">
        <x:f>N288+M289</x:f>
        <x:v>102168</x:v>
      </x:c>
      <x:c r="O289" s="46" t="n">
        <x:f>IF(C289="P0",0,IF(D289&lt;=3,0.15,IF(D289&lt;=14,0.25,IF(D289&lt;=45,0.35,0.5))))</x:f>
        <x:v>0.25</x:v>
      </x:c>
      <x:c r="P289" s="47" t="n">
        <x:f>J289*O289</x:f>
        <x:v>4050</x:v>
      </x:c>
      <x:c r="Q289" s="46" t="n">
        <x:f>IF(C289="P0",0,IF(D289&lt;=3,0.05,IF(D289&lt;=14,0.1,IF(D289&lt;=45,0.15,0.2))))</x:f>
        <x:v>0.1</x:v>
      </x:c>
      <x:c r="R289" s="47" t="n">
        <x:f>J289*Q289</x:f>
        <x:v>1620</x:v>
      </x:c>
      <x:c r="S289" s="20" t="str">
        <x:f>IF(D289&lt;E289,"closed",IF(D289&lt;'Paths'!$N$10,"initial","expanded"))</x:f>
        <x:v>expanded</x:v>
      </x:c>
      <x:c r="T289" s="72"/>
    </x:row>
    <x:row r="290">
      <x:c r="C290" s="20" t="str">
        <x:v>P3</x:v>
      </x:c>
      <x:c r="D290" s="20" t="n">
        <x:v>10</x:v>
      </x:c>
      <x:c r="E290" s="45" t="n">
        <x:f>IF('Controls'!$D$7="Reference",'Paths'!$J$10,'Paths'!$K$10)</x:f>
        <x:v>0</x:v>
      </x:c>
      <x:c r="F290" s="47" t="n">
        <x:f>IF(D290&lt;'Paths'!$N$10,IF('Controls'!$D$7="Reference",'Paths'!$L$10,'Paths'!$M$10),IF('Controls'!$D$7="Reference",'Paths'!$O$10,'Paths'!$P$10))</x:f>
        <x:v>18000</x:v>
      </x:c>
      <x:c r="G290" s="46" t="n">
        <x:f>IF('Controls'!$D$7="Reference",1,IF(OR(D290=6,D290=7,D290=21,D290=46),'Paths'!$U$10,1))</x:f>
        <x:v>1</x:v>
      </x:c>
      <x:c r="H290" s="46" t="n">
        <x:f>IF('Controls'!$D$7="Reference",1,IF(OR(AND(D290&gt;=14,D290&lt;=16),AND(D290&gt;=34,D290&lt;=35),AND(D290&gt;=61,D290&lt;=63)),'Paths'!$V$10,1))</x:f>
        <x:v>1</x:v>
      </x:c>
      <x:c r="I290" s="46" t="n">
        <x:f>'Paths'!$W$10</x:f>
        <x:v>0.9</x:v>
      </x:c>
      <x:c r="J290" s="47" t="n">
        <x:f>IF(D290&lt;E290,0,MIN(F290*G290*H290*I290,IF('Paths'!$T$10&gt;0,MAX(0,'Paths'!$T$10-K289),1000000000)))</x:f>
        <x:v>16200</x:v>
      </x:c>
      <x:c r="K290" s="47" t="n">
        <x:f>K289+J290</x:f>
        <x:v>160920</x:v>
      </x:c>
      <x:c r="L290" s="46" t="n">
        <x:f>IF(C290="P0",1,IF(D290&lt;=3,0.8,IF(D290&lt;=14,0.65,IF(D290&lt;=45,0.5,0.3))))</x:f>
        <x:v>0.65</x:v>
      </x:c>
      <x:c r="M290" s="47" t="n">
        <x:f>J290*L290</x:f>
        <x:v>10530</x:v>
      </x:c>
      <x:c r="N290" s="47" t="n">
        <x:f>N289+M290</x:f>
        <x:v>112698</x:v>
      </x:c>
      <x:c r="O290" s="46" t="n">
        <x:f>IF(C290="P0",0,IF(D290&lt;=3,0.15,IF(D290&lt;=14,0.25,IF(D290&lt;=45,0.35,0.5))))</x:f>
        <x:v>0.25</x:v>
      </x:c>
      <x:c r="P290" s="47" t="n">
        <x:f>J290*O290</x:f>
        <x:v>4050</x:v>
      </x:c>
      <x:c r="Q290" s="46" t="n">
        <x:f>IF(C290="P0",0,IF(D290&lt;=3,0.05,IF(D290&lt;=14,0.1,IF(D290&lt;=45,0.15,0.2))))</x:f>
        <x:v>0.1</x:v>
      </x:c>
      <x:c r="R290" s="47" t="n">
        <x:f>J290*Q290</x:f>
        <x:v>1620</x:v>
      </x:c>
      <x:c r="S290" s="20" t="str">
        <x:f>IF(D290&lt;E290,"closed",IF(D290&lt;'Paths'!$N$10,"initial","expanded"))</x:f>
        <x:v>expanded</x:v>
      </x:c>
      <x:c r="T290" s="72"/>
    </x:row>
    <x:row r="291">
      <x:c r="C291" s="20" t="str">
        <x:v>P3</x:v>
      </x:c>
      <x:c r="D291" s="20" t="n">
        <x:v>11</x:v>
      </x:c>
      <x:c r="E291" s="45" t="n">
        <x:f>IF('Controls'!$D$7="Reference",'Paths'!$J$10,'Paths'!$K$10)</x:f>
        <x:v>0</x:v>
      </x:c>
      <x:c r="F291" s="47" t="n">
        <x:f>IF(D291&lt;'Paths'!$N$10,IF('Controls'!$D$7="Reference",'Paths'!$L$10,'Paths'!$M$10),IF('Controls'!$D$7="Reference",'Paths'!$O$10,'Paths'!$P$10))</x:f>
        <x:v>18000</x:v>
      </x:c>
      <x:c r="G291" s="46" t="n">
        <x:f>IF('Controls'!$D$7="Reference",1,IF(OR(D291=6,D291=7,D291=21,D291=46),'Paths'!$U$10,1))</x:f>
        <x:v>1</x:v>
      </x:c>
      <x:c r="H291" s="46" t="n">
        <x:f>IF('Controls'!$D$7="Reference",1,IF(OR(AND(D291&gt;=14,D291&lt;=16),AND(D291&gt;=34,D291&lt;=35),AND(D291&gt;=61,D291&lt;=63)),'Paths'!$V$10,1))</x:f>
        <x:v>1</x:v>
      </x:c>
      <x:c r="I291" s="46" t="n">
        <x:f>'Paths'!$W$10</x:f>
        <x:v>0.9</x:v>
      </x:c>
      <x:c r="J291" s="47" t="n">
        <x:f>IF(D291&lt;E291,0,MIN(F291*G291*H291*I291,IF('Paths'!$T$10&gt;0,MAX(0,'Paths'!$T$10-K290),1000000000)))</x:f>
        <x:v>16200</x:v>
      </x:c>
      <x:c r="K291" s="47" t="n">
        <x:f>K290+J291</x:f>
        <x:v>177120</x:v>
      </x:c>
      <x:c r="L291" s="46" t="n">
        <x:f>IF(C291="P0",1,IF(D291&lt;=3,0.8,IF(D291&lt;=14,0.65,IF(D291&lt;=45,0.5,0.3))))</x:f>
        <x:v>0.65</x:v>
      </x:c>
      <x:c r="M291" s="47" t="n">
        <x:f>J291*L291</x:f>
        <x:v>10530</x:v>
      </x:c>
      <x:c r="N291" s="47" t="n">
        <x:f>N290+M291</x:f>
        <x:v>123228</x:v>
      </x:c>
      <x:c r="O291" s="46" t="n">
        <x:f>IF(C291="P0",0,IF(D291&lt;=3,0.15,IF(D291&lt;=14,0.25,IF(D291&lt;=45,0.35,0.5))))</x:f>
        <x:v>0.25</x:v>
      </x:c>
      <x:c r="P291" s="47" t="n">
        <x:f>J291*O291</x:f>
        <x:v>4050</x:v>
      </x:c>
      <x:c r="Q291" s="46" t="n">
        <x:f>IF(C291="P0",0,IF(D291&lt;=3,0.05,IF(D291&lt;=14,0.1,IF(D291&lt;=45,0.15,0.2))))</x:f>
        <x:v>0.1</x:v>
      </x:c>
      <x:c r="R291" s="47" t="n">
        <x:f>J291*Q291</x:f>
        <x:v>1620</x:v>
      </x:c>
      <x:c r="S291" s="20" t="str">
        <x:f>IF(D291&lt;E291,"closed",IF(D291&lt;'Paths'!$N$10,"initial","expanded"))</x:f>
        <x:v>expanded</x:v>
      </x:c>
      <x:c r="T291" s="72"/>
    </x:row>
    <x:row r="292">
      <x:c r="C292" s="20" t="str">
        <x:v>P3</x:v>
      </x:c>
      <x:c r="D292" s="20" t="n">
        <x:v>12</x:v>
      </x:c>
      <x:c r="E292" s="45" t="n">
        <x:f>IF('Controls'!$D$7="Reference",'Paths'!$J$10,'Paths'!$K$10)</x:f>
        <x:v>0</x:v>
      </x:c>
      <x:c r="F292" s="47" t="n">
        <x:f>IF(D292&lt;'Paths'!$N$10,IF('Controls'!$D$7="Reference",'Paths'!$L$10,'Paths'!$M$10),IF('Controls'!$D$7="Reference",'Paths'!$O$10,'Paths'!$P$10))</x:f>
        <x:v>18000</x:v>
      </x:c>
      <x:c r="G292" s="46" t="n">
        <x:f>IF('Controls'!$D$7="Reference",1,IF(OR(D292=6,D292=7,D292=21,D292=46),'Paths'!$U$10,1))</x:f>
        <x:v>1</x:v>
      </x:c>
      <x:c r="H292" s="46" t="n">
        <x:f>IF('Controls'!$D$7="Reference",1,IF(OR(AND(D292&gt;=14,D292&lt;=16),AND(D292&gt;=34,D292&lt;=35),AND(D292&gt;=61,D292&lt;=63)),'Paths'!$V$10,1))</x:f>
        <x:v>1</x:v>
      </x:c>
      <x:c r="I292" s="46" t="n">
        <x:f>'Paths'!$W$10</x:f>
        <x:v>0.9</x:v>
      </x:c>
      <x:c r="J292" s="47" t="n">
        <x:f>IF(D292&lt;E292,0,MIN(F292*G292*H292*I292,IF('Paths'!$T$10&gt;0,MAX(0,'Paths'!$T$10-K291),1000000000)))</x:f>
        <x:v>16200</x:v>
      </x:c>
      <x:c r="K292" s="47" t="n">
        <x:f>K291+J292</x:f>
        <x:v>193320</x:v>
      </x:c>
      <x:c r="L292" s="46" t="n">
        <x:f>IF(C292="P0",1,IF(D292&lt;=3,0.8,IF(D292&lt;=14,0.65,IF(D292&lt;=45,0.5,0.3))))</x:f>
        <x:v>0.65</x:v>
      </x:c>
      <x:c r="M292" s="47" t="n">
        <x:f>J292*L292</x:f>
        <x:v>10530</x:v>
      </x:c>
      <x:c r="N292" s="47" t="n">
        <x:f>N291+M292</x:f>
        <x:v>133758</x:v>
      </x:c>
      <x:c r="O292" s="46" t="n">
        <x:f>IF(C292="P0",0,IF(D292&lt;=3,0.15,IF(D292&lt;=14,0.25,IF(D292&lt;=45,0.35,0.5))))</x:f>
        <x:v>0.25</x:v>
      </x:c>
      <x:c r="P292" s="47" t="n">
        <x:f>J292*O292</x:f>
        <x:v>4050</x:v>
      </x:c>
      <x:c r="Q292" s="46" t="n">
        <x:f>IF(C292="P0",0,IF(D292&lt;=3,0.05,IF(D292&lt;=14,0.1,IF(D292&lt;=45,0.15,0.2))))</x:f>
        <x:v>0.1</x:v>
      </x:c>
      <x:c r="R292" s="47" t="n">
        <x:f>J292*Q292</x:f>
        <x:v>1620</x:v>
      </x:c>
      <x:c r="S292" s="20" t="str">
        <x:f>IF(D292&lt;E292,"closed",IF(D292&lt;'Paths'!$N$10,"initial","expanded"))</x:f>
        <x:v>expanded</x:v>
      </x:c>
      <x:c r="T292" s="72"/>
    </x:row>
    <x:row r="293">
      <x:c r="C293" s="20" t="str">
        <x:v>P3</x:v>
      </x:c>
      <x:c r="D293" s="20" t="n">
        <x:v>13</x:v>
      </x:c>
      <x:c r="E293" s="45" t="n">
        <x:f>IF('Controls'!$D$7="Reference",'Paths'!$J$10,'Paths'!$K$10)</x:f>
        <x:v>0</x:v>
      </x:c>
      <x:c r="F293" s="47" t="n">
        <x:f>IF(D293&lt;'Paths'!$N$10,IF('Controls'!$D$7="Reference",'Paths'!$L$10,'Paths'!$M$10),IF('Controls'!$D$7="Reference",'Paths'!$O$10,'Paths'!$P$10))</x:f>
        <x:v>18000</x:v>
      </x:c>
      <x:c r="G293" s="46" t="n">
        <x:f>IF('Controls'!$D$7="Reference",1,IF(OR(D293=6,D293=7,D293=21,D293=46),'Paths'!$U$10,1))</x:f>
        <x:v>1</x:v>
      </x:c>
      <x:c r="H293" s="46" t="n">
        <x:f>IF('Controls'!$D$7="Reference",1,IF(OR(AND(D293&gt;=14,D293&lt;=16),AND(D293&gt;=34,D293&lt;=35),AND(D293&gt;=61,D293&lt;=63)),'Paths'!$V$10,1))</x:f>
        <x:v>1</x:v>
      </x:c>
      <x:c r="I293" s="46" t="n">
        <x:f>'Paths'!$W$10</x:f>
        <x:v>0.9</x:v>
      </x:c>
      <x:c r="J293" s="47" t="n">
        <x:f>IF(D293&lt;E293,0,MIN(F293*G293*H293*I293,IF('Paths'!$T$10&gt;0,MAX(0,'Paths'!$T$10-K292),1000000000)))</x:f>
        <x:v>16200</x:v>
      </x:c>
      <x:c r="K293" s="47" t="n">
        <x:f>K292+J293</x:f>
        <x:v>209520</x:v>
      </x:c>
      <x:c r="L293" s="46" t="n">
        <x:f>IF(C293="P0",1,IF(D293&lt;=3,0.8,IF(D293&lt;=14,0.65,IF(D293&lt;=45,0.5,0.3))))</x:f>
        <x:v>0.65</x:v>
      </x:c>
      <x:c r="M293" s="47" t="n">
        <x:f>J293*L293</x:f>
        <x:v>10530</x:v>
      </x:c>
      <x:c r="N293" s="47" t="n">
        <x:f>N292+M293</x:f>
        <x:v>144288</x:v>
      </x:c>
      <x:c r="O293" s="46" t="n">
        <x:f>IF(C293="P0",0,IF(D293&lt;=3,0.15,IF(D293&lt;=14,0.25,IF(D293&lt;=45,0.35,0.5))))</x:f>
        <x:v>0.25</x:v>
      </x:c>
      <x:c r="P293" s="47" t="n">
        <x:f>J293*O293</x:f>
        <x:v>4050</x:v>
      </x:c>
      <x:c r="Q293" s="46" t="n">
        <x:f>IF(C293="P0",0,IF(D293&lt;=3,0.05,IF(D293&lt;=14,0.1,IF(D293&lt;=45,0.15,0.2))))</x:f>
        <x:v>0.1</x:v>
      </x:c>
      <x:c r="R293" s="47" t="n">
        <x:f>J293*Q293</x:f>
        <x:v>1620</x:v>
      </x:c>
      <x:c r="S293" s="20" t="str">
        <x:f>IF(D293&lt;E293,"closed",IF(D293&lt;'Paths'!$N$10,"initial","expanded"))</x:f>
        <x:v>expanded</x:v>
      </x:c>
      <x:c r="T293" s="72"/>
    </x:row>
    <x:row r="294">
      <x:c r="C294" s="20" t="str">
        <x:v>P3</x:v>
      </x:c>
      <x:c r="D294" s="20" t="n">
        <x:v>14</x:v>
      </x:c>
      <x:c r="E294" s="45" t="n">
        <x:f>IF('Controls'!$D$7="Reference",'Paths'!$J$10,'Paths'!$K$10)</x:f>
        <x:v>0</x:v>
      </x:c>
      <x:c r="F294" s="47" t="n">
        <x:f>IF(D294&lt;'Paths'!$N$10,IF('Controls'!$D$7="Reference",'Paths'!$L$10,'Paths'!$M$10),IF('Controls'!$D$7="Reference",'Paths'!$O$10,'Paths'!$P$10))</x:f>
        <x:v>18000</x:v>
      </x:c>
      <x:c r="G294" s="46" t="n">
        <x:f>IF('Controls'!$D$7="Reference",1,IF(OR(D294=6,D294=7,D294=21,D294=46),'Paths'!$U$10,1))</x:f>
        <x:v>1</x:v>
      </x:c>
      <x:c r="H294" s="46" t="n">
        <x:f>IF('Controls'!$D$7="Reference",1,IF(OR(AND(D294&gt;=14,D294&lt;=16),AND(D294&gt;=34,D294&lt;=35),AND(D294&gt;=61,D294&lt;=63)),'Paths'!$V$10,1))</x:f>
        <x:v>0.65</x:v>
      </x:c>
      <x:c r="I294" s="46" t="n">
        <x:f>'Paths'!$W$10</x:f>
        <x:v>0.9</x:v>
      </x:c>
      <x:c r="J294" s="47" t="n">
        <x:f>IF(D294&lt;E294,0,MIN(F294*G294*H294*I294,IF('Paths'!$T$10&gt;0,MAX(0,'Paths'!$T$10-K293),1000000000)))</x:f>
        <x:v>10530</x:v>
      </x:c>
      <x:c r="K294" s="47" t="n">
        <x:f>K293+J294</x:f>
        <x:v>220050</x:v>
      </x:c>
      <x:c r="L294" s="46" t="n">
        <x:f>IF(C294="P0",1,IF(D294&lt;=3,0.8,IF(D294&lt;=14,0.65,IF(D294&lt;=45,0.5,0.3))))</x:f>
        <x:v>0.65</x:v>
      </x:c>
      <x:c r="M294" s="47" t="n">
        <x:f>J294*L294</x:f>
        <x:v>6844.5</x:v>
      </x:c>
      <x:c r="N294" s="47" t="n">
        <x:f>N293+M294</x:f>
        <x:v>151132.5</x:v>
      </x:c>
      <x:c r="O294" s="46" t="n">
        <x:f>IF(C294="P0",0,IF(D294&lt;=3,0.15,IF(D294&lt;=14,0.25,IF(D294&lt;=45,0.35,0.5))))</x:f>
        <x:v>0.25</x:v>
      </x:c>
      <x:c r="P294" s="47" t="n">
        <x:f>J294*O294</x:f>
        <x:v>2632.5</x:v>
      </x:c>
      <x:c r="Q294" s="46" t="n">
        <x:f>IF(C294="P0",0,IF(D294&lt;=3,0.05,IF(D294&lt;=14,0.1,IF(D294&lt;=45,0.15,0.2))))</x:f>
        <x:v>0.1</x:v>
      </x:c>
      <x:c r="R294" s="47" t="n">
        <x:f>J294*Q294</x:f>
        <x:v>1053</x:v>
      </x:c>
      <x:c r="S294" s="20" t="str">
        <x:f>IF(D294&lt;E294,"closed",IF(D294&lt;'Paths'!$N$10,"initial","expanded"))</x:f>
        <x:v>expanded</x:v>
      </x:c>
      <x:c r="T294" s="72"/>
    </x:row>
    <x:row r="295">
      <x:c r="C295" s="20" t="str">
        <x:v>P3</x:v>
      </x:c>
      <x:c r="D295" s="20" t="n">
        <x:v>15</x:v>
      </x:c>
      <x:c r="E295" s="45" t="n">
        <x:f>IF('Controls'!$D$7="Reference",'Paths'!$J$10,'Paths'!$K$10)</x:f>
        <x:v>0</x:v>
      </x:c>
      <x:c r="F295" s="47" t="n">
        <x:f>IF(D295&lt;'Paths'!$N$10,IF('Controls'!$D$7="Reference",'Paths'!$L$10,'Paths'!$M$10),IF('Controls'!$D$7="Reference",'Paths'!$O$10,'Paths'!$P$10))</x:f>
        <x:v>18000</x:v>
      </x:c>
      <x:c r="G295" s="46" t="n">
        <x:f>IF('Controls'!$D$7="Reference",1,IF(OR(D295=6,D295=7,D295=21,D295=46),'Paths'!$U$10,1))</x:f>
        <x:v>1</x:v>
      </x:c>
      <x:c r="H295" s="46" t="n">
        <x:f>IF('Controls'!$D$7="Reference",1,IF(OR(AND(D295&gt;=14,D295&lt;=16),AND(D295&gt;=34,D295&lt;=35),AND(D295&gt;=61,D295&lt;=63)),'Paths'!$V$10,1))</x:f>
        <x:v>0.65</x:v>
      </x:c>
      <x:c r="I295" s="46" t="n">
        <x:f>'Paths'!$W$10</x:f>
        <x:v>0.9</x:v>
      </x:c>
      <x:c r="J295" s="47" t="n">
        <x:f>IF(D295&lt;E295,0,MIN(F295*G295*H295*I295,IF('Paths'!$T$10&gt;0,MAX(0,'Paths'!$T$10-K294),1000000000)))</x:f>
        <x:v>10530</x:v>
      </x:c>
      <x:c r="K295" s="47" t="n">
        <x:f>K294+J295</x:f>
        <x:v>230580</x:v>
      </x:c>
      <x:c r="L295" s="46" t="n">
        <x:f>IF(C295="P0",1,IF(D295&lt;=3,0.8,IF(D295&lt;=14,0.65,IF(D295&lt;=45,0.5,0.3))))</x:f>
        <x:v>0.5</x:v>
      </x:c>
      <x:c r="M295" s="47" t="n">
        <x:f>J295*L295</x:f>
        <x:v>5265</x:v>
      </x:c>
      <x:c r="N295" s="47" t="n">
        <x:f>N294+M295</x:f>
        <x:v>156397.5</x:v>
      </x:c>
      <x:c r="O295" s="46" t="n">
        <x:f>IF(C295="P0",0,IF(D295&lt;=3,0.15,IF(D295&lt;=14,0.25,IF(D295&lt;=45,0.35,0.5))))</x:f>
        <x:v>0.35</x:v>
      </x:c>
      <x:c r="P295" s="47" t="n">
        <x:f>J295*O295</x:f>
        <x:v>3685.4999999999995</x:v>
      </x:c>
      <x:c r="Q295" s="46" t="n">
        <x:f>IF(C295="P0",0,IF(D295&lt;=3,0.05,IF(D295&lt;=14,0.1,IF(D295&lt;=45,0.15,0.2))))</x:f>
        <x:v>0.15</x:v>
      </x:c>
      <x:c r="R295" s="47" t="n">
        <x:f>J295*Q295</x:f>
        <x:v>1579.5</x:v>
      </x:c>
      <x:c r="S295" s="20" t="str">
        <x:f>IF(D295&lt;E295,"closed",IF(D295&lt;'Paths'!$N$10,"initial","expanded"))</x:f>
        <x:v>expanded</x:v>
      </x:c>
      <x:c r="T295" s="72"/>
    </x:row>
    <x:row r="296">
      <x:c r="C296" s="20" t="str">
        <x:v>P3</x:v>
      </x:c>
      <x:c r="D296" s="20" t="n">
        <x:v>16</x:v>
      </x:c>
      <x:c r="E296" s="45" t="n">
        <x:f>IF('Controls'!$D$7="Reference",'Paths'!$J$10,'Paths'!$K$10)</x:f>
        <x:v>0</x:v>
      </x:c>
      <x:c r="F296" s="47" t="n">
        <x:f>IF(D296&lt;'Paths'!$N$10,IF('Controls'!$D$7="Reference",'Paths'!$L$10,'Paths'!$M$10),IF('Controls'!$D$7="Reference",'Paths'!$O$10,'Paths'!$P$10))</x:f>
        <x:v>18000</x:v>
      </x:c>
      <x:c r="G296" s="46" t="n">
        <x:f>IF('Controls'!$D$7="Reference",1,IF(OR(D296=6,D296=7,D296=21,D296=46),'Paths'!$U$10,1))</x:f>
        <x:v>1</x:v>
      </x:c>
      <x:c r="H296" s="46" t="n">
        <x:f>IF('Controls'!$D$7="Reference",1,IF(OR(AND(D296&gt;=14,D296&lt;=16),AND(D296&gt;=34,D296&lt;=35),AND(D296&gt;=61,D296&lt;=63)),'Paths'!$V$10,1))</x:f>
        <x:v>0.65</x:v>
      </x:c>
      <x:c r="I296" s="46" t="n">
        <x:f>'Paths'!$W$10</x:f>
        <x:v>0.9</x:v>
      </x:c>
      <x:c r="J296" s="47" t="n">
        <x:f>IF(D296&lt;E296,0,MIN(F296*G296*H296*I296,IF('Paths'!$T$10&gt;0,MAX(0,'Paths'!$T$10-K295),1000000000)))</x:f>
        <x:v>10530</x:v>
      </x:c>
      <x:c r="K296" s="47" t="n">
        <x:f>K295+J296</x:f>
        <x:v>241110</x:v>
      </x:c>
      <x:c r="L296" s="46" t="n">
        <x:f>IF(C296="P0",1,IF(D296&lt;=3,0.8,IF(D296&lt;=14,0.65,IF(D296&lt;=45,0.5,0.3))))</x:f>
        <x:v>0.5</x:v>
      </x:c>
      <x:c r="M296" s="47" t="n">
        <x:f>J296*L296</x:f>
        <x:v>5265</x:v>
      </x:c>
      <x:c r="N296" s="47" t="n">
        <x:f>N295+M296</x:f>
        <x:v>161662.5</x:v>
      </x:c>
      <x:c r="O296" s="46" t="n">
        <x:f>IF(C296="P0",0,IF(D296&lt;=3,0.15,IF(D296&lt;=14,0.25,IF(D296&lt;=45,0.35,0.5))))</x:f>
        <x:v>0.35</x:v>
      </x:c>
      <x:c r="P296" s="47" t="n">
        <x:f>J296*O296</x:f>
        <x:v>3685.4999999999995</x:v>
      </x:c>
      <x:c r="Q296" s="46" t="n">
        <x:f>IF(C296="P0",0,IF(D296&lt;=3,0.05,IF(D296&lt;=14,0.1,IF(D296&lt;=45,0.15,0.2))))</x:f>
        <x:v>0.15</x:v>
      </x:c>
      <x:c r="R296" s="47" t="n">
        <x:f>J296*Q296</x:f>
        <x:v>1579.5</x:v>
      </x:c>
      <x:c r="S296" s="20" t="str">
        <x:f>IF(D296&lt;E296,"closed",IF(D296&lt;'Paths'!$N$10,"initial","expanded"))</x:f>
        <x:v>expanded</x:v>
      </x:c>
      <x:c r="T296" s="72"/>
    </x:row>
    <x:row r="297">
      <x:c r="C297" s="20" t="str">
        <x:v>P3</x:v>
      </x:c>
      <x:c r="D297" s="20" t="n">
        <x:v>17</x:v>
      </x:c>
      <x:c r="E297" s="45" t="n">
        <x:f>IF('Controls'!$D$7="Reference",'Paths'!$J$10,'Paths'!$K$10)</x:f>
        <x:v>0</x:v>
      </x:c>
      <x:c r="F297" s="47" t="n">
        <x:f>IF(D297&lt;'Paths'!$N$10,IF('Controls'!$D$7="Reference",'Paths'!$L$10,'Paths'!$M$10),IF('Controls'!$D$7="Reference",'Paths'!$O$10,'Paths'!$P$10))</x:f>
        <x:v>18000</x:v>
      </x:c>
      <x:c r="G297" s="46" t="n">
        <x:f>IF('Controls'!$D$7="Reference",1,IF(OR(D297=6,D297=7,D297=21,D297=46),'Paths'!$U$10,1))</x:f>
        <x:v>1</x:v>
      </x:c>
      <x:c r="H297" s="46" t="n">
        <x:f>IF('Controls'!$D$7="Reference",1,IF(OR(AND(D297&gt;=14,D297&lt;=16),AND(D297&gt;=34,D297&lt;=35),AND(D297&gt;=61,D297&lt;=63)),'Paths'!$V$10,1))</x:f>
        <x:v>1</x:v>
      </x:c>
      <x:c r="I297" s="46" t="n">
        <x:f>'Paths'!$W$10</x:f>
        <x:v>0.9</x:v>
      </x:c>
      <x:c r="J297" s="47" t="n">
        <x:f>IF(D297&lt;E297,0,MIN(F297*G297*H297*I297,IF('Paths'!$T$10&gt;0,MAX(0,'Paths'!$T$10-K296),1000000000)))</x:f>
        <x:v>16200</x:v>
      </x:c>
      <x:c r="K297" s="47" t="n">
        <x:f>K296+J297</x:f>
        <x:v>257310</x:v>
      </x:c>
      <x:c r="L297" s="46" t="n">
        <x:f>IF(C297="P0",1,IF(D297&lt;=3,0.8,IF(D297&lt;=14,0.65,IF(D297&lt;=45,0.5,0.3))))</x:f>
        <x:v>0.5</x:v>
      </x:c>
      <x:c r="M297" s="47" t="n">
        <x:f>J297*L297</x:f>
        <x:v>8100</x:v>
      </x:c>
      <x:c r="N297" s="47" t="n">
        <x:f>N296+M297</x:f>
        <x:v>169762.5</x:v>
      </x:c>
      <x:c r="O297" s="46" t="n">
        <x:f>IF(C297="P0",0,IF(D297&lt;=3,0.15,IF(D297&lt;=14,0.25,IF(D297&lt;=45,0.35,0.5))))</x:f>
        <x:v>0.35</x:v>
      </x:c>
      <x:c r="P297" s="47" t="n">
        <x:f>J297*O297</x:f>
        <x:v>5670</x:v>
      </x:c>
      <x:c r="Q297" s="46" t="n">
        <x:f>IF(C297="P0",0,IF(D297&lt;=3,0.05,IF(D297&lt;=14,0.1,IF(D297&lt;=45,0.15,0.2))))</x:f>
        <x:v>0.15</x:v>
      </x:c>
      <x:c r="R297" s="47" t="n">
        <x:f>J297*Q297</x:f>
        <x:v>2430</x:v>
      </x:c>
      <x:c r="S297" s="20" t="str">
        <x:f>IF(D297&lt;E297,"closed",IF(D297&lt;'Paths'!$N$10,"initial","expanded"))</x:f>
        <x:v>expanded</x:v>
      </x:c>
      <x:c r="T297" s="72"/>
    </x:row>
    <x:row r="298">
      <x:c r="C298" s="20" t="str">
        <x:v>P3</x:v>
      </x:c>
      <x:c r="D298" s="20" t="n">
        <x:v>18</x:v>
      </x:c>
      <x:c r="E298" s="45" t="n">
        <x:f>IF('Controls'!$D$7="Reference",'Paths'!$J$10,'Paths'!$K$10)</x:f>
        <x:v>0</x:v>
      </x:c>
      <x:c r="F298" s="47" t="n">
        <x:f>IF(D298&lt;'Paths'!$N$10,IF('Controls'!$D$7="Reference",'Paths'!$L$10,'Paths'!$M$10),IF('Controls'!$D$7="Reference",'Paths'!$O$10,'Paths'!$P$10))</x:f>
        <x:v>18000</x:v>
      </x:c>
      <x:c r="G298" s="46" t="n">
        <x:f>IF('Controls'!$D$7="Reference",1,IF(OR(D298=6,D298=7,D298=21,D298=46),'Paths'!$U$10,1))</x:f>
        <x:v>1</x:v>
      </x:c>
      <x:c r="H298" s="46" t="n">
        <x:f>IF('Controls'!$D$7="Reference",1,IF(OR(AND(D298&gt;=14,D298&lt;=16),AND(D298&gt;=34,D298&lt;=35),AND(D298&gt;=61,D298&lt;=63)),'Paths'!$V$10,1))</x:f>
        <x:v>1</x:v>
      </x:c>
      <x:c r="I298" s="46" t="n">
        <x:f>'Paths'!$W$10</x:f>
        <x:v>0.9</x:v>
      </x:c>
      <x:c r="J298" s="47" t="n">
        <x:f>IF(D298&lt;E298,0,MIN(F298*G298*H298*I298,IF('Paths'!$T$10&gt;0,MAX(0,'Paths'!$T$10-K297),1000000000)))</x:f>
        <x:v>16200</x:v>
      </x:c>
      <x:c r="K298" s="47" t="n">
        <x:f>K297+J298</x:f>
        <x:v>273510</x:v>
      </x:c>
      <x:c r="L298" s="46" t="n">
        <x:f>IF(C298="P0",1,IF(D298&lt;=3,0.8,IF(D298&lt;=14,0.65,IF(D298&lt;=45,0.5,0.3))))</x:f>
        <x:v>0.5</x:v>
      </x:c>
      <x:c r="M298" s="47" t="n">
        <x:f>J298*L298</x:f>
        <x:v>8100</x:v>
      </x:c>
      <x:c r="N298" s="47" t="n">
        <x:f>N297+M298</x:f>
        <x:v>177862.5</x:v>
      </x:c>
      <x:c r="O298" s="46" t="n">
        <x:f>IF(C298="P0",0,IF(D298&lt;=3,0.15,IF(D298&lt;=14,0.25,IF(D298&lt;=45,0.35,0.5))))</x:f>
        <x:v>0.35</x:v>
      </x:c>
      <x:c r="P298" s="47" t="n">
        <x:f>J298*O298</x:f>
        <x:v>5670</x:v>
      </x:c>
      <x:c r="Q298" s="46" t="n">
        <x:f>IF(C298="P0",0,IF(D298&lt;=3,0.05,IF(D298&lt;=14,0.1,IF(D298&lt;=45,0.15,0.2))))</x:f>
        <x:v>0.15</x:v>
      </x:c>
      <x:c r="R298" s="47" t="n">
        <x:f>J298*Q298</x:f>
        <x:v>2430</x:v>
      </x:c>
      <x:c r="S298" s="20" t="str">
        <x:f>IF(D298&lt;E298,"closed",IF(D298&lt;'Paths'!$N$10,"initial","expanded"))</x:f>
        <x:v>expanded</x:v>
      </x:c>
      <x:c r="T298" s="72"/>
    </x:row>
    <x:row r="299">
      <x:c r="C299" s="20" t="str">
        <x:v>P3</x:v>
      </x:c>
      <x:c r="D299" s="20" t="n">
        <x:v>19</x:v>
      </x:c>
      <x:c r="E299" s="45" t="n">
        <x:f>IF('Controls'!$D$7="Reference",'Paths'!$J$10,'Paths'!$K$10)</x:f>
        <x:v>0</x:v>
      </x:c>
      <x:c r="F299" s="47" t="n">
        <x:f>IF(D299&lt;'Paths'!$N$10,IF('Controls'!$D$7="Reference",'Paths'!$L$10,'Paths'!$M$10),IF('Controls'!$D$7="Reference",'Paths'!$O$10,'Paths'!$P$10))</x:f>
        <x:v>18000</x:v>
      </x:c>
      <x:c r="G299" s="46" t="n">
        <x:f>IF('Controls'!$D$7="Reference",1,IF(OR(D299=6,D299=7,D299=21,D299=46),'Paths'!$U$10,1))</x:f>
        <x:v>1</x:v>
      </x:c>
      <x:c r="H299" s="46" t="n">
        <x:f>IF('Controls'!$D$7="Reference",1,IF(OR(AND(D299&gt;=14,D299&lt;=16),AND(D299&gt;=34,D299&lt;=35),AND(D299&gt;=61,D299&lt;=63)),'Paths'!$V$10,1))</x:f>
        <x:v>1</x:v>
      </x:c>
      <x:c r="I299" s="46" t="n">
        <x:f>'Paths'!$W$10</x:f>
        <x:v>0.9</x:v>
      </x:c>
      <x:c r="J299" s="47" t="n">
        <x:f>IF(D299&lt;E299,0,MIN(F299*G299*H299*I299,IF('Paths'!$T$10&gt;0,MAX(0,'Paths'!$T$10-K298),1000000000)))</x:f>
        <x:v>16200</x:v>
      </x:c>
      <x:c r="K299" s="47" t="n">
        <x:f>K298+J299</x:f>
        <x:v>289710</x:v>
      </x:c>
      <x:c r="L299" s="46" t="n">
        <x:f>IF(C299="P0",1,IF(D299&lt;=3,0.8,IF(D299&lt;=14,0.65,IF(D299&lt;=45,0.5,0.3))))</x:f>
        <x:v>0.5</x:v>
      </x:c>
      <x:c r="M299" s="47" t="n">
        <x:f>J299*L299</x:f>
        <x:v>8100</x:v>
      </x:c>
      <x:c r="N299" s="47" t="n">
        <x:f>N298+M299</x:f>
        <x:v>185962.5</x:v>
      </x:c>
      <x:c r="O299" s="46" t="n">
        <x:f>IF(C299="P0",0,IF(D299&lt;=3,0.15,IF(D299&lt;=14,0.25,IF(D299&lt;=45,0.35,0.5))))</x:f>
        <x:v>0.35</x:v>
      </x:c>
      <x:c r="P299" s="47" t="n">
        <x:f>J299*O299</x:f>
        <x:v>5670</x:v>
      </x:c>
      <x:c r="Q299" s="46" t="n">
        <x:f>IF(C299="P0",0,IF(D299&lt;=3,0.05,IF(D299&lt;=14,0.1,IF(D299&lt;=45,0.15,0.2))))</x:f>
        <x:v>0.15</x:v>
      </x:c>
      <x:c r="R299" s="47" t="n">
        <x:f>J299*Q299</x:f>
        <x:v>2430</x:v>
      </x:c>
      <x:c r="S299" s="20" t="str">
        <x:f>IF(D299&lt;E299,"closed",IF(D299&lt;'Paths'!$N$10,"initial","expanded"))</x:f>
        <x:v>expanded</x:v>
      </x:c>
      <x:c r="T299" s="72"/>
    </x:row>
    <x:row r="300">
      <x:c r="C300" s="20" t="str">
        <x:v>P3</x:v>
      </x:c>
      <x:c r="D300" s="20" t="n">
        <x:v>20</x:v>
      </x:c>
      <x:c r="E300" s="45" t="n">
        <x:f>IF('Controls'!$D$7="Reference",'Paths'!$J$10,'Paths'!$K$10)</x:f>
        <x:v>0</x:v>
      </x:c>
      <x:c r="F300" s="47" t="n">
        <x:f>IF(D300&lt;'Paths'!$N$10,IF('Controls'!$D$7="Reference",'Paths'!$L$10,'Paths'!$M$10),IF('Controls'!$D$7="Reference",'Paths'!$O$10,'Paths'!$P$10))</x:f>
        <x:v>18000</x:v>
      </x:c>
      <x:c r="G300" s="46" t="n">
        <x:f>IF('Controls'!$D$7="Reference",1,IF(OR(D300=6,D300=7,D300=21,D300=46),'Paths'!$U$10,1))</x:f>
        <x:v>1</x:v>
      </x:c>
      <x:c r="H300" s="46" t="n">
        <x:f>IF('Controls'!$D$7="Reference",1,IF(OR(AND(D300&gt;=14,D300&lt;=16),AND(D300&gt;=34,D300&lt;=35),AND(D300&gt;=61,D300&lt;=63)),'Paths'!$V$10,1))</x:f>
        <x:v>1</x:v>
      </x:c>
      <x:c r="I300" s="46" t="n">
        <x:f>'Paths'!$W$10</x:f>
        <x:v>0.9</x:v>
      </x:c>
      <x:c r="J300" s="47" t="n">
        <x:f>IF(D300&lt;E300,0,MIN(F300*G300*H300*I300,IF('Paths'!$T$10&gt;0,MAX(0,'Paths'!$T$10-K299),1000000000)))</x:f>
        <x:v>16200</x:v>
      </x:c>
      <x:c r="K300" s="47" t="n">
        <x:f>K299+J300</x:f>
        <x:v>305910</x:v>
      </x:c>
      <x:c r="L300" s="46" t="n">
        <x:f>IF(C300="P0",1,IF(D300&lt;=3,0.8,IF(D300&lt;=14,0.65,IF(D300&lt;=45,0.5,0.3))))</x:f>
        <x:v>0.5</x:v>
      </x:c>
      <x:c r="M300" s="47" t="n">
        <x:f>J300*L300</x:f>
        <x:v>8100</x:v>
      </x:c>
      <x:c r="N300" s="47" t="n">
        <x:f>N299+M300</x:f>
        <x:v>194062.5</x:v>
      </x:c>
      <x:c r="O300" s="46" t="n">
        <x:f>IF(C300="P0",0,IF(D300&lt;=3,0.15,IF(D300&lt;=14,0.25,IF(D300&lt;=45,0.35,0.5))))</x:f>
        <x:v>0.35</x:v>
      </x:c>
      <x:c r="P300" s="47" t="n">
        <x:f>J300*O300</x:f>
        <x:v>5670</x:v>
      </x:c>
      <x:c r="Q300" s="46" t="n">
        <x:f>IF(C300="P0",0,IF(D300&lt;=3,0.05,IF(D300&lt;=14,0.1,IF(D300&lt;=45,0.15,0.2))))</x:f>
        <x:v>0.15</x:v>
      </x:c>
      <x:c r="R300" s="47" t="n">
        <x:f>J300*Q300</x:f>
        <x:v>2430</x:v>
      </x:c>
      <x:c r="S300" s="20" t="str">
        <x:f>IF(D300&lt;E300,"closed",IF(D300&lt;'Paths'!$N$10,"initial","expanded"))</x:f>
        <x:v>expanded</x:v>
      </x:c>
      <x:c r="T300" s="72"/>
    </x:row>
    <x:row r="301">
      <x:c r="C301" s="20" t="str">
        <x:v>P3</x:v>
      </x:c>
      <x:c r="D301" s="20" t="n">
        <x:v>21</x:v>
      </x:c>
      <x:c r="E301" s="45" t="n">
        <x:f>IF('Controls'!$D$7="Reference",'Paths'!$J$10,'Paths'!$K$10)</x:f>
        <x:v>0</x:v>
      </x:c>
      <x:c r="F301" s="47" t="n">
        <x:f>IF(D301&lt;'Paths'!$N$10,IF('Controls'!$D$7="Reference",'Paths'!$L$10,'Paths'!$M$10),IF('Controls'!$D$7="Reference",'Paths'!$O$10,'Paths'!$P$10))</x:f>
        <x:v>18000</x:v>
      </x:c>
      <x:c r="G301" s="46" t="n">
        <x:f>IF('Controls'!$D$7="Reference",1,IF(OR(D301=6,D301=7,D301=21,D301=46),'Paths'!$U$10,1))</x:f>
        <x:v>0.8</x:v>
      </x:c>
      <x:c r="H301" s="46" t="n">
        <x:f>IF('Controls'!$D$7="Reference",1,IF(OR(AND(D301&gt;=14,D301&lt;=16),AND(D301&gt;=34,D301&lt;=35),AND(D301&gt;=61,D301&lt;=63)),'Paths'!$V$10,1))</x:f>
        <x:v>1</x:v>
      </x:c>
      <x:c r="I301" s="46" t="n">
        <x:f>'Paths'!$W$10</x:f>
        <x:v>0.9</x:v>
      </x:c>
      <x:c r="J301" s="47" t="n">
        <x:f>IF(D301&lt;E301,0,MIN(F301*G301*H301*I301,IF('Paths'!$T$10&gt;0,MAX(0,'Paths'!$T$10-K300),1000000000)))</x:f>
        <x:v>12960</x:v>
      </x:c>
      <x:c r="K301" s="47" t="n">
        <x:f>K300+J301</x:f>
        <x:v>318870</x:v>
      </x:c>
      <x:c r="L301" s="46" t="n">
        <x:f>IF(C301="P0",1,IF(D301&lt;=3,0.8,IF(D301&lt;=14,0.65,IF(D301&lt;=45,0.5,0.3))))</x:f>
        <x:v>0.5</x:v>
      </x:c>
      <x:c r="M301" s="47" t="n">
        <x:f>J301*L301</x:f>
        <x:v>6480</x:v>
      </x:c>
      <x:c r="N301" s="47" t="n">
        <x:f>N300+M301</x:f>
        <x:v>200542.5</x:v>
      </x:c>
      <x:c r="O301" s="46" t="n">
        <x:f>IF(C301="P0",0,IF(D301&lt;=3,0.15,IF(D301&lt;=14,0.25,IF(D301&lt;=45,0.35,0.5))))</x:f>
        <x:v>0.35</x:v>
      </x:c>
      <x:c r="P301" s="47" t="n">
        <x:f>J301*O301</x:f>
        <x:v>4536</x:v>
      </x:c>
      <x:c r="Q301" s="46" t="n">
        <x:f>IF(C301="P0",0,IF(D301&lt;=3,0.05,IF(D301&lt;=14,0.1,IF(D301&lt;=45,0.15,0.2))))</x:f>
        <x:v>0.15</x:v>
      </x:c>
      <x:c r="R301" s="47" t="n">
        <x:f>J301*Q301</x:f>
        <x:v>1944</x:v>
      </x:c>
      <x:c r="S301" s="20" t="str">
        <x:f>IF(D301&lt;E301,"closed",IF(D301&lt;'Paths'!$N$10,"initial","expanded"))</x:f>
        <x:v>expanded</x:v>
      </x:c>
      <x:c r="T301" s="72"/>
    </x:row>
    <x:row r="302">
      <x:c r="C302" s="20" t="str">
        <x:v>P3</x:v>
      </x:c>
      <x:c r="D302" s="20" t="n">
        <x:v>22</x:v>
      </x:c>
      <x:c r="E302" s="45" t="n">
        <x:f>IF('Controls'!$D$7="Reference",'Paths'!$J$10,'Paths'!$K$10)</x:f>
        <x:v>0</x:v>
      </x:c>
      <x:c r="F302" s="47" t="n">
        <x:f>IF(D302&lt;'Paths'!$N$10,IF('Controls'!$D$7="Reference",'Paths'!$L$10,'Paths'!$M$10),IF('Controls'!$D$7="Reference",'Paths'!$O$10,'Paths'!$P$10))</x:f>
        <x:v>18000</x:v>
      </x:c>
      <x:c r="G302" s="46" t="n">
        <x:f>IF('Controls'!$D$7="Reference",1,IF(OR(D302=6,D302=7,D302=21,D302=46),'Paths'!$U$10,1))</x:f>
        <x:v>1</x:v>
      </x:c>
      <x:c r="H302" s="46" t="n">
        <x:f>IF('Controls'!$D$7="Reference",1,IF(OR(AND(D302&gt;=14,D302&lt;=16),AND(D302&gt;=34,D302&lt;=35),AND(D302&gt;=61,D302&lt;=63)),'Paths'!$V$10,1))</x:f>
        <x:v>1</x:v>
      </x:c>
      <x:c r="I302" s="46" t="n">
        <x:f>'Paths'!$W$10</x:f>
        <x:v>0.9</x:v>
      </x:c>
      <x:c r="J302" s="47" t="n">
        <x:f>IF(D302&lt;E302,0,MIN(F302*G302*H302*I302,IF('Paths'!$T$10&gt;0,MAX(0,'Paths'!$T$10-K301),1000000000)))</x:f>
        <x:v>16200</x:v>
      </x:c>
      <x:c r="K302" s="47" t="n">
        <x:f>K301+J302</x:f>
        <x:v>335070</x:v>
      </x:c>
      <x:c r="L302" s="46" t="n">
        <x:f>IF(C302="P0",1,IF(D302&lt;=3,0.8,IF(D302&lt;=14,0.65,IF(D302&lt;=45,0.5,0.3))))</x:f>
        <x:v>0.5</x:v>
      </x:c>
      <x:c r="M302" s="47" t="n">
        <x:f>J302*L302</x:f>
        <x:v>8100</x:v>
      </x:c>
      <x:c r="N302" s="47" t="n">
        <x:f>N301+M302</x:f>
        <x:v>208642.5</x:v>
      </x:c>
      <x:c r="O302" s="46" t="n">
        <x:f>IF(C302="P0",0,IF(D302&lt;=3,0.15,IF(D302&lt;=14,0.25,IF(D302&lt;=45,0.35,0.5))))</x:f>
        <x:v>0.35</x:v>
      </x:c>
      <x:c r="P302" s="47" t="n">
        <x:f>J302*O302</x:f>
        <x:v>5670</x:v>
      </x:c>
      <x:c r="Q302" s="46" t="n">
        <x:f>IF(C302="P0",0,IF(D302&lt;=3,0.05,IF(D302&lt;=14,0.1,IF(D302&lt;=45,0.15,0.2))))</x:f>
        <x:v>0.15</x:v>
      </x:c>
      <x:c r="R302" s="47" t="n">
        <x:f>J302*Q302</x:f>
        <x:v>2430</x:v>
      </x:c>
      <x:c r="S302" s="20" t="str">
        <x:f>IF(D302&lt;E302,"closed",IF(D302&lt;'Paths'!$N$10,"initial","expanded"))</x:f>
        <x:v>expanded</x:v>
      </x:c>
      <x:c r="T302" s="72"/>
    </x:row>
    <x:row r="303">
      <x:c r="C303" s="20" t="str">
        <x:v>P3</x:v>
      </x:c>
      <x:c r="D303" s="20" t="n">
        <x:v>23</x:v>
      </x:c>
      <x:c r="E303" s="45" t="n">
        <x:f>IF('Controls'!$D$7="Reference",'Paths'!$J$10,'Paths'!$K$10)</x:f>
        <x:v>0</x:v>
      </x:c>
      <x:c r="F303" s="47" t="n">
        <x:f>IF(D303&lt;'Paths'!$N$10,IF('Controls'!$D$7="Reference",'Paths'!$L$10,'Paths'!$M$10),IF('Controls'!$D$7="Reference",'Paths'!$O$10,'Paths'!$P$10))</x:f>
        <x:v>18000</x:v>
      </x:c>
      <x:c r="G303" s="46" t="n">
        <x:f>IF('Controls'!$D$7="Reference",1,IF(OR(D303=6,D303=7,D303=21,D303=46),'Paths'!$U$10,1))</x:f>
        <x:v>1</x:v>
      </x:c>
      <x:c r="H303" s="46" t="n">
        <x:f>IF('Controls'!$D$7="Reference",1,IF(OR(AND(D303&gt;=14,D303&lt;=16),AND(D303&gt;=34,D303&lt;=35),AND(D303&gt;=61,D303&lt;=63)),'Paths'!$V$10,1))</x:f>
        <x:v>1</x:v>
      </x:c>
      <x:c r="I303" s="46" t="n">
        <x:f>'Paths'!$W$10</x:f>
        <x:v>0.9</x:v>
      </x:c>
      <x:c r="J303" s="47" t="n">
        <x:f>IF(D303&lt;E303,0,MIN(F303*G303*H303*I303,IF('Paths'!$T$10&gt;0,MAX(0,'Paths'!$T$10-K302),1000000000)))</x:f>
        <x:v>16200</x:v>
      </x:c>
      <x:c r="K303" s="47" t="n">
        <x:f>K302+J303</x:f>
        <x:v>351270</x:v>
      </x:c>
      <x:c r="L303" s="46" t="n">
        <x:f>IF(C303="P0",1,IF(D303&lt;=3,0.8,IF(D303&lt;=14,0.65,IF(D303&lt;=45,0.5,0.3))))</x:f>
        <x:v>0.5</x:v>
      </x:c>
      <x:c r="M303" s="47" t="n">
        <x:f>J303*L303</x:f>
        <x:v>8100</x:v>
      </x:c>
      <x:c r="N303" s="47" t="n">
        <x:f>N302+M303</x:f>
        <x:v>216742.5</x:v>
      </x:c>
      <x:c r="O303" s="46" t="n">
        <x:f>IF(C303="P0",0,IF(D303&lt;=3,0.15,IF(D303&lt;=14,0.25,IF(D303&lt;=45,0.35,0.5))))</x:f>
        <x:v>0.35</x:v>
      </x:c>
      <x:c r="P303" s="47" t="n">
        <x:f>J303*O303</x:f>
        <x:v>5670</x:v>
      </x:c>
      <x:c r="Q303" s="46" t="n">
        <x:f>IF(C303="P0",0,IF(D303&lt;=3,0.05,IF(D303&lt;=14,0.1,IF(D303&lt;=45,0.15,0.2))))</x:f>
        <x:v>0.15</x:v>
      </x:c>
      <x:c r="R303" s="47" t="n">
        <x:f>J303*Q303</x:f>
        <x:v>2430</x:v>
      </x:c>
      <x:c r="S303" s="20" t="str">
        <x:f>IF(D303&lt;E303,"closed",IF(D303&lt;'Paths'!$N$10,"initial","expanded"))</x:f>
        <x:v>expanded</x:v>
      </x:c>
      <x:c r="T303" s="72"/>
    </x:row>
    <x:row r="304">
      <x:c r="C304" s="20" t="str">
        <x:v>P3</x:v>
      </x:c>
      <x:c r="D304" s="20" t="n">
        <x:v>24</x:v>
      </x:c>
      <x:c r="E304" s="45" t="n">
        <x:f>IF('Controls'!$D$7="Reference",'Paths'!$J$10,'Paths'!$K$10)</x:f>
        <x:v>0</x:v>
      </x:c>
      <x:c r="F304" s="47" t="n">
        <x:f>IF(D304&lt;'Paths'!$N$10,IF('Controls'!$D$7="Reference",'Paths'!$L$10,'Paths'!$M$10),IF('Controls'!$D$7="Reference",'Paths'!$O$10,'Paths'!$P$10))</x:f>
        <x:v>18000</x:v>
      </x:c>
      <x:c r="G304" s="46" t="n">
        <x:f>IF('Controls'!$D$7="Reference",1,IF(OR(D304=6,D304=7,D304=21,D304=46),'Paths'!$U$10,1))</x:f>
        <x:v>1</x:v>
      </x:c>
      <x:c r="H304" s="46" t="n">
        <x:f>IF('Controls'!$D$7="Reference",1,IF(OR(AND(D304&gt;=14,D304&lt;=16),AND(D304&gt;=34,D304&lt;=35),AND(D304&gt;=61,D304&lt;=63)),'Paths'!$V$10,1))</x:f>
        <x:v>1</x:v>
      </x:c>
      <x:c r="I304" s="46" t="n">
        <x:f>'Paths'!$W$10</x:f>
        <x:v>0.9</x:v>
      </x:c>
      <x:c r="J304" s="47" t="n">
        <x:f>IF(D304&lt;E304,0,MIN(F304*G304*H304*I304,IF('Paths'!$T$10&gt;0,MAX(0,'Paths'!$T$10-K303),1000000000)))</x:f>
        <x:v>16200</x:v>
      </x:c>
      <x:c r="K304" s="47" t="n">
        <x:f>K303+J304</x:f>
        <x:v>367470</x:v>
      </x:c>
      <x:c r="L304" s="46" t="n">
        <x:f>IF(C304="P0",1,IF(D304&lt;=3,0.8,IF(D304&lt;=14,0.65,IF(D304&lt;=45,0.5,0.3))))</x:f>
        <x:v>0.5</x:v>
      </x:c>
      <x:c r="M304" s="47" t="n">
        <x:f>J304*L304</x:f>
        <x:v>8100</x:v>
      </x:c>
      <x:c r="N304" s="47" t="n">
        <x:f>N303+M304</x:f>
        <x:v>224842.5</x:v>
      </x:c>
      <x:c r="O304" s="46" t="n">
        <x:f>IF(C304="P0",0,IF(D304&lt;=3,0.15,IF(D304&lt;=14,0.25,IF(D304&lt;=45,0.35,0.5))))</x:f>
        <x:v>0.35</x:v>
      </x:c>
      <x:c r="P304" s="47" t="n">
        <x:f>J304*O304</x:f>
        <x:v>5670</x:v>
      </x:c>
      <x:c r="Q304" s="46" t="n">
        <x:f>IF(C304="P0",0,IF(D304&lt;=3,0.05,IF(D304&lt;=14,0.1,IF(D304&lt;=45,0.15,0.2))))</x:f>
        <x:v>0.15</x:v>
      </x:c>
      <x:c r="R304" s="47" t="n">
        <x:f>J304*Q304</x:f>
        <x:v>2430</x:v>
      </x:c>
      <x:c r="S304" s="20" t="str">
        <x:f>IF(D304&lt;E304,"closed",IF(D304&lt;'Paths'!$N$10,"initial","expanded"))</x:f>
        <x:v>expanded</x:v>
      </x:c>
      <x:c r="T304" s="72"/>
    </x:row>
    <x:row r="305">
      <x:c r="C305" s="20" t="str">
        <x:v>P3</x:v>
      </x:c>
      <x:c r="D305" s="20" t="n">
        <x:v>25</x:v>
      </x:c>
      <x:c r="E305" s="45" t="n">
        <x:f>IF('Controls'!$D$7="Reference",'Paths'!$J$10,'Paths'!$K$10)</x:f>
        <x:v>0</x:v>
      </x:c>
      <x:c r="F305" s="47" t="n">
        <x:f>IF(D305&lt;'Paths'!$N$10,IF('Controls'!$D$7="Reference",'Paths'!$L$10,'Paths'!$M$10),IF('Controls'!$D$7="Reference",'Paths'!$O$10,'Paths'!$P$10))</x:f>
        <x:v>18000</x:v>
      </x:c>
      <x:c r="G305" s="46" t="n">
        <x:f>IF('Controls'!$D$7="Reference",1,IF(OR(D305=6,D305=7,D305=21,D305=46),'Paths'!$U$10,1))</x:f>
        <x:v>1</x:v>
      </x:c>
      <x:c r="H305" s="46" t="n">
        <x:f>IF('Controls'!$D$7="Reference",1,IF(OR(AND(D305&gt;=14,D305&lt;=16),AND(D305&gt;=34,D305&lt;=35),AND(D305&gt;=61,D305&lt;=63)),'Paths'!$V$10,1))</x:f>
        <x:v>1</x:v>
      </x:c>
      <x:c r="I305" s="46" t="n">
        <x:f>'Paths'!$W$10</x:f>
        <x:v>0.9</x:v>
      </x:c>
      <x:c r="J305" s="47" t="n">
        <x:f>IF(D305&lt;E305,0,MIN(F305*G305*H305*I305,IF('Paths'!$T$10&gt;0,MAX(0,'Paths'!$T$10-K304),1000000000)))</x:f>
        <x:v>16200</x:v>
      </x:c>
      <x:c r="K305" s="47" t="n">
        <x:f>K304+J305</x:f>
        <x:v>383670</x:v>
      </x:c>
      <x:c r="L305" s="46" t="n">
        <x:f>IF(C305="P0",1,IF(D305&lt;=3,0.8,IF(D305&lt;=14,0.65,IF(D305&lt;=45,0.5,0.3))))</x:f>
        <x:v>0.5</x:v>
      </x:c>
      <x:c r="M305" s="47" t="n">
        <x:f>J305*L305</x:f>
        <x:v>8100</x:v>
      </x:c>
      <x:c r="N305" s="47" t="n">
        <x:f>N304+M305</x:f>
        <x:v>232942.5</x:v>
      </x:c>
      <x:c r="O305" s="46" t="n">
        <x:f>IF(C305="P0",0,IF(D305&lt;=3,0.15,IF(D305&lt;=14,0.25,IF(D305&lt;=45,0.35,0.5))))</x:f>
        <x:v>0.35</x:v>
      </x:c>
      <x:c r="P305" s="47" t="n">
        <x:f>J305*O305</x:f>
        <x:v>5670</x:v>
      </x:c>
      <x:c r="Q305" s="46" t="n">
        <x:f>IF(C305="P0",0,IF(D305&lt;=3,0.05,IF(D305&lt;=14,0.1,IF(D305&lt;=45,0.15,0.2))))</x:f>
        <x:v>0.15</x:v>
      </x:c>
      <x:c r="R305" s="47" t="n">
        <x:f>J305*Q305</x:f>
        <x:v>2430</x:v>
      </x:c>
      <x:c r="S305" s="20" t="str">
        <x:f>IF(D305&lt;E305,"closed",IF(D305&lt;'Paths'!$N$10,"initial","expanded"))</x:f>
        <x:v>expanded</x:v>
      </x:c>
      <x:c r="T305" s="72"/>
    </x:row>
    <x:row r="306">
      <x:c r="C306" s="20" t="str">
        <x:v>P3</x:v>
      </x:c>
      <x:c r="D306" s="20" t="n">
        <x:v>26</x:v>
      </x:c>
      <x:c r="E306" s="45" t="n">
        <x:f>IF('Controls'!$D$7="Reference",'Paths'!$J$10,'Paths'!$K$10)</x:f>
        <x:v>0</x:v>
      </x:c>
      <x:c r="F306" s="47" t="n">
        <x:f>IF(D306&lt;'Paths'!$N$10,IF('Controls'!$D$7="Reference",'Paths'!$L$10,'Paths'!$M$10),IF('Controls'!$D$7="Reference",'Paths'!$O$10,'Paths'!$P$10))</x:f>
        <x:v>18000</x:v>
      </x:c>
      <x:c r="G306" s="46" t="n">
        <x:f>IF('Controls'!$D$7="Reference",1,IF(OR(D306=6,D306=7,D306=21,D306=46),'Paths'!$U$10,1))</x:f>
        <x:v>1</x:v>
      </x:c>
      <x:c r="H306" s="46" t="n">
        <x:f>IF('Controls'!$D$7="Reference",1,IF(OR(AND(D306&gt;=14,D306&lt;=16),AND(D306&gt;=34,D306&lt;=35),AND(D306&gt;=61,D306&lt;=63)),'Paths'!$V$10,1))</x:f>
        <x:v>1</x:v>
      </x:c>
      <x:c r="I306" s="46" t="n">
        <x:f>'Paths'!$W$10</x:f>
        <x:v>0.9</x:v>
      </x:c>
      <x:c r="J306" s="47" t="n">
        <x:f>IF(D306&lt;E306,0,MIN(F306*G306*H306*I306,IF('Paths'!$T$10&gt;0,MAX(0,'Paths'!$T$10-K305),1000000000)))</x:f>
        <x:v>16200</x:v>
      </x:c>
      <x:c r="K306" s="47" t="n">
        <x:f>K305+J306</x:f>
        <x:v>399870</x:v>
      </x:c>
      <x:c r="L306" s="46" t="n">
        <x:f>IF(C306="P0",1,IF(D306&lt;=3,0.8,IF(D306&lt;=14,0.65,IF(D306&lt;=45,0.5,0.3))))</x:f>
        <x:v>0.5</x:v>
      </x:c>
      <x:c r="M306" s="47" t="n">
        <x:f>J306*L306</x:f>
        <x:v>8100</x:v>
      </x:c>
      <x:c r="N306" s="47" t="n">
        <x:f>N305+M306</x:f>
        <x:v>241042.5</x:v>
      </x:c>
      <x:c r="O306" s="46" t="n">
        <x:f>IF(C306="P0",0,IF(D306&lt;=3,0.15,IF(D306&lt;=14,0.25,IF(D306&lt;=45,0.35,0.5))))</x:f>
        <x:v>0.35</x:v>
      </x:c>
      <x:c r="P306" s="47" t="n">
        <x:f>J306*O306</x:f>
        <x:v>5670</x:v>
      </x:c>
      <x:c r="Q306" s="46" t="n">
        <x:f>IF(C306="P0",0,IF(D306&lt;=3,0.05,IF(D306&lt;=14,0.1,IF(D306&lt;=45,0.15,0.2))))</x:f>
        <x:v>0.15</x:v>
      </x:c>
      <x:c r="R306" s="47" t="n">
        <x:f>J306*Q306</x:f>
        <x:v>2430</x:v>
      </x:c>
      <x:c r="S306" s="20" t="str">
        <x:f>IF(D306&lt;E306,"closed",IF(D306&lt;'Paths'!$N$10,"initial","expanded"))</x:f>
        <x:v>expanded</x:v>
      </x:c>
      <x:c r="T306" s="72"/>
    </x:row>
    <x:row r="307">
      <x:c r="C307" s="20" t="str">
        <x:v>P3</x:v>
      </x:c>
      <x:c r="D307" s="20" t="n">
        <x:v>27</x:v>
      </x:c>
      <x:c r="E307" s="45" t="n">
        <x:f>IF('Controls'!$D$7="Reference",'Paths'!$J$10,'Paths'!$K$10)</x:f>
        <x:v>0</x:v>
      </x:c>
      <x:c r="F307" s="47" t="n">
        <x:f>IF(D307&lt;'Paths'!$N$10,IF('Controls'!$D$7="Reference",'Paths'!$L$10,'Paths'!$M$10),IF('Controls'!$D$7="Reference",'Paths'!$O$10,'Paths'!$P$10))</x:f>
        <x:v>18000</x:v>
      </x:c>
      <x:c r="G307" s="46" t="n">
        <x:f>IF('Controls'!$D$7="Reference",1,IF(OR(D307=6,D307=7,D307=21,D307=46),'Paths'!$U$10,1))</x:f>
        <x:v>1</x:v>
      </x:c>
      <x:c r="H307" s="46" t="n">
        <x:f>IF('Controls'!$D$7="Reference",1,IF(OR(AND(D307&gt;=14,D307&lt;=16),AND(D307&gt;=34,D307&lt;=35),AND(D307&gt;=61,D307&lt;=63)),'Paths'!$V$10,1))</x:f>
        <x:v>1</x:v>
      </x:c>
      <x:c r="I307" s="46" t="n">
        <x:f>'Paths'!$W$10</x:f>
        <x:v>0.9</x:v>
      </x:c>
      <x:c r="J307" s="47" t="n">
        <x:f>IF(D307&lt;E307,0,MIN(F307*G307*H307*I307,IF('Paths'!$T$10&gt;0,MAX(0,'Paths'!$T$10-K306),1000000000)))</x:f>
        <x:v>16200</x:v>
      </x:c>
      <x:c r="K307" s="47" t="n">
        <x:f>K306+J307</x:f>
        <x:v>416070</x:v>
      </x:c>
      <x:c r="L307" s="46" t="n">
        <x:f>IF(C307="P0",1,IF(D307&lt;=3,0.8,IF(D307&lt;=14,0.65,IF(D307&lt;=45,0.5,0.3))))</x:f>
        <x:v>0.5</x:v>
      </x:c>
      <x:c r="M307" s="47" t="n">
        <x:f>J307*L307</x:f>
        <x:v>8100</x:v>
      </x:c>
      <x:c r="N307" s="47" t="n">
        <x:f>N306+M307</x:f>
        <x:v>249142.5</x:v>
      </x:c>
      <x:c r="O307" s="46" t="n">
        <x:f>IF(C307="P0",0,IF(D307&lt;=3,0.15,IF(D307&lt;=14,0.25,IF(D307&lt;=45,0.35,0.5))))</x:f>
        <x:v>0.35</x:v>
      </x:c>
      <x:c r="P307" s="47" t="n">
        <x:f>J307*O307</x:f>
        <x:v>5670</x:v>
      </x:c>
      <x:c r="Q307" s="46" t="n">
        <x:f>IF(C307="P0",0,IF(D307&lt;=3,0.05,IF(D307&lt;=14,0.1,IF(D307&lt;=45,0.15,0.2))))</x:f>
        <x:v>0.15</x:v>
      </x:c>
      <x:c r="R307" s="47" t="n">
        <x:f>J307*Q307</x:f>
        <x:v>2430</x:v>
      </x:c>
      <x:c r="S307" s="20" t="str">
        <x:f>IF(D307&lt;E307,"closed",IF(D307&lt;'Paths'!$N$10,"initial","expanded"))</x:f>
        <x:v>expanded</x:v>
      </x:c>
      <x:c r="T307" s="72"/>
    </x:row>
    <x:row r="308">
      <x:c r="C308" s="20" t="str">
        <x:v>P3</x:v>
      </x:c>
      <x:c r="D308" s="20" t="n">
        <x:v>28</x:v>
      </x:c>
      <x:c r="E308" s="45" t="n">
        <x:f>IF('Controls'!$D$7="Reference",'Paths'!$J$10,'Paths'!$K$10)</x:f>
        <x:v>0</x:v>
      </x:c>
      <x:c r="F308" s="47" t="n">
        <x:f>IF(D308&lt;'Paths'!$N$10,IF('Controls'!$D$7="Reference",'Paths'!$L$10,'Paths'!$M$10),IF('Controls'!$D$7="Reference",'Paths'!$O$10,'Paths'!$P$10))</x:f>
        <x:v>18000</x:v>
      </x:c>
      <x:c r="G308" s="46" t="n">
        <x:f>IF('Controls'!$D$7="Reference",1,IF(OR(D308=6,D308=7,D308=21,D308=46),'Paths'!$U$10,1))</x:f>
        <x:v>1</x:v>
      </x:c>
      <x:c r="H308" s="46" t="n">
        <x:f>IF('Controls'!$D$7="Reference",1,IF(OR(AND(D308&gt;=14,D308&lt;=16),AND(D308&gt;=34,D308&lt;=35),AND(D308&gt;=61,D308&lt;=63)),'Paths'!$V$10,1))</x:f>
        <x:v>1</x:v>
      </x:c>
      <x:c r="I308" s="46" t="n">
        <x:f>'Paths'!$W$10</x:f>
        <x:v>0.9</x:v>
      </x:c>
      <x:c r="J308" s="47" t="n">
        <x:f>IF(D308&lt;E308,0,MIN(F308*G308*H308*I308,IF('Paths'!$T$10&gt;0,MAX(0,'Paths'!$T$10-K307),1000000000)))</x:f>
        <x:v>16200</x:v>
      </x:c>
      <x:c r="K308" s="47" t="n">
        <x:f>K307+J308</x:f>
        <x:v>432270</x:v>
      </x:c>
      <x:c r="L308" s="46" t="n">
        <x:f>IF(C308="P0",1,IF(D308&lt;=3,0.8,IF(D308&lt;=14,0.65,IF(D308&lt;=45,0.5,0.3))))</x:f>
        <x:v>0.5</x:v>
      </x:c>
      <x:c r="M308" s="47" t="n">
        <x:f>J308*L308</x:f>
        <x:v>8100</x:v>
      </x:c>
      <x:c r="N308" s="47" t="n">
        <x:f>N307+M308</x:f>
        <x:v>257242.5</x:v>
      </x:c>
      <x:c r="O308" s="46" t="n">
        <x:f>IF(C308="P0",0,IF(D308&lt;=3,0.15,IF(D308&lt;=14,0.25,IF(D308&lt;=45,0.35,0.5))))</x:f>
        <x:v>0.35</x:v>
      </x:c>
      <x:c r="P308" s="47" t="n">
        <x:f>J308*O308</x:f>
        <x:v>5670</x:v>
      </x:c>
      <x:c r="Q308" s="46" t="n">
        <x:f>IF(C308="P0",0,IF(D308&lt;=3,0.05,IF(D308&lt;=14,0.1,IF(D308&lt;=45,0.15,0.2))))</x:f>
        <x:v>0.15</x:v>
      </x:c>
      <x:c r="R308" s="47" t="n">
        <x:f>J308*Q308</x:f>
        <x:v>2430</x:v>
      </x:c>
      <x:c r="S308" s="20" t="str">
        <x:f>IF(D308&lt;E308,"closed",IF(D308&lt;'Paths'!$N$10,"initial","expanded"))</x:f>
        <x:v>expanded</x:v>
      </x:c>
      <x:c r="T308" s="72"/>
    </x:row>
    <x:row r="309">
      <x:c r="C309" s="20" t="str">
        <x:v>P3</x:v>
      </x:c>
      <x:c r="D309" s="20" t="n">
        <x:v>29</x:v>
      </x:c>
      <x:c r="E309" s="45" t="n">
        <x:f>IF('Controls'!$D$7="Reference",'Paths'!$J$10,'Paths'!$K$10)</x:f>
        <x:v>0</x:v>
      </x:c>
      <x:c r="F309" s="47" t="n">
        <x:f>IF(D309&lt;'Paths'!$N$10,IF('Controls'!$D$7="Reference",'Paths'!$L$10,'Paths'!$M$10),IF('Controls'!$D$7="Reference",'Paths'!$O$10,'Paths'!$P$10))</x:f>
        <x:v>18000</x:v>
      </x:c>
      <x:c r="G309" s="46" t="n">
        <x:f>IF('Controls'!$D$7="Reference",1,IF(OR(D309=6,D309=7,D309=21,D309=46),'Paths'!$U$10,1))</x:f>
        <x:v>1</x:v>
      </x:c>
      <x:c r="H309" s="46" t="n">
        <x:f>IF('Controls'!$D$7="Reference",1,IF(OR(AND(D309&gt;=14,D309&lt;=16),AND(D309&gt;=34,D309&lt;=35),AND(D309&gt;=61,D309&lt;=63)),'Paths'!$V$10,1))</x:f>
        <x:v>1</x:v>
      </x:c>
      <x:c r="I309" s="46" t="n">
        <x:f>'Paths'!$W$10</x:f>
        <x:v>0.9</x:v>
      </x:c>
      <x:c r="J309" s="47" t="n">
        <x:f>IF(D309&lt;E309,0,MIN(F309*G309*H309*I309,IF('Paths'!$T$10&gt;0,MAX(0,'Paths'!$T$10-K308),1000000000)))</x:f>
        <x:v>16200</x:v>
      </x:c>
      <x:c r="K309" s="47" t="n">
        <x:f>K308+J309</x:f>
        <x:v>448470</x:v>
      </x:c>
      <x:c r="L309" s="46" t="n">
        <x:f>IF(C309="P0",1,IF(D309&lt;=3,0.8,IF(D309&lt;=14,0.65,IF(D309&lt;=45,0.5,0.3))))</x:f>
        <x:v>0.5</x:v>
      </x:c>
      <x:c r="M309" s="47" t="n">
        <x:f>J309*L309</x:f>
        <x:v>8100</x:v>
      </x:c>
      <x:c r="N309" s="47" t="n">
        <x:f>N308+M309</x:f>
        <x:v>265342.5</x:v>
      </x:c>
      <x:c r="O309" s="46" t="n">
        <x:f>IF(C309="P0",0,IF(D309&lt;=3,0.15,IF(D309&lt;=14,0.25,IF(D309&lt;=45,0.35,0.5))))</x:f>
        <x:v>0.35</x:v>
      </x:c>
      <x:c r="P309" s="47" t="n">
        <x:f>J309*O309</x:f>
        <x:v>5670</x:v>
      </x:c>
      <x:c r="Q309" s="46" t="n">
        <x:f>IF(C309="P0",0,IF(D309&lt;=3,0.05,IF(D309&lt;=14,0.1,IF(D309&lt;=45,0.15,0.2))))</x:f>
        <x:v>0.15</x:v>
      </x:c>
      <x:c r="R309" s="47" t="n">
        <x:f>J309*Q309</x:f>
        <x:v>2430</x:v>
      </x:c>
      <x:c r="S309" s="20" t="str">
        <x:f>IF(D309&lt;E309,"closed",IF(D309&lt;'Paths'!$N$10,"initial","expanded"))</x:f>
        <x:v>expanded</x:v>
      </x:c>
      <x:c r="T309" s="72"/>
    </x:row>
    <x:row r="310">
      <x:c r="C310" s="20" t="str">
        <x:v>P3</x:v>
      </x:c>
      <x:c r="D310" s="20" t="n">
        <x:v>30</x:v>
      </x:c>
      <x:c r="E310" s="45" t="n">
        <x:f>IF('Controls'!$D$7="Reference",'Paths'!$J$10,'Paths'!$K$10)</x:f>
        <x:v>0</x:v>
      </x:c>
      <x:c r="F310" s="47" t="n">
        <x:f>IF(D310&lt;'Paths'!$N$10,IF('Controls'!$D$7="Reference",'Paths'!$L$10,'Paths'!$M$10),IF('Controls'!$D$7="Reference",'Paths'!$O$10,'Paths'!$P$10))</x:f>
        <x:v>18000</x:v>
      </x:c>
      <x:c r="G310" s="46" t="n">
        <x:f>IF('Controls'!$D$7="Reference",1,IF(OR(D310=6,D310=7,D310=21,D310=46),'Paths'!$U$10,1))</x:f>
        <x:v>1</x:v>
      </x:c>
      <x:c r="H310" s="46" t="n">
        <x:f>IF('Controls'!$D$7="Reference",1,IF(OR(AND(D310&gt;=14,D310&lt;=16),AND(D310&gt;=34,D310&lt;=35),AND(D310&gt;=61,D310&lt;=63)),'Paths'!$V$10,1))</x:f>
        <x:v>1</x:v>
      </x:c>
      <x:c r="I310" s="46" t="n">
        <x:f>'Paths'!$W$10</x:f>
        <x:v>0.9</x:v>
      </x:c>
      <x:c r="J310" s="47" t="n">
        <x:f>IF(D310&lt;E310,0,MIN(F310*G310*H310*I310,IF('Paths'!$T$10&gt;0,MAX(0,'Paths'!$T$10-K309),1000000000)))</x:f>
        <x:v>16200</x:v>
      </x:c>
      <x:c r="K310" s="47" t="n">
        <x:f>K309+J310</x:f>
        <x:v>464670</x:v>
      </x:c>
      <x:c r="L310" s="46" t="n">
        <x:f>IF(C310="P0",1,IF(D310&lt;=3,0.8,IF(D310&lt;=14,0.65,IF(D310&lt;=45,0.5,0.3))))</x:f>
        <x:v>0.5</x:v>
      </x:c>
      <x:c r="M310" s="47" t="n">
        <x:f>J310*L310</x:f>
        <x:v>8100</x:v>
      </x:c>
      <x:c r="N310" s="47" t="n">
        <x:f>N309+M310</x:f>
        <x:v>273442.5</x:v>
      </x:c>
      <x:c r="O310" s="46" t="n">
        <x:f>IF(C310="P0",0,IF(D310&lt;=3,0.15,IF(D310&lt;=14,0.25,IF(D310&lt;=45,0.35,0.5))))</x:f>
        <x:v>0.35</x:v>
      </x:c>
      <x:c r="P310" s="47" t="n">
        <x:f>J310*O310</x:f>
        <x:v>5670</x:v>
      </x:c>
      <x:c r="Q310" s="46" t="n">
        <x:f>IF(C310="P0",0,IF(D310&lt;=3,0.05,IF(D310&lt;=14,0.1,IF(D310&lt;=45,0.15,0.2))))</x:f>
        <x:v>0.15</x:v>
      </x:c>
      <x:c r="R310" s="47" t="n">
        <x:f>J310*Q310</x:f>
        <x:v>2430</x:v>
      </x:c>
      <x:c r="S310" s="20" t="str">
        <x:f>IF(D310&lt;E310,"closed",IF(D310&lt;'Paths'!$N$10,"initial","expanded"))</x:f>
        <x:v>expanded</x:v>
      </x:c>
      <x:c r="T310" s="72"/>
    </x:row>
    <x:row r="311">
      <x:c r="C311" s="20" t="str">
        <x:v>P3</x:v>
      </x:c>
      <x:c r="D311" s="20" t="n">
        <x:v>31</x:v>
      </x:c>
      <x:c r="E311" s="45" t="n">
        <x:f>IF('Controls'!$D$7="Reference",'Paths'!$J$10,'Paths'!$K$10)</x:f>
        <x:v>0</x:v>
      </x:c>
      <x:c r="F311" s="47" t="n">
        <x:f>IF(D311&lt;'Paths'!$N$10,IF('Controls'!$D$7="Reference",'Paths'!$L$10,'Paths'!$M$10),IF('Controls'!$D$7="Reference",'Paths'!$O$10,'Paths'!$P$10))</x:f>
        <x:v>18000</x:v>
      </x:c>
      <x:c r="G311" s="46" t="n">
        <x:f>IF('Controls'!$D$7="Reference",1,IF(OR(D311=6,D311=7,D311=21,D311=46),'Paths'!$U$10,1))</x:f>
        <x:v>1</x:v>
      </x:c>
      <x:c r="H311" s="46" t="n">
        <x:f>IF('Controls'!$D$7="Reference",1,IF(OR(AND(D311&gt;=14,D311&lt;=16),AND(D311&gt;=34,D311&lt;=35),AND(D311&gt;=61,D311&lt;=63)),'Paths'!$V$10,1))</x:f>
        <x:v>1</x:v>
      </x:c>
      <x:c r="I311" s="46" t="n">
        <x:f>'Paths'!$W$10</x:f>
        <x:v>0.9</x:v>
      </x:c>
      <x:c r="J311" s="47" t="n">
        <x:f>IF(D311&lt;E311,0,MIN(F311*G311*H311*I311,IF('Paths'!$T$10&gt;0,MAX(0,'Paths'!$T$10-K310),1000000000)))</x:f>
        <x:v>16200</x:v>
      </x:c>
      <x:c r="K311" s="47" t="n">
        <x:f>K310+J311</x:f>
        <x:v>480870</x:v>
      </x:c>
      <x:c r="L311" s="46" t="n">
        <x:f>IF(C311="P0",1,IF(D311&lt;=3,0.8,IF(D311&lt;=14,0.65,IF(D311&lt;=45,0.5,0.3))))</x:f>
        <x:v>0.5</x:v>
      </x:c>
      <x:c r="M311" s="47" t="n">
        <x:f>J311*L311</x:f>
        <x:v>8100</x:v>
      </x:c>
      <x:c r="N311" s="47" t="n">
        <x:f>N310+M311</x:f>
        <x:v>281542.5</x:v>
      </x:c>
      <x:c r="O311" s="46" t="n">
        <x:f>IF(C311="P0",0,IF(D311&lt;=3,0.15,IF(D311&lt;=14,0.25,IF(D311&lt;=45,0.35,0.5))))</x:f>
        <x:v>0.35</x:v>
      </x:c>
      <x:c r="P311" s="47" t="n">
        <x:f>J311*O311</x:f>
        <x:v>5670</x:v>
      </x:c>
      <x:c r="Q311" s="46" t="n">
        <x:f>IF(C311="P0",0,IF(D311&lt;=3,0.05,IF(D311&lt;=14,0.1,IF(D311&lt;=45,0.15,0.2))))</x:f>
        <x:v>0.15</x:v>
      </x:c>
      <x:c r="R311" s="47" t="n">
        <x:f>J311*Q311</x:f>
        <x:v>2430</x:v>
      </x:c>
      <x:c r="S311" s="20" t="str">
        <x:f>IF(D311&lt;E311,"closed",IF(D311&lt;'Paths'!$N$10,"initial","expanded"))</x:f>
        <x:v>expanded</x:v>
      </x:c>
      <x:c r="T311" s="72"/>
    </x:row>
    <x:row r="312">
      <x:c r="C312" s="20" t="str">
        <x:v>P3</x:v>
      </x:c>
      <x:c r="D312" s="20" t="n">
        <x:v>32</x:v>
      </x:c>
      <x:c r="E312" s="45" t="n">
        <x:f>IF('Controls'!$D$7="Reference",'Paths'!$J$10,'Paths'!$K$10)</x:f>
        <x:v>0</x:v>
      </x:c>
      <x:c r="F312" s="47" t="n">
        <x:f>IF(D312&lt;'Paths'!$N$10,IF('Controls'!$D$7="Reference",'Paths'!$L$10,'Paths'!$M$10),IF('Controls'!$D$7="Reference",'Paths'!$O$10,'Paths'!$P$10))</x:f>
        <x:v>18000</x:v>
      </x:c>
      <x:c r="G312" s="46" t="n">
        <x:f>IF('Controls'!$D$7="Reference",1,IF(OR(D312=6,D312=7,D312=21,D312=46),'Paths'!$U$10,1))</x:f>
        <x:v>1</x:v>
      </x:c>
      <x:c r="H312" s="46" t="n">
        <x:f>IF('Controls'!$D$7="Reference",1,IF(OR(AND(D312&gt;=14,D312&lt;=16),AND(D312&gt;=34,D312&lt;=35),AND(D312&gt;=61,D312&lt;=63)),'Paths'!$V$10,1))</x:f>
        <x:v>1</x:v>
      </x:c>
      <x:c r="I312" s="46" t="n">
        <x:f>'Paths'!$W$10</x:f>
        <x:v>0.9</x:v>
      </x:c>
      <x:c r="J312" s="47" t="n">
        <x:f>IF(D312&lt;E312,0,MIN(F312*G312*H312*I312,IF('Paths'!$T$10&gt;0,MAX(0,'Paths'!$T$10-K311),1000000000)))</x:f>
        <x:v>16200</x:v>
      </x:c>
      <x:c r="K312" s="47" t="n">
        <x:f>K311+J312</x:f>
        <x:v>497070</x:v>
      </x:c>
      <x:c r="L312" s="46" t="n">
        <x:f>IF(C312="P0",1,IF(D312&lt;=3,0.8,IF(D312&lt;=14,0.65,IF(D312&lt;=45,0.5,0.3))))</x:f>
        <x:v>0.5</x:v>
      </x:c>
      <x:c r="M312" s="47" t="n">
        <x:f>J312*L312</x:f>
        <x:v>8100</x:v>
      </x:c>
      <x:c r="N312" s="47" t="n">
        <x:f>N311+M312</x:f>
        <x:v>289642.5</x:v>
      </x:c>
      <x:c r="O312" s="46" t="n">
        <x:f>IF(C312="P0",0,IF(D312&lt;=3,0.15,IF(D312&lt;=14,0.25,IF(D312&lt;=45,0.35,0.5))))</x:f>
        <x:v>0.35</x:v>
      </x:c>
      <x:c r="P312" s="47" t="n">
        <x:f>J312*O312</x:f>
        <x:v>5670</x:v>
      </x:c>
      <x:c r="Q312" s="46" t="n">
        <x:f>IF(C312="P0",0,IF(D312&lt;=3,0.05,IF(D312&lt;=14,0.1,IF(D312&lt;=45,0.15,0.2))))</x:f>
        <x:v>0.15</x:v>
      </x:c>
      <x:c r="R312" s="47" t="n">
        <x:f>J312*Q312</x:f>
        <x:v>2430</x:v>
      </x:c>
      <x:c r="S312" s="20" t="str">
        <x:f>IF(D312&lt;E312,"closed",IF(D312&lt;'Paths'!$N$10,"initial","expanded"))</x:f>
        <x:v>expanded</x:v>
      </x:c>
      <x:c r="T312" s="72"/>
    </x:row>
    <x:row r="313">
      <x:c r="C313" s="20" t="str">
        <x:v>P3</x:v>
      </x:c>
      <x:c r="D313" s="20" t="n">
        <x:v>33</x:v>
      </x:c>
      <x:c r="E313" s="45" t="n">
        <x:f>IF('Controls'!$D$7="Reference",'Paths'!$J$10,'Paths'!$K$10)</x:f>
        <x:v>0</x:v>
      </x:c>
      <x:c r="F313" s="47" t="n">
        <x:f>IF(D313&lt;'Paths'!$N$10,IF('Controls'!$D$7="Reference",'Paths'!$L$10,'Paths'!$M$10),IF('Controls'!$D$7="Reference",'Paths'!$O$10,'Paths'!$P$10))</x:f>
        <x:v>18000</x:v>
      </x:c>
      <x:c r="G313" s="46" t="n">
        <x:f>IF('Controls'!$D$7="Reference",1,IF(OR(D313=6,D313=7,D313=21,D313=46),'Paths'!$U$10,1))</x:f>
        <x:v>1</x:v>
      </x:c>
      <x:c r="H313" s="46" t="n">
        <x:f>IF('Controls'!$D$7="Reference",1,IF(OR(AND(D313&gt;=14,D313&lt;=16),AND(D313&gt;=34,D313&lt;=35),AND(D313&gt;=61,D313&lt;=63)),'Paths'!$V$10,1))</x:f>
        <x:v>1</x:v>
      </x:c>
      <x:c r="I313" s="46" t="n">
        <x:f>'Paths'!$W$10</x:f>
        <x:v>0.9</x:v>
      </x:c>
      <x:c r="J313" s="47" t="n">
        <x:f>IF(D313&lt;E313,0,MIN(F313*G313*H313*I313,IF('Paths'!$T$10&gt;0,MAX(0,'Paths'!$T$10-K312),1000000000)))</x:f>
        <x:v>16200</x:v>
      </x:c>
      <x:c r="K313" s="47" t="n">
        <x:f>K312+J313</x:f>
        <x:v>513270</x:v>
      </x:c>
      <x:c r="L313" s="46" t="n">
        <x:f>IF(C313="P0",1,IF(D313&lt;=3,0.8,IF(D313&lt;=14,0.65,IF(D313&lt;=45,0.5,0.3))))</x:f>
        <x:v>0.5</x:v>
      </x:c>
      <x:c r="M313" s="47" t="n">
        <x:f>J313*L313</x:f>
        <x:v>8100</x:v>
      </x:c>
      <x:c r="N313" s="47" t="n">
        <x:f>N312+M313</x:f>
        <x:v>297742.5</x:v>
      </x:c>
      <x:c r="O313" s="46" t="n">
        <x:f>IF(C313="P0",0,IF(D313&lt;=3,0.15,IF(D313&lt;=14,0.25,IF(D313&lt;=45,0.35,0.5))))</x:f>
        <x:v>0.35</x:v>
      </x:c>
      <x:c r="P313" s="47" t="n">
        <x:f>J313*O313</x:f>
        <x:v>5670</x:v>
      </x:c>
      <x:c r="Q313" s="46" t="n">
        <x:f>IF(C313="P0",0,IF(D313&lt;=3,0.05,IF(D313&lt;=14,0.1,IF(D313&lt;=45,0.15,0.2))))</x:f>
        <x:v>0.15</x:v>
      </x:c>
      <x:c r="R313" s="47" t="n">
        <x:f>J313*Q313</x:f>
        <x:v>2430</x:v>
      </x:c>
      <x:c r="S313" s="20" t="str">
        <x:f>IF(D313&lt;E313,"closed",IF(D313&lt;'Paths'!$N$10,"initial","expanded"))</x:f>
        <x:v>expanded</x:v>
      </x:c>
      <x:c r="T313" s="72"/>
    </x:row>
    <x:row r="314">
      <x:c r="C314" s="20" t="str">
        <x:v>P3</x:v>
      </x:c>
      <x:c r="D314" s="20" t="n">
        <x:v>34</x:v>
      </x:c>
      <x:c r="E314" s="45" t="n">
        <x:f>IF('Controls'!$D$7="Reference",'Paths'!$J$10,'Paths'!$K$10)</x:f>
        <x:v>0</x:v>
      </x:c>
      <x:c r="F314" s="47" t="n">
        <x:f>IF(D314&lt;'Paths'!$N$10,IF('Controls'!$D$7="Reference",'Paths'!$L$10,'Paths'!$M$10),IF('Controls'!$D$7="Reference",'Paths'!$O$10,'Paths'!$P$10))</x:f>
        <x:v>18000</x:v>
      </x:c>
      <x:c r="G314" s="46" t="n">
        <x:f>IF('Controls'!$D$7="Reference",1,IF(OR(D314=6,D314=7,D314=21,D314=46),'Paths'!$U$10,1))</x:f>
        <x:v>1</x:v>
      </x:c>
      <x:c r="H314" s="46" t="n">
        <x:f>IF('Controls'!$D$7="Reference",1,IF(OR(AND(D314&gt;=14,D314&lt;=16),AND(D314&gt;=34,D314&lt;=35),AND(D314&gt;=61,D314&lt;=63)),'Paths'!$V$10,1))</x:f>
        <x:v>0.65</x:v>
      </x:c>
      <x:c r="I314" s="46" t="n">
        <x:f>'Paths'!$W$10</x:f>
        <x:v>0.9</x:v>
      </x:c>
      <x:c r="J314" s="47" t="n">
        <x:f>IF(D314&lt;E314,0,MIN(F314*G314*H314*I314,IF('Paths'!$T$10&gt;0,MAX(0,'Paths'!$T$10-K313),1000000000)))</x:f>
        <x:v>10530</x:v>
      </x:c>
      <x:c r="K314" s="47" t="n">
        <x:f>K313+J314</x:f>
        <x:v>523800</x:v>
      </x:c>
      <x:c r="L314" s="46" t="n">
        <x:f>IF(C314="P0",1,IF(D314&lt;=3,0.8,IF(D314&lt;=14,0.65,IF(D314&lt;=45,0.5,0.3))))</x:f>
        <x:v>0.5</x:v>
      </x:c>
      <x:c r="M314" s="47" t="n">
        <x:f>J314*L314</x:f>
        <x:v>5265</x:v>
      </x:c>
      <x:c r="N314" s="47" t="n">
        <x:f>N313+M314</x:f>
        <x:v>303007.5</x:v>
      </x:c>
      <x:c r="O314" s="46" t="n">
        <x:f>IF(C314="P0",0,IF(D314&lt;=3,0.15,IF(D314&lt;=14,0.25,IF(D314&lt;=45,0.35,0.5))))</x:f>
        <x:v>0.35</x:v>
      </x:c>
      <x:c r="P314" s="47" t="n">
        <x:f>J314*O314</x:f>
        <x:v>3685.4999999999995</x:v>
      </x:c>
      <x:c r="Q314" s="46" t="n">
        <x:f>IF(C314="P0",0,IF(D314&lt;=3,0.05,IF(D314&lt;=14,0.1,IF(D314&lt;=45,0.15,0.2))))</x:f>
        <x:v>0.15</x:v>
      </x:c>
      <x:c r="R314" s="47" t="n">
        <x:f>J314*Q314</x:f>
        <x:v>1579.5</x:v>
      </x:c>
      <x:c r="S314" s="20" t="str">
        <x:f>IF(D314&lt;E314,"closed",IF(D314&lt;'Paths'!$N$10,"initial","expanded"))</x:f>
        <x:v>expanded</x:v>
      </x:c>
      <x:c r="T314" s="72"/>
    </x:row>
    <x:row r="315">
      <x:c r="C315" s="20" t="str">
        <x:v>P3</x:v>
      </x:c>
      <x:c r="D315" s="20" t="n">
        <x:v>35</x:v>
      </x:c>
      <x:c r="E315" s="45" t="n">
        <x:f>IF('Controls'!$D$7="Reference",'Paths'!$J$10,'Paths'!$K$10)</x:f>
        <x:v>0</x:v>
      </x:c>
      <x:c r="F315" s="47" t="n">
        <x:f>IF(D315&lt;'Paths'!$N$10,IF('Controls'!$D$7="Reference",'Paths'!$L$10,'Paths'!$M$10),IF('Controls'!$D$7="Reference",'Paths'!$O$10,'Paths'!$P$10))</x:f>
        <x:v>18000</x:v>
      </x:c>
      <x:c r="G315" s="46" t="n">
        <x:f>IF('Controls'!$D$7="Reference",1,IF(OR(D315=6,D315=7,D315=21,D315=46),'Paths'!$U$10,1))</x:f>
        <x:v>1</x:v>
      </x:c>
      <x:c r="H315" s="46" t="n">
        <x:f>IF('Controls'!$D$7="Reference",1,IF(OR(AND(D315&gt;=14,D315&lt;=16),AND(D315&gt;=34,D315&lt;=35),AND(D315&gt;=61,D315&lt;=63)),'Paths'!$V$10,1))</x:f>
        <x:v>0.65</x:v>
      </x:c>
      <x:c r="I315" s="46" t="n">
        <x:f>'Paths'!$W$10</x:f>
        <x:v>0.9</x:v>
      </x:c>
      <x:c r="J315" s="47" t="n">
        <x:f>IF(D315&lt;E315,0,MIN(F315*G315*H315*I315,IF('Paths'!$T$10&gt;0,MAX(0,'Paths'!$T$10-K314),1000000000)))</x:f>
        <x:v>10530</x:v>
      </x:c>
      <x:c r="K315" s="47" t="n">
        <x:f>K314+J315</x:f>
        <x:v>534330</x:v>
      </x:c>
      <x:c r="L315" s="46" t="n">
        <x:f>IF(C315="P0",1,IF(D315&lt;=3,0.8,IF(D315&lt;=14,0.65,IF(D315&lt;=45,0.5,0.3))))</x:f>
        <x:v>0.5</x:v>
      </x:c>
      <x:c r="M315" s="47" t="n">
        <x:f>J315*L315</x:f>
        <x:v>5265</x:v>
      </x:c>
      <x:c r="N315" s="47" t="n">
        <x:f>N314+M315</x:f>
        <x:v>308272.5</x:v>
      </x:c>
      <x:c r="O315" s="46" t="n">
        <x:f>IF(C315="P0",0,IF(D315&lt;=3,0.15,IF(D315&lt;=14,0.25,IF(D315&lt;=45,0.35,0.5))))</x:f>
        <x:v>0.35</x:v>
      </x:c>
      <x:c r="P315" s="47" t="n">
        <x:f>J315*O315</x:f>
        <x:v>3685.4999999999995</x:v>
      </x:c>
      <x:c r="Q315" s="46" t="n">
        <x:f>IF(C315="P0",0,IF(D315&lt;=3,0.05,IF(D315&lt;=14,0.1,IF(D315&lt;=45,0.15,0.2))))</x:f>
        <x:v>0.15</x:v>
      </x:c>
      <x:c r="R315" s="47" t="n">
        <x:f>J315*Q315</x:f>
        <x:v>1579.5</x:v>
      </x:c>
      <x:c r="S315" s="20" t="str">
        <x:f>IF(D315&lt;E315,"closed",IF(D315&lt;'Paths'!$N$10,"initial","expanded"))</x:f>
        <x:v>expanded</x:v>
      </x:c>
      <x:c r="T315" s="72"/>
    </x:row>
    <x:row r="316">
      <x:c r="C316" s="20" t="str">
        <x:v>P3</x:v>
      </x:c>
      <x:c r="D316" s="20" t="n">
        <x:v>36</x:v>
      </x:c>
      <x:c r="E316" s="45" t="n">
        <x:f>IF('Controls'!$D$7="Reference",'Paths'!$J$10,'Paths'!$K$10)</x:f>
        <x:v>0</x:v>
      </x:c>
      <x:c r="F316" s="47" t="n">
        <x:f>IF(D316&lt;'Paths'!$N$10,IF('Controls'!$D$7="Reference",'Paths'!$L$10,'Paths'!$M$10),IF('Controls'!$D$7="Reference",'Paths'!$O$10,'Paths'!$P$10))</x:f>
        <x:v>18000</x:v>
      </x:c>
      <x:c r="G316" s="46" t="n">
        <x:f>IF('Controls'!$D$7="Reference",1,IF(OR(D316=6,D316=7,D316=21,D316=46),'Paths'!$U$10,1))</x:f>
        <x:v>1</x:v>
      </x:c>
      <x:c r="H316" s="46" t="n">
        <x:f>IF('Controls'!$D$7="Reference",1,IF(OR(AND(D316&gt;=14,D316&lt;=16),AND(D316&gt;=34,D316&lt;=35),AND(D316&gt;=61,D316&lt;=63)),'Paths'!$V$10,1))</x:f>
        <x:v>1</x:v>
      </x:c>
      <x:c r="I316" s="46" t="n">
        <x:f>'Paths'!$W$10</x:f>
        <x:v>0.9</x:v>
      </x:c>
      <x:c r="J316" s="47" t="n">
        <x:f>IF(D316&lt;E316,0,MIN(F316*G316*H316*I316,IF('Paths'!$T$10&gt;0,MAX(0,'Paths'!$T$10-K315),1000000000)))</x:f>
        <x:v>16200</x:v>
      </x:c>
      <x:c r="K316" s="47" t="n">
        <x:f>K315+J316</x:f>
        <x:v>550530</x:v>
      </x:c>
      <x:c r="L316" s="46" t="n">
        <x:f>IF(C316="P0",1,IF(D316&lt;=3,0.8,IF(D316&lt;=14,0.65,IF(D316&lt;=45,0.5,0.3))))</x:f>
        <x:v>0.5</x:v>
      </x:c>
      <x:c r="M316" s="47" t="n">
        <x:f>J316*L316</x:f>
        <x:v>8100</x:v>
      </x:c>
      <x:c r="N316" s="47" t="n">
        <x:f>N315+M316</x:f>
        <x:v>316372.5</x:v>
      </x:c>
      <x:c r="O316" s="46" t="n">
        <x:f>IF(C316="P0",0,IF(D316&lt;=3,0.15,IF(D316&lt;=14,0.25,IF(D316&lt;=45,0.35,0.5))))</x:f>
        <x:v>0.35</x:v>
      </x:c>
      <x:c r="P316" s="47" t="n">
        <x:f>J316*O316</x:f>
        <x:v>5670</x:v>
      </x:c>
      <x:c r="Q316" s="46" t="n">
        <x:f>IF(C316="P0",0,IF(D316&lt;=3,0.05,IF(D316&lt;=14,0.1,IF(D316&lt;=45,0.15,0.2))))</x:f>
        <x:v>0.15</x:v>
      </x:c>
      <x:c r="R316" s="47" t="n">
        <x:f>J316*Q316</x:f>
        <x:v>2430</x:v>
      </x:c>
      <x:c r="S316" s="20" t="str">
        <x:f>IF(D316&lt;E316,"closed",IF(D316&lt;'Paths'!$N$10,"initial","expanded"))</x:f>
        <x:v>expanded</x:v>
      </x:c>
      <x:c r="T316" s="72"/>
    </x:row>
    <x:row r="317">
      <x:c r="C317" s="20" t="str">
        <x:v>P3</x:v>
      </x:c>
      <x:c r="D317" s="20" t="n">
        <x:v>37</x:v>
      </x:c>
      <x:c r="E317" s="45" t="n">
        <x:f>IF('Controls'!$D$7="Reference",'Paths'!$J$10,'Paths'!$K$10)</x:f>
        <x:v>0</x:v>
      </x:c>
      <x:c r="F317" s="47" t="n">
        <x:f>IF(D317&lt;'Paths'!$N$10,IF('Controls'!$D$7="Reference",'Paths'!$L$10,'Paths'!$M$10),IF('Controls'!$D$7="Reference",'Paths'!$O$10,'Paths'!$P$10))</x:f>
        <x:v>18000</x:v>
      </x:c>
      <x:c r="G317" s="46" t="n">
        <x:f>IF('Controls'!$D$7="Reference",1,IF(OR(D317=6,D317=7,D317=21,D317=46),'Paths'!$U$10,1))</x:f>
        <x:v>1</x:v>
      </x:c>
      <x:c r="H317" s="46" t="n">
        <x:f>IF('Controls'!$D$7="Reference",1,IF(OR(AND(D317&gt;=14,D317&lt;=16),AND(D317&gt;=34,D317&lt;=35),AND(D317&gt;=61,D317&lt;=63)),'Paths'!$V$10,1))</x:f>
        <x:v>1</x:v>
      </x:c>
      <x:c r="I317" s="46" t="n">
        <x:f>'Paths'!$W$10</x:f>
        <x:v>0.9</x:v>
      </x:c>
      <x:c r="J317" s="47" t="n">
        <x:f>IF(D317&lt;E317,0,MIN(F317*G317*H317*I317,IF('Paths'!$T$10&gt;0,MAX(0,'Paths'!$T$10-K316),1000000000)))</x:f>
        <x:v>16200</x:v>
      </x:c>
      <x:c r="K317" s="47" t="n">
        <x:f>K316+J317</x:f>
        <x:v>566730</x:v>
      </x:c>
      <x:c r="L317" s="46" t="n">
        <x:f>IF(C317="P0",1,IF(D317&lt;=3,0.8,IF(D317&lt;=14,0.65,IF(D317&lt;=45,0.5,0.3))))</x:f>
        <x:v>0.5</x:v>
      </x:c>
      <x:c r="M317" s="47" t="n">
        <x:f>J317*L317</x:f>
        <x:v>8100</x:v>
      </x:c>
      <x:c r="N317" s="47" t="n">
        <x:f>N316+M317</x:f>
        <x:v>324472.5</x:v>
      </x:c>
      <x:c r="O317" s="46" t="n">
        <x:f>IF(C317="P0",0,IF(D317&lt;=3,0.15,IF(D317&lt;=14,0.25,IF(D317&lt;=45,0.35,0.5))))</x:f>
        <x:v>0.35</x:v>
      </x:c>
      <x:c r="P317" s="47" t="n">
        <x:f>J317*O317</x:f>
        <x:v>5670</x:v>
      </x:c>
      <x:c r="Q317" s="46" t="n">
        <x:f>IF(C317="P0",0,IF(D317&lt;=3,0.05,IF(D317&lt;=14,0.1,IF(D317&lt;=45,0.15,0.2))))</x:f>
        <x:v>0.15</x:v>
      </x:c>
      <x:c r="R317" s="47" t="n">
        <x:f>J317*Q317</x:f>
        <x:v>2430</x:v>
      </x:c>
      <x:c r="S317" s="20" t="str">
        <x:f>IF(D317&lt;E317,"closed",IF(D317&lt;'Paths'!$N$10,"initial","expanded"))</x:f>
        <x:v>expanded</x:v>
      </x:c>
      <x:c r="T317" s="72"/>
    </x:row>
    <x:row r="318">
      <x:c r="C318" s="20" t="str">
        <x:v>P3</x:v>
      </x:c>
      <x:c r="D318" s="20" t="n">
        <x:v>38</x:v>
      </x:c>
      <x:c r="E318" s="45" t="n">
        <x:f>IF('Controls'!$D$7="Reference",'Paths'!$J$10,'Paths'!$K$10)</x:f>
        <x:v>0</x:v>
      </x:c>
      <x:c r="F318" s="47" t="n">
        <x:f>IF(D318&lt;'Paths'!$N$10,IF('Controls'!$D$7="Reference",'Paths'!$L$10,'Paths'!$M$10),IF('Controls'!$D$7="Reference",'Paths'!$O$10,'Paths'!$P$10))</x:f>
        <x:v>18000</x:v>
      </x:c>
      <x:c r="G318" s="46" t="n">
        <x:f>IF('Controls'!$D$7="Reference",1,IF(OR(D318=6,D318=7,D318=21,D318=46),'Paths'!$U$10,1))</x:f>
        <x:v>1</x:v>
      </x:c>
      <x:c r="H318" s="46" t="n">
        <x:f>IF('Controls'!$D$7="Reference",1,IF(OR(AND(D318&gt;=14,D318&lt;=16),AND(D318&gt;=34,D318&lt;=35),AND(D318&gt;=61,D318&lt;=63)),'Paths'!$V$10,1))</x:f>
        <x:v>1</x:v>
      </x:c>
      <x:c r="I318" s="46" t="n">
        <x:f>'Paths'!$W$10</x:f>
        <x:v>0.9</x:v>
      </x:c>
      <x:c r="J318" s="47" t="n">
        <x:f>IF(D318&lt;E318,0,MIN(F318*G318*H318*I318,IF('Paths'!$T$10&gt;0,MAX(0,'Paths'!$T$10-K317),1000000000)))</x:f>
        <x:v>16200</x:v>
      </x:c>
      <x:c r="K318" s="47" t="n">
        <x:f>K317+J318</x:f>
        <x:v>582930</x:v>
      </x:c>
      <x:c r="L318" s="46" t="n">
        <x:f>IF(C318="P0",1,IF(D318&lt;=3,0.8,IF(D318&lt;=14,0.65,IF(D318&lt;=45,0.5,0.3))))</x:f>
        <x:v>0.5</x:v>
      </x:c>
      <x:c r="M318" s="47" t="n">
        <x:f>J318*L318</x:f>
        <x:v>8100</x:v>
      </x:c>
      <x:c r="N318" s="47" t="n">
        <x:f>N317+M318</x:f>
        <x:v>332572.5</x:v>
      </x:c>
      <x:c r="O318" s="46" t="n">
        <x:f>IF(C318="P0",0,IF(D318&lt;=3,0.15,IF(D318&lt;=14,0.25,IF(D318&lt;=45,0.35,0.5))))</x:f>
        <x:v>0.35</x:v>
      </x:c>
      <x:c r="P318" s="47" t="n">
        <x:f>J318*O318</x:f>
        <x:v>5670</x:v>
      </x:c>
      <x:c r="Q318" s="46" t="n">
        <x:f>IF(C318="P0",0,IF(D318&lt;=3,0.05,IF(D318&lt;=14,0.1,IF(D318&lt;=45,0.15,0.2))))</x:f>
        <x:v>0.15</x:v>
      </x:c>
      <x:c r="R318" s="47" t="n">
        <x:f>J318*Q318</x:f>
        <x:v>2430</x:v>
      </x:c>
      <x:c r="S318" s="20" t="str">
        <x:f>IF(D318&lt;E318,"closed",IF(D318&lt;'Paths'!$N$10,"initial","expanded"))</x:f>
        <x:v>expanded</x:v>
      </x:c>
      <x:c r="T318" s="72"/>
    </x:row>
    <x:row r="319">
      <x:c r="C319" s="20" t="str">
        <x:v>P3</x:v>
      </x:c>
      <x:c r="D319" s="20" t="n">
        <x:v>39</x:v>
      </x:c>
      <x:c r="E319" s="45" t="n">
        <x:f>IF('Controls'!$D$7="Reference",'Paths'!$J$10,'Paths'!$K$10)</x:f>
        <x:v>0</x:v>
      </x:c>
      <x:c r="F319" s="47" t="n">
        <x:f>IF(D319&lt;'Paths'!$N$10,IF('Controls'!$D$7="Reference",'Paths'!$L$10,'Paths'!$M$10),IF('Controls'!$D$7="Reference",'Paths'!$O$10,'Paths'!$P$10))</x:f>
        <x:v>18000</x:v>
      </x:c>
      <x:c r="G319" s="46" t="n">
        <x:f>IF('Controls'!$D$7="Reference",1,IF(OR(D319=6,D319=7,D319=21,D319=46),'Paths'!$U$10,1))</x:f>
        <x:v>1</x:v>
      </x:c>
      <x:c r="H319" s="46" t="n">
        <x:f>IF('Controls'!$D$7="Reference",1,IF(OR(AND(D319&gt;=14,D319&lt;=16),AND(D319&gt;=34,D319&lt;=35),AND(D319&gt;=61,D319&lt;=63)),'Paths'!$V$10,1))</x:f>
        <x:v>1</x:v>
      </x:c>
      <x:c r="I319" s="46" t="n">
        <x:f>'Paths'!$W$10</x:f>
        <x:v>0.9</x:v>
      </x:c>
      <x:c r="J319" s="47" t="n">
        <x:f>IF(D319&lt;E319,0,MIN(F319*G319*H319*I319,IF('Paths'!$T$10&gt;0,MAX(0,'Paths'!$T$10-K318),1000000000)))</x:f>
        <x:v>16200</x:v>
      </x:c>
      <x:c r="K319" s="47" t="n">
        <x:f>K318+J319</x:f>
        <x:v>599130</x:v>
      </x:c>
      <x:c r="L319" s="46" t="n">
        <x:f>IF(C319="P0",1,IF(D319&lt;=3,0.8,IF(D319&lt;=14,0.65,IF(D319&lt;=45,0.5,0.3))))</x:f>
        <x:v>0.5</x:v>
      </x:c>
      <x:c r="M319" s="47" t="n">
        <x:f>J319*L319</x:f>
        <x:v>8100</x:v>
      </x:c>
      <x:c r="N319" s="47" t="n">
        <x:f>N318+M319</x:f>
        <x:v>340672.5</x:v>
      </x:c>
      <x:c r="O319" s="46" t="n">
        <x:f>IF(C319="P0",0,IF(D319&lt;=3,0.15,IF(D319&lt;=14,0.25,IF(D319&lt;=45,0.35,0.5))))</x:f>
        <x:v>0.35</x:v>
      </x:c>
      <x:c r="P319" s="47" t="n">
        <x:f>J319*O319</x:f>
        <x:v>5670</x:v>
      </x:c>
      <x:c r="Q319" s="46" t="n">
        <x:f>IF(C319="P0",0,IF(D319&lt;=3,0.05,IF(D319&lt;=14,0.1,IF(D319&lt;=45,0.15,0.2))))</x:f>
        <x:v>0.15</x:v>
      </x:c>
      <x:c r="R319" s="47" t="n">
        <x:f>J319*Q319</x:f>
        <x:v>2430</x:v>
      </x:c>
      <x:c r="S319" s="20" t="str">
        <x:f>IF(D319&lt;E319,"closed",IF(D319&lt;'Paths'!$N$10,"initial","expanded"))</x:f>
        <x:v>expanded</x:v>
      </x:c>
      <x:c r="T319" s="72"/>
    </x:row>
    <x:row r="320">
      <x:c r="C320" s="20" t="str">
        <x:v>P3</x:v>
      </x:c>
      <x:c r="D320" s="20" t="n">
        <x:v>40</x:v>
      </x:c>
      <x:c r="E320" s="45" t="n">
        <x:f>IF('Controls'!$D$7="Reference",'Paths'!$J$10,'Paths'!$K$10)</x:f>
        <x:v>0</x:v>
      </x:c>
      <x:c r="F320" s="47" t="n">
        <x:f>IF(D320&lt;'Paths'!$N$10,IF('Controls'!$D$7="Reference",'Paths'!$L$10,'Paths'!$M$10),IF('Controls'!$D$7="Reference",'Paths'!$O$10,'Paths'!$P$10))</x:f>
        <x:v>18000</x:v>
      </x:c>
      <x:c r="G320" s="46" t="n">
        <x:f>IF('Controls'!$D$7="Reference",1,IF(OR(D320=6,D320=7,D320=21,D320=46),'Paths'!$U$10,1))</x:f>
        <x:v>1</x:v>
      </x:c>
      <x:c r="H320" s="46" t="n">
        <x:f>IF('Controls'!$D$7="Reference",1,IF(OR(AND(D320&gt;=14,D320&lt;=16),AND(D320&gt;=34,D320&lt;=35),AND(D320&gt;=61,D320&lt;=63)),'Paths'!$V$10,1))</x:f>
        <x:v>1</x:v>
      </x:c>
      <x:c r="I320" s="46" t="n">
        <x:f>'Paths'!$W$10</x:f>
        <x:v>0.9</x:v>
      </x:c>
      <x:c r="J320" s="47" t="n">
        <x:f>IF(D320&lt;E320,0,MIN(F320*G320*H320*I320,IF('Paths'!$T$10&gt;0,MAX(0,'Paths'!$T$10-K319),1000000000)))</x:f>
        <x:v>16200</x:v>
      </x:c>
      <x:c r="K320" s="47" t="n">
        <x:f>K319+J320</x:f>
        <x:v>615330</x:v>
      </x:c>
      <x:c r="L320" s="46" t="n">
        <x:f>IF(C320="P0",1,IF(D320&lt;=3,0.8,IF(D320&lt;=14,0.65,IF(D320&lt;=45,0.5,0.3))))</x:f>
        <x:v>0.5</x:v>
      </x:c>
      <x:c r="M320" s="47" t="n">
        <x:f>J320*L320</x:f>
        <x:v>8100</x:v>
      </x:c>
      <x:c r="N320" s="47" t="n">
        <x:f>N319+M320</x:f>
        <x:v>348772.5</x:v>
      </x:c>
      <x:c r="O320" s="46" t="n">
        <x:f>IF(C320="P0",0,IF(D320&lt;=3,0.15,IF(D320&lt;=14,0.25,IF(D320&lt;=45,0.35,0.5))))</x:f>
        <x:v>0.35</x:v>
      </x:c>
      <x:c r="P320" s="47" t="n">
        <x:f>J320*O320</x:f>
        <x:v>5670</x:v>
      </x:c>
      <x:c r="Q320" s="46" t="n">
        <x:f>IF(C320="P0",0,IF(D320&lt;=3,0.05,IF(D320&lt;=14,0.1,IF(D320&lt;=45,0.15,0.2))))</x:f>
        <x:v>0.15</x:v>
      </x:c>
      <x:c r="R320" s="47" t="n">
        <x:f>J320*Q320</x:f>
        <x:v>2430</x:v>
      </x:c>
      <x:c r="S320" s="20" t="str">
        <x:f>IF(D320&lt;E320,"closed",IF(D320&lt;'Paths'!$N$10,"initial","expanded"))</x:f>
        <x:v>expanded</x:v>
      </x:c>
      <x:c r="T320" s="72"/>
    </x:row>
    <x:row r="321">
      <x:c r="C321" s="20" t="str">
        <x:v>P3</x:v>
      </x:c>
      <x:c r="D321" s="20" t="n">
        <x:v>41</x:v>
      </x:c>
      <x:c r="E321" s="45" t="n">
        <x:f>IF('Controls'!$D$7="Reference",'Paths'!$J$10,'Paths'!$K$10)</x:f>
        <x:v>0</x:v>
      </x:c>
      <x:c r="F321" s="47" t="n">
        <x:f>IF(D321&lt;'Paths'!$N$10,IF('Controls'!$D$7="Reference",'Paths'!$L$10,'Paths'!$M$10),IF('Controls'!$D$7="Reference",'Paths'!$O$10,'Paths'!$P$10))</x:f>
        <x:v>18000</x:v>
      </x:c>
      <x:c r="G321" s="46" t="n">
        <x:f>IF('Controls'!$D$7="Reference",1,IF(OR(D321=6,D321=7,D321=21,D321=46),'Paths'!$U$10,1))</x:f>
        <x:v>1</x:v>
      </x:c>
      <x:c r="H321" s="46" t="n">
        <x:f>IF('Controls'!$D$7="Reference",1,IF(OR(AND(D321&gt;=14,D321&lt;=16),AND(D321&gt;=34,D321&lt;=35),AND(D321&gt;=61,D321&lt;=63)),'Paths'!$V$10,1))</x:f>
        <x:v>1</x:v>
      </x:c>
      <x:c r="I321" s="46" t="n">
        <x:f>'Paths'!$W$10</x:f>
        <x:v>0.9</x:v>
      </x:c>
      <x:c r="J321" s="47" t="n">
        <x:f>IF(D321&lt;E321,0,MIN(F321*G321*H321*I321,IF('Paths'!$T$10&gt;0,MAX(0,'Paths'!$T$10-K320),1000000000)))</x:f>
        <x:v>16200</x:v>
      </x:c>
      <x:c r="K321" s="47" t="n">
        <x:f>K320+J321</x:f>
        <x:v>631530</x:v>
      </x:c>
      <x:c r="L321" s="46" t="n">
        <x:f>IF(C321="P0",1,IF(D321&lt;=3,0.8,IF(D321&lt;=14,0.65,IF(D321&lt;=45,0.5,0.3))))</x:f>
        <x:v>0.5</x:v>
      </x:c>
      <x:c r="M321" s="47" t="n">
        <x:f>J321*L321</x:f>
        <x:v>8100</x:v>
      </x:c>
      <x:c r="N321" s="47" t="n">
        <x:f>N320+M321</x:f>
        <x:v>356872.5</x:v>
      </x:c>
      <x:c r="O321" s="46" t="n">
        <x:f>IF(C321="P0",0,IF(D321&lt;=3,0.15,IF(D321&lt;=14,0.25,IF(D321&lt;=45,0.35,0.5))))</x:f>
        <x:v>0.35</x:v>
      </x:c>
      <x:c r="P321" s="47" t="n">
        <x:f>J321*O321</x:f>
        <x:v>5670</x:v>
      </x:c>
      <x:c r="Q321" s="46" t="n">
        <x:f>IF(C321="P0",0,IF(D321&lt;=3,0.05,IF(D321&lt;=14,0.1,IF(D321&lt;=45,0.15,0.2))))</x:f>
        <x:v>0.15</x:v>
      </x:c>
      <x:c r="R321" s="47" t="n">
        <x:f>J321*Q321</x:f>
        <x:v>2430</x:v>
      </x:c>
      <x:c r="S321" s="20" t="str">
        <x:f>IF(D321&lt;E321,"closed",IF(D321&lt;'Paths'!$N$10,"initial","expanded"))</x:f>
        <x:v>expanded</x:v>
      </x:c>
      <x:c r="T321" s="72"/>
    </x:row>
    <x:row r="322">
      <x:c r="C322" s="20" t="str">
        <x:v>P3</x:v>
      </x:c>
      <x:c r="D322" s="20" t="n">
        <x:v>42</x:v>
      </x:c>
      <x:c r="E322" s="45" t="n">
        <x:f>IF('Controls'!$D$7="Reference",'Paths'!$J$10,'Paths'!$K$10)</x:f>
        <x:v>0</x:v>
      </x:c>
      <x:c r="F322" s="47" t="n">
        <x:f>IF(D322&lt;'Paths'!$N$10,IF('Controls'!$D$7="Reference",'Paths'!$L$10,'Paths'!$M$10),IF('Controls'!$D$7="Reference",'Paths'!$O$10,'Paths'!$P$10))</x:f>
        <x:v>18000</x:v>
      </x:c>
      <x:c r="G322" s="46" t="n">
        <x:f>IF('Controls'!$D$7="Reference",1,IF(OR(D322=6,D322=7,D322=21,D322=46),'Paths'!$U$10,1))</x:f>
        <x:v>1</x:v>
      </x:c>
      <x:c r="H322" s="46" t="n">
        <x:f>IF('Controls'!$D$7="Reference",1,IF(OR(AND(D322&gt;=14,D322&lt;=16),AND(D322&gt;=34,D322&lt;=35),AND(D322&gt;=61,D322&lt;=63)),'Paths'!$V$10,1))</x:f>
        <x:v>1</x:v>
      </x:c>
      <x:c r="I322" s="46" t="n">
        <x:f>'Paths'!$W$10</x:f>
        <x:v>0.9</x:v>
      </x:c>
      <x:c r="J322" s="47" t="n">
        <x:f>IF(D322&lt;E322,0,MIN(F322*G322*H322*I322,IF('Paths'!$T$10&gt;0,MAX(0,'Paths'!$T$10-K321),1000000000)))</x:f>
        <x:v>16200</x:v>
      </x:c>
      <x:c r="K322" s="47" t="n">
        <x:f>K321+J322</x:f>
        <x:v>647730</x:v>
      </x:c>
      <x:c r="L322" s="46" t="n">
        <x:f>IF(C322="P0",1,IF(D322&lt;=3,0.8,IF(D322&lt;=14,0.65,IF(D322&lt;=45,0.5,0.3))))</x:f>
        <x:v>0.5</x:v>
      </x:c>
      <x:c r="M322" s="47" t="n">
        <x:f>J322*L322</x:f>
        <x:v>8100</x:v>
      </x:c>
      <x:c r="N322" s="47" t="n">
        <x:f>N321+M322</x:f>
        <x:v>364972.5</x:v>
      </x:c>
      <x:c r="O322" s="46" t="n">
        <x:f>IF(C322="P0",0,IF(D322&lt;=3,0.15,IF(D322&lt;=14,0.25,IF(D322&lt;=45,0.35,0.5))))</x:f>
        <x:v>0.35</x:v>
      </x:c>
      <x:c r="P322" s="47" t="n">
        <x:f>J322*O322</x:f>
        <x:v>5670</x:v>
      </x:c>
      <x:c r="Q322" s="46" t="n">
        <x:f>IF(C322="P0",0,IF(D322&lt;=3,0.05,IF(D322&lt;=14,0.1,IF(D322&lt;=45,0.15,0.2))))</x:f>
        <x:v>0.15</x:v>
      </x:c>
      <x:c r="R322" s="47" t="n">
        <x:f>J322*Q322</x:f>
        <x:v>2430</x:v>
      </x:c>
      <x:c r="S322" s="20" t="str">
        <x:f>IF(D322&lt;E322,"closed",IF(D322&lt;'Paths'!$N$10,"initial","expanded"))</x:f>
        <x:v>expanded</x:v>
      </x:c>
      <x:c r="T322" s="72"/>
    </x:row>
    <x:row r="323">
      <x:c r="C323" s="20" t="str">
        <x:v>P3</x:v>
      </x:c>
      <x:c r="D323" s="20" t="n">
        <x:v>43</x:v>
      </x:c>
      <x:c r="E323" s="45" t="n">
        <x:f>IF('Controls'!$D$7="Reference",'Paths'!$J$10,'Paths'!$K$10)</x:f>
        <x:v>0</x:v>
      </x:c>
      <x:c r="F323" s="47" t="n">
        <x:f>IF(D323&lt;'Paths'!$N$10,IF('Controls'!$D$7="Reference",'Paths'!$L$10,'Paths'!$M$10),IF('Controls'!$D$7="Reference",'Paths'!$O$10,'Paths'!$P$10))</x:f>
        <x:v>18000</x:v>
      </x:c>
      <x:c r="G323" s="46" t="n">
        <x:f>IF('Controls'!$D$7="Reference",1,IF(OR(D323=6,D323=7,D323=21,D323=46),'Paths'!$U$10,1))</x:f>
        <x:v>1</x:v>
      </x:c>
      <x:c r="H323" s="46" t="n">
        <x:f>IF('Controls'!$D$7="Reference",1,IF(OR(AND(D323&gt;=14,D323&lt;=16),AND(D323&gt;=34,D323&lt;=35),AND(D323&gt;=61,D323&lt;=63)),'Paths'!$V$10,1))</x:f>
        <x:v>1</x:v>
      </x:c>
      <x:c r="I323" s="46" t="n">
        <x:f>'Paths'!$W$10</x:f>
        <x:v>0.9</x:v>
      </x:c>
      <x:c r="J323" s="47" t="n">
        <x:f>IF(D323&lt;E323,0,MIN(F323*G323*H323*I323,IF('Paths'!$T$10&gt;0,MAX(0,'Paths'!$T$10-K322),1000000000)))</x:f>
        <x:v>16200</x:v>
      </x:c>
      <x:c r="K323" s="47" t="n">
        <x:f>K322+J323</x:f>
        <x:v>663930</x:v>
      </x:c>
      <x:c r="L323" s="46" t="n">
        <x:f>IF(C323="P0",1,IF(D323&lt;=3,0.8,IF(D323&lt;=14,0.65,IF(D323&lt;=45,0.5,0.3))))</x:f>
        <x:v>0.5</x:v>
      </x:c>
      <x:c r="M323" s="47" t="n">
        <x:f>J323*L323</x:f>
        <x:v>8100</x:v>
      </x:c>
      <x:c r="N323" s="47" t="n">
        <x:f>N322+M323</x:f>
        <x:v>373072.5</x:v>
      </x:c>
      <x:c r="O323" s="46" t="n">
        <x:f>IF(C323="P0",0,IF(D323&lt;=3,0.15,IF(D323&lt;=14,0.25,IF(D323&lt;=45,0.35,0.5))))</x:f>
        <x:v>0.35</x:v>
      </x:c>
      <x:c r="P323" s="47" t="n">
        <x:f>J323*O323</x:f>
        <x:v>5670</x:v>
      </x:c>
      <x:c r="Q323" s="46" t="n">
        <x:f>IF(C323="P0",0,IF(D323&lt;=3,0.05,IF(D323&lt;=14,0.1,IF(D323&lt;=45,0.15,0.2))))</x:f>
        <x:v>0.15</x:v>
      </x:c>
      <x:c r="R323" s="47" t="n">
        <x:f>J323*Q323</x:f>
        <x:v>2430</x:v>
      </x:c>
      <x:c r="S323" s="20" t="str">
        <x:f>IF(D323&lt;E323,"closed",IF(D323&lt;'Paths'!$N$10,"initial","expanded"))</x:f>
        <x:v>expanded</x:v>
      </x:c>
      <x:c r="T323" s="72"/>
    </x:row>
    <x:row r="324">
      <x:c r="C324" s="20" t="str">
        <x:v>P3</x:v>
      </x:c>
      <x:c r="D324" s="20" t="n">
        <x:v>44</x:v>
      </x:c>
      <x:c r="E324" s="45" t="n">
        <x:f>IF('Controls'!$D$7="Reference",'Paths'!$J$10,'Paths'!$K$10)</x:f>
        <x:v>0</x:v>
      </x:c>
      <x:c r="F324" s="47" t="n">
        <x:f>IF(D324&lt;'Paths'!$N$10,IF('Controls'!$D$7="Reference",'Paths'!$L$10,'Paths'!$M$10),IF('Controls'!$D$7="Reference",'Paths'!$O$10,'Paths'!$P$10))</x:f>
        <x:v>18000</x:v>
      </x:c>
      <x:c r="G324" s="46" t="n">
        <x:f>IF('Controls'!$D$7="Reference",1,IF(OR(D324=6,D324=7,D324=21,D324=46),'Paths'!$U$10,1))</x:f>
        <x:v>1</x:v>
      </x:c>
      <x:c r="H324" s="46" t="n">
        <x:f>IF('Controls'!$D$7="Reference",1,IF(OR(AND(D324&gt;=14,D324&lt;=16),AND(D324&gt;=34,D324&lt;=35),AND(D324&gt;=61,D324&lt;=63)),'Paths'!$V$10,1))</x:f>
        <x:v>1</x:v>
      </x:c>
      <x:c r="I324" s="46" t="n">
        <x:f>'Paths'!$W$10</x:f>
        <x:v>0.9</x:v>
      </x:c>
      <x:c r="J324" s="47" t="n">
        <x:f>IF(D324&lt;E324,0,MIN(F324*G324*H324*I324,IF('Paths'!$T$10&gt;0,MAX(0,'Paths'!$T$10-K323),1000000000)))</x:f>
        <x:v>16200</x:v>
      </x:c>
      <x:c r="K324" s="47" t="n">
        <x:f>K323+J324</x:f>
        <x:v>680130</x:v>
      </x:c>
      <x:c r="L324" s="46" t="n">
        <x:f>IF(C324="P0",1,IF(D324&lt;=3,0.8,IF(D324&lt;=14,0.65,IF(D324&lt;=45,0.5,0.3))))</x:f>
        <x:v>0.5</x:v>
      </x:c>
      <x:c r="M324" s="47" t="n">
        <x:f>J324*L324</x:f>
        <x:v>8100</x:v>
      </x:c>
      <x:c r="N324" s="47" t="n">
        <x:f>N323+M324</x:f>
        <x:v>381172.5</x:v>
      </x:c>
      <x:c r="O324" s="46" t="n">
        <x:f>IF(C324="P0",0,IF(D324&lt;=3,0.15,IF(D324&lt;=14,0.25,IF(D324&lt;=45,0.35,0.5))))</x:f>
        <x:v>0.35</x:v>
      </x:c>
      <x:c r="P324" s="47" t="n">
        <x:f>J324*O324</x:f>
        <x:v>5670</x:v>
      </x:c>
      <x:c r="Q324" s="46" t="n">
        <x:f>IF(C324="P0",0,IF(D324&lt;=3,0.05,IF(D324&lt;=14,0.1,IF(D324&lt;=45,0.15,0.2))))</x:f>
        <x:v>0.15</x:v>
      </x:c>
      <x:c r="R324" s="47" t="n">
        <x:f>J324*Q324</x:f>
        <x:v>2430</x:v>
      </x:c>
      <x:c r="S324" s="20" t="str">
        <x:f>IF(D324&lt;E324,"closed",IF(D324&lt;'Paths'!$N$10,"initial","expanded"))</x:f>
        <x:v>expanded</x:v>
      </x:c>
      <x:c r="T324" s="72"/>
    </x:row>
    <x:row r="325">
      <x:c r="C325" s="20" t="str">
        <x:v>P3</x:v>
      </x:c>
      <x:c r="D325" s="20" t="n">
        <x:v>45</x:v>
      </x:c>
      <x:c r="E325" s="45" t="n">
        <x:f>IF('Controls'!$D$7="Reference",'Paths'!$J$10,'Paths'!$K$10)</x:f>
        <x:v>0</x:v>
      </x:c>
      <x:c r="F325" s="47" t="n">
        <x:f>IF(D325&lt;'Paths'!$N$10,IF('Controls'!$D$7="Reference",'Paths'!$L$10,'Paths'!$M$10),IF('Controls'!$D$7="Reference",'Paths'!$O$10,'Paths'!$P$10))</x:f>
        <x:v>18000</x:v>
      </x:c>
      <x:c r="G325" s="46" t="n">
        <x:f>IF('Controls'!$D$7="Reference",1,IF(OR(D325=6,D325=7,D325=21,D325=46),'Paths'!$U$10,1))</x:f>
        <x:v>1</x:v>
      </x:c>
      <x:c r="H325" s="46" t="n">
        <x:f>IF('Controls'!$D$7="Reference",1,IF(OR(AND(D325&gt;=14,D325&lt;=16),AND(D325&gt;=34,D325&lt;=35),AND(D325&gt;=61,D325&lt;=63)),'Paths'!$V$10,1))</x:f>
        <x:v>1</x:v>
      </x:c>
      <x:c r="I325" s="46" t="n">
        <x:f>'Paths'!$W$10</x:f>
        <x:v>0.9</x:v>
      </x:c>
      <x:c r="J325" s="47" t="n">
        <x:f>IF(D325&lt;E325,0,MIN(F325*G325*H325*I325,IF('Paths'!$T$10&gt;0,MAX(0,'Paths'!$T$10-K324),1000000000)))</x:f>
        <x:v>16200</x:v>
      </x:c>
      <x:c r="K325" s="47" t="n">
        <x:f>K324+J325</x:f>
        <x:v>696330</x:v>
      </x:c>
      <x:c r="L325" s="46" t="n">
        <x:f>IF(C325="P0",1,IF(D325&lt;=3,0.8,IF(D325&lt;=14,0.65,IF(D325&lt;=45,0.5,0.3))))</x:f>
        <x:v>0.5</x:v>
      </x:c>
      <x:c r="M325" s="47" t="n">
        <x:f>J325*L325</x:f>
        <x:v>8100</x:v>
      </x:c>
      <x:c r="N325" s="47" t="n">
        <x:f>N324+M325</x:f>
        <x:v>389272.5</x:v>
      </x:c>
      <x:c r="O325" s="46" t="n">
        <x:f>IF(C325="P0",0,IF(D325&lt;=3,0.15,IF(D325&lt;=14,0.25,IF(D325&lt;=45,0.35,0.5))))</x:f>
        <x:v>0.35</x:v>
      </x:c>
      <x:c r="P325" s="47" t="n">
        <x:f>J325*O325</x:f>
        <x:v>5670</x:v>
      </x:c>
      <x:c r="Q325" s="46" t="n">
        <x:f>IF(C325="P0",0,IF(D325&lt;=3,0.05,IF(D325&lt;=14,0.1,IF(D325&lt;=45,0.15,0.2))))</x:f>
        <x:v>0.15</x:v>
      </x:c>
      <x:c r="R325" s="47" t="n">
        <x:f>J325*Q325</x:f>
        <x:v>2430</x:v>
      </x:c>
      <x:c r="S325" s="20" t="str">
        <x:f>IF(D325&lt;E325,"closed",IF(D325&lt;'Paths'!$N$10,"initial","expanded"))</x:f>
        <x:v>expanded</x:v>
      </x:c>
      <x:c r="T325" s="72"/>
    </x:row>
    <x:row r="326">
      <x:c r="C326" s="20" t="str">
        <x:v>P3</x:v>
      </x:c>
      <x:c r="D326" s="20" t="n">
        <x:v>46</x:v>
      </x:c>
      <x:c r="E326" s="45" t="n">
        <x:f>IF('Controls'!$D$7="Reference",'Paths'!$J$10,'Paths'!$K$10)</x:f>
        <x:v>0</x:v>
      </x:c>
      <x:c r="F326" s="47" t="n">
        <x:f>IF(D326&lt;'Paths'!$N$10,IF('Controls'!$D$7="Reference",'Paths'!$L$10,'Paths'!$M$10),IF('Controls'!$D$7="Reference",'Paths'!$O$10,'Paths'!$P$10))</x:f>
        <x:v>18000</x:v>
      </x:c>
      <x:c r="G326" s="46" t="n">
        <x:f>IF('Controls'!$D$7="Reference",1,IF(OR(D326=6,D326=7,D326=21,D326=46),'Paths'!$U$10,1))</x:f>
        <x:v>0.8</x:v>
      </x:c>
      <x:c r="H326" s="46" t="n">
        <x:f>IF('Controls'!$D$7="Reference",1,IF(OR(AND(D326&gt;=14,D326&lt;=16),AND(D326&gt;=34,D326&lt;=35),AND(D326&gt;=61,D326&lt;=63)),'Paths'!$V$10,1))</x:f>
        <x:v>1</x:v>
      </x:c>
      <x:c r="I326" s="46" t="n">
        <x:f>'Paths'!$W$10</x:f>
        <x:v>0.9</x:v>
      </x:c>
      <x:c r="J326" s="47" t="n">
        <x:f>IF(D326&lt;E326,0,MIN(F326*G326*H326*I326,IF('Paths'!$T$10&gt;0,MAX(0,'Paths'!$T$10-K325),1000000000)))</x:f>
        <x:v>12960</x:v>
      </x:c>
      <x:c r="K326" s="47" t="n">
        <x:f>K325+J326</x:f>
        <x:v>709290</x:v>
      </x:c>
      <x:c r="L326" s="46" t="n">
        <x:f>IF(C326="P0",1,IF(D326&lt;=3,0.8,IF(D326&lt;=14,0.65,IF(D326&lt;=45,0.5,0.3))))</x:f>
        <x:v>0.3</x:v>
      </x:c>
      <x:c r="M326" s="47" t="n">
        <x:f>J326*L326</x:f>
        <x:v>3888</x:v>
      </x:c>
      <x:c r="N326" s="47" t="n">
        <x:f>N325+M326</x:f>
        <x:v>393160.5</x:v>
      </x:c>
      <x:c r="O326" s="46" t="n">
        <x:f>IF(C326="P0",0,IF(D326&lt;=3,0.15,IF(D326&lt;=14,0.25,IF(D326&lt;=45,0.35,0.5))))</x:f>
        <x:v>0.5</x:v>
      </x:c>
      <x:c r="P326" s="47" t="n">
        <x:f>J326*O326</x:f>
        <x:v>6480</x:v>
      </x:c>
      <x:c r="Q326" s="46" t="n">
        <x:f>IF(C326="P0",0,IF(D326&lt;=3,0.05,IF(D326&lt;=14,0.1,IF(D326&lt;=45,0.15,0.2))))</x:f>
        <x:v>0.2</x:v>
      </x:c>
      <x:c r="R326" s="47" t="n">
        <x:f>J326*Q326</x:f>
        <x:v>2592</x:v>
      </x:c>
      <x:c r="S326" s="20" t="str">
        <x:f>IF(D326&lt;E326,"closed",IF(D326&lt;'Paths'!$N$10,"initial","expanded"))</x:f>
        <x:v>expanded</x:v>
      </x:c>
      <x:c r="T326" s="72"/>
    </x:row>
    <x:row r="327">
      <x:c r="C327" s="20" t="str">
        <x:v>P3</x:v>
      </x:c>
      <x:c r="D327" s="20" t="n">
        <x:v>47</x:v>
      </x:c>
      <x:c r="E327" s="45" t="n">
        <x:f>IF('Controls'!$D$7="Reference",'Paths'!$J$10,'Paths'!$K$10)</x:f>
        <x:v>0</x:v>
      </x:c>
      <x:c r="F327" s="47" t="n">
        <x:f>IF(D327&lt;'Paths'!$N$10,IF('Controls'!$D$7="Reference",'Paths'!$L$10,'Paths'!$M$10),IF('Controls'!$D$7="Reference",'Paths'!$O$10,'Paths'!$P$10))</x:f>
        <x:v>18000</x:v>
      </x:c>
      <x:c r="G327" s="46" t="n">
        <x:f>IF('Controls'!$D$7="Reference",1,IF(OR(D327=6,D327=7,D327=21,D327=46),'Paths'!$U$10,1))</x:f>
        <x:v>1</x:v>
      </x:c>
      <x:c r="H327" s="46" t="n">
        <x:f>IF('Controls'!$D$7="Reference",1,IF(OR(AND(D327&gt;=14,D327&lt;=16),AND(D327&gt;=34,D327&lt;=35),AND(D327&gt;=61,D327&lt;=63)),'Paths'!$V$10,1))</x:f>
        <x:v>1</x:v>
      </x:c>
      <x:c r="I327" s="46" t="n">
        <x:f>'Paths'!$W$10</x:f>
        <x:v>0.9</x:v>
      </x:c>
      <x:c r="J327" s="47" t="n">
        <x:f>IF(D327&lt;E327,0,MIN(F327*G327*H327*I327,IF('Paths'!$T$10&gt;0,MAX(0,'Paths'!$T$10-K326),1000000000)))</x:f>
        <x:v>16200</x:v>
      </x:c>
      <x:c r="K327" s="47" t="n">
        <x:f>K326+J327</x:f>
        <x:v>725490</x:v>
      </x:c>
      <x:c r="L327" s="46" t="n">
        <x:f>IF(C327="P0",1,IF(D327&lt;=3,0.8,IF(D327&lt;=14,0.65,IF(D327&lt;=45,0.5,0.3))))</x:f>
        <x:v>0.3</x:v>
      </x:c>
      <x:c r="M327" s="47" t="n">
        <x:f>J327*L327</x:f>
        <x:v>4860</x:v>
      </x:c>
      <x:c r="N327" s="47" t="n">
        <x:f>N326+M327</x:f>
        <x:v>398020.5</x:v>
      </x:c>
      <x:c r="O327" s="46" t="n">
        <x:f>IF(C327="P0",0,IF(D327&lt;=3,0.15,IF(D327&lt;=14,0.25,IF(D327&lt;=45,0.35,0.5))))</x:f>
        <x:v>0.5</x:v>
      </x:c>
      <x:c r="P327" s="47" t="n">
        <x:f>J327*O327</x:f>
        <x:v>8100</x:v>
      </x:c>
      <x:c r="Q327" s="46" t="n">
        <x:f>IF(C327="P0",0,IF(D327&lt;=3,0.05,IF(D327&lt;=14,0.1,IF(D327&lt;=45,0.15,0.2))))</x:f>
        <x:v>0.2</x:v>
      </x:c>
      <x:c r="R327" s="47" t="n">
        <x:f>J327*Q327</x:f>
        <x:v>3240</x:v>
      </x:c>
      <x:c r="S327" s="20" t="str">
        <x:f>IF(D327&lt;E327,"closed",IF(D327&lt;'Paths'!$N$10,"initial","expanded"))</x:f>
        <x:v>expanded</x:v>
      </x:c>
      <x:c r="T327" s="72"/>
    </x:row>
    <x:row r="328">
      <x:c r="C328" s="20" t="str">
        <x:v>P3</x:v>
      </x:c>
      <x:c r="D328" s="20" t="n">
        <x:v>48</x:v>
      </x:c>
      <x:c r="E328" s="45" t="n">
        <x:f>IF('Controls'!$D$7="Reference",'Paths'!$J$10,'Paths'!$K$10)</x:f>
        <x:v>0</x:v>
      </x:c>
      <x:c r="F328" s="47" t="n">
        <x:f>IF(D328&lt;'Paths'!$N$10,IF('Controls'!$D$7="Reference",'Paths'!$L$10,'Paths'!$M$10),IF('Controls'!$D$7="Reference",'Paths'!$O$10,'Paths'!$P$10))</x:f>
        <x:v>18000</x:v>
      </x:c>
      <x:c r="G328" s="46" t="n">
        <x:f>IF('Controls'!$D$7="Reference",1,IF(OR(D328=6,D328=7,D328=21,D328=46),'Paths'!$U$10,1))</x:f>
        <x:v>1</x:v>
      </x:c>
      <x:c r="H328" s="46" t="n">
        <x:f>IF('Controls'!$D$7="Reference",1,IF(OR(AND(D328&gt;=14,D328&lt;=16),AND(D328&gt;=34,D328&lt;=35),AND(D328&gt;=61,D328&lt;=63)),'Paths'!$V$10,1))</x:f>
        <x:v>1</x:v>
      </x:c>
      <x:c r="I328" s="46" t="n">
        <x:f>'Paths'!$W$10</x:f>
        <x:v>0.9</x:v>
      </x:c>
      <x:c r="J328" s="47" t="n">
        <x:f>IF(D328&lt;E328,0,MIN(F328*G328*H328*I328,IF('Paths'!$T$10&gt;0,MAX(0,'Paths'!$T$10-K327),1000000000)))</x:f>
        <x:v>16200</x:v>
      </x:c>
      <x:c r="K328" s="47" t="n">
        <x:f>K327+J328</x:f>
        <x:v>741690</x:v>
      </x:c>
      <x:c r="L328" s="46" t="n">
        <x:f>IF(C328="P0",1,IF(D328&lt;=3,0.8,IF(D328&lt;=14,0.65,IF(D328&lt;=45,0.5,0.3))))</x:f>
        <x:v>0.3</x:v>
      </x:c>
      <x:c r="M328" s="47" t="n">
        <x:f>J328*L328</x:f>
        <x:v>4860</x:v>
      </x:c>
      <x:c r="N328" s="47" t="n">
        <x:f>N327+M328</x:f>
        <x:v>402880.5</x:v>
      </x:c>
      <x:c r="O328" s="46" t="n">
        <x:f>IF(C328="P0",0,IF(D328&lt;=3,0.15,IF(D328&lt;=14,0.25,IF(D328&lt;=45,0.35,0.5))))</x:f>
        <x:v>0.5</x:v>
      </x:c>
      <x:c r="P328" s="47" t="n">
        <x:f>J328*O328</x:f>
        <x:v>8100</x:v>
      </x:c>
      <x:c r="Q328" s="46" t="n">
        <x:f>IF(C328="P0",0,IF(D328&lt;=3,0.05,IF(D328&lt;=14,0.1,IF(D328&lt;=45,0.15,0.2))))</x:f>
        <x:v>0.2</x:v>
      </x:c>
      <x:c r="R328" s="47" t="n">
        <x:f>J328*Q328</x:f>
        <x:v>3240</x:v>
      </x:c>
      <x:c r="S328" s="20" t="str">
        <x:f>IF(D328&lt;E328,"closed",IF(D328&lt;'Paths'!$N$10,"initial","expanded"))</x:f>
        <x:v>expanded</x:v>
      </x:c>
      <x:c r="T328" s="72"/>
    </x:row>
    <x:row r="329">
      <x:c r="C329" s="20" t="str">
        <x:v>P3</x:v>
      </x:c>
      <x:c r="D329" s="20" t="n">
        <x:v>49</x:v>
      </x:c>
      <x:c r="E329" s="45" t="n">
        <x:f>IF('Controls'!$D$7="Reference",'Paths'!$J$10,'Paths'!$K$10)</x:f>
        <x:v>0</x:v>
      </x:c>
      <x:c r="F329" s="47" t="n">
        <x:f>IF(D329&lt;'Paths'!$N$10,IF('Controls'!$D$7="Reference",'Paths'!$L$10,'Paths'!$M$10),IF('Controls'!$D$7="Reference",'Paths'!$O$10,'Paths'!$P$10))</x:f>
        <x:v>18000</x:v>
      </x:c>
      <x:c r="G329" s="46" t="n">
        <x:f>IF('Controls'!$D$7="Reference",1,IF(OR(D329=6,D329=7,D329=21,D329=46),'Paths'!$U$10,1))</x:f>
        <x:v>1</x:v>
      </x:c>
      <x:c r="H329" s="46" t="n">
        <x:f>IF('Controls'!$D$7="Reference",1,IF(OR(AND(D329&gt;=14,D329&lt;=16),AND(D329&gt;=34,D329&lt;=35),AND(D329&gt;=61,D329&lt;=63)),'Paths'!$V$10,1))</x:f>
        <x:v>1</x:v>
      </x:c>
      <x:c r="I329" s="46" t="n">
        <x:f>'Paths'!$W$10</x:f>
        <x:v>0.9</x:v>
      </x:c>
      <x:c r="J329" s="47" t="n">
        <x:f>IF(D329&lt;E329,0,MIN(F329*G329*H329*I329,IF('Paths'!$T$10&gt;0,MAX(0,'Paths'!$T$10-K328),1000000000)))</x:f>
        <x:v>16200</x:v>
      </x:c>
      <x:c r="K329" s="47" t="n">
        <x:f>K328+J329</x:f>
        <x:v>757890</x:v>
      </x:c>
      <x:c r="L329" s="46" t="n">
        <x:f>IF(C329="P0",1,IF(D329&lt;=3,0.8,IF(D329&lt;=14,0.65,IF(D329&lt;=45,0.5,0.3))))</x:f>
        <x:v>0.3</x:v>
      </x:c>
      <x:c r="M329" s="47" t="n">
        <x:f>J329*L329</x:f>
        <x:v>4860</x:v>
      </x:c>
      <x:c r="N329" s="47" t="n">
        <x:f>N328+M329</x:f>
        <x:v>407740.5</x:v>
      </x:c>
      <x:c r="O329" s="46" t="n">
        <x:f>IF(C329="P0",0,IF(D329&lt;=3,0.15,IF(D329&lt;=14,0.25,IF(D329&lt;=45,0.35,0.5))))</x:f>
        <x:v>0.5</x:v>
      </x:c>
      <x:c r="P329" s="47" t="n">
        <x:f>J329*O329</x:f>
        <x:v>8100</x:v>
      </x:c>
      <x:c r="Q329" s="46" t="n">
        <x:f>IF(C329="P0",0,IF(D329&lt;=3,0.05,IF(D329&lt;=14,0.1,IF(D329&lt;=45,0.15,0.2))))</x:f>
        <x:v>0.2</x:v>
      </x:c>
      <x:c r="R329" s="47" t="n">
        <x:f>J329*Q329</x:f>
        <x:v>3240</x:v>
      </x:c>
      <x:c r="S329" s="20" t="str">
        <x:f>IF(D329&lt;E329,"closed",IF(D329&lt;'Paths'!$N$10,"initial","expanded"))</x:f>
        <x:v>expanded</x:v>
      </x:c>
      <x:c r="T329" s="72"/>
    </x:row>
    <x:row r="330">
      <x:c r="C330" s="20" t="str">
        <x:v>P3</x:v>
      </x:c>
      <x:c r="D330" s="20" t="n">
        <x:v>50</x:v>
      </x:c>
      <x:c r="E330" s="45" t="n">
        <x:f>IF('Controls'!$D$7="Reference",'Paths'!$J$10,'Paths'!$K$10)</x:f>
        <x:v>0</x:v>
      </x:c>
      <x:c r="F330" s="47" t="n">
        <x:f>IF(D330&lt;'Paths'!$N$10,IF('Controls'!$D$7="Reference",'Paths'!$L$10,'Paths'!$M$10),IF('Controls'!$D$7="Reference",'Paths'!$O$10,'Paths'!$P$10))</x:f>
        <x:v>18000</x:v>
      </x:c>
      <x:c r="G330" s="46" t="n">
        <x:f>IF('Controls'!$D$7="Reference",1,IF(OR(D330=6,D330=7,D330=21,D330=46),'Paths'!$U$10,1))</x:f>
        <x:v>1</x:v>
      </x:c>
      <x:c r="H330" s="46" t="n">
        <x:f>IF('Controls'!$D$7="Reference",1,IF(OR(AND(D330&gt;=14,D330&lt;=16),AND(D330&gt;=34,D330&lt;=35),AND(D330&gt;=61,D330&lt;=63)),'Paths'!$V$10,1))</x:f>
        <x:v>1</x:v>
      </x:c>
      <x:c r="I330" s="46" t="n">
        <x:f>'Paths'!$W$10</x:f>
        <x:v>0.9</x:v>
      </x:c>
      <x:c r="J330" s="47" t="n">
        <x:f>IF(D330&lt;E330,0,MIN(F330*G330*H330*I330,IF('Paths'!$T$10&gt;0,MAX(0,'Paths'!$T$10-K329),1000000000)))</x:f>
        <x:v>16200</x:v>
      </x:c>
      <x:c r="K330" s="47" t="n">
        <x:f>K329+J330</x:f>
        <x:v>774090</x:v>
      </x:c>
      <x:c r="L330" s="46" t="n">
        <x:f>IF(C330="P0",1,IF(D330&lt;=3,0.8,IF(D330&lt;=14,0.65,IF(D330&lt;=45,0.5,0.3))))</x:f>
        <x:v>0.3</x:v>
      </x:c>
      <x:c r="M330" s="47" t="n">
        <x:f>J330*L330</x:f>
        <x:v>4860</x:v>
      </x:c>
      <x:c r="N330" s="47" t="n">
        <x:f>N329+M330</x:f>
        <x:v>412600.5</x:v>
      </x:c>
      <x:c r="O330" s="46" t="n">
        <x:f>IF(C330="P0",0,IF(D330&lt;=3,0.15,IF(D330&lt;=14,0.25,IF(D330&lt;=45,0.35,0.5))))</x:f>
        <x:v>0.5</x:v>
      </x:c>
      <x:c r="P330" s="47" t="n">
        <x:f>J330*O330</x:f>
        <x:v>8100</x:v>
      </x:c>
      <x:c r="Q330" s="46" t="n">
        <x:f>IF(C330="P0",0,IF(D330&lt;=3,0.05,IF(D330&lt;=14,0.1,IF(D330&lt;=45,0.15,0.2))))</x:f>
        <x:v>0.2</x:v>
      </x:c>
      <x:c r="R330" s="47" t="n">
        <x:f>J330*Q330</x:f>
        <x:v>3240</x:v>
      </x:c>
      <x:c r="S330" s="20" t="str">
        <x:f>IF(D330&lt;E330,"closed",IF(D330&lt;'Paths'!$N$10,"initial","expanded"))</x:f>
        <x:v>expanded</x:v>
      </x:c>
      <x:c r="T330" s="72"/>
    </x:row>
    <x:row r="331">
      <x:c r="C331" s="20" t="str">
        <x:v>P3</x:v>
      </x:c>
      <x:c r="D331" s="20" t="n">
        <x:v>51</x:v>
      </x:c>
      <x:c r="E331" s="45" t="n">
        <x:f>IF('Controls'!$D$7="Reference",'Paths'!$J$10,'Paths'!$K$10)</x:f>
        <x:v>0</x:v>
      </x:c>
      <x:c r="F331" s="47" t="n">
        <x:f>IF(D331&lt;'Paths'!$N$10,IF('Controls'!$D$7="Reference",'Paths'!$L$10,'Paths'!$M$10),IF('Controls'!$D$7="Reference",'Paths'!$O$10,'Paths'!$P$10))</x:f>
        <x:v>18000</x:v>
      </x:c>
      <x:c r="G331" s="46" t="n">
        <x:f>IF('Controls'!$D$7="Reference",1,IF(OR(D331=6,D331=7,D331=21,D331=46),'Paths'!$U$10,1))</x:f>
        <x:v>1</x:v>
      </x:c>
      <x:c r="H331" s="46" t="n">
        <x:f>IF('Controls'!$D$7="Reference",1,IF(OR(AND(D331&gt;=14,D331&lt;=16),AND(D331&gt;=34,D331&lt;=35),AND(D331&gt;=61,D331&lt;=63)),'Paths'!$V$10,1))</x:f>
        <x:v>1</x:v>
      </x:c>
      <x:c r="I331" s="46" t="n">
        <x:f>'Paths'!$W$10</x:f>
        <x:v>0.9</x:v>
      </x:c>
      <x:c r="J331" s="47" t="n">
        <x:f>IF(D331&lt;E331,0,MIN(F331*G331*H331*I331,IF('Paths'!$T$10&gt;0,MAX(0,'Paths'!$T$10-K330),1000000000)))</x:f>
        <x:v>16200</x:v>
      </x:c>
      <x:c r="K331" s="47" t="n">
        <x:f>K330+J331</x:f>
        <x:v>790290</x:v>
      </x:c>
      <x:c r="L331" s="46" t="n">
        <x:f>IF(C331="P0",1,IF(D331&lt;=3,0.8,IF(D331&lt;=14,0.65,IF(D331&lt;=45,0.5,0.3))))</x:f>
        <x:v>0.3</x:v>
      </x:c>
      <x:c r="M331" s="47" t="n">
        <x:f>J331*L331</x:f>
        <x:v>4860</x:v>
      </x:c>
      <x:c r="N331" s="47" t="n">
        <x:f>N330+M331</x:f>
        <x:v>417460.5</x:v>
      </x:c>
      <x:c r="O331" s="46" t="n">
        <x:f>IF(C331="P0",0,IF(D331&lt;=3,0.15,IF(D331&lt;=14,0.25,IF(D331&lt;=45,0.35,0.5))))</x:f>
        <x:v>0.5</x:v>
      </x:c>
      <x:c r="P331" s="47" t="n">
        <x:f>J331*O331</x:f>
        <x:v>8100</x:v>
      </x:c>
      <x:c r="Q331" s="46" t="n">
        <x:f>IF(C331="P0",0,IF(D331&lt;=3,0.05,IF(D331&lt;=14,0.1,IF(D331&lt;=45,0.15,0.2))))</x:f>
        <x:v>0.2</x:v>
      </x:c>
      <x:c r="R331" s="47" t="n">
        <x:f>J331*Q331</x:f>
        <x:v>3240</x:v>
      </x:c>
      <x:c r="S331" s="20" t="str">
        <x:f>IF(D331&lt;E331,"closed",IF(D331&lt;'Paths'!$N$10,"initial","expanded"))</x:f>
        <x:v>expanded</x:v>
      </x:c>
      <x:c r="T331" s="72"/>
    </x:row>
    <x:row r="332">
      <x:c r="C332" s="20" t="str">
        <x:v>P3</x:v>
      </x:c>
      <x:c r="D332" s="20" t="n">
        <x:v>52</x:v>
      </x:c>
      <x:c r="E332" s="45" t="n">
        <x:f>IF('Controls'!$D$7="Reference",'Paths'!$J$10,'Paths'!$K$10)</x:f>
        <x:v>0</x:v>
      </x:c>
      <x:c r="F332" s="47" t="n">
        <x:f>IF(D332&lt;'Paths'!$N$10,IF('Controls'!$D$7="Reference",'Paths'!$L$10,'Paths'!$M$10),IF('Controls'!$D$7="Reference",'Paths'!$O$10,'Paths'!$P$10))</x:f>
        <x:v>18000</x:v>
      </x:c>
      <x:c r="G332" s="46" t="n">
        <x:f>IF('Controls'!$D$7="Reference",1,IF(OR(D332=6,D332=7,D332=21,D332=46),'Paths'!$U$10,1))</x:f>
        <x:v>1</x:v>
      </x:c>
      <x:c r="H332" s="46" t="n">
        <x:f>IF('Controls'!$D$7="Reference",1,IF(OR(AND(D332&gt;=14,D332&lt;=16),AND(D332&gt;=34,D332&lt;=35),AND(D332&gt;=61,D332&lt;=63)),'Paths'!$V$10,1))</x:f>
        <x:v>1</x:v>
      </x:c>
      <x:c r="I332" s="46" t="n">
        <x:f>'Paths'!$W$10</x:f>
        <x:v>0.9</x:v>
      </x:c>
      <x:c r="J332" s="47" t="n">
        <x:f>IF(D332&lt;E332,0,MIN(F332*G332*H332*I332,IF('Paths'!$T$10&gt;0,MAX(0,'Paths'!$T$10-K331),1000000000)))</x:f>
        <x:v>16200</x:v>
      </x:c>
      <x:c r="K332" s="47" t="n">
        <x:f>K331+J332</x:f>
        <x:v>806490</x:v>
      </x:c>
      <x:c r="L332" s="46" t="n">
        <x:f>IF(C332="P0",1,IF(D332&lt;=3,0.8,IF(D332&lt;=14,0.65,IF(D332&lt;=45,0.5,0.3))))</x:f>
        <x:v>0.3</x:v>
      </x:c>
      <x:c r="M332" s="47" t="n">
        <x:f>J332*L332</x:f>
        <x:v>4860</x:v>
      </x:c>
      <x:c r="N332" s="47" t="n">
        <x:f>N331+M332</x:f>
        <x:v>422320.5</x:v>
      </x:c>
      <x:c r="O332" s="46" t="n">
        <x:f>IF(C332="P0",0,IF(D332&lt;=3,0.15,IF(D332&lt;=14,0.25,IF(D332&lt;=45,0.35,0.5))))</x:f>
        <x:v>0.5</x:v>
      </x:c>
      <x:c r="P332" s="47" t="n">
        <x:f>J332*O332</x:f>
        <x:v>8100</x:v>
      </x:c>
      <x:c r="Q332" s="46" t="n">
        <x:f>IF(C332="P0",0,IF(D332&lt;=3,0.05,IF(D332&lt;=14,0.1,IF(D332&lt;=45,0.15,0.2))))</x:f>
        <x:v>0.2</x:v>
      </x:c>
      <x:c r="R332" s="47" t="n">
        <x:f>J332*Q332</x:f>
        <x:v>3240</x:v>
      </x:c>
      <x:c r="S332" s="20" t="str">
        <x:f>IF(D332&lt;E332,"closed",IF(D332&lt;'Paths'!$N$10,"initial","expanded"))</x:f>
        <x:v>expanded</x:v>
      </x:c>
      <x:c r="T332" s="72"/>
    </x:row>
    <x:row r="333">
      <x:c r="C333" s="20" t="str">
        <x:v>P3</x:v>
      </x:c>
      <x:c r="D333" s="20" t="n">
        <x:v>53</x:v>
      </x:c>
      <x:c r="E333" s="45" t="n">
        <x:f>IF('Controls'!$D$7="Reference",'Paths'!$J$10,'Paths'!$K$10)</x:f>
        <x:v>0</x:v>
      </x:c>
      <x:c r="F333" s="47" t="n">
        <x:f>IF(D333&lt;'Paths'!$N$10,IF('Controls'!$D$7="Reference",'Paths'!$L$10,'Paths'!$M$10),IF('Controls'!$D$7="Reference",'Paths'!$O$10,'Paths'!$P$10))</x:f>
        <x:v>18000</x:v>
      </x:c>
      <x:c r="G333" s="46" t="n">
        <x:f>IF('Controls'!$D$7="Reference",1,IF(OR(D333=6,D333=7,D333=21,D333=46),'Paths'!$U$10,1))</x:f>
        <x:v>1</x:v>
      </x:c>
      <x:c r="H333" s="46" t="n">
        <x:f>IF('Controls'!$D$7="Reference",1,IF(OR(AND(D333&gt;=14,D333&lt;=16),AND(D333&gt;=34,D333&lt;=35),AND(D333&gt;=61,D333&lt;=63)),'Paths'!$V$10,1))</x:f>
        <x:v>1</x:v>
      </x:c>
      <x:c r="I333" s="46" t="n">
        <x:f>'Paths'!$W$10</x:f>
        <x:v>0.9</x:v>
      </x:c>
      <x:c r="J333" s="47" t="n">
        <x:f>IF(D333&lt;E333,0,MIN(F333*G333*H333*I333,IF('Paths'!$T$10&gt;0,MAX(0,'Paths'!$T$10-K332),1000000000)))</x:f>
        <x:v>16200</x:v>
      </x:c>
      <x:c r="K333" s="47" t="n">
        <x:f>K332+J333</x:f>
        <x:v>822690</x:v>
      </x:c>
      <x:c r="L333" s="46" t="n">
        <x:f>IF(C333="P0",1,IF(D333&lt;=3,0.8,IF(D333&lt;=14,0.65,IF(D333&lt;=45,0.5,0.3))))</x:f>
        <x:v>0.3</x:v>
      </x:c>
      <x:c r="M333" s="47" t="n">
        <x:f>J333*L333</x:f>
        <x:v>4860</x:v>
      </x:c>
      <x:c r="N333" s="47" t="n">
        <x:f>N332+M333</x:f>
        <x:v>427180.5</x:v>
      </x:c>
      <x:c r="O333" s="46" t="n">
        <x:f>IF(C333="P0",0,IF(D333&lt;=3,0.15,IF(D333&lt;=14,0.25,IF(D333&lt;=45,0.35,0.5))))</x:f>
        <x:v>0.5</x:v>
      </x:c>
      <x:c r="P333" s="47" t="n">
        <x:f>J333*O333</x:f>
        <x:v>8100</x:v>
      </x:c>
      <x:c r="Q333" s="46" t="n">
        <x:f>IF(C333="P0",0,IF(D333&lt;=3,0.05,IF(D333&lt;=14,0.1,IF(D333&lt;=45,0.15,0.2))))</x:f>
        <x:v>0.2</x:v>
      </x:c>
      <x:c r="R333" s="47" t="n">
        <x:f>J333*Q333</x:f>
        <x:v>3240</x:v>
      </x:c>
      <x:c r="S333" s="20" t="str">
        <x:f>IF(D333&lt;E333,"closed",IF(D333&lt;'Paths'!$N$10,"initial","expanded"))</x:f>
        <x:v>expanded</x:v>
      </x:c>
      <x:c r="T333" s="72"/>
    </x:row>
    <x:row r="334">
      <x:c r="C334" s="20" t="str">
        <x:v>P3</x:v>
      </x:c>
      <x:c r="D334" s="20" t="n">
        <x:v>54</x:v>
      </x:c>
      <x:c r="E334" s="45" t="n">
        <x:f>IF('Controls'!$D$7="Reference",'Paths'!$J$10,'Paths'!$K$10)</x:f>
        <x:v>0</x:v>
      </x:c>
      <x:c r="F334" s="47" t="n">
        <x:f>IF(D334&lt;'Paths'!$N$10,IF('Controls'!$D$7="Reference",'Paths'!$L$10,'Paths'!$M$10),IF('Controls'!$D$7="Reference",'Paths'!$O$10,'Paths'!$P$10))</x:f>
        <x:v>18000</x:v>
      </x:c>
      <x:c r="G334" s="46" t="n">
        <x:f>IF('Controls'!$D$7="Reference",1,IF(OR(D334=6,D334=7,D334=21,D334=46),'Paths'!$U$10,1))</x:f>
        <x:v>1</x:v>
      </x:c>
      <x:c r="H334" s="46" t="n">
        <x:f>IF('Controls'!$D$7="Reference",1,IF(OR(AND(D334&gt;=14,D334&lt;=16),AND(D334&gt;=34,D334&lt;=35),AND(D334&gt;=61,D334&lt;=63)),'Paths'!$V$10,1))</x:f>
        <x:v>1</x:v>
      </x:c>
      <x:c r="I334" s="46" t="n">
        <x:f>'Paths'!$W$10</x:f>
        <x:v>0.9</x:v>
      </x:c>
      <x:c r="J334" s="47" t="n">
        <x:f>IF(D334&lt;E334,0,MIN(F334*G334*H334*I334,IF('Paths'!$T$10&gt;0,MAX(0,'Paths'!$T$10-K333),1000000000)))</x:f>
        <x:v>16200</x:v>
      </x:c>
      <x:c r="K334" s="47" t="n">
        <x:f>K333+J334</x:f>
        <x:v>838890</x:v>
      </x:c>
      <x:c r="L334" s="46" t="n">
        <x:f>IF(C334="P0",1,IF(D334&lt;=3,0.8,IF(D334&lt;=14,0.65,IF(D334&lt;=45,0.5,0.3))))</x:f>
        <x:v>0.3</x:v>
      </x:c>
      <x:c r="M334" s="47" t="n">
        <x:f>J334*L334</x:f>
        <x:v>4860</x:v>
      </x:c>
      <x:c r="N334" s="47" t="n">
        <x:f>N333+M334</x:f>
        <x:v>432040.5</x:v>
      </x:c>
      <x:c r="O334" s="46" t="n">
        <x:f>IF(C334="P0",0,IF(D334&lt;=3,0.15,IF(D334&lt;=14,0.25,IF(D334&lt;=45,0.35,0.5))))</x:f>
        <x:v>0.5</x:v>
      </x:c>
      <x:c r="P334" s="47" t="n">
        <x:f>J334*O334</x:f>
        <x:v>8100</x:v>
      </x:c>
      <x:c r="Q334" s="46" t="n">
        <x:f>IF(C334="P0",0,IF(D334&lt;=3,0.05,IF(D334&lt;=14,0.1,IF(D334&lt;=45,0.15,0.2))))</x:f>
        <x:v>0.2</x:v>
      </x:c>
      <x:c r="R334" s="47" t="n">
        <x:f>J334*Q334</x:f>
        <x:v>3240</x:v>
      </x:c>
      <x:c r="S334" s="20" t="str">
        <x:f>IF(D334&lt;E334,"closed",IF(D334&lt;'Paths'!$N$10,"initial","expanded"))</x:f>
        <x:v>expanded</x:v>
      </x:c>
      <x:c r="T334" s="72"/>
    </x:row>
    <x:row r="335">
      <x:c r="C335" s="20" t="str">
        <x:v>P3</x:v>
      </x:c>
      <x:c r="D335" s="20" t="n">
        <x:v>55</x:v>
      </x:c>
      <x:c r="E335" s="45" t="n">
        <x:f>IF('Controls'!$D$7="Reference",'Paths'!$J$10,'Paths'!$K$10)</x:f>
        <x:v>0</x:v>
      </x:c>
      <x:c r="F335" s="47" t="n">
        <x:f>IF(D335&lt;'Paths'!$N$10,IF('Controls'!$D$7="Reference",'Paths'!$L$10,'Paths'!$M$10),IF('Controls'!$D$7="Reference",'Paths'!$O$10,'Paths'!$P$10))</x:f>
        <x:v>18000</x:v>
      </x:c>
      <x:c r="G335" s="46" t="n">
        <x:f>IF('Controls'!$D$7="Reference",1,IF(OR(D335=6,D335=7,D335=21,D335=46),'Paths'!$U$10,1))</x:f>
        <x:v>1</x:v>
      </x:c>
      <x:c r="H335" s="46" t="n">
        <x:f>IF('Controls'!$D$7="Reference",1,IF(OR(AND(D335&gt;=14,D335&lt;=16),AND(D335&gt;=34,D335&lt;=35),AND(D335&gt;=61,D335&lt;=63)),'Paths'!$V$10,1))</x:f>
        <x:v>1</x:v>
      </x:c>
      <x:c r="I335" s="46" t="n">
        <x:f>'Paths'!$W$10</x:f>
        <x:v>0.9</x:v>
      </x:c>
      <x:c r="J335" s="47" t="n">
        <x:f>IF(D335&lt;E335,0,MIN(F335*G335*H335*I335,IF('Paths'!$T$10&gt;0,MAX(0,'Paths'!$T$10-K334),1000000000)))</x:f>
        <x:v>16200</x:v>
      </x:c>
      <x:c r="K335" s="47" t="n">
        <x:f>K334+J335</x:f>
        <x:v>855090</x:v>
      </x:c>
      <x:c r="L335" s="46" t="n">
        <x:f>IF(C335="P0",1,IF(D335&lt;=3,0.8,IF(D335&lt;=14,0.65,IF(D335&lt;=45,0.5,0.3))))</x:f>
        <x:v>0.3</x:v>
      </x:c>
      <x:c r="M335" s="47" t="n">
        <x:f>J335*L335</x:f>
        <x:v>4860</x:v>
      </x:c>
      <x:c r="N335" s="47" t="n">
        <x:f>N334+M335</x:f>
        <x:v>436900.5</x:v>
      </x:c>
      <x:c r="O335" s="46" t="n">
        <x:f>IF(C335="P0",0,IF(D335&lt;=3,0.15,IF(D335&lt;=14,0.25,IF(D335&lt;=45,0.35,0.5))))</x:f>
        <x:v>0.5</x:v>
      </x:c>
      <x:c r="P335" s="47" t="n">
        <x:f>J335*O335</x:f>
        <x:v>8100</x:v>
      </x:c>
      <x:c r="Q335" s="46" t="n">
        <x:f>IF(C335="P0",0,IF(D335&lt;=3,0.05,IF(D335&lt;=14,0.1,IF(D335&lt;=45,0.15,0.2))))</x:f>
        <x:v>0.2</x:v>
      </x:c>
      <x:c r="R335" s="47" t="n">
        <x:f>J335*Q335</x:f>
        <x:v>3240</x:v>
      </x:c>
      <x:c r="S335" s="20" t="str">
        <x:f>IF(D335&lt;E335,"closed",IF(D335&lt;'Paths'!$N$10,"initial","expanded"))</x:f>
        <x:v>expanded</x:v>
      </x:c>
      <x:c r="T335" s="72"/>
    </x:row>
    <x:row r="336">
      <x:c r="C336" s="20" t="str">
        <x:v>P3</x:v>
      </x:c>
      <x:c r="D336" s="20" t="n">
        <x:v>56</x:v>
      </x:c>
      <x:c r="E336" s="45" t="n">
        <x:f>IF('Controls'!$D$7="Reference",'Paths'!$J$10,'Paths'!$K$10)</x:f>
        <x:v>0</x:v>
      </x:c>
      <x:c r="F336" s="47" t="n">
        <x:f>IF(D336&lt;'Paths'!$N$10,IF('Controls'!$D$7="Reference",'Paths'!$L$10,'Paths'!$M$10),IF('Controls'!$D$7="Reference",'Paths'!$O$10,'Paths'!$P$10))</x:f>
        <x:v>18000</x:v>
      </x:c>
      <x:c r="G336" s="46" t="n">
        <x:f>IF('Controls'!$D$7="Reference",1,IF(OR(D336=6,D336=7,D336=21,D336=46),'Paths'!$U$10,1))</x:f>
        <x:v>1</x:v>
      </x:c>
      <x:c r="H336" s="46" t="n">
        <x:f>IF('Controls'!$D$7="Reference",1,IF(OR(AND(D336&gt;=14,D336&lt;=16),AND(D336&gt;=34,D336&lt;=35),AND(D336&gt;=61,D336&lt;=63)),'Paths'!$V$10,1))</x:f>
        <x:v>1</x:v>
      </x:c>
      <x:c r="I336" s="46" t="n">
        <x:f>'Paths'!$W$10</x:f>
        <x:v>0.9</x:v>
      </x:c>
      <x:c r="J336" s="47" t="n">
        <x:f>IF(D336&lt;E336,0,MIN(F336*G336*H336*I336,IF('Paths'!$T$10&gt;0,MAX(0,'Paths'!$T$10-K335),1000000000)))</x:f>
        <x:v>16200</x:v>
      </x:c>
      <x:c r="K336" s="47" t="n">
        <x:f>K335+J336</x:f>
        <x:v>871290</x:v>
      </x:c>
      <x:c r="L336" s="46" t="n">
        <x:f>IF(C336="P0",1,IF(D336&lt;=3,0.8,IF(D336&lt;=14,0.65,IF(D336&lt;=45,0.5,0.3))))</x:f>
        <x:v>0.3</x:v>
      </x:c>
      <x:c r="M336" s="47" t="n">
        <x:f>J336*L336</x:f>
        <x:v>4860</x:v>
      </x:c>
      <x:c r="N336" s="47" t="n">
        <x:f>N335+M336</x:f>
        <x:v>441760.5</x:v>
      </x:c>
      <x:c r="O336" s="46" t="n">
        <x:f>IF(C336="P0",0,IF(D336&lt;=3,0.15,IF(D336&lt;=14,0.25,IF(D336&lt;=45,0.35,0.5))))</x:f>
        <x:v>0.5</x:v>
      </x:c>
      <x:c r="P336" s="47" t="n">
        <x:f>J336*O336</x:f>
        <x:v>8100</x:v>
      </x:c>
      <x:c r="Q336" s="46" t="n">
        <x:f>IF(C336="P0",0,IF(D336&lt;=3,0.05,IF(D336&lt;=14,0.1,IF(D336&lt;=45,0.15,0.2))))</x:f>
        <x:v>0.2</x:v>
      </x:c>
      <x:c r="R336" s="47" t="n">
        <x:f>J336*Q336</x:f>
        <x:v>3240</x:v>
      </x:c>
      <x:c r="S336" s="20" t="str">
        <x:f>IF(D336&lt;E336,"closed",IF(D336&lt;'Paths'!$N$10,"initial","expanded"))</x:f>
        <x:v>expanded</x:v>
      </x:c>
      <x:c r="T336" s="72"/>
    </x:row>
    <x:row r="337">
      <x:c r="C337" s="20" t="str">
        <x:v>P3</x:v>
      </x:c>
      <x:c r="D337" s="20" t="n">
        <x:v>57</x:v>
      </x:c>
      <x:c r="E337" s="45" t="n">
        <x:f>IF('Controls'!$D$7="Reference",'Paths'!$J$10,'Paths'!$K$10)</x:f>
        <x:v>0</x:v>
      </x:c>
      <x:c r="F337" s="47" t="n">
        <x:f>IF(D337&lt;'Paths'!$N$10,IF('Controls'!$D$7="Reference",'Paths'!$L$10,'Paths'!$M$10),IF('Controls'!$D$7="Reference",'Paths'!$O$10,'Paths'!$P$10))</x:f>
        <x:v>18000</x:v>
      </x:c>
      <x:c r="G337" s="46" t="n">
        <x:f>IF('Controls'!$D$7="Reference",1,IF(OR(D337=6,D337=7,D337=21,D337=46),'Paths'!$U$10,1))</x:f>
        <x:v>1</x:v>
      </x:c>
      <x:c r="H337" s="46" t="n">
        <x:f>IF('Controls'!$D$7="Reference",1,IF(OR(AND(D337&gt;=14,D337&lt;=16),AND(D337&gt;=34,D337&lt;=35),AND(D337&gt;=61,D337&lt;=63)),'Paths'!$V$10,1))</x:f>
        <x:v>1</x:v>
      </x:c>
      <x:c r="I337" s="46" t="n">
        <x:f>'Paths'!$W$10</x:f>
        <x:v>0.9</x:v>
      </x:c>
      <x:c r="J337" s="47" t="n">
        <x:f>IF(D337&lt;E337,0,MIN(F337*G337*H337*I337,IF('Paths'!$T$10&gt;0,MAX(0,'Paths'!$T$10-K336),1000000000)))</x:f>
        <x:v>16200</x:v>
      </x:c>
      <x:c r="K337" s="47" t="n">
        <x:f>K336+J337</x:f>
        <x:v>887490</x:v>
      </x:c>
      <x:c r="L337" s="46" t="n">
        <x:f>IF(C337="P0",1,IF(D337&lt;=3,0.8,IF(D337&lt;=14,0.65,IF(D337&lt;=45,0.5,0.3))))</x:f>
        <x:v>0.3</x:v>
      </x:c>
      <x:c r="M337" s="47" t="n">
        <x:f>J337*L337</x:f>
        <x:v>4860</x:v>
      </x:c>
      <x:c r="N337" s="47" t="n">
        <x:f>N336+M337</x:f>
        <x:v>446620.5</x:v>
      </x:c>
      <x:c r="O337" s="46" t="n">
        <x:f>IF(C337="P0",0,IF(D337&lt;=3,0.15,IF(D337&lt;=14,0.25,IF(D337&lt;=45,0.35,0.5))))</x:f>
        <x:v>0.5</x:v>
      </x:c>
      <x:c r="P337" s="47" t="n">
        <x:f>J337*O337</x:f>
        <x:v>8100</x:v>
      </x:c>
      <x:c r="Q337" s="46" t="n">
        <x:f>IF(C337="P0",0,IF(D337&lt;=3,0.05,IF(D337&lt;=14,0.1,IF(D337&lt;=45,0.15,0.2))))</x:f>
        <x:v>0.2</x:v>
      </x:c>
      <x:c r="R337" s="47" t="n">
        <x:f>J337*Q337</x:f>
        <x:v>3240</x:v>
      </x:c>
      <x:c r="S337" s="20" t="str">
        <x:f>IF(D337&lt;E337,"closed",IF(D337&lt;'Paths'!$N$10,"initial","expanded"))</x:f>
        <x:v>expanded</x:v>
      </x:c>
      <x:c r="T337" s="72"/>
    </x:row>
    <x:row r="338">
      <x:c r="C338" s="20" t="str">
        <x:v>P3</x:v>
      </x:c>
      <x:c r="D338" s="20" t="n">
        <x:v>58</x:v>
      </x:c>
      <x:c r="E338" s="45" t="n">
        <x:f>IF('Controls'!$D$7="Reference",'Paths'!$J$10,'Paths'!$K$10)</x:f>
        <x:v>0</x:v>
      </x:c>
      <x:c r="F338" s="47" t="n">
        <x:f>IF(D338&lt;'Paths'!$N$10,IF('Controls'!$D$7="Reference",'Paths'!$L$10,'Paths'!$M$10),IF('Controls'!$D$7="Reference",'Paths'!$O$10,'Paths'!$P$10))</x:f>
        <x:v>18000</x:v>
      </x:c>
      <x:c r="G338" s="46" t="n">
        <x:f>IF('Controls'!$D$7="Reference",1,IF(OR(D338=6,D338=7,D338=21,D338=46),'Paths'!$U$10,1))</x:f>
        <x:v>1</x:v>
      </x:c>
      <x:c r="H338" s="46" t="n">
        <x:f>IF('Controls'!$D$7="Reference",1,IF(OR(AND(D338&gt;=14,D338&lt;=16),AND(D338&gt;=34,D338&lt;=35),AND(D338&gt;=61,D338&lt;=63)),'Paths'!$V$10,1))</x:f>
        <x:v>1</x:v>
      </x:c>
      <x:c r="I338" s="46" t="n">
        <x:f>'Paths'!$W$10</x:f>
        <x:v>0.9</x:v>
      </x:c>
      <x:c r="J338" s="47" t="n">
        <x:f>IF(D338&lt;E338,0,MIN(F338*G338*H338*I338,IF('Paths'!$T$10&gt;0,MAX(0,'Paths'!$T$10-K337),1000000000)))</x:f>
        <x:v>16200</x:v>
      </x:c>
      <x:c r="K338" s="47" t="n">
        <x:f>K337+J338</x:f>
        <x:v>903690</x:v>
      </x:c>
      <x:c r="L338" s="46" t="n">
        <x:f>IF(C338="P0",1,IF(D338&lt;=3,0.8,IF(D338&lt;=14,0.65,IF(D338&lt;=45,0.5,0.3))))</x:f>
        <x:v>0.3</x:v>
      </x:c>
      <x:c r="M338" s="47" t="n">
        <x:f>J338*L338</x:f>
        <x:v>4860</x:v>
      </x:c>
      <x:c r="N338" s="47" t="n">
        <x:f>N337+M338</x:f>
        <x:v>451480.5</x:v>
      </x:c>
      <x:c r="O338" s="46" t="n">
        <x:f>IF(C338="P0",0,IF(D338&lt;=3,0.15,IF(D338&lt;=14,0.25,IF(D338&lt;=45,0.35,0.5))))</x:f>
        <x:v>0.5</x:v>
      </x:c>
      <x:c r="P338" s="47" t="n">
        <x:f>J338*O338</x:f>
        <x:v>8100</x:v>
      </x:c>
      <x:c r="Q338" s="46" t="n">
        <x:f>IF(C338="P0",0,IF(D338&lt;=3,0.05,IF(D338&lt;=14,0.1,IF(D338&lt;=45,0.15,0.2))))</x:f>
        <x:v>0.2</x:v>
      </x:c>
      <x:c r="R338" s="47" t="n">
        <x:f>J338*Q338</x:f>
        <x:v>3240</x:v>
      </x:c>
      <x:c r="S338" s="20" t="str">
        <x:f>IF(D338&lt;E338,"closed",IF(D338&lt;'Paths'!$N$10,"initial","expanded"))</x:f>
        <x:v>expanded</x:v>
      </x:c>
      <x:c r="T338" s="72"/>
    </x:row>
    <x:row r="339">
      <x:c r="C339" s="20" t="str">
        <x:v>P3</x:v>
      </x:c>
      <x:c r="D339" s="20" t="n">
        <x:v>59</x:v>
      </x:c>
      <x:c r="E339" s="45" t="n">
        <x:f>IF('Controls'!$D$7="Reference",'Paths'!$J$10,'Paths'!$K$10)</x:f>
        <x:v>0</x:v>
      </x:c>
      <x:c r="F339" s="47" t="n">
        <x:f>IF(D339&lt;'Paths'!$N$10,IF('Controls'!$D$7="Reference",'Paths'!$L$10,'Paths'!$M$10),IF('Controls'!$D$7="Reference",'Paths'!$O$10,'Paths'!$P$10))</x:f>
        <x:v>18000</x:v>
      </x:c>
      <x:c r="G339" s="46" t="n">
        <x:f>IF('Controls'!$D$7="Reference",1,IF(OR(D339=6,D339=7,D339=21,D339=46),'Paths'!$U$10,1))</x:f>
        <x:v>1</x:v>
      </x:c>
      <x:c r="H339" s="46" t="n">
        <x:f>IF('Controls'!$D$7="Reference",1,IF(OR(AND(D339&gt;=14,D339&lt;=16),AND(D339&gt;=34,D339&lt;=35),AND(D339&gt;=61,D339&lt;=63)),'Paths'!$V$10,1))</x:f>
        <x:v>1</x:v>
      </x:c>
      <x:c r="I339" s="46" t="n">
        <x:f>'Paths'!$W$10</x:f>
        <x:v>0.9</x:v>
      </x:c>
      <x:c r="J339" s="47" t="n">
        <x:f>IF(D339&lt;E339,0,MIN(F339*G339*H339*I339,IF('Paths'!$T$10&gt;0,MAX(0,'Paths'!$T$10-K338),1000000000)))</x:f>
        <x:v>16200</x:v>
      </x:c>
      <x:c r="K339" s="47" t="n">
        <x:f>K338+J339</x:f>
        <x:v>919890</x:v>
      </x:c>
      <x:c r="L339" s="46" t="n">
        <x:f>IF(C339="P0",1,IF(D339&lt;=3,0.8,IF(D339&lt;=14,0.65,IF(D339&lt;=45,0.5,0.3))))</x:f>
        <x:v>0.3</x:v>
      </x:c>
      <x:c r="M339" s="47" t="n">
        <x:f>J339*L339</x:f>
        <x:v>4860</x:v>
      </x:c>
      <x:c r="N339" s="47" t="n">
        <x:f>N338+M339</x:f>
        <x:v>456340.5</x:v>
      </x:c>
      <x:c r="O339" s="46" t="n">
        <x:f>IF(C339="P0",0,IF(D339&lt;=3,0.15,IF(D339&lt;=14,0.25,IF(D339&lt;=45,0.35,0.5))))</x:f>
        <x:v>0.5</x:v>
      </x:c>
      <x:c r="P339" s="47" t="n">
        <x:f>J339*O339</x:f>
        <x:v>8100</x:v>
      </x:c>
      <x:c r="Q339" s="46" t="n">
        <x:f>IF(C339="P0",0,IF(D339&lt;=3,0.05,IF(D339&lt;=14,0.1,IF(D339&lt;=45,0.15,0.2))))</x:f>
        <x:v>0.2</x:v>
      </x:c>
      <x:c r="R339" s="47" t="n">
        <x:f>J339*Q339</x:f>
        <x:v>3240</x:v>
      </x:c>
      <x:c r="S339" s="20" t="str">
        <x:f>IF(D339&lt;E339,"closed",IF(D339&lt;'Paths'!$N$10,"initial","expanded"))</x:f>
        <x:v>expanded</x:v>
      </x:c>
      <x:c r="T339" s="72"/>
    </x:row>
    <x:row r="340">
      <x:c r="C340" s="20" t="str">
        <x:v>P3</x:v>
      </x:c>
      <x:c r="D340" s="20" t="n">
        <x:v>60</x:v>
      </x:c>
      <x:c r="E340" s="45" t="n">
        <x:f>IF('Controls'!$D$7="Reference",'Paths'!$J$10,'Paths'!$K$10)</x:f>
        <x:v>0</x:v>
      </x:c>
      <x:c r="F340" s="47" t="n">
        <x:f>IF(D340&lt;'Paths'!$N$10,IF('Controls'!$D$7="Reference",'Paths'!$L$10,'Paths'!$M$10),IF('Controls'!$D$7="Reference",'Paths'!$O$10,'Paths'!$P$10))</x:f>
        <x:v>18000</x:v>
      </x:c>
      <x:c r="G340" s="46" t="n">
        <x:f>IF('Controls'!$D$7="Reference",1,IF(OR(D340=6,D340=7,D340=21,D340=46),'Paths'!$U$10,1))</x:f>
        <x:v>1</x:v>
      </x:c>
      <x:c r="H340" s="46" t="n">
        <x:f>IF('Controls'!$D$7="Reference",1,IF(OR(AND(D340&gt;=14,D340&lt;=16),AND(D340&gt;=34,D340&lt;=35),AND(D340&gt;=61,D340&lt;=63)),'Paths'!$V$10,1))</x:f>
        <x:v>1</x:v>
      </x:c>
      <x:c r="I340" s="46" t="n">
        <x:f>'Paths'!$W$10</x:f>
        <x:v>0.9</x:v>
      </x:c>
      <x:c r="J340" s="47" t="n">
        <x:f>IF(D340&lt;E340,0,MIN(F340*G340*H340*I340,IF('Paths'!$T$10&gt;0,MAX(0,'Paths'!$T$10-K339),1000000000)))</x:f>
        <x:v>16200</x:v>
      </x:c>
      <x:c r="K340" s="47" t="n">
        <x:f>K339+J340</x:f>
        <x:v>936090</x:v>
      </x:c>
      <x:c r="L340" s="46" t="n">
        <x:f>IF(C340="P0",1,IF(D340&lt;=3,0.8,IF(D340&lt;=14,0.65,IF(D340&lt;=45,0.5,0.3))))</x:f>
        <x:v>0.3</x:v>
      </x:c>
      <x:c r="M340" s="47" t="n">
        <x:f>J340*L340</x:f>
        <x:v>4860</x:v>
      </x:c>
      <x:c r="N340" s="47" t="n">
        <x:f>N339+M340</x:f>
        <x:v>461200.5</x:v>
      </x:c>
      <x:c r="O340" s="46" t="n">
        <x:f>IF(C340="P0",0,IF(D340&lt;=3,0.15,IF(D340&lt;=14,0.25,IF(D340&lt;=45,0.35,0.5))))</x:f>
        <x:v>0.5</x:v>
      </x:c>
      <x:c r="P340" s="47" t="n">
        <x:f>J340*O340</x:f>
        <x:v>8100</x:v>
      </x:c>
      <x:c r="Q340" s="46" t="n">
        <x:f>IF(C340="P0",0,IF(D340&lt;=3,0.05,IF(D340&lt;=14,0.1,IF(D340&lt;=45,0.15,0.2))))</x:f>
        <x:v>0.2</x:v>
      </x:c>
      <x:c r="R340" s="47" t="n">
        <x:f>J340*Q340</x:f>
        <x:v>3240</x:v>
      </x:c>
      <x:c r="S340" s="20" t="str">
        <x:f>IF(D340&lt;E340,"closed",IF(D340&lt;'Paths'!$N$10,"initial","expanded"))</x:f>
        <x:v>expanded</x:v>
      </x:c>
      <x:c r="T340" s="72"/>
    </x:row>
    <x:row r="341">
      <x:c r="C341" s="20" t="str">
        <x:v>P3</x:v>
      </x:c>
      <x:c r="D341" s="20" t="n">
        <x:v>61</x:v>
      </x:c>
      <x:c r="E341" s="45" t="n">
        <x:f>IF('Controls'!$D$7="Reference",'Paths'!$J$10,'Paths'!$K$10)</x:f>
        <x:v>0</x:v>
      </x:c>
      <x:c r="F341" s="47" t="n">
        <x:f>IF(D341&lt;'Paths'!$N$10,IF('Controls'!$D$7="Reference",'Paths'!$L$10,'Paths'!$M$10),IF('Controls'!$D$7="Reference",'Paths'!$O$10,'Paths'!$P$10))</x:f>
        <x:v>18000</x:v>
      </x:c>
      <x:c r="G341" s="46" t="n">
        <x:f>IF('Controls'!$D$7="Reference",1,IF(OR(D341=6,D341=7,D341=21,D341=46),'Paths'!$U$10,1))</x:f>
        <x:v>1</x:v>
      </x:c>
      <x:c r="H341" s="46" t="n">
        <x:f>IF('Controls'!$D$7="Reference",1,IF(OR(AND(D341&gt;=14,D341&lt;=16),AND(D341&gt;=34,D341&lt;=35),AND(D341&gt;=61,D341&lt;=63)),'Paths'!$V$10,1))</x:f>
        <x:v>0.65</x:v>
      </x:c>
      <x:c r="I341" s="46" t="n">
        <x:f>'Paths'!$W$10</x:f>
        <x:v>0.9</x:v>
      </x:c>
      <x:c r="J341" s="47" t="n">
        <x:f>IF(D341&lt;E341,0,MIN(F341*G341*H341*I341,IF('Paths'!$T$10&gt;0,MAX(0,'Paths'!$T$10-K340),1000000000)))</x:f>
        <x:v>10530</x:v>
      </x:c>
      <x:c r="K341" s="47" t="n">
        <x:f>K340+J341</x:f>
        <x:v>946620</x:v>
      </x:c>
      <x:c r="L341" s="46" t="n">
        <x:f>IF(C341="P0",1,IF(D341&lt;=3,0.8,IF(D341&lt;=14,0.65,IF(D341&lt;=45,0.5,0.3))))</x:f>
        <x:v>0.3</x:v>
      </x:c>
      <x:c r="M341" s="47" t="n">
        <x:f>J341*L341</x:f>
        <x:v>3159</x:v>
      </x:c>
      <x:c r="N341" s="47" t="n">
        <x:f>N340+M341</x:f>
        <x:v>464359.5</x:v>
      </x:c>
      <x:c r="O341" s="46" t="n">
        <x:f>IF(C341="P0",0,IF(D341&lt;=3,0.15,IF(D341&lt;=14,0.25,IF(D341&lt;=45,0.35,0.5))))</x:f>
        <x:v>0.5</x:v>
      </x:c>
      <x:c r="P341" s="47" t="n">
        <x:f>J341*O341</x:f>
        <x:v>5265</x:v>
      </x:c>
      <x:c r="Q341" s="46" t="n">
        <x:f>IF(C341="P0",0,IF(D341&lt;=3,0.05,IF(D341&lt;=14,0.1,IF(D341&lt;=45,0.15,0.2))))</x:f>
        <x:v>0.2</x:v>
      </x:c>
      <x:c r="R341" s="47" t="n">
        <x:f>J341*Q341</x:f>
        <x:v>2106</x:v>
      </x:c>
      <x:c r="S341" s="20" t="str">
        <x:f>IF(D341&lt;E341,"closed",IF(D341&lt;'Paths'!$N$10,"initial","expanded"))</x:f>
        <x:v>expanded</x:v>
      </x:c>
      <x:c r="T341" s="72"/>
    </x:row>
    <x:row r="342">
      <x:c r="C342" s="20" t="str">
        <x:v>P3</x:v>
      </x:c>
      <x:c r="D342" s="20" t="n">
        <x:v>62</x:v>
      </x:c>
      <x:c r="E342" s="45" t="n">
        <x:f>IF('Controls'!$D$7="Reference",'Paths'!$J$10,'Paths'!$K$10)</x:f>
        <x:v>0</x:v>
      </x:c>
      <x:c r="F342" s="47" t="n">
        <x:f>IF(D342&lt;'Paths'!$N$10,IF('Controls'!$D$7="Reference",'Paths'!$L$10,'Paths'!$M$10),IF('Controls'!$D$7="Reference",'Paths'!$O$10,'Paths'!$P$10))</x:f>
        <x:v>18000</x:v>
      </x:c>
      <x:c r="G342" s="46" t="n">
        <x:f>IF('Controls'!$D$7="Reference",1,IF(OR(D342=6,D342=7,D342=21,D342=46),'Paths'!$U$10,1))</x:f>
        <x:v>1</x:v>
      </x:c>
      <x:c r="H342" s="46" t="n">
        <x:f>IF('Controls'!$D$7="Reference",1,IF(OR(AND(D342&gt;=14,D342&lt;=16),AND(D342&gt;=34,D342&lt;=35),AND(D342&gt;=61,D342&lt;=63)),'Paths'!$V$10,1))</x:f>
        <x:v>0.65</x:v>
      </x:c>
      <x:c r="I342" s="46" t="n">
        <x:f>'Paths'!$W$10</x:f>
        <x:v>0.9</x:v>
      </x:c>
      <x:c r="J342" s="47" t="n">
        <x:f>IF(D342&lt;E342,0,MIN(F342*G342*H342*I342,IF('Paths'!$T$10&gt;0,MAX(0,'Paths'!$T$10-K341),1000000000)))</x:f>
        <x:v>10530</x:v>
      </x:c>
      <x:c r="K342" s="47" t="n">
        <x:f>K341+J342</x:f>
        <x:v>957150</x:v>
      </x:c>
      <x:c r="L342" s="46" t="n">
        <x:f>IF(C342="P0",1,IF(D342&lt;=3,0.8,IF(D342&lt;=14,0.65,IF(D342&lt;=45,0.5,0.3))))</x:f>
        <x:v>0.3</x:v>
      </x:c>
      <x:c r="M342" s="47" t="n">
        <x:f>J342*L342</x:f>
        <x:v>3159</x:v>
      </x:c>
      <x:c r="N342" s="47" t="n">
        <x:f>N341+M342</x:f>
        <x:v>467518.5</x:v>
      </x:c>
      <x:c r="O342" s="46" t="n">
        <x:f>IF(C342="P0",0,IF(D342&lt;=3,0.15,IF(D342&lt;=14,0.25,IF(D342&lt;=45,0.35,0.5))))</x:f>
        <x:v>0.5</x:v>
      </x:c>
      <x:c r="P342" s="47" t="n">
        <x:f>J342*O342</x:f>
        <x:v>5265</x:v>
      </x:c>
      <x:c r="Q342" s="46" t="n">
        <x:f>IF(C342="P0",0,IF(D342&lt;=3,0.05,IF(D342&lt;=14,0.1,IF(D342&lt;=45,0.15,0.2))))</x:f>
        <x:v>0.2</x:v>
      </x:c>
      <x:c r="R342" s="47" t="n">
        <x:f>J342*Q342</x:f>
        <x:v>2106</x:v>
      </x:c>
      <x:c r="S342" s="20" t="str">
        <x:f>IF(D342&lt;E342,"closed",IF(D342&lt;'Paths'!$N$10,"initial","expanded"))</x:f>
        <x:v>expanded</x:v>
      </x:c>
      <x:c r="T342" s="72"/>
    </x:row>
    <x:row r="343">
      <x:c r="C343" s="20" t="str">
        <x:v>P3</x:v>
      </x:c>
      <x:c r="D343" s="20" t="n">
        <x:v>63</x:v>
      </x:c>
      <x:c r="E343" s="45" t="n">
        <x:f>IF('Controls'!$D$7="Reference",'Paths'!$J$10,'Paths'!$K$10)</x:f>
        <x:v>0</x:v>
      </x:c>
      <x:c r="F343" s="47" t="n">
        <x:f>IF(D343&lt;'Paths'!$N$10,IF('Controls'!$D$7="Reference",'Paths'!$L$10,'Paths'!$M$10),IF('Controls'!$D$7="Reference",'Paths'!$O$10,'Paths'!$P$10))</x:f>
        <x:v>18000</x:v>
      </x:c>
      <x:c r="G343" s="46" t="n">
        <x:f>IF('Controls'!$D$7="Reference",1,IF(OR(D343=6,D343=7,D343=21,D343=46),'Paths'!$U$10,1))</x:f>
        <x:v>1</x:v>
      </x:c>
      <x:c r="H343" s="46" t="n">
        <x:f>IF('Controls'!$D$7="Reference",1,IF(OR(AND(D343&gt;=14,D343&lt;=16),AND(D343&gt;=34,D343&lt;=35),AND(D343&gt;=61,D343&lt;=63)),'Paths'!$V$10,1))</x:f>
        <x:v>0.65</x:v>
      </x:c>
      <x:c r="I343" s="46" t="n">
        <x:f>'Paths'!$W$10</x:f>
        <x:v>0.9</x:v>
      </x:c>
      <x:c r="J343" s="47" t="n">
        <x:f>IF(D343&lt;E343,0,MIN(F343*G343*H343*I343,IF('Paths'!$T$10&gt;0,MAX(0,'Paths'!$T$10-K342),1000000000)))</x:f>
        <x:v>10530</x:v>
      </x:c>
      <x:c r="K343" s="47" t="n">
        <x:f>K342+J343</x:f>
        <x:v>967680</x:v>
      </x:c>
      <x:c r="L343" s="46" t="n">
        <x:f>IF(C343="P0",1,IF(D343&lt;=3,0.8,IF(D343&lt;=14,0.65,IF(D343&lt;=45,0.5,0.3))))</x:f>
        <x:v>0.3</x:v>
      </x:c>
      <x:c r="M343" s="47" t="n">
        <x:f>J343*L343</x:f>
        <x:v>3159</x:v>
      </x:c>
      <x:c r="N343" s="47" t="n">
        <x:f>N342+M343</x:f>
        <x:v>470677.5</x:v>
      </x:c>
      <x:c r="O343" s="46" t="n">
        <x:f>IF(C343="P0",0,IF(D343&lt;=3,0.15,IF(D343&lt;=14,0.25,IF(D343&lt;=45,0.35,0.5))))</x:f>
        <x:v>0.5</x:v>
      </x:c>
      <x:c r="P343" s="47" t="n">
        <x:f>J343*O343</x:f>
        <x:v>5265</x:v>
      </x:c>
      <x:c r="Q343" s="46" t="n">
        <x:f>IF(C343="P0",0,IF(D343&lt;=3,0.05,IF(D343&lt;=14,0.1,IF(D343&lt;=45,0.15,0.2))))</x:f>
        <x:v>0.2</x:v>
      </x:c>
      <x:c r="R343" s="47" t="n">
        <x:f>J343*Q343</x:f>
        <x:v>2106</x:v>
      </x:c>
      <x:c r="S343" s="20" t="str">
        <x:f>IF(D343&lt;E343,"closed",IF(D343&lt;'Paths'!$N$10,"initial","expanded"))</x:f>
        <x:v>expanded</x:v>
      </x:c>
      <x:c r="T343" s="72"/>
    </x:row>
    <x:row r="344">
      <x:c r="C344" s="20" t="str">
        <x:v>P3</x:v>
      </x:c>
      <x:c r="D344" s="20" t="n">
        <x:v>64</x:v>
      </x:c>
      <x:c r="E344" s="45" t="n">
        <x:f>IF('Controls'!$D$7="Reference",'Paths'!$J$10,'Paths'!$K$10)</x:f>
        <x:v>0</x:v>
      </x:c>
      <x:c r="F344" s="47" t="n">
        <x:f>IF(D344&lt;'Paths'!$N$10,IF('Controls'!$D$7="Reference",'Paths'!$L$10,'Paths'!$M$10),IF('Controls'!$D$7="Reference",'Paths'!$O$10,'Paths'!$P$10))</x:f>
        <x:v>18000</x:v>
      </x:c>
      <x:c r="G344" s="46" t="n">
        <x:f>IF('Controls'!$D$7="Reference",1,IF(OR(D344=6,D344=7,D344=21,D344=46),'Paths'!$U$10,1))</x:f>
        <x:v>1</x:v>
      </x:c>
      <x:c r="H344" s="46" t="n">
        <x:f>IF('Controls'!$D$7="Reference",1,IF(OR(AND(D344&gt;=14,D344&lt;=16),AND(D344&gt;=34,D344&lt;=35),AND(D344&gt;=61,D344&lt;=63)),'Paths'!$V$10,1))</x:f>
        <x:v>1</x:v>
      </x:c>
      <x:c r="I344" s="46" t="n">
        <x:f>'Paths'!$W$10</x:f>
        <x:v>0.9</x:v>
      </x:c>
      <x:c r="J344" s="47" t="n">
        <x:f>IF(D344&lt;E344,0,MIN(F344*G344*H344*I344,IF('Paths'!$T$10&gt;0,MAX(0,'Paths'!$T$10-K343),1000000000)))</x:f>
        <x:v>16200</x:v>
      </x:c>
      <x:c r="K344" s="47" t="n">
        <x:f>K343+J344</x:f>
        <x:v>983880</x:v>
      </x:c>
      <x:c r="L344" s="46" t="n">
        <x:f>IF(C344="P0",1,IF(D344&lt;=3,0.8,IF(D344&lt;=14,0.65,IF(D344&lt;=45,0.5,0.3))))</x:f>
        <x:v>0.3</x:v>
      </x:c>
      <x:c r="M344" s="47" t="n">
        <x:f>J344*L344</x:f>
        <x:v>4860</x:v>
      </x:c>
      <x:c r="N344" s="47" t="n">
        <x:f>N343+M344</x:f>
        <x:v>475537.5</x:v>
      </x:c>
      <x:c r="O344" s="46" t="n">
        <x:f>IF(C344="P0",0,IF(D344&lt;=3,0.15,IF(D344&lt;=14,0.25,IF(D344&lt;=45,0.35,0.5))))</x:f>
        <x:v>0.5</x:v>
      </x:c>
      <x:c r="P344" s="47" t="n">
        <x:f>J344*O344</x:f>
        <x:v>8100</x:v>
      </x:c>
      <x:c r="Q344" s="46" t="n">
        <x:f>IF(C344="P0",0,IF(D344&lt;=3,0.05,IF(D344&lt;=14,0.1,IF(D344&lt;=45,0.15,0.2))))</x:f>
        <x:v>0.2</x:v>
      </x:c>
      <x:c r="R344" s="47" t="n">
        <x:f>J344*Q344</x:f>
        <x:v>3240</x:v>
      </x:c>
      <x:c r="S344" s="20" t="str">
        <x:f>IF(D344&lt;E344,"closed",IF(D344&lt;'Paths'!$N$10,"initial","expanded"))</x:f>
        <x:v>expanded</x:v>
      </x:c>
      <x:c r="T344" s="72"/>
    </x:row>
    <x:row r="345">
      <x:c r="C345" s="20" t="str">
        <x:v>P3</x:v>
      </x:c>
      <x:c r="D345" s="20" t="n">
        <x:v>65</x:v>
      </x:c>
      <x:c r="E345" s="45" t="n">
        <x:f>IF('Controls'!$D$7="Reference",'Paths'!$J$10,'Paths'!$K$10)</x:f>
        <x:v>0</x:v>
      </x:c>
      <x:c r="F345" s="47" t="n">
        <x:f>IF(D345&lt;'Paths'!$N$10,IF('Controls'!$D$7="Reference",'Paths'!$L$10,'Paths'!$M$10),IF('Controls'!$D$7="Reference",'Paths'!$O$10,'Paths'!$P$10))</x:f>
        <x:v>18000</x:v>
      </x:c>
      <x:c r="G345" s="46" t="n">
        <x:f>IF('Controls'!$D$7="Reference",1,IF(OR(D345=6,D345=7,D345=21,D345=46),'Paths'!$U$10,1))</x:f>
        <x:v>1</x:v>
      </x:c>
      <x:c r="H345" s="46" t="n">
        <x:f>IF('Controls'!$D$7="Reference",1,IF(OR(AND(D345&gt;=14,D345&lt;=16),AND(D345&gt;=34,D345&lt;=35),AND(D345&gt;=61,D345&lt;=63)),'Paths'!$V$10,1))</x:f>
        <x:v>1</x:v>
      </x:c>
      <x:c r="I345" s="46" t="n">
        <x:f>'Paths'!$W$10</x:f>
        <x:v>0.9</x:v>
      </x:c>
      <x:c r="J345" s="47" t="n">
        <x:f>IF(D345&lt;E345,0,MIN(F345*G345*H345*I345,IF('Paths'!$T$10&gt;0,MAX(0,'Paths'!$T$10-K344),1000000000)))</x:f>
        <x:v>16200</x:v>
      </x:c>
      <x:c r="K345" s="47" t="n">
        <x:f>K344+J345</x:f>
        <x:v>1000080</x:v>
      </x:c>
      <x:c r="L345" s="46" t="n">
        <x:f>IF(C345="P0",1,IF(D345&lt;=3,0.8,IF(D345&lt;=14,0.65,IF(D345&lt;=45,0.5,0.3))))</x:f>
        <x:v>0.3</x:v>
      </x:c>
      <x:c r="M345" s="47" t="n">
        <x:f>J345*L345</x:f>
        <x:v>4860</x:v>
      </x:c>
      <x:c r="N345" s="47" t="n">
        <x:f>N344+M345</x:f>
        <x:v>480397.5</x:v>
      </x:c>
      <x:c r="O345" s="46" t="n">
        <x:f>IF(C345="P0",0,IF(D345&lt;=3,0.15,IF(D345&lt;=14,0.25,IF(D345&lt;=45,0.35,0.5))))</x:f>
        <x:v>0.5</x:v>
      </x:c>
      <x:c r="P345" s="47" t="n">
        <x:f>J345*O345</x:f>
        <x:v>8100</x:v>
      </x:c>
      <x:c r="Q345" s="46" t="n">
        <x:f>IF(C345="P0",0,IF(D345&lt;=3,0.05,IF(D345&lt;=14,0.1,IF(D345&lt;=45,0.15,0.2))))</x:f>
        <x:v>0.2</x:v>
      </x:c>
      <x:c r="R345" s="47" t="n">
        <x:f>J345*Q345</x:f>
        <x:v>3240</x:v>
      </x:c>
      <x:c r="S345" s="20" t="str">
        <x:f>IF(D345&lt;E345,"closed",IF(D345&lt;'Paths'!$N$10,"initial","expanded"))</x:f>
        <x:v>expanded</x:v>
      </x:c>
      <x:c r="T345" s="72"/>
    </x:row>
    <x:row r="346">
      <x:c r="C346" s="20" t="str">
        <x:v>P3</x:v>
      </x:c>
      <x:c r="D346" s="20" t="n">
        <x:v>66</x:v>
      </x:c>
      <x:c r="E346" s="45" t="n">
        <x:f>IF('Controls'!$D$7="Reference",'Paths'!$J$10,'Paths'!$K$10)</x:f>
        <x:v>0</x:v>
      </x:c>
      <x:c r="F346" s="47" t="n">
        <x:f>IF(D346&lt;'Paths'!$N$10,IF('Controls'!$D$7="Reference",'Paths'!$L$10,'Paths'!$M$10),IF('Controls'!$D$7="Reference",'Paths'!$O$10,'Paths'!$P$10))</x:f>
        <x:v>18000</x:v>
      </x:c>
      <x:c r="G346" s="46" t="n">
        <x:f>IF('Controls'!$D$7="Reference",1,IF(OR(D346=6,D346=7,D346=21,D346=46),'Paths'!$U$10,1))</x:f>
        <x:v>1</x:v>
      </x:c>
      <x:c r="H346" s="46" t="n">
        <x:f>IF('Controls'!$D$7="Reference",1,IF(OR(AND(D346&gt;=14,D346&lt;=16),AND(D346&gt;=34,D346&lt;=35),AND(D346&gt;=61,D346&lt;=63)),'Paths'!$V$10,1))</x:f>
        <x:v>1</x:v>
      </x:c>
      <x:c r="I346" s="46" t="n">
        <x:f>'Paths'!$W$10</x:f>
        <x:v>0.9</x:v>
      </x:c>
      <x:c r="J346" s="47" t="n">
        <x:f>IF(D346&lt;E346,0,MIN(F346*G346*H346*I346,IF('Paths'!$T$10&gt;0,MAX(0,'Paths'!$T$10-K345),1000000000)))</x:f>
        <x:v>16200</x:v>
      </x:c>
      <x:c r="K346" s="47" t="n">
        <x:f>K345+J346</x:f>
        <x:v>1016280</x:v>
      </x:c>
      <x:c r="L346" s="46" t="n">
        <x:f>IF(C346="P0",1,IF(D346&lt;=3,0.8,IF(D346&lt;=14,0.65,IF(D346&lt;=45,0.5,0.3))))</x:f>
        <x:v>0.3</x:v>
      </x:c>
      <x:c r="M346" s="47" t="n">
        <x:f>J346*L346</x:f>
        <x:v>4860</x:v>
      </x:c>
      <x:c r="N346" s="47" t="n">
        <x:f>N345+M346</x:f>
        <x:v>485257.5</x:v>
      </x:c>
      <x:c r="O346" s="46" t="n">
        <x:f>IF(C346="P0",0,IF(D346&lt;=3,0.15,IF(D346&lt;=14,0.25,IF(D346&lt;=45,0.35,0.5))))</x:f>
        <x:v>0.5</x:v>
      </x:c>
      <x:c r="P346" s="47" t="n">
        <x:f>J346*O346</x:f>
        <x:v>8100</x:v>
      </x:c>
      <x:c r="Q346" s="46" t="n">
        <x:f>IF(C346="P0",0,IF(D346&lt;=3,0.05,IF(D346&lt;=14,0.1,IF(D346&lt;=45,0.15,0.2))))</x:f>
        <x:v>0.2</x:v>
      </x:c>
      <x:c r="R346" s="47" t="n">
        <x:f>J346*Q346</x:f>
        <x:v>3240</x:v>
      </x:c>
      <x:c r="S346" s="20" t="str">
        <x:f>IF(D346&lt;E346,"closed",IF(D346&lt;'Paths'!$N$10,"initial","expanded"))</x:f>
        <x:v>expanded</x:v>
      </x:c>
      <x:c r="T346" s="72"/>
    </x:row>
    <x:row r="347">
      <x:c r="C347" s="20" t="str">
        <x:v>P3</x:v>
      </x:c>
      <x:c r="D347" s="20" t="n">
        <x:v>67</x:v>
      </x:c>
      <x:c r="E347" s="45" t="n">
        <x:f>IF('Controls'!$D$7="Reference",'Paths'!$J$10,'Paths'!$K$10)</x:f>
        <x:v>0</x:v>
      </x:c>
      <x:c r="F347" s="47" t="n">
        <x:f>IF(D347&lt;'Paths'!$N$10,IF('Controls'!$D$7="Reference",'Paths'!$L$10,'Paths'!$M$10),IF('Controls'!$D$7="Reference",'Paths'!$O$10,'Paths'!$P$10))</x:f>
        <x:v>18000</x:v>
      </x:c>
      <x:c r="G347" s="46" t="n">
        <x:f>IF('Controls'!$D$7="Reference",1,IF(OR(D347=6,D347=7,D347=21,D347=46),'Paths'!$U$10,1))</x:f>
        <x:v>1</x:v>
      </x:c>
      <x:c r="H347" s="46" t="n">
        <x:f>IF('Controls'!$D$7="Reference",1,IF(OR(AND(D347&gt;=14,D347&lt;=16),AND(D347&gt;=34,D347&lt;=35),AND(D347&gt;=61,D347&lt;=63)),'Paths'!$V$10,1))</x:f>
        <x:v>1</x:v>
      </x:c>
      <x:c r="I347" s="46" t="n">
        <x:f>'Paths'!$W$10</x:f>
        <x:v>0.9</x:v>
      </x:c>
      <x:c r="J347" s="47" t="n">
        <x:f>IF(D347&lt;E347,0,MIN(F347*G347*H347*I347,IF('Paths'!$T$10&gt;0,MAX(0,'Paths'!$T$10-K346),1000000000)))</x:f>
        <x:v>16200</x:v>
      </x:c>
      <x:c r="K347" s="47" t="n">
        <x:f>K346+J347</x:f>
        <x:v>1032480</x:v>
      </x:c>
      <x:c r="L347" s="46" t="n">
        <x:f>IF(C347="P0",1,IF(D347&lt;=3,0.8,IF(D347&lt;=14,0.65,IF(D347&lt;=45,0.5,0.3))))</x:f>
        <x:v>0.3</x:v>
      </x:c>
      <x:c r="M347" s="47" t="n">
        <x:f>J347*L347</x:f>
        <x:v>4860</x:v>
      </x:c>
      <x:c r="N347" s="47" t="n">
        <x:f>N346+M347</x:f>
        <x:v>490117.5</x:v>
      </x:c>
      <x:c r="O347" s="46" t="n">
        <x:f>IF(C347="P0",0,IF(D347&lt;=3,0.15,IF(D347&lt;=14,0.25,IF(D347&lt;=45,0.35,0.5))))</x:f>
        <x:v>0.5</x:v>
      </x:c>
      <x:c r="P347" s="47" t="n">
        <x:f>J347*O347</x:f>
        <x:v>8100</x:v>
      </x:c>
      <x:c r="Q347" s="46" t="n">
        <x:f>IF(C347="P0",0,IF(D347&lt;=3,0.05,IF(D347&lt;=14,0.1,IF(D347&lt;=45,0.15,0.2))))</x:f>
        <x:v>0.2</x:v>
      </x:c>
      <x:c r="R347" s="47" t="n">
        <x:f>J347*Q347</x:f>
        <x:v>3240</x:v>
      </x:c>
      <x:c r="S347" s="20" t="str">
        <x:f>IF(D347&lt;E347,"closed",IF(D347&lt;'Paths'!$N$10,"initial","expanded"))</x:f>
        <x:v>expanded</x:v>
      </x:c>
      <x:c r="T347" s="72"/>
    </x:row>
    <x:row r="348">
      <x:c r="C348" s="20" t="str">
        <x:v>P3</x:v>
      </x:c>
      <x:c r="D348" s="20" t="n">
        <x:v>68</x:v>
      </x:c>
      <x:c r="E348" s="45" t="n">
        <x:f>IF('Controls'!$D$7="Reference",'Paths'!$J$10,'Paths'!$K$10)</x:f>
        <x:v>0</x:v>
      </x:c>
      <x:c r="F348" s="47" t="n">
        <x:f>IF(D348&lt;'Paths'!$N$10,IF('Controls'!$D$7="Reference",'Paths'!$L$10,'Paths'!$M$10),IF('Controls'!$D$7="Reference",'Paths'!$O$10,'Paths'!$P$10))</x:f>
        <x:v>18000</x:v>
      </x:c>
      <x:c r="G348" s="46" t="n">
        <x:f>IF('Controls'!$D$7="Reference",1,IF(OR(D348=6,D348=7,D348=21,D348=46),'Paths'!$U$10,1))</x:f>
        <x:v>1</x:v>
      </x:c>
      <x:c r="H348" s="46" t="n">
        <x:f>IF('Controls'!$D$7="Reference",1,IF(OR(AND(D348&gt;=14,D348&lt;=16),AND(D348&gt;=34,D348&lt;=35),AND(D348&gt;=61,D348&lt;=63)),'Paths'!$V$10,1))</x:f>
        <x:v>1</x:v>
      </x:c>
      <x:c r="I348" s="46" t="n">
        <x:f>'Paths'!$W$10</x:f>
        <x:v>0.9</x:v>
      </x:c>
      <x:c r="J348" s="47" t="n">
        <x:f>IF(D348&lt;E348,0,MIN(F348*G348*H348*I348,IF('Paths'!$T$10&gt;0,MAX(0,'Paths'!$T$10-K347),1000000000)))</x:f>
        <x:v>16200</x:v>
      </x:c>
      <x:c r="K348" s="47" t="n">
        <x:f>K347+J348</x:f>
        <x:v>1048680</x:v>
      </x:c>
      <x:c r="L348" s="46" t="n">
        <x:f>IF(C348="P0",1,IF(D348&lt;=3,0.8,IF(D348&lt;=14,0.65,IF(D348&lt;=45,0.5,0.3))))</x:f>
        <x:v>0.3</x:v>
      </x:c>
      <x:c r="M348" s="47" t="n">
        <x:f>J348*L348</x:f>
        <x:v>4860</x:v>
      </x:c>
      <x:c r="N348" s="47" t="n">
        <x:f>N347+M348</x:f>
        <x:v>494977.5</x:v>
      </x:c>
      <x:c r="O348" s="46" t="n">
        <x:f>IF(C348="P0",0,IF(D348&lt;=3,0.15,IF(D348&lt;=14,0.25,IF(D348&lt;=45,0.35,0.5))))</x:f>
        <x:v>0.5</x:v>
      </x:c>
      <x:c r="P348" s="47" t="n">
        <x:f>J348*O348</x:f>
        <x:v>8100</x:v>
      </x:c>
      <x:c r="Q348" s="46" t="n">
        <x:f>IF(C348="P0",0,IF(D348&lt;=3,0.05,IF(D348&lt;=14,0.1,IF(D348&lt;=45,0.15,0.2))))</x:f>
        <x:v>0.2</x:v>
      </x:c>
      <x:c r="R348" s="47" t="n">
        <x:f>J348*Q348</x:f>
        <x:v>3240</x:v>
      </x:c>
      <x:c r="S348" s="20" t="str">
        <x:f>IF(D348&lt;E348,"closed",IF(D348&lt;'Paths'!$N$10,"initial","expanded"))</x:f>
        <x:v>expanded</x:v>
      </x:c>
      <x:c r="T348" s="72"/>
    </x:row>
    <x:row r="349">
      <x:c r="C349" s="20" t="str">
        <x:v>P3</x:v>
      </x:c>
      <x:c r="D349" s="20" t="n">
        <x:v>69</x:v>
      </x:c>
      <x:c r="E349" s="45" t="n">
        <x:f>IF('Controls'!$D$7="Reference",'Paths'!$J$10,'Paths'!$K$10)</x:f>
        <x:v>0</x:v>
      </x:c>
      <x:c r="F349" s="47" t="n">
        <x:f>IF(D349&lt;'Paths'!$N$10,IF('Controls'!$D$7="Reference",'Paths'!$L$10,'Paths'!$M$10),IF('Controls'!$D$7="Reference",'Paths'!$O$10,'Paths'!$P$10))</x:f>
        <x:v>18000</x:v>
      </x:c>
      <x:c r="G349" s="46" t="n">
        <x:f>IF('Controls'!$D$7="Reference",1,IF(OR(D349=6,D349=7,D349=21,D349=46),'Paths'!$U$10,1))</x:f>
        <x:v>1</x:v>
      </x:c>
      <x:c r="H349" s="46" t="n">
        <x:f>IF('Controls'!$D$7="Reference",1,IF(OR(AND(D349&gt;=14,D349&lt;=16),AND(D349&gt;=34,D349&lt;=35),AND(D349&gt;=61,D349&lt;=63)),'Paths'!$V$10,1))</x:f>
        <x:v>1</x:v>
      </x:c>
      <x:c r="I349" s="46" t="n">
        <x:f>'Paths'!$W$10</x:f>
        <x:v>0.9</x:v>
      </x:c>
      <x:c r="J349" s="47" t="n">
        <x:f>IF(D349&lt;E349,0,MIN(F349*G349*H349*I349,IF('Paths'!$T$10&gt;0,MAX(0,'Paths'!$T$10-K348),1000000000)))</x:f>
        <x:v>16200</x:v>
      </x:c>
      <x:c r="K349" s="47" t="n">
        <x:f>K348+J349</x:f>
        <x:v>1064880</x:v>
      </x:c>
      <x:c r="L349" s="46" t="n">
        <x:f>IF(C349="P0",1,IF(D349&lt;=3,0.8,IF(D349&lt;=14,0.65,IF(D349&lt;=45,0.5,0.3))))</x:f>
        <x:v>0.3</x:v>
      </x:c>
      <x:c r="M349" s="47" t="n">
        <x:f>J349*L349</x:f>
        <x:v>4860</x:v>
      </x:c>
      <x:c r="N349" s="47" t="n">
        <x:f>N348+M349</x:f>
        <x:v>499837.5</x:v>
      </x:c>
      <x:c r="O349" s="46" t="n">
        <x:f>IF(C349="P0",0,IF(D349&lt;=3,0.15,IF(D349&lt;=14,0.25,IF(D349&lt;=45,0.35,0.5))))</x:f>
        <x:v>0.5</x:v>
      </x:c>
      <x:c r="P349" s="47" t="n">
        <x:f>J349*O349</x:f>
        <x:v>8100</x:v>
      </x:c>
      <x:c r="Q349" s="46" t="n">
        <x:f>IF(C349="P0",0,IF(D349&lt;=3,0.05,IF(D349&lt;=14,0.1,IF(D349&lt;=45,0.15,0.2))))</x:f>
        <x:v>0.2</x:v>
      </x:c>
      <x:c r="R349" s="47" t="n">
        <x:f>J349*Q349</x:f>
        <x:v>3240</x:v>
      </x:c>
      <x:c r="S349" s="20" t="str">
        <x:f>IF(D349&lt;E349,"closed",IF(D349&lt;'Paths'!$N$10,"initial","expanded"))</x:f>
        <x:v>expanded</x:v>
      </x:c>
      <x:c r="T349" s="72"/>
    </x:row>
    <x:row r="350">
      <x:c r="C350" s="20" t="str">
        <x:v>P3</x:v>
      </x:c>
      <x:c r="D350" s="20" t="n">
        <x:v>70</x:v>
      </x:c>
      <x:c r="E350" s="45" t="n">
        <x:f>IF('Controls'!$D$7="Reference",'Paths'!$J$10,'Paths'!$K$10)</x:f>
        <x:v>0</x:v>
      </x:c>
      <x:c r="F350" s="47" t="n">
        <x:f>IF(D350&lt;'Paths'!$N$10,IF('Controls'!$D$7="Reference",'Paths'!$L$10,'Paths'!$M$10),IF('Controls'!$D$7="Reference",'Paths'!$O$10,'Paths'!$P$10))</x:f>
        <x:v>18000</x:v>
      </x:c>
      <x:c r="G350" s="46" t="n">
        <x:f>IF('Controls'!$D$7="Reference",1,IF(OR(D350=6,D350=7,D350=21,D350=46),'Paths'!$U$10,1))</x:f>
        <x:v>1</x:v>
      </x:c>
      <x:c r="H350" s="46" t="n">
        <x:f>IF('Controls'!$D$7="Reference",1,IF(OR(AND(D350&gt;=14,D350&lt;=16),AND(D350&gt;=34,D350&lt;=35),AND(D350&gt;=61,D350&lt;=63)),'Paths'!$V$10,1))</x:f>
        <x:v>1</x:v>
      </x:c>
      <x:c r="I350" s="46" t="n">
        <x:f>'Paths'!$W$10</x:f>
        <x:v>0.9</x:v>
      </x:c>
      <x:c r="J350" s="47" t="n">
        <x:f>IF(D350&lt;E350,0,MIN(F350*G350*H350*I350,IF('Paths'!$T$10&gt;0,MAX(0,'Paths'!$T$10-K349),1000000000)))</x:f>
        <x:v>16200</x:v>
      </x:c>
      <x:c r="K350" s="47" t="n">
        <x:f>K349+J350</x:f>
        <x:v>1081080</x:v>
      </x:c>
      <x:c r="L350" s="46" t="n">
        <x:f>IF(C350="P0",1,IF(D350&lt;=3,0.8,IF(D350&lt;=14,0.65,IF(D350&lt;=45,0.5,0.3))))</x:f>
        <x:v>0.3</x:v>
      </x:c>
      <x:c r="M350" s="47" t="n">
        <x:f>J350*L350</x:f>
        <x:v>4860</x:v>
      </x:c>
      <x:c r="N350" s="47" t="n">
        <x:f>N349+M350</x:f>
        <x:v>504697.5</x:v>
      </x:c>
      <x:c r="O350" s="46" t="n">
        <x:f>IF(C350="P0",0,IF(D350&lt;=3,0.15,IF(D350&lt;=14,0.25,IF(D350&lt;=45,0.35,0.5))))</x:f>
        <x:v>0.5</x:v>
      </x:c>
      <x:c r="P350" s="47" t="n">
        <x:f>J350*O350</x:f>
        <x:v>8100</x:v>
      </x:c>
      <x:c r="Q350" s="46" t="n">
        <x:f>IF(C350="P0",0,IF(D350&lt;=3,0.05,IF(D350&lt;=14,0.1,IF(D350&lt;=45,0.15,0.2))))</x:f>
        <x:v>0.2</x:v>
      </x:c>
      <x:c r="R350" s="47" t="n">
        <x:f>J350*Q350</x:f>
        <x:v>3240</x:v>
      </x:c>
      <x:c r="S350" s="20" t="str">
        <x:f>IF(D350&lt;E350,"closed",IF(D350&lt;'Paths'!$N$10,"initial","expanded"))</x:f>
        <x:v>expanded</x:v>
      </x:c>
      <x:c r="T350" s="72"/>
    </x:row>
    <x:row r="351">
      <x:c r="C351" s="20" t="str">
        <x:v>P3</x:v>
      </x:c>
      <x:c r="D351" s="20" t="n">
        <x:v>71</x:v>
      </x:c>
      <x:c r="E351" s="45" t="n">
        <x:f>IF('Controls'!$D$7="Reference",'Paths'!$J$10,'Paths'!$K$10)</x:f>
        <x:v>0</x:v>
      </x:c>
      <x:c r="F351" s="47" t="n">
        <x:f>IF(D351&lt;'Paths'!$N$10,IF('Controls'!$D$7="Reference",'Paths'!$L$10,'Paths'!$M$10),IF('Controls'!$D$7="Reference",'Paths'!$O$10,'Paths'!$P$10))</x:f>
        <x:v>18000</x:v>
      </x:c>
      <x:c r="G351" s="46" t="n">
        <x:f>IF('Controls'!$D$7="Reference",1,IF(OR(D351=6,D351=7,D351=21,D351=46),'Paths'!$U$10,1))</x:f>
        <x:v>1</x:v>
      </x:c>
      <x:c r="H351" s="46" t="n">
        <x:f>IF('Controls'!$D$7="Reference",1,IF(OR(AND(D351&gt;=14,D351&lt;=16),AND(D351&gt;=34,D351&lt;=35),AND(D351&gt;=61,D351&lt;=63)),'Paths'!$V$10,1))</x:f>
        <x:v>1</x:v>
      </x:c>
      <x:c r="I351" s="46" t="n">
        <x:f>'Paths'!$W$10</x:f>
        <x:v>0.9</x:v>
      </x:c>
      <x:c r="J351" s="47" t="n">
        <x:f>IF(D351&lt;E351,0,MIN(F351*G351*H351*I351,IF('Paths'!$T$10&gt;0,MAX(0,'Paths'!$T$10-K350),1000000000)))</x:f>
        <x:v>16200</x:v>
      </x:c>
      <x:c r="K351" s="47" t="n">
        <x:f>K350+J351</x:f>
        <x:v>1097280</x:v>
      </x:c>
      <x:c r="L351" s="46" t="n">
        <x:f>IF(C351="P0",1,IF(D351&lt;=3,0.8,IF(D351&lt;=14,0.65,IF(D351&lt;=45,0.5,0.3))))</x:f>
        <x:v>0.3</x:v>
      </x:c>
      <x:c r="M351" s="47" t="n">
        <x:f>J351*L351</x:f>
        <x:v>4860</x:v>
      </x:c>
      <x:c r="N351" s="47" t="n">
        <x:f>N350+M351</x:f>
        <x:v>509557.5</x:v>
      </x:c>
      <x:c r="O351" s="46" t="n">
        <x:f>IF(C351="P0",0,IF(D351&lt;=3,0.15,IF(D351&lt;=14,0.25,IF(D351&lt;=45,0.35,0.5))))</x:f>
        <x:v>0.5</x:v>
      </x:c>
      <x:c r="P351" s="47" t="n">
        <x:f>J351*O351</x:f>
        <x:v>8100</x:v>
      </x:c>
      <x:c r="Q351" s="46" t="n">
        <x:f>IF(C351="P0",0,IF(D351&lt;=3,0.05,IF(D351&lt;=14,0.1,IF(D351&lt;=45,0.15,0.2))))</x:f>
        <x:v>0.2</x:v>
      </x:c>
      <x:c r="R351" s="47" t="n">
        <x:f>J351*Q351</x:f>
        <x:v>3240</x:v>
      </x:c>
      <x:c r="S351" s="20" t="str">
        <x:f>IF(D351&lt;E351,"closed",IF(D351&lt;'Paths'!$N$10,"initial","expanded"))</x:f>
        <x:v>expanded</x:v>
      </x:c>
      <x:c r="T351" s="72"/>
    </x:row>
    <x:row r="352">
      <x:c r="C352" s="20" t="str">
        <x:v>P3</x:v>
      </x:c>
      <x:c r="D352" s="20" t="n">
        <x:v>72</x:v>
      </x:c>
      <x:c r="E352" s="45" t="n">
        <x:f>IF('Controls'!$D$7="Reference",'Paths'!$J$10,'Paths'!$K$10)</x:f>
        <x:v>0</x:v>
      </x:c>
      <x:c r="F352" s="47" t="n">
        <x:f>IF(D352&lt;'Paths'!$N$10,IF('Controls'!$D$7="Reference",'Paths'!$L$10,'Paths'!$M$10),IF('Controls'!$D$7="Reference",'Paths'!$O$10,'Paths'!$P$10))</x:f>
        <x:v>18000</x:v>
      </x:c>
      <x:c r="G352" s="46" t="n">
        <x:f>IF('Controls'!$D$7="Reference",1,IF(OR(D352=6,D352=7,D352=21,D352=46),'Paths'!$U$10,1))</x:f>
        <x:v>1</x:v>
      </x:c>
      <x:c r="H352" s="46" t="n">
        <x:f>IF('Controls'!$D$7="Reference",1,IF(OR(AND(D352&gt;=14,D352&lt;=16),AND(D352&gt;=34,D352&lt;=35),AND(D352&gt;=61,D352&lt;=63)),'Paths'!$V$10,1))</x:f>
        <x:v>1</x:v>
      </x:c>
      <x:c r="I352" s="46" t="n">
        <x:f>'Paths'!$W$10</x:f>
        <x:v>0.9</x:v>
      </x:c>
      <x:c r="J352" s="47" t="n">
        <x:f>IF(D352&lt;E352,0,MIN(F352*G352*H352*I352,IF('Paths'!$T$10&gt;0,MAX(0,'Paths'!$T$10-K351),1000000000)))</x:f>
        <x:v>16200</x:v>
      </x:c>
      <x:c r="K352" s="47" t="n">
        <x:f>K351+J352</x:f>
        <x:v>1113480</x:v>
      </x:c>
      <x:c r="L352" s="46" t="n">
        <x:f>IF(C352="P0",1,IF(D352&lt;=3,0.8,IF(D352&lt;=14,0.65,IF(D352&lt;=45,0.5,0.3))))</x:f>
        <x:v>0.3</x:v>
      </x:c>
      <x:c r="M352" s="47" t="n">
        <x:f>J352*L352</x:f>
        <x:v>4860</x:v>
      </x:c>
      <x:c r="N352" s="47" t="n">
        <x:f>N351+M352</x:f>
        <x:v>514417.5</x:v>
      </x:c>
      <x:c r="O352" s="46" t="n">
        <x:f>IF(C352="P0",0,IF(D352&lt;=3,0.15,IF(D352&lt;=14,0.25,IF(D352&lt;=45,0.35,0.5))))</x:f>
        <x:v>0.5</x:v>
      </x:c>
      <x:c r="P352" s="47" t="n">
        <x:f>J352*O352</x:f>
        <x:v>8100</x:v>
      </x:c>
      <x:c r="Q352" s="46" t="n">
        <x:f>IF(C352="P0",0,IF(D352&lt;=3,0.05,IF(D352&lt;=14,0.1,IF(D352&lt;=45,0.15,0.2))))</x:f>
        <x:v>0.2</x:v>
      </x:c>
      <x:c r="R352" s="47" t="n">
        <x:f>J352*Q352</x:f>
        <x:v>3240</x:v>
      </x:c>
      <x:c r="S352" s="20" t="str">
        <x:f>IF(D352&lt;E352,"closed",IF(D352&lt;'Paths'!$N$10,"initial","expanded"))</x:f>
        <x:v>expanded</x:v>
      </x:c>
      <x:c r="T352" s="72"/>
    </x:row>
    <x:row r="353">
      <x:c r="C353" s="20" t="str">
        <x:v>P3</x:v>
      </x:c>
      <x:c r="D353" s="20" t="n">
        <x:v>73</x:v>
      </x:c>
      <x:c r="E353" s="45" t="n">
        <x:f>IF('Controls'!$D$7="Reference",'Paths'!$J$10,'Paths'!$K$10)</x:f>
        <x:v>0</x:v>
      </x:c>
      <x:c r="F353" s="47" t="n">
        <x:f>IF(D353&lt;'Paths'!$N$10,IF('Controls'!$D$7="Reference",'Paths'!$L$10,'Paths'!$M$10),IF('Controls'!$D$7="Reference",'Paths'!$O$10,'Paths'!$P$10))</x:f>
        <x:v>18000</x:v>
      </x:c>
      <x:c r="G353" s="46" t="n">
        <x:f>IF('Controls'!$D$7="Reference",1,IF(OR(D353=6,D353=7,D353=21,D353=46),'Paths'!$U$10,1))</x:f>
        <x:v>1</x:v>
      </x:c>
      <x:c r="H353" s="46" t="n">
        <x:f>IF('Controls'!$D$7="Reference",1,IF(OR(AND(D353&gt;=14,D353&lt;=16),AND(D353&gt;=34,D353&lt;=35),AND(D353&gt;=61,D353&lt;=63)),'Paths'!$V$10,1))</x:f>
        <x:v>1</x:v>
      </x:c>
      <x:c r="I353" s="46" t="n">
        <x:f>'Paths'!$W$10</x:f>
        <x:v>0.9</x:v>
      </x:c>
      <x:c r="J353" s="47" t="n">
        <x:f>IF(D353&lt;E353,0,MIN(F353*G353*H353*I353,IF('Paths'!$T$10&gt;0,MAX(0,'Paths'!$T$10-K352),1000000000)))</x:f>
        <x:v>16200</x:v>
      </x:c>
      <x:c r="K353" s="47" t="n">
        <x:f>K352+J353</x:f>
        <x:v>1129680</x:v>
      </x:c>
      <x:c r="L353" s="46" t="n">
        <x:f>IF(C353="P0",1,IF(D353&lt;=3,0.8,IF(D353&lt;=14,0.65,IF(D353&lt;=45,0.5,0.3))))</x:f>
        <x:v>0.3</x:v>
      </x:c>
      <x:c r="M353" s="47" t="n">
        <x:f>J353*L353</x:f>
        <x:v>4860</x:v>
      </x:c>
      <x:c r="N353" s="47" t="n">
        <x:f>N352+M353</x:f>
        <x:v>519277.5</x:v>
      </x:c>
      <x:c r="O353" s="46" t="n">
        <x:f>IF(C353="P0",0,IF(D353&lt;=3,0.15,IF(D353&lt;=14,0.25,IF(D353&lt;=45,0.35,0.5))))</x:f>
        <x:v>0.5</x:v>
      </x:c>
      <x:c r="P353" s="47" t="n">
        <x:f>J353*O353</x:f>
        <x:v>8100</x:v>
      </x:c>
      <x:c r="Q353" s="46" t="n">
        <x:f>IF(C353="P0",0,IF(D353&lt;=3,0.05,IF(D353&lt;=14,0.1,IF(D353&lt;=45,0.15,0.2))))</x:f>
        <x:v>0.2</x:v>
      </x:c>
      <x:c r="R353" s="47" t="n">
        <x:f>J353*Q353</x:f>
        <x:v>3240</x:v>
      </x:c>
      <x:c r="S353" s="20" t="str">
        <x:f>IF(D353&lt;E353,"closed",IF(D353&lt;'Paths'!$N$10,"initial","expanded"))</x:f>
        <x:v>expanded</x:v>
      </x:c>
      <x:c r="T353" s="72"/>
    </x:row>
    <x:row r="354">
      <x:c r="C354" s="20" t="str">
        <x:v>P3</x:v>
      </x:c>
      <x:c r="D354" s="20" t="n">
        <x:v>74</x:v>
      </x:c>
      <x:c r="E354" s="45" t="n">
        <x:f>IF('Controls'!$D$7="Reference",'Paths'!$J$10,'Paths'!$K$10)</x:f>
        <x:v>0</x:v>
      </x:c>
      <x:c r="F354" s="47" t="n">
        <x:f>IF(D354&lt;'Paths'!$N$10,IF('Controls'!$D$7="Reference",'Paths'!$L$10,'Paths'!$M$10),IF('Controls'!$D$7="Reference",'Paths'!$O$10,'Paths'!$P$10))</x:f>
        <x:v>18000</x:v>
      </x:c>
      <x:c r="G354" s="46" t="n">
        <x:f>IF('Controls'!$D$7="Reference",1,IF(OR(D354=6,D354=7,D354=21,D354=46),'Paths'!$U$10,1))</x:f>
        <x:v>1</x:v>
      </x:c>
      <x:c r="H354" s="46" t="n">
        <x:f>IF('Controls'!$D$7="Reference",1,IF(OR(AND(D354&gt;=14,D354&lt;=16),AND(D354&gt;=34,D354&lt;=35),AND(D354&gt;=61,D354&lt;=63)),'Paths'!$V$10,1))</x:f>
        <x:v>1</x:v>
      </x:c>
      <x:c r="I354" s="46" t="n">
        <x:f>'Paths'!$W$10</x:f>
        <x:v>0.9</x:v>
      </x:c>
      <x:c r="J354" s="47" t="n">
        <x:f>IF(D354&lt;E354,0,MIN(F354*G354*H354*I354,IF('Paths'!$T$10&gt;0,MAX(0,'Paths'!$T$10-K353),1000000000)))</x:f>
        <x:v>16200</x:v>
      </x:c>
      <x:c r="K354" s="47" t="n">
        <x:f>K353+J354</x:f>
        <x:v>1145880</x:v>
      </x:c>
      <x:c r="L354" s="46" t="n">
        <x:f>IF(C354="P0",1,IF(D354&lt;=3,0.8,IF(D354&lt;=14,0.65,IF(D354&lt;=45,0.5,0.3))))</x:f>
        <x:v>0.3</x:v>
      </x:c>
      <x:c r="M354" s="47" t="n">
        <x:f>J354*L354</x:f>
        <x:v>4860</x:v>
      </x:c>
      <x:c r="N354" s="47" t="n">
        <x:f>N353+M354</x:f>
        <x:v>524137.5</x:v>
      </x:c>
      <x:c r="O354" s="46" t="n">
        <x:f>IF(C354="P0",0,IF(D354&lt;=3,0.15,IF(D354&lt;=14,0.25,IF(D354&lt;=45,0.35,0.5))))</x:f>
        <x:v>0.5</x:v>
      </x:c>
      <x:c r="P354" s="47" t="n">
        <x:f>J354*O354</x:f>
        <x:v>8100</x:v>
      </x:c>
      <x:c r="Q354" s="46" t="n">
        <x:f>IF(C354="P0",0,IF(D354&lt;=3,0.05,IF(D354&lt;=14,0.1,IF(D354&lt;=45,0.15,0.2))))</x:f>
        <x:v>0.2</x:v>
      </x:c>
      <x:c r="R354" s="47" t="n">
        <x:f>J354*Q354</x:f>
        <x:v>3240</x:v>
      </x:c>
      <x:c r="S354" s="20" t="str">
        <x:f>IF(D354&lt;E354,"closed",IF(D354&lt;'Paths'!$N$10,"initial","expanded"))</x:f>
        <x:v>expanded</x:v>
      </x:c>
      <x:c r="T354" s="72"/>
    </x:row>
    <x:row r="355">
      <x:c r="C355" s="20" t="str">
        <x:v>P3</x:v>
      </x:c>
      <x:c r="D355" s="20" t="n">
        <x:v>75</x:v>
      </x:c>
      <x:c r="E355" s="45" t="n">
        <x:f>IF('Controls'!$D$7="Reference",'Paths'!$J$10,'Paths'!$K$10)</x:f>
        <x:v>0</x:v>
      </x:c>
      <x:c r="F355" s="47" t="n">
        <x:f>IF(D355&lt;'Paths'!$N$10,IF('Controls'!$D$7="Reference",'Paths'!$L$10,'Paths'!$M$10),IF('Controls'!$D$7="Reference",'Paths'!$O$10,'Paths'!$P$10))</x:f>
        <x:v>18000</x:v>
      </x:c>
      <x:c r="G355" s="46" t="n">
        <x:f>IF('Controls'!$D$7="Reference",1,IF(OR(D355=6,D355=7,D355=21,D355=46),'Paths'!$U$10,1))</x:f>
        <x:v>1</x:v>
      </x:c>
      <x:c r="H355" s="46" t="n">
        <x:f>IF('Controls'!$D$7="Reference",1,IF(OR(AND(D355&gt;=14,D355&lt;=16),AND(D355&gt;=34,D355&lt;=35),AND(D355&gt;=61,D355&lt;=63)),'Paths'!$V$10,1))</x:f>
        <x:v>1</x:v>
      </x:c>
      <x:c r="I355" s="46" t="n">
        <x:f>'Paths'!$W$10</x:f>
        <x:v>0.9</x:v>
      </x:c>
      <x:c r="J355" s="47" t="n">
        <x:f>IF(D355&lt;E355,0,MIN(F355*G355*H355*I355,IF('Paths'!$T$10&gt;0,MAX(0,'Paths'!$T$10-K354),1000000000)))</x:f>
        <x:v>16200</x:v>
      </x:c>
      <x:c r="K355" s="47" t="n">
        <x:f>K354+J355</x:f>
        <x:v>1162080</x:v>
      </x:c>
      <x:c r="L355" s="46" t="n">
        <x:f>IF(C355="P0",1,IF(D355&lt;=3,0.8,IF(D355&lt;=14,0.65,IF(D355&lt;=45,0.5,0.3))))</x:f>
        <x:v>0.3</x:v>
      </x:c>
      <x:c r="M355" s="47" t="n">
        <x:f>J355*L355</x:f>
        <x:v>4860</x:v>
      </x:c>
      <x:c r="N355" s="47" t="n">
        <x:f>N354+M355</x:f>
        <x:v>528997.5</x:v>
      </x:c>
      <x:c r="O355" s="46" t="n">
        <x:f>IF(C355="P0",0,IF(D355&lt;=3,0.15,IF(D355&lt;=14,0.25,IF(D355&lt;=45,0.35,0.5))))</x:f>
        <x:v>0.5</x:v>
      </x:c>
      <x:c r="P355" s="47" t="n">
        <x:f>J355*O355</x:f>
        <x:v>8100</x:v>
      </x:c>
      <x:c r="Q355" s="46" t="n">
        <x:f>IF(C355="P0",0,IF(D355&lt;=3,0.05,IF(D355&lt;=14,0.1,IF(D355&lt;=45,0.15,0.2))))</x:f>
        <x:v>0.2</x:v>
      </x:c>
      <x:c r="R355" s="47" t="n">
        <x:f>J355*Q355</x:f>
        <x:v>3240</x:v>
      </x:c>
      <x:c r="S355" s="20" t="str">
        <x:f>IF(D355&lt;E355,"closed",IF(D355&lt;'Paths'!$N$10,"initial","expanded"))</x:f>
        <x:v>expanded</x:v>
      </x:c>
      <x:c r="T355" s="72"/>
    </x:row>
    <x:row r="356">
      <x:c r="C356" s="20" t="str">
        <x:v>P3</x:v>
      </x:c>
      <x:c r="D356" s="20" t="n">
        <x:v>76</x:v>
      </x:c>
      <x:c r="E356" s="45" t="n">
        <x:f>IF('Controls'!$D$7="Reference",'Paths'!$J$10,'Paths'!$K$10)</x:f>
        <x:v>0</x:v>
      </x:c>
      <x:c r="F356" s="47" t="n">
        <x:f>IF(D356&lt;'Paths'!$N$10,IF('Controls'!$D$7="Reference",'Paths'!$L$10,'Paths'!$M$10),IF('Controls'!$D$7="Reference",'Paths'!$O$10,'Paths'!$P$10))</x:f>
        <x:v>18000</x:v>
      </x:c>
      <x:c r="G356" s="46" t="n">
        <x:f>IF('Controls'!$D$7="Reference",1,IF(OR(D356=6,D356=7,D356=21,D356=46),'Paths'!$U$10,1))</x:f>
        <x:v>1</x:v>
      </x:c>
      <x:c r="H356" s="46" t="n">
        <x:f>IF('Controls'!$D$7="Reference",1,IF(OR(AND(D356&gt;=14,D356&lt;=16),AND(D356&gt;=34,D356&lt;=35),AND(D356&gt;=61,D356&lt;=63)),'Paths'!$V$10,1))</x:f>
        <x:v>1</x:v>
      </x:c>
      <x:c r="I356" s="46" t="n">
        <x:f>'Paths'!$W$10</x:f>
        <x:v>0.9</x:v>
      </x:c>
      <x:c r="J356" s="47" t="n">
        <x:f>IF(D356&lt;E356,0,MIN(F356*G356*H356*I356,IF('Paths'!$T$10&gt;0,MAX(0,'Paths'!$T$10-K355),1000000000)))</x:f>
        <x:v>16200</x:v>
      </x:c>
      <x:c r="K356" s="47" t="n">
        <x:f>K355+J356</x:f>
        <x:v>1178280</x:v>
      </x:c>
      <x:c r="L356" s="46" t="n">
        <x:f>IF(C356="P0",1,IF(D356&lt;=3,0.8,IF(D356&lt;=14,0.65,IF(D356&lt;=45,0.5,0.3))))</x:f>
        <x:v>0.3</x:v>
      </x:c>
      <x:c r="M356" s="47" t="n">
        <x:f>J356*L356</x:f>
        <x:v>4860</x:v>
      </x:c>
      <x:c r="N356" s="47" t="n">
        <x:f>N355+M356</x:f>
        <x:v>533857.5</x:v>
      </x:c>
      <x:c r="O356" s="46" t="n">
        <x:f>IF(C356="P0",0,IF(D356&lt;=3,0.15,IF(D356&lt;=14,0.25,IF(D356&lt;=45,0.35,0.5))))</x:f>
        <x:v>0.5</x:v>
      </x:c>
      <x:c r="P356" s="47" t="n">
        <x:f>J356*O356</x:f>
        <x:v>8100</x:v>
      </x:c>
      <x:c r="Q356" s="46" t="n">
        <x:f>IF(C356="P0",0,IF(D356&lt;=3,0.05,IF(D356&lt;=14,0.1,IF(D356&lt;=45,0.15,0.2))))</x:f>
        <x:v>0.2</x:v>
      </x:c>
      <x:c r="R356" s="47" t="n">
        <x:f>J356*Q356</x:f>
        <x:v>3240</x:v>
      </x:c>
      <x:c r="S356" s="20" t="str">
        <x:f>IF(D356&lt;E356,"closed",IF(D356&lt;'Paths'!$N$10,"initial","expanded"))</x:f>
        <x:v>expanded</x:v>
      </x:c>
      <x:c r="T356" s="72"/>
    </x:row>
    <x:row r="357">
      <x:c r="C357" s="20" t="str">
        <x:v>P3</x:v>
      </x:c>
      <x:c r="D357" s="20" t="n">
        <x:v>77</x:v>
      </x:c>
      <x:c r="E357" s="45" t="n">
        <x:f>IF('Controls'!$D$7="Reference",'Paths'!$J$10,'Paths'!$K$10)</x:f>
        <x:v>0</x:v>
      </x:c>
      <x:c r="F357" s="47" t="n">
        <x:f>IF(D357&lt;'Paths'!$N$10,IF('Controls'!$D$7="Reference",'Paths'!$L$10,'Paths'!$M$10),IF('Controls'!$D$7="Reference",'Paths'!$O$10,'Paths'!$P$10))</x:f>
        <x:v>18000</x:v>
      </x:c>
      <x:c r="G357" s="46" t="n">
        <x:f>IF('Controls'!$D$7="Reference",1,IF(OR(D357=6,D357=7,D357=21,D357=46),'Paths'!$U$10,1))</x:f>
        <x:v>1</x:v>
      </x:c>
      <x:c r="H357" s="46" t="n">
        <x:f>IF('Controls'!$D$7="Reference",1,IF(OR(AND(D357&gt;=14,D357&lt;=16),AND(D357&gt;=34,D357&lt;=35),AND(D357&gt;=61,D357&lt;=63)),'Paths'!$V$10,1))</x:f>
        <x:v>1</x:v>
      </x:c>
      <x:c r="I357" s="46" t="n">
        <x:f>'Paths'!$W$10</x:f>
        <x:v>0.9</x:v>
      </x:c>
      <x:c r="J357" s="47" t="n">
        <x:f>IF(D357&lt;E357,0,MIN(F357*G357*H357*I357,IF('Paths'!$T$10&gt;0,MAX(0,'Paths'!$T$10-K356),1000000000)))</x:f>
        <x:v>16200</x:v>
      </x:c>
      <x:c r="K357" s="47" t="n">
        <x:f>K356+J357</x:f>
        <x:v>1194480</x:v>
      </x:c>
      <x:c r="L357" s="46" t="n">
        <x:f>IF(C357="P0",1,IF(D357&lt;=3,0.8,IF(D357&lt;=14,0.65,IF(D357&lt;=45,0.5,0.3))))</x:f>
        <x:v>0.3</x:v>
      </x:c>
      <x:c r="M357" s="47" t="n">
        <x:f>J357*L357</x:f>
        <x:v>4860</x:v>
      </x:c>
      <x:c r="N357" s="47" t="n">
        <x:f>N356+M357</x:f>
        <x:v>538717.5</x:v>
      </x:c>
      <x:c r="O357" s="46" t="n">
        <x:f>IF(C357="P0",0,IF(D357&lt;=3,0.15,IF(D357&lt;=14,0.25,IF(D357&lt;=45,0.35,0.5))))</x:f>
        <x:v>0.5</x:v>
      </x:c>
      <x:c r="P357" s="47" t="n">
        <x:f>J357*O357</x:f>
        <x:v>8100</x:v>
      </x:c>
      <x:c r="Q357" s="46" t="n">
        <x:f>IF(C357="P0",0,IF(D357&lt;=3,0.05,IF(D357&lt;=14,0.1,IF(D357&lt;=45,0.15,0.2))))</x:f>
        <x:v>0.2</x:v>
      </x:c>
      <x:c r="R357" s="47" t="n">
        <x:f>J357*Q357</x:f>
        <x:v>3240</x:v>
      </x:c>
      <x:c r="S357" s="20" t="str">
        <x:f>IF(D357&lt;E357,"closed",IF(D357&lt;'Paths'!$N$10,"initial","expanded"))</x:f>
        <x:v>expanded</x:v>
      </x:c>
      <x:c r="T357" s="72"/>
    </x:row>
    <x:row r="358">
      <x:c r="C358" s="20" t="str">
        <x:v>P3</x:v>
      </x:c>
      <x:c r="D358" s="20" t="n">
        <x:v>78</x:v>
      </x:c>
      <x:c r="E358" s="45" t="n">
        <x:f>IF('Controls'!$D$7="Reference",'Paths'!$J$10,'Paths'!$K$10)</x:f>
        <x:v>0</x:v>
      </x:c>
      <x:c r="F358" s="47" t="n">
        <x:f>IF(D358&lt;'Paths'!$N$10,IF('Controls'!$D$7="Reference",'Paths'!$L$10,'Paths'!$M$10),IF('Controls'!$D$7="Reference",'Paths'!$O$10,'Paths'!$P$10))</x:f>
        <x:v>18000</x:v>
      </x:c>
      <x:c r="G358" s="46" t="n">
        <x:f>IF('Controls'!$D$7="Reference",1,IF(OR(D358=6,D358=7,D358=21,D358=46),'Paths'!$U$10,1))</x:f>
        <x:v>1</x:v>
      </x:c>
      <x:c r="H358" s="46" t="n">
        <x:f>IF('Controls'!$D$7="Reference",1,IF(OR(AND(D358&gt;=14,D358&lt;=16),AND(D358&gt;=34,D358&lt;=35),AND(D358&gt;=61,D358&lt;=63)),'Paths'!$V$10,1))</x:f>
        <x:v>1</x:v>
      </x:c>
      <x:c r="I358" s="46" t="n">
        <x:f>'Paths'!$W$10</x:f>
        <x:v>0.9</x:v>
      </x:c>
      <x:c r="J358" s="47" t="n">
        <x:f>IF(D358&lt;E358,0,MIN(F358*G358*H358*I358,IF('Paths'!$T$10&gt;0,MAX(0,'Paths'!$T$10-K357),1000000000)))</x:f>
        <x:v>16200</x:v>
      </x:c>
      <x:c r="K358" s="47" t="n">
        <x:f>K357+J358</x:f>
        <x:v>1210680</x:v>
      </x:c>
      <x:c r="L358" s="46" t="n">
        <x:f>IF(C358="P0",1,IF(D358&lt;=3,0.8,IF(D358&lt;=14,0.65,IF(D358&lt;=45,0.5,0.3))))</x:f>
        <x:v>0.3</x:v>
      </x:c>
      <x:c r="M358" s="47" t="n">
        <x:f>J358*L358</x:f>
        <x:v>4860</x:v>
      </x:c>
      <x:c r="N358" s="47" t="n">
        <x:f>N357+M358</x:f>
        <x:v>543577.5</x:v>
      </x:c>
      <x:c r="O358" s="46" t="n">
        <x:f>IF(C358="P0",0,IF(D358&lt;=3,0.15,IF(D358&lt;=14,0.25,IF(D358&lt;=45,0.35,0.5))))</x:f>
        <x:v>0.5</x:v>
      </x:c>
      <x:c r="P358" s="47" t="n">
        <x:f>J358*O358</x:f>
        <x:v>8100</x:v>
      </x:c>
      <x:c r="Q358" s="46" t="n">
        <x:f>IF(C358="P0",0,IF(D358&lt;=3,0.05,IF(D358&lt;=14,0.1,IF(D358&lt;=45,0.15,0.2))))</x:f>
        <x:v>0.2</x:v>
      </x:c>
      <x:c r="R358" s="47" t="n">
        <x:f>J358*Q358</x:f>
        <x:v>3240</x:v>
      </x:c>
      <x:c r="S358" s="20" t="str">
        <x:f>IF(D358&lt;E358,"closed",IF(D358&lt;'Paths'!$N$10,"initial","expanded"))</x:f>
        <x:v>expanded</x:v>
      </x:c>
      <x:c r="T358" s="72"/>
    </x:row>
    <x:row r="359">
      <x:c r="C359" s="20" t="str">
        <x:v>P3</x:v>
      </x:c>
      <x:c r="D359" s="20" t="n">
        <x:v>79</x:v>
      </x:c>
      <x:c r="E359" s="45" t="n">
        <x:f>IF('Controls'!$D$7="Reference",'Paths'!$J$10,'Paths'!$K$10)</x:f>
        <x:v>0</x:v>
      </x:c>
      <x:c r="F359" s="47" t="n">
        <x:f>IF(D359&lt;'Paths'!$N$10,IF('Controls'!$D$7="Reference",'Paths'!$L$10,'Paths'!$M$10),IF('Controls'!$D$7="Reference",'Paths'!$O$10,'Paths'!$P$10))</x:f>
        <x:v>18000</x:v>
      </x:c>
      <x:c r="G359" s="46" t="n">
        <x:f>IF('Controls'!$D$7="Reference",1,IF(OR(D359=6,D359=7,D359=21,D359=46),'Paths'!$U$10,1))</x:f>
        <x:v>1</x:v>
      </x:c>
      <x:c r="H359" s="46" t="n">
        <x:f>IF('Controls'!$D$7="Reference",1,IF(OR(AND(D359&gt;=14,D359&lt;=16),AND(D359&gt;=34,D359&lt;=35),AND(D359&gt;=61,D359&lt;=63)),'Paths'!$V$10,1))</x:f>
        <x:v>1</x:v>
      </x:c>
      <x:c r="I359" s="46" t="n">
        <x:f>'Paths'!$W$10</x:f>
        <x:v>0.9</x:v>
      </x:c>
      <x:c r="J359" s="47" t="n">
        <x:f>IF(D359&lt;E359,0,MIN(F359*G359*H359*I359,IF('Paths'!$T$10&gt;0,MAX(0,'Paths'!$T$10-K358),1000000000)))</x:f>
        <x:v>16200</x:v>
      </x:c>
      <x:c r="K359" s="47" t="n">
        <x:f>K358+J359</x:f>
        <x:v>1226880</x:v>
      </x:c>
      <x:c r="L359" s="46" t="n">
        <x:f>IF(C359="P0",1,IF(D359&lt;=3,0.8,IF(D359&lt;=14,0.65,IF(D359&lt;=45,0.5,0.3))))</x:f>
        <x:v>0.3</x:v>
      </x:c>
      <x:c r="M359" s="47" t="n">
        <x:f>J359*L359</x:f>
        <x:v>4860</x:v>
      </x:c>
      <x:c r="N359" s="47" t="n">
        <x:f>N358+M359</x:f>
        <x:v>548437.5</x:v>
      </x:c>
      <x:c r="O359" s="46" t="n">
        <x:f>IF(C359="P0",0,IF(D359&lt;=3,0.15,IF(D359&lt;=14,0.25,IF(D359&lt;=45,0.35,0.5))))</x:f>
        <x:v>0.5</x:v>
      </x:c>
      <x:c r="P359" s="47" t="n">
        <x:f>J359*O359</x:f>
        <x:v>8100</x:v>
      </x:c>
      <x:c r="Q359" s="46" t="n">
        <x:f>IF(C359="P0",0,IF(D359&lt;=3,0.05,IF(D359&lt;=14,0.1,IF(D359&lt;=45,0.15,0.2))))</x:f>
        <x:v>0.2</x:v>
      </x:c>
      <x:c r="R359" s="47" t="n">
        <x:f>J359*Q359</x:f>
        <x:v>3240</x:v>
      </x:c>
      <x:c r="S359" s="20" t="str">
        <x:f>IF(D359&lt;E359,"closed",IF(D359&lt;'Paths'!$N$10,"initial","expanded"))</x:f>
        <x:v>expanded</x:v>
      </x:c>
      <x:c r="T359" s="72"/>
    </x:row>
    <x:row r="360">
      <x:c r="C360" s="20" t="str">
        <x:v>P3</x:v>
      </x:c>
      <x:c r="D360" s="20" t="n">
        <x:v>80</x:v>
      </x:c>
      <x:c r="E360" s="45" t="n">
        <x:f>IF('Controls'!$D$7="Reference",'Paths'!$J$10,'Paths'!$K$10)</x:f>
        <x:v>0</x:v>
      </x:c>
      <x:c r="F360" s="47" t="n">
        <x:f>IF(D360&lt;'Paths'!$N$10,IF('Controls'!$D$7="Reference",'Paths'!$L$10,'Paths'!$M$10),IF('Controls'!$D$7="Reference",'Paths'!$O$10,'Paths'!$P$10))</x:f>
        <x:v>18000</x:v>
      </x:c>
      <x:c r="G360" s="46" t="n">
        <x:f>IF('Controls'!$D$7="Reference",1,IF(OR(D360=6,D360=7,D360=21,D360=46),'Paths'!$U$10,1))</x:f>
        <x:v>1</x:v>
      </x:c>
      <x:c r="H360" s="46" t="n">
        <x:f>IF('Controls'!$D$7="Reference",1,IF(OR(AND(D360&gt;=14,D360&lt;=16),AND(D360&gt;=34,D360&lt;=35),AND(D360&gt;=61,D360&lt;=63)),'Paths'!$V$10,1))</x:f>
        <x:v>1</x:v>
      </x:c>
      <x:c r="I360" s="46" t="n">
        <x:f>'Paths'!$W$10</x:f>
        <x:v>0.9</x:v>
      </x:c>
      <x:c r="J360" s="47" t="n">
        <x:f>IF(D360&lt;E360,0,MIN(F360*G360*H360*I360,IF('Paths'!$T$10&gt;0,MAX(0,'Paths'!$T$10-K359),1000000000)))</x:f>
        <x:v>16200</x:v>
      </x:c>
      <x:c r="K360" s="47" t="n">
        <x:f>K359+J360</x:f>
        <x:v>1243080</x:v>
      </x:c>
      <x:c r="L360" s="46" t="n">
        <x:f>IF(C360="P0",1,IF(D360&lt;=3,0.8,IF(D360&lt;=14,0.65,IF(D360&lt;=45,0.5,0.3))))</x:f>
        <x:v>0.3</x:v>
      </x:c>
      <x:c r="M360" s="47" t="n">
        <x:f>J360*L360</x:f>
        <x:v>4860</x:v>
      </x:c>
      <x:c r="N360" s="47" t="n">
        <x:f>N359+M360</x:f>
        <x:v>553297.5</x:v>
      </x:c>
      <x:c r="O360" s="46" t="n">
        <x:f>IF(C360="P0",0,IF(D360&lt;=3,0.15,IF(D360&lt;=14,0.25,IF(D360&lt;=45,0.35,0.5))))</x:f>
        <x:v>0.5</x:v>
      </x:c>
      <x:c r="P360" s="47" t="n">
        <x:f>J360*O360</x:f>
        <x:v>8100</x:v>
      </x:c>
      <x:c r="Q360" s="46" t="n">
        <x:f>IF(C360="P0",0,IF(D360&lt;=3,0.05,IF(D360&lt;=14,0.1,IF(D360&lt;=45,0.15,0.2))))</x:f>
        <x:v>0.2</x:v>
      </x:c>
      <x:c r="R360" s="47" t="n">
        <x:f>J360*Q360</x:f>
        <x:v>3240</x:v>
      </x:c>
      <x:c r="S360" s="20" t="str">
        <x:f>IF(D360&lt;E360,"closed",IF(D360&lt;'Paths'!$N$10,"initial","expanded"))</x:f>
        <x:v>expanded</x:v>
      </x:c>
      <x:c r="T360" s="72"/>
    </x:row>
    <x:row r="361">
      <x:c r="C361" s="20" t="str">
        <x:v>P3</x:v>
      </x:c>
      <x:c r="D361" s="20" t="n">
        <x:v>81</x:v>
      </x:c>
      <x:c r="E361" s="45" t="n">
        <x:f>IF('Controls'!$D$7="Reference",'Paths'!$J$10,'Paths'!$K$10)</x:f>
        <x:v>0</x:v>
      </x:c>
      <x:c r="F361" s="47" t="n">
        <x:f>IF(D361&lt;'Paths'!$N$10,IF('Controls'!$D$7="Reference",'Paths'!$L$10,'Paths'!$M$10),IF('Controls'!$D$7="Reference",'Paths'!$O$10,'Paths'!$P$10))</x:f>
        <x:v>18000</x:v>
      </x:c>
      <x:c r="G361" s="46" t="n">
        <x:f>IF('Controls'!$D$7="Reference",1,IF(OR(D361=6,D361=7,D361=21,D361=46),'Paths'!$U$10,1))</x:f>
        <x:v>1</x:v>
      </x:c>
      <x:c r="H361" s="46" t="n">
        <x:f>IF('Controls'!$D$7="Reference",1,IF(OR(AND(D361&gt;=14,D361&lt;=16),AND(D361&gt;=34,D361&lt;=35),AND(D361&gt;=61,D361&lt;=63)),'Paths'!$V$10,1))</x:f>
        <x:v>1</x:v>
      </x:c>
      <x:c r="I361" s="46" t="n">
        <x:f>'Paths'!$W$10</x:f>
        <x:v>0.9</x:v>
      </x:c>
      <x:c r="J361" s="47" t="n">
        <x:f>IF(D361&lt;E361,0,MIN(F361*G361*H361*I361,IF('Paths'!$T$10&gt;0,MAX(0,'Paths'!$T$10-K360),1000000000)))</x:f>
        <x:v>16200</x:v>
      </x:c>
      <x:c r="K361" s="47" t="n">
        <x:f>K360+J361</x:f>
        <x:v>1259280</x:v>
      </x:c>
      <x:c r="L361" s="46" t="n">
        <x:f>IF(C361="P0",1,IF(D361&lt;=3,0.8,IF(D361&lt;=14,0.65,IF(D361&lt;=45,0.5,0.3))))</x:f>
        <x:v>0.3</x:v>
      </x:c>
      <x:c r="M361" s="47" t="n">
        <x:f>J361*L361</x:f>
        <x:v>4860</x:v>
      </x:c>
      <x:c r="N361" s="47" t="n">
        <x:f>N360+M361</x:f>
        <x:v>558157.5</x:v>
      </x:c>
      <x:c r="O361" s="46" t="n">
        <x:f>IF(C361="P0",0,IF(D361&lt;=3,0.15,IF(D361&lt;=14,0.25,IF(D361&lt;=45,0.35,0.5))))</x:f>
        <x:v>0.5</x:v>
      </x:c>
      <x:c r="P361" s="47" t="n">
        <x:f>J361*O361</x:f>
        <x:v>8100</x:v>
      </x:c>
      <x:c r="Q361" s="46" t="n">
        <x:f>IF(C361="P0",0,IF(D361&lt;=3,0.05,IF(D361&lt;=14,0.1,IF(D361&lt;=45,0.15,0.2))))</x:f>
        <x:v>0.2</x:v>
      </x:c>
      <x:c r="R361" s="47" t="n">
        <x:f>J361*Q361</x:f>
        <x:v>3240</x:v>
      </x:c>
      <x:c r="S361" s="20" t="str">
        <x:f>IF(D361&lt;E361,"closed",IF(D361&lt;'Paths'!$N$10,"initial","expanded"))</x:f>
        <x:v>expanded</x:v>
      </x:c>
      <x:c r="T361" s="72"/>
    </x:row>
    <x:row r="362">
      <x:c r="C362" s="20" t="str">
        <x:v>P3</x:v>
      </x:c>
      <x:c r="D362" s="20" t="n">
        <x:v>82</x:v>
      </x:c>
      <x:c r="E362" s="45" t="n">
        <x:f>IF('Controls'!$D$7="Reference",'Paths'!$J$10,'Paths'!$K$10)</x:f>
        <x:v>0</x:v>
      </x:c>
      <x:c r="F362" s="47" t="n">
        <x:f>IF(D362&lt;'Paths'!$N$10,IF('Controls'!$D$7="Reference",'Paths'!$L$10,'Paths'!$M$10),IF('Controls'!$D$7="Reference",'Paths'!$O$10,'Paths'!$P$10))</x:f>
        <x:v>18000</x:v>
      </x:c>
      <x:c r="G362" s="46" t="n">
        <x:f>IF('Controls'!$D$7="Reference",1,IF(OR(D362=6,D362=7,D362=21,D362=46),'Paths'!$U$10,1))</x:f>
        <x:v>1</x:v>
      </x:c>
      <x:c r="H362" s="46" t="n">
        <x:f>IF('Controls'!$D$7="Reference",1,IF(OR(AND(D362&gt;=14,D362&lt;=16),AND(D362&gt;=34,D362&lt;=35),AND(D362&gt;=61,D362&lt;=63)),'Paths'!$V$10,1))</x:f>
        <x:v>1</x:v>
      </x:c>
      <x:c r="I362" s="46" t="n">
        <x:f>'Paths'!$W$10</x:f>
        <x:v>0.9</x:v>
      </x:c>
      <x:c r="J362" s="47" t="n">
        <x:f>IF(D362&lt;E362,0,MIN(F362*G362*H362*I362,IF('Paths'!$T$10&gt;0,MAX(0,'Paths'!$T$10-K361),1000000000)))</x:f>
        <x:v>16200</x:v>
      </x:c>
      <x:c r="K362" s="47" t="n">
        <x:f>K361+J362</x:f>
        <x:v>1275480</x:v>
      </x:c>
      <x:c r="L362" s="46" t="n">
        <x:f>IF(C362="P0",1,IF(D362&lt;=3,0.8,IF(D362&lt;=14,0.65,IF(D362&lt;=45,0.5,0.3))))</x:f>
        <x:v>0.3</x:v>
      </x:c>
      <x:c r="M362" s="47" t="n">
        <x:f>J362*L362</x:f>
        <x:v>4860</x:v>
      </x:c>
      <x:c r="N362" s="47" t="n">
        <x:f>N361+M362</x:f>
        <x:v>563017.5</x:v>
      </x:c>
      <x:c r="O362" s="46" t="n">
        <x:f>IF(C362="P0",0,IF(D362&lt;=3,0.15,IF(D362&lt;=14,0.25,IF(D362&lt;=45,0.35,0.5))))</x:f>
        <x:v>0.5</x:v>
      </x:c>
      <x:c r="P362" s="47" t="n">
        <x:f>J362*O362</x:f>
        <x:v>8100</x:v>
      </x:c>
      <x:c r="Q362" s="46" t="n">
        <x:f>IF(C362="P0",0,IF(D362&lt;=3,0.05,IF(D362&lt;=14,0.1,IF(D362&lt;=45,0.15,0.2))))</x:f>
        <x:v>0.2</x:v>
      </x:c>
      <x:c r="R362" s="47" t="n">
        <x:f>J362*Q362</x:f>
        <x:v>3240</x:v>
      </x:c>
      <x:c r="S362" s="20" t="str">
        <x:f>IF(D362&lt;E362,"closed",IF(D362&lt;'Paths'!$N$10,"initial","expanded"))</x:f>
        <x:v>expanded</x:v>
      </x:c>
      <x:c r="T362" s="72"/>
    </x:row>
    <x:row r="363">
      <x:c r="C363" s="20" t="str">
        <x:v>P3</x:v>
      </x:c>
      <x:c r="D363" s="20" t="n">
        <x:v>83</x:v>
      </x:c>
      <x:c r="E363" s="45" t="n">
        <x:f>IF('Controls'!$D$7="Reference",'Paths'!$J$10,'Paths'!$K$10)</x:f>
        <x:v>0</x:v>
      </x:c>
      <x:c r="F363" s="47" t="n">
        <x:f>IF(D363&lt;'Paths'!$N$10,IF('Controls'!$D$7="Reference",'Paths'!$L$10,'Paths'!$M$10),IF('Controls'!$D$7="Reference",'Paths'!$O$10,'Paths'!$P$10))</x:f>
        <x:v>18000</x:v>
      </x:c>
      <x:c r="G363" s="46" t="n">
        <x:f>IF('Controls'!$D$7="Reference",1,IF(OR(D363=6,D363=7,D363=21,D363=46),'Paths'!$U$10,1))</x:f>
        <x:v>1</x:v>
      </x:c>
      <x:c r="H363" s="46" t="n">
        <x:f>IF('Controls'!$D$7="Reference",1,IF(OR(AND(D363&gt;=14,D363&lt;=16),AND(D363&gt;=34,D363&lt;=35),AND(D363&gt;=61,D363&lt;=63)),'Paths'!$V$10,1))</x:f>
        <x:v>1</x:v>
      </x:c>
      <x:c r="I363" s="46" t="n">
        <x:f>'Paths'!$W$10</x:f>
        <x:v>0.9</x:v>
      </x:c>
      <x:c r="J363" s="47" t="n">
        <x:f>IF(D363&lt;E363,0,MIN(F363*G363*H363*I363,IF('Paths'!$T$10&gt;0,MAX(0,'Paths'!$T$10-K362),1000000000)))</x:f>
        <x:v>16200</x:v>
      </x:c>
      <x:c r="K363" s="47" t="n">
        <x:f>K362+J363</x:f>
        <x:v>1291680</x:v>
      </x:c>
      <x:c r="L363" s="46" t="n">
        <x:f>IF(C363="P0",1,IF(D363&lt;=3,0.8,IF(D363&lt;=14,0.65,IF(D363&lt;=45,0.5,0.3))))</x:f>
        <x:v>0.3</x:v>
      </x:c>
      <x:c r="M363" s="47" t="n">
        <x:f>J363*L363</x:f>
        <x:v>4860</x:v>
      </x:c>
      <x:c r="N363" s="47" t="n">
        <x:f>N362+M363</x:f>
        <x:v>567877.5</x:v>
      </x:c>
      <x:c r="O363" s="46" t="n">
        <x:f>IF(C363="P0",0,IF(D363&lt;=3,0.15,IF(D363&lt;=14,0.25,IF(D363&lt;=45,0.35,0.5))))</x:f>
        <x:v>0.5</x:v>
      </x:c>
      <x:c r="P363" s="47" t="n">
        <x:f>J363*O363</x:f>
        <x:v>8100</x:v>
      </x:c>
      <x:c r="Q363" s="46" t="n">
        <x:f>IF(C363="P0",0,IF(D363&lt;=3,0.05,IF(D363&lt;=14,0.1,IF(D363&lt;=45,0.15,0.2))))</x:f>
        <x:v>0.2</x:v>
      </x:c>
      <x:c r="R363" s="47" t="n">
        <x:f>J363*Q363</x:f>
        <x:v>3240</x:v>
      </x:c>
      <x:c r="S363" s="20" t="str">
        <x:f>IF(D363&lt;E363,"closed",IF(D363&lt;'Paths'!$N$10,"initial","expanded"))</x:f>
        <x:v>expanded</x:v>
      </x:c>
      <x:c r="T363" s="72"/>
    </x:row>
    <x:row r="364">
      <x:c r="C364" s="20" t="str">
        <x:v>P3</x:v>
      </x:c>
      <x:c r="D364" s="20" t="n">
        <x:v>84</x:v>
      </x:c>
      <x:c r="E364" s="45" t="n">
        <x:f>IF('Controls'!$D$7="Reference",'Paths'!$J$10,'Paths'!$K$10)</x:f>
        <x:v>0</x:v>
      </x:c>
      <x:c r="F364" s="47" t="n">
        <x:f>IF(D364&lt;'Paths'!$N$10,IF('Controls'!$D$7="Reference",'Paths'!$L$10,'Paths'!$M$10),IF('Controls'!$D$7="Reference",'Paths'!$O$10,'Paths'!$P$10))</x:f>
        <x:v>18000</x:v>
      </x:c>
      <x:c r="G364" s="46" t="n">
        <x:f>IF('Controls'!$D$7="Reference",1,IF(OR(D364=6,D364=7,D364=21,D364=46),'Paths'!$U$10,1))</x:f>
        <x:v>1</x:v>
      </x:c>
      <x:c r="H364" s="46" t="n">
        <x:f>IF('Controls'!$D$7="Reference",1,IF(OR(AND(D364&gt;=14,D364&lt;=16),AND(D364&gt;=34,D364&lt;=35),AND(D364&gt;=61,D364&lt;=63)),'Paths'!$V$10,1))</x:f>
        <x:v>1</x:v>
      </x:c>
      <x:c r="I364" s="46" t="n">
        <x:f>'Paths'!$W$10</x:f>
        <x:v>0.9</x:v>
      </x:c>
      <x:c r="J364" s="47" t="n">
        <x:f>IF(D364&lt;E364,0,MIN(F364*G364*H364*I364,IF('Paths'!$T$10&gt;0,MAX(0,'Paths'!$T$10-K363),1000000000)))</x:f>
        <x:v>16200</x:v>
      </x:c>
      <x:c r="K364" s="47" t="n">
        <x:f>K363+J364</x:f>
        <x:v>1307880</x:v>
      </x:c>
      <x:c r="L364" s="46" t="n">
        <x:f>IF(C364="P0",1,IF(D364&lt;=3,0.8,IF(D364&lt;=14,0.65,IF(D364&lt;=45,0.5,0.3))))</x:f>
        <x:v>0.3</x:v>
      </x:c>
      <x:c r="M364" s="47" t="n">
        <x:f>J364*L364</x:f>
        <x:v>4860</x:v>
      </x:c>
      <x:c r="N364" s="47" t="n">
        <x:f>N363+M364</x:f>
        <x:v>572737.5</x:v>
      </x:c>
      <x:c r="O364" s="46" t="n">
        <x:f>IF(C364="P0",0,IF(D364&lt;=3,0.15,IF(D364&lt;=14,0.25,IF(D364&lt;=45,0.35,0.5))))</x:f>
        <x:v>0.5</x:v>
      </x:c>
      <x:c r="P364" s="47" t="n">
        <x:f>J364*O364</x:f>
        <x:v>8100</x:v>
      </x:c>
      <x:c r="Q364" s="46" t="n">
        <x:f>IF(C364="P0",0,IF(D364&lt;=3,0.05,IF(D364&lt;=14,0.1,IF(D364&lt;=45,0.15,0.2))))</x:f>
        <x:v>0.2</x:v>
      </x:c>
      <x:c r="R364" s="47" t="n">
        <x:f>J364*Q364</x:f>
        <x:v>3240</x:v>
      </x:c>
      <x:c r="S364" s="20" t="str">
        <x:f>IF(D364&lt;E364,"closed",IF(D364&lt;'Paths'!$N$10,"initial","expanded"))</x:f>
        <x:v>expanded</x:v>
      </x:c>
      <x:c r="T364" s="72"/>
    </x:row>
    <x:row r="365">
      <x:c r="C365" s="20" t="str">
        <x:v>P3</x:v>
      </x:c>
      <x:c r="D365" s="20" t="n">
        <x:v>85</x:v>
      </x:c>
      <x:c r="E365" s="45" t="n">
        <x:f>IF('Controls'!$D$7="Reference",'Paths'!$J$10,'Paths'!$K$10)</x:f>
        <x:v>0</x:v>
      </x:c>
      <x:c r="F365" s="47" t="n">
        <x:f>IF(D365&lt;'Paths'!$N$10,IF('Controls'!$D$7="Reference",'Paths'!$L$10,'Paths'!$M$10),IF('Controls'!$D$7="Reference",'Paths'!$O$10,'Paths'!$P$10))</x:f>
        <x:v>18000</x:v>
      </x:c>
      <x:c r="G365" s="46" t="n">
        <x:f>IF('Controls'!$D$7="Reference",1,IF(OR(D365=6,D365=7,D365=21,D365=46),'Paths'!$U$10,1))</x:f>
        <x:v>1</x:v>
      </x:c>
      <x:c r="H365" s="46" t="n">
        <x:f>IF('Controls'!$D$7="Reference",1,IF(OR(AND(D365&gt;=14,D365&lt;=16),AND(D365&gt;=34,D365&lt;=35),AND(D365&gt;=61,D365&lt;=63)),'Paths'!$V$10,1))</x:f>
        <x:v>1</x:v>
      </x:c>
      <x:c r="I365" s="46" t="n">
        <x:f>'Paths'!$W$10</x:f>
        <x:v>0.9</x:v>
      </x:c>
      <x:c r="J365" s="47" t="n">
        <x:f>IF(D365&lt;E365,0,MIN(F365*G365*H365*I365,IF('Paths'!$T$10&gt;0,MAX(0,'Paths'!$T$10-K364),1000000000)))</x:f>
        <x:v>16200</x:v>
      </x:c>
      <x:c r="K365" s="47" t="n">
        <x:f>K364+J365</x:f>
        <x:v>1324080</x:v>
      </x:c>
      <x:c r="L365" s="46" t="n">
        <x:f>IF(C365="P0",1,IF(D365&lt;=3,0.8,IF(D365&lt;=14,0.65,IF(D365&lt;=45,0.5,0.3))))</x:f>
        <x:v>0.3</x:v>
      </x:c>
      <x:c r="M365" s="47" t="n">
        <x:f>J365*L365</x:f>
        <x:v>4860</x:v>
      </x:c>
      <x:c r="N365" s="47" t="n">
        <x:f>N364+M365</x:f>
        <x:v>577597.5</x:v>
      </x:c>
      <x:c r="O365" s="46" t="n">
        <x:f>IF(C365="P0",0,IF(D365&lt;=3,0.15,IF(D365&lt;=14,0.25,IF(D365&lt;=45,0.35,0.5))))</x:f>
        <x:v>0.5</x:v>
      </x:c>
      <x:c r="P365" s="47" t="n">
        <x:f>J365*O365</x:f>
        <x:v>8100</x:v>
      </x:c>
      <x:c r="Q365" s="46" t="n">
        <x:f>IF(C365="P0",0,IF(D365&lt;=3,0.05,IF(D365&lt;=14,0.1,IF(D365&lt;=45,0.15,0.2))))</x:f>
        <x:v>0.2</x:v>
      </x:c>
      <x:c r="R365" s="47" t="n">
        <x:f>J365*Q365</x:f>
        <x:v>3240</x:v>
      </x:c>
      <x:c r="S365" s="20" t="str">
        <x:f>IF(D365&lt;E365,"closed",IF(D365&lt;'Paths'!$N$10,"initial","expanded"))</x:f>
        <x:v>expanded</x:v>
      </x:c>
      <x:c r="T365" s="72"/>
    </x:row>
    <x:row r="366">
      <x:c r="C366" s="20" t="str">
        <x:v>P3</x:v>
      </x:c>
      <x:c r="D366" s="20" t="n">
        <x:v>86</x:v>
      </x:c>
      <x:c r="E366" s="45" t="n">
        <x:f>IF('Controls'!$D$7="Reference",'Paths'!$J$10,'Paths'!$K$10)</x:f>
        <x:v>0</x:v>
      </x:c>
      <x:c r="F366" s="47" t="n">
        <x:f>IF(D366&lt;'Paths'!$N$10,IF('Controls'!$D$7="Reference",'Paths'!$L$10,'Paths'!$M$10),IF('Controls'!$D$7="Reference",'Paths'!$O$10,'Paths'!$P$10))</x:f>
        <x:v>18000</x:v>
      </x:c>
      <x:c r="G366" s="46" t="n">
        <x:f>IF('Controls'!$D$7="Reference",1,IF(OR(D366=6,D366=7,D366=21,D366=46),'Paths'!$U$10,1))</x:f>
        <x:v>1</x:v>
      </x:c>
      <x:c r="H366" s="46" t="n">
        <x:f>IF('Controls'!$D$7="Reference",1,IF(OR(AND(D366&gt;=14,D366&lt;=16),AND(D366&gt;=34,D366&lt;=35),AND(D366&gt;=61,D366&lt;=63)),'Paths'!$V$10,1))</x:f>
        <x:v>1</x:v>
      </x:c>
      <x:c r="I366" s="46" t="n">
        <x:f>'Paths'!$W$10</x:f>
        <x:v>0.9</x:v>
      </x:c>
      <x:c r="J366" s="47" t="n">
        <x:f>IF(D366&lt;E366,0,MIN(F366*G366*H366*I366,IF('Paths'!$T$10&gt;0,MAX(0,'Paths'!$T$10-K365),1000000000)))</x:f>
        <x:v>16200</x:v>
      </x:c>
      <x:c r="K366" s="47" t="n">
        <x:f>K365+J366</x:f>
        <x:v>1340280</x:v>
      </x:c>
      <x:c r="L366" s="46" t="n">
        <x:f>IF(C366="P0",1,IF(D366&lt;=3,0.8,IF(D366&lt;=14,0.65,IF(D366&lt;=45,0.5,0.3))))</x:f>
        <x:v>0.3</x:v>
      </x:c>
      <x:c r="M366" s="47" t="n">
        <x:f>J366*L366</x:f>
        <x:v>4860</x:v>
      </x:c>
      <x:c r="N366" s="47" t="n">
        <x:f>N365+M366</x:f>
        <x:v>582457.5</x:v>
      </x:c>
      <x:c r="O366" s="46" t="n">
        <x:f>IF(C366="P0",0,IF(D366&lt;=3,0.15,IF(D366&lt;=14,0.25,IF(D366&lt;=45,0.35,0.5))))</x:f>
        <x:v>0.5</x:v>
      </x:c>
      <x:c r="P366" s="47" t="n">
        <x:f>J366*O366</x:f>
        <x:v>8100</x:v>
      </x:c>
      <x:c r="Q366" s="46" t="n">
        <x:f>IF(C366="P0",0,IF(D366&lt;=3,0.05,IF(D366&lt;=14,0.1,IF(D366&lt;=45,0.15,0.2))))</x:f>
        <x:v>0.2</x:v>
      </x:c>
      <x:c r="R366" s="47" t="n">
        <x:f>J366*Q366</x:f>
        <x:v>3240</x:v>
      </x:c>
      <x:c r="S366" s="20" t="str">
        <x:f>IF(D366&lt;E366,"closed",IF(D366&lt;'Paths'!$N$10,"initial","expanded"))</x:f>
        <x:v>expanded</x:v>
      </x:c>
      <x:c r="T366" s="72"/>
    </x:row>
    <x:row r="367">
      <x:c r="C367" s="20" t="str">
        <x:v>P3</x:v>
      </x:c>
      <x:c r="D367" s="20" t="n">
        <x:v>87</x:v>
      </x:c>
      <x:c r="E367" s="45" t="n">
        <x:f>IF('Controls'!$D$7="Reference",'Paths'!$J$10,'Paths'!$K$10)</x:f>
        <x:v>0</x:v>
      </x:c>
      <x:c r="F367" s="47" t="n">
        <x:f>IF(D367&lt;'Paths'!$N$10,IF('Controls'!$D$7="Reference",'Paths'!$L$10,'Paths'!$M$10),IF('Controls'!$D$7="Reference",'Paths'!$O$10,'Paths'!$P$10))</x:f>
        <x:v>18000</x:v>
      </x:c>
      <x:c r="G367" s="46" t="n">
        <x:f>IF('Controls'!$D$7="Reference",1,IF(OR(D367=6,D367=7,D367=21,D367=46),'Paths'!$U$10,1))</x:f>
        <x:v>1</x:v>
      </x:c>
      <x:c r="H367" s="46" t="n">
        <x:f>IF('Controls'!$D$7="Reference",1,IF(OR(AND(D367&gt;=14,D367&lt;=16),AND(D367&gt;=34,D367&lt;=35),AND(D367&gt;=61,D367&lt;=63)),'Paths'!$V$10,1))</x:f>
        <x:v>1</x:v>
      </x:c>
      <x:c r="I367" s="46" t="n">
        <x:f>'Paths'!$W$10</x:f>
        <x:v>0.9</x:v>
      </x:c>
      <x:c r="J367" s="47" t="n">
        <x:f>IF(D367&lt;E367,0,MIN(F367*G367*H367*I367,IF('Paths'!$T$10&gt;0,MAX(0,'Paths'!$T$10-K366),1000000000)))</x:f>
        <x:v>16200</x:v>
      </x:c>
      <x:c r="K367" s="47" t="n">
        <x:f>K366+J367</x:f>
        <x:v>1356480</x:v>
      </x:c>
      <x:c r="L367" s="46" t="n">
        <x:f>IF(C367="P0",1,IF(D367&lt;=3,0.8,IF(D367&lt;=14,0.65,IF(D367&lt;=45,0.5,0.3))))</x:f>
        <x:v>0.3</x:v>
      </x:c>
      <x:c r="M367" s="47" t="n">
        <x:f>J367*L367</x:f>
        <x:v>4860</x:v>
      </x:c>
      <x:c r="N367" s="47" t="n">
        <x:f>N366+M367</x:f>
        <x:v>587317.5</x:v>
      </x:c>
      <x:c r="O367" s="46" t="n">
        <x:f>IF(C367="P0",0,IF(D367&lt;=3,0.15,IF(D367&lt;=14,0.25,IF(D367&lt;=45,0.35,0.5))))</x:f>
        <x:v>0.5</x:v>
      </x:c>
      <x:c r="P367" s="47" t="n">
        <x:f>J367*O367</x:f>
        <x:v>8100</x:v>
      </x:c>
      <x:c r="Q367" s="46" t="n">
        <x:f>IF(C367="P0",0,IF(D367&lt;=3,0.05,IF(D367&lt;=14,0.1,IF(D367&lt;=45,0.15,0.2))))</x:f>
        <x:v>0.2</x:v>
      </x:c>
      <x:c r="R367" s="47" t="n">
        <x:f>J367*Q367</x:f>
        <x:v>3240</x:v>
      </x:c>
      <x:c r="S367" s="20" t="str">
        <x:f>IF(D367&lt;E367,"closed",IF(D367&lt;'Paths'!$N$10,"initial","expanded"))</x:f>
        <x:v>expanded</x:v>
      </x:c>
      <x:c r="T367" s="72"/>
    </x:row>
    <x:row r="368">
      <x:c r="C368" s="20" t="str">
        <x:v>P3</x:v>
      </x:c>
      <x:c r="D368" s="20" t="n">
        <x:v>88</x:v>
      </x:c>
      <x:c r="E368" s="45" t="n">
        <x:f>IF('Controls'!$D$7="Reference",'Paths'!$J$10,'Paths'!$K$10)</x:f>
        <x:v>0</x:v>
      </x:c>
      <x:c r="F368" s="47" t="n">
        <x:f>IF(D368&lt;'Paths'!$N$10,IF('Controls'!$D$7="Reference",'Paths'!$L$10,'Paths'!$M$10),IF('Controls'!$D$7="Reference",'Paths'!$O$10,'Paths'!$P$10))</x:f>
        <x:v>18000</x:v>
      </x:c>
      <x:c r="G368" s="46" t="n">
        <x:f>IF('Controls'!$D$7="Reference",1,IF(OR(D368=6,D368=7,D368=21,D368=46),'Paths'!$U$10,1))</x:f>
        <x:v>1</x:v>
      </x:c>
      <x:c r="H368" s="46" t="n">
        <x:f>IF('Controls'!$D$7="Reference",1,IF(OR(AND(D368&gt;=14,D368&lt;=16),AND(D368&gt;=34,D368&lt;=35),AND(D368&gt;=61,D368&lt;=63)),'Paths'!$V$10,1))</x:f>
        <x:v>1</x:v>
      </x:c>
      <x:c r="I368" s="46" t="n">
        <x:f>'Paths'!$W$10</x:f>
        <x:v>0.9</x:v>
      </x:c>
      <x:c r="J368" s="47" t="n">
        <x:f>IF(D368&lt;E368,0,MIN(F368*G368*H368*I368,IF('Paths'!$T$10&gt;0,MAX(0,'Paths'!$T$10-K367),1000000000)))</x:f>
        <x:v>16200</x:v>
      </x:c>
      <x:c r="K368" s="47" t="n">
        <x:f>K367+J368</x:f>
        <x:v>1372680</x:v>
      </x:c>
      <x:c r="L368" s="46" t="n">
        <x:f>IF(C368="P0",1,IF(D368&lt;=3,0.8,IF(D368&lt;=14,0.65,IF(D368&lt;=45,0.5,0.3))))</x:f>
        <x:v>0.3</x:v>
      </x:c>
      <x:c r="M368" s="47" t="n">
        <x:f>J368*L368</x:f>
        <x:v>4860</x:v>
      </x:c>
      <x:c r="N368" s="47" t="n">
        <x:f>N367+M368</x:f>
        <x:v>592177.5</x:v>
      </x:c>
      <x:c r="O368" s="46" t="n">
        <x:f>IF(C368="P0",0,IF(D368&lt;=3,0.15,IF(D368&lt;=14,0.25,IF(D368&lt;=45,0.35,0.5))))</x:f>
        <x:v>0.5</x:v>
      </x:c>
      <x:c r="P368" s="47" t="n">
        <x:f>J368*O368</x:f>
        <x:v>8100</x:v>
      </x:c>
      <x:c r="Q368" s="46" t="n">
        <x:f>IF(C368="P0",0,IF(D368&lt;=3,0.05,IF(D368&lt;=14,0.1,IF(D368&lt;=45,0.15,0.2))))</x:f>
        <x:v>0.2</x:v>
      </x:c>
      <x:c r="R368" s="47" t="n">
        <x:f>J368*Q368</x:f>
        <x:v>3240</x:v>
      </x:c>
      <x:c r="S368" s="20" t="str">
        <x:f>IF(D368&lt;E368,"closed",IF(D368&lt;'Paths'!$N$10,"initial","expanded"))</x:f>
        <x:v>expanded</x:v>
      </x:c>
      <x:c r="T368" s="72"/>
    </x:row>
    <x:row r="369">
      <x:c r="C369" s="20" t="str">
        <x:v>P3</x:v>
      </x:c>
      <x:c r="D369" s="20" t="n">
        <x:v>89</x:v>
      </x:c>
      <x:c r="E369" s="45" t="n">
        <x:f>IF('Controls'!$D$7="Reference",'Paths'!$J$10,'Paths'!$K$10)</x:f>
        <x:v>0</x:v>
      </x:c>
      <x:c r="F369" s="47" t="n">
        <x:f>IF(D369&lt;'Paths'!$N$10,IF('Controls'!$D$7="Reference",'Paths'!$L$10,'Paths'!$M$10),IF('Controls'!$D$7="Reference",'Paths'!$O$10,'Paths'!$P$10))</x:f>
        <x:v>18000</x:v>
      </x:c>
      <x:c r="G369" s="46" t="n">
        <x:f>IF('Controls'!$D$7="Reference",1,IF(OR(D369=6,D369=7,D369=21,D369=46),'Paths'!$U$10,1))</x:f>
        <x:v>1</x:v>
      </x:c>
      <x:c r="H369" s="46" t="n">
        <x:f>IF('Controls'!$D$7="Reference",1,IF(OR(AND(D369&gt;=14,D369&lt;=16),AND(D369&gt;=34,D369&lt;=35),AND(D369&gt;=61,D369&lt;=63)),'Paths'!$V$10,1))</x:f>
        <x:v>1</x:v>
      </x:c>
      <x:c r="I369" s="46" t="n">
        <x:f>'Paths'!$W$10</x:f>
        <x:v>0.9</x:v>
      </x:c>
      <x:c r="J369" s="47" t="n">
        <x:f>IF(D369&lt;E369,0,MIN(F369*G369*H369*I369,IF('Paths'!$T$10&gt;0,MAX(0,'Paths'!$T$10-K368),1000000000)))</x:f>
        <x:v>16200</x:v>
      </x:c>
      <x:c r="K369" s="47" t="n">
        <x:f>K368+J369</x:f>
        <x:v>1388880</x:v>
      </x:c>
      <x:c r="L369" s="46" t="n">
        <x:f>IF(C369="P0",1,IF(D369&lt;=3,0.8,IF(D369&lt;=14,0.65,IF(D369&lt;=45,0.5,0.3))))</x:f>
        <x:v>0.3</x:v>
      </x:c>
      <x:c r="M369" s="47" t="n">
        <x:f>J369*L369</x:f>
        <x:v>4860</x:v>
      </x:c>
      <x:c r="N369" s="47" t="n">
        <x:f>N368+M369</x:f>
        <x:v>597037.5</x:v>
      </x:c>
      <x:c r="O369" s="46" t="n">
        <x:f>IF(C369="P0",0,IF(D369&lt;=3,0.15,IF(D369&lt;=14,0.25,IF(D369&lt;=45,0.35,0.5))))</x:f>
        <x:v>0.5</x:v>
      </x:c>
      <x:c r="P369" s="47" t="n">
        <x:f>J369*O369</x:f>
        <x:v>8100</x:v>
      </x:c>
      <x:c r="Q369" s="46" t="n">
        <x:f>IF(C369="P0",0,IF(D369&lt;=3,0.05,IF(D369&lt;=14,0.1,IF(D369&lt;=45,0.15,0.2))))</x:f>
        <x:v>0.2</x:v>
      </x:c>
      <x:c r="R369" s="47" t="n">
        <x:f>J369*Q369</x:f>
        <x:v>3240</x:v>
      </x:c>
      <x:c r="S369" s="20" t="str">
        <x:f>IF(D369&lt;E369,"closed",IF(D369&lt;'Paths'!$N$10,"initial","expanded"))</x:f>
        <x:v>expanded</x:v>
      </x:c>
      <x:c r="T369" s="72"/>
    </x:row>
    <x:row r="370">
      <x:c r="C370" s="20" t="str">
        <x:v>P3</x:v>
      </x:c>
      <x:c r="D370" s="20" t="n">
        <x:v>90</x:v>
      </x:c>
      <x:c r="E370" s="45" t="n">
        <x:f>IF('Controls'!$D$7="Reference",'Paths'!$J$10,'Paths'!$K$10)</x:f>
        <x:v>0</x:v>
      </x:c>
      <x:c r="F370" s="47" t="n">
        <x:f>IF(D370&lt;'Paths'!$N$10,IF('Controls'!$D$7="Reference",'Paths'!$L$10,'Paths'!$M$10),IF('Controls'!$D$7="Reference",'Paths'!$O$10,'Paths'!$P$10))</x:f>
        <x:v>18000</x:v>
      </x:c>
      <x:c r="G370" s="46" t="n">
        <x:f>IF('Controls'!$D$7="Reference",1,IF(OR(D370=6,D370=7,D370=21,D370=46),'Paths'!$U$10,1))</x:f>
        <x:v>1</x:v>
      </x:c>
      <x:c r="H370" s="46" t="n">
        <x:f>IF('Controls'!$D$7="Reference",1,IF(OR(AND(D370&gt;=14,D370&lt;=16),AND(D370&gt;=34,D370&lt;=35),AND(D370&gt;=61,D370&lt;=63)),'Paths'!$V$10,1))</x:f>
        <x:v>1</x:v>
      </x:c>
      <x:c r="I370" s="46" t="n">
        <x:f>'Paths'!$W$10</x:f>
        <x:v>0.9</x:v>
      </x:c>
      <x:c r="J370" s="47" t="n">
        <x:f>IF(D370&lt;E370,0,MIN(F370*G370*H370*I370,IF('Paths'!$T$10&gt;0,MAX(0,'Paths'!$T$10-K369),1000000000)))</x:f>
        <x:v>16200</x:v>
      </x:c>
      <x:c r="K370" s="47" t="n">
        <x:f>K369+J370</x:f>
        <x:v>1405080</x:v>
      </x:c>
      <x:c r="L370" s="46" t="n">
        <x:f>IF(C370="P0",1,IF(D370&lt;=3,0.8,IF(D370&lt;=14,0.65,IF(D370&lt;=45,0.5,0.3))))</x:f>
        <x:v>0.3</x:v>
      </x:c>
      <x:c r="M370" s="47" t="n">
        <x:f>J370*L370</x:f>
        <x:v>4860</x:v>
      </x:c>
      <x:c r="N370" s="47" t="n">
        <x:f>N369+M370</x:f>
        <x:v>601897.5</x:v>
      </x:c>
      <x:c r="O370" s="46" t="n">
        <x:f>IF(C370="P0",0,IF(D370&lt;=3,0.15,IF(D370&lt;=14,0.25,IF(D370&lt;=45,0.35,0.5))))</x:f>
        <x:v>0.5</x:v>
      </x:c>
      <x:c r="P370" s="47" t="n">
        <x:f>J370*O370</x:f>
        <x:v>8100</x:v>
      </x:c>
      <x:c r="Q370" s="46" t="n">
        <x:f>IF(C370="P0",0,IF(D370&lt;=3,0.05,IF(D370&lt;=14,0.1,IF(D370&lt;=45,0.15,0.2))))</x:f>
        <x:v>0.2</x:v>
      </x:c>
      <x:c r="R370" s="47" t="n">
        <x:f>J370*Q370</x:f>
        <x:v>3240</x:v>
      </x:c>
      <x:c r="S370" s="20" t="str">
        <x:f>IF(D370&lt;E370,"closed",IF(D370&lt;'Paths'!$N$10,"initial","expanded"))</x:f>
        <x:v>expanded</x:v>
      </x:c>
      <x:c r="T370" s="72"/>
    </x:row>
    <x:row r="371">
      <x:c r="C371" s="20" t="str">
        <x:v>P4</x:v>
      </x:c>
      <x:c r="D371" s="20" t="n">
        <x:v>0</x:v>
      </x:c>
      <x:c r="E371" s="45" t="n">
        <x:f>IF('Controls'!$D$7="Reference",'Paths'!$J$11,'Paths'!$K$11)</x:f>
        <x:v>3</x:v>
      </x:c>
      <x:c r="F371" s="47" t="n">
        <x:f>IF(D371&lt;'Paths'!$N$11,IF('Controls'!$D$7="Reference",'Paths'!$L$11,'Paths'!$M$11),IF('Controls'!$D$7="Reference",'Paths'!$O$11,'Paths'!$P$11))</x:f>
        <x:v>16000</x:v>
      </x:c>
      <x:c r="G371" s="46" t="n">
        <x:f>IF('Controls'!$D$7="Reference",1,IF(OR(D371=6,D371=7,D371=21,D371=46),'Paths'!$U$11,1))</x:f>
        <x:v>1</x:v>
      </x:c>
      <x:c r="H371" s="46" t="n">
        <x:f>IF('Controls'!$D$7="Reference",1,IF(OR(AND(D371&gt;=14,D371&lt;=16),AND(D371&gt;=34,D371&lt;=35),AND(D371&gt;=61,D371&lt;=63)),'Paths'!$V$11,1))</x:f>
        <x:v>1</x:v>
      </x:c>
      <x:c r="I371" s="46" t="n">
        <x:f>'Paths'!$W$11</x:f>
        <x:v>0.88</x:v>
      </x:c>
      <x:c r="J371" s="47" t="n">
        <x:f>IF(D371&lt;E371,0,MIN(F371*G371*H371*I371,IF('Paths'!$T$11&gt;0,MAX(0,'Paths'!$T$11-0),1000000000)))</x:f>
        <x:v>0</x:v>
      </x:c>
      <x:c r="K371" s="47" t="n">
        <x:f>0+J371</x:f>
        <x:v>0</x:v>
      </x:c>
      <x:c r="L371" s="46" t="n">
        <x:f>IF(C371="P0",1,IF(D371&lt;=3,0.8,IF(D371&lt;=14,0.65,IF(D371&lt;=45,0.5,0.3))))</x:f>
        <x:v>0.8</x:v>
      </x:c>
      <x:c r="M371" s="47" t="n">
        <x:f>J371*L371</x:f>
        <x:v>0</x:v>
      </x:c>
      <x:c r="N371" s="47" t="n">
        <x:f>0+M371</x:f>
        <x:v>0</x:v>
      </x:c>
      <x:c r="O371" s="46" t="n">
        <x:f>IF(C371="P0",0,IF(D371&lt;=3,0.15,IF(D371&lt;=14,0.25,IF(D371&lt;=45,0.35,0.5))))</x:f>
        <x:v>0.15</x:v>
      </x:c>
      <x:c r="P371" s="47" t="n">
        <x:f>J371*O371</x:f>
        <x:v>0</x:v>
      </x:c>
      <x:c r="Q371" s="46" t="n">
        <x:f>IF(C371="P0",0,IF(D371&lt;=3,0.05,IF(D371&lt;=14,0.1,IF(D371&lt;=45,0.15,0.2))))</x:f>
        <x:v>0.05</x:v>
      </x:c>
      <x:c r="R371" s="47" t="n">
        <x:f>J371*Q371</x:f>
        <x:v>0</x:v>
      </x:c>
      <x:c r="S371" s="20" t="str">
        <x:f>IF(D371&lt;E371,"closed",IF(D371&lt;'Paths'!$N$11,"initial","expanded"))</x:f>
        <x:v>closed</x:v>
      </x:c>
      <x:c r="T371" s="72"/>
    </x:row>
    <x:row r="372">
      <x:c r="C372" s="20" t="str">
        <x:v>P4</x:v>
      </x:c>
      <x:c r="D372" s="20" t="n">
        <x:v>1</x:v>
      </x:c>
      <x:c r="E372" s="45" t="n">
        <x:f>IF('Controls'!$D$7="Reference",'Paths'!$J$11,'Paths'!$K$11)</x:f>
        <x:v>3</x:v>
      </x:c>
      <x:c r="F372" s="47" t="n">
        <x:f>IF(D372&lt;'Paths'!$N$11,IF('Controls'!$D$7="Reference",'Paths'!$L$11,'Paths'!$M$11),IF('Controls'!$D$7="Reference",'Paths'!$O$11,'Paths'!$P$11))</x:f>
        <x:v>16000</x:v>
      </x:c>
      <x:c r="G372" s="46" t="n">
        <x:f>IF('Controls'!$D$7="Reference",1,IF(OR(D372=6,D372=7,D372=21,D372=46),'Paths'!$U$11,1))</x:f>
        <x:v>1</x:v>
      </x:c>
      <x:c r="H372" s="46" t="n">
        <x:f>IF('Controls'!$D$7="Reference",1,IF(OR(AND(D372&gt;=14,D372&lt;=16),AND(D372&gt;=34,D372&lt;=35),AND(D372&gt;=61,D372&lt;=63)),'Paths'!$V$11,1))</x:f>
        <x:v>1</x:v>
      </x:c>
      <x:c r="I372" s="46" t="n">
        <x:f>'Paths'!$W$11</x:f>
        <x:v>0.88</x:v>
      </x:c>
      <x:c r="J372" s="47" t="n">
        <x:f>IF(D372&lt;E372,0,MIN(F372*G372*H372*I372,IF('Paths'!$T$11&gt;0,MAX(0,'Paths'!$T$11-K371),1000000000)))</x:f>
        <x:v>0</x:v>
      </x:c>
      <x:c r="K372" s="47" t="n">
        <x:f>K371+J372</x:f>
        <x:v>0</x:v>
      </x:c>
      <x:c r="L372" s="46" t="n">
        <x:f>IF(C372="P0",1,IF(D372&lt;=3,0.8,IF(D372&lt;=14,0.65,IF(D372&lt;=45,0.5,0.3))))</x:f>
        <x:v>0.8</x:v>
      </x:c>
      <x:c r="M372" s="47" t="n">
        <x:f>J372*L372</x:f>
        <x:v>0</x:v>
      </x:c>
      <x:c r="N372" s="47" t="n">
        <x:f>N371+M372</x:f>
        <x:v>0</x:v>
      </x:c>
      <x:c r="O372" s="46" t="n">
        <x:f>IF(C372="P0",0,IF(D372&lt;=3,0.15,IF(D372&lt;=14,0.25,IF(D372&lt;=45,0.35,0.5))))</x:f>
        <x:v>0.15</x:v>
      </x:c>
      <x:c r="P372" s="47" t="n">
        <x:f>J372*O372</x:f>
        <x:v>0</x:v>
      </x:c>
      <x:c r="Q372" s="46" t="n">
        <x:f>IF(C372="P0",0,IF(D372&lt;=3,0.05,IF(D372&lt;=14,0.1,IF(D372&lt;=45,0.15,0.2))))</x:f>
        <x:v>0.05</x:v>
      </x:c>
      <x:c r="R372" s="47" t="n">
        <x:f>J372*Q372</x:f>
        <x:v>0</x:v>
      </x:c>
      <x:c r="S372" s="20" t="str">
        <x:f>IF(D372&lt;E372,"closed",IF(D372&lt;'Paths'!$N$11,"initial","expanded"))</x:f>
        <x:v>closed</x:v>
      </x:c>
      <x:c r="T372" s="72"/>
    </x:row>
    <x:row r="373">
      <x:c r="C373" s="20" t="str">
        <x:v>P4</x:v>
      </x:c>
      <x:c r="D373" s="20" t="n">
        <x:v>2</x:v>
      </x:c>
      <x:c r="E373" s="45" t="n">
        <x:f>IF('Controls'!$D$7="Reference",'Paths'!$J$11,'Paths'!$K$11)</x:f>
        <x:v>3</x:v>
      </x:c>
      <x:c r="F373" s="47" t="n">
        <x:f>IF(D373&lt;'Paths'!$N$11,IF('Controls'!$D$7="Reference",'Paths'!$L$11,'Paths'!$M$11),IF('Controls'!$D$7="Reference",'Paths'!$O$11,'Paths'!$P$11))</x:f>
        <x:v>16000</x:v>
      </x:c>
      <x:c r="G373" s="46" t="n">
        <x:f>IF('Controls'!$D$7="Reference",1,IF(OR(D373=6,D373=7,D373=21,D373=46),'Paths'!$U$11,1))</x:f>
        <x:v>1</x:v>
      </x:c>
      <x:c r="H373" s="46" t="n">
        <x:f>IF('Controls'!$D$7="Reference",1,IF(OR(AND(D373&gt;=14,D373&lt;=16),AND(D373&gt;=34,D373&lt;=35),AND(D373&gt;=61,D373&lt;=63)),'Paths'!$V$11,1))</x:f>
        <x:v>1</x:v>
      </x:c>
      <x:c r="I373" s="46" t="n">
        <x:f>'Paths'!$W$11</x:f>
        <x:v>0.88</x:v>
      </x:c>
      <x:c r="J373" s="47" t="n">
        <x:f>IF(D373&lt;E373,0,MIN(F373*G373*H373*I373,IF('Paths'!$T$11&gt;0,MAX(0,'Paths'!$T$11-K372),1000000000)))</x:f>
        <x:v>0</x:v>
      </x:c>
      <x:c r="K373" s="47" t="n">
        <x:f>K372+J373</x:f>
        <x:v>0</x:v>
      </x:c>
      <x:c r="L373" s="46" t="n">
        <x:f>IF(C373="P0",1,IF(D373&lt;=3,0.8,IF(D373&lt;=14,0.65,IF(D373&lt;=45,0.5,0.3))))</x:f>
        <x:v>0.8</x:v>
      </x:c>
      <x:c r="M373" s="47" t="n">
        <x:f>J373*L373</x:f>
        <x:v>0</x:v>
      </x:c>
      <x:c r="N373" s="47" t="n">
        <x:f>N372+M373</x:f>
        <x:v>0</x:v>
      </x:c>
      <x:c r="O373" s="46" t="n">
        <x:f>IF(C373="P0",0,IF(D373&lt;=3,0.15,IF(D373&lt;=14,0.25,IF(D373&lt;=45,0.35,0.5))))</x:f>
        <x:v>0.15</x:v>
      </x:c>
      <x:c r="P373" s="47" t="n">
        <x:f>J373*O373</x:f>
        <x:v>0</x:v>
      </x:c>
      <x:c r="Q373" s="46" t="n">
        <x:f>IF(C373="P0",0,IF(D373&lt;=3,0.05,IF(D373&lt;=14,0.1,IF(D373&lt;=45,0.15,0.2))))</x:f>
        <x:v>0.05</x:v>
      </x:c>
      <x:c r="R373" s="47" t="n">
        <x:f>J373*Q373</x:f>
        <x:v>0</x:v>
      </x:c>
      <x:c r="S373" s="20" t="str">
        <x:f>IF(D373&lt;E373,"closed",IF(D373&lt;'Paths'!$N$11,"initial","expanded"))</x:f>
        <x:v>closed</x:v>
      </x:c>
      <x:c r="T373" s="72"/>
    </x:row>
    <x:row r="374">
      <x:c r="C374" s="20" t="str">
        <x:v>P4</x:v>
      </x:c>
      <x:c r="D374" s="20" t="n">
        <x:v>3</x:v>
      </x:c>
      <x:c r="E374" s="45" t="n">
        <x:f>IF('Controls'!$D$7="Reference",'Paths'!$J$11,'Paths'!$K$11)</x:f>
        <x:v>3</x:v>
      </x:c>
      <x:c r="F374" s="47" t="n">
        <x:f>IF(D374&lt;'Paths'!$N$11,IF('Controls'!$D$7="Reference",'Paths'!$L$11,'Paths'!$M$11),IF('Controls'!$D$7="Reference",'Paths'!$O$11,'Paths'!$P$11))</x:f>
        <x:v>16000</x:v>
      </x:c>
      <x:c r="G374" s="46" t="n">
        <x:f>IF('Controls'!$D$7="Reference",1,IF(OR(D374=6,D374=7,D374=21,D374=46),'Paths'!$U$11,1))</x:f>
        <x:v>1</x:v>
      </x:c>
      <x:c r="H374" s="46" t="n">
        <x:f>IF('Controls'!$D$7="Reference",1,IF(OR(AND(D374&gt;=14,D374&lt;=16),AND(D374&gt;=34,D374&lt;=35),AND(D374&gt;=61,D374&lt;=63)),'Paths'!$V$11,1))</x:f>
        <x:v>1</x:v>
      </x:c>
      <x:c r="I374" s="46" t="n">
        <x:f>'Paths'!$W$11</x:f>
        <x:v>0.88</x:v>
      </x:c>
      <x:c r="J374" s="47" t="n">
        <x:f>IF(D374&lt;E374,0,MIN(F374*G374*H374*I374,IF('Paths'!$T$11&gt;0,MAX(0,'Paths'!$T$11-K373),1000000000)))</x:f>
        <x:v>14080</x:v>
      </x:c>
      <x:c r="K374" s="47" t="n">
        <x:f>K373+J374</x:f>
        <x:v>14080</x:v>
      </x:c>
      <x:c r="L374" s="46" t="n">
        <x:f>IF(C374="P0",1,IF(D374&lt;=3,0.8,IF(D374&lt;=14,0.65,IF(D374&lt;=45,0.5,0.3))))</x:f>
        <x:v>0.8</x:v>
      </x:c>
      <x:c r="M374" s="47" t="n">
        <x:f>J374*L374</x:f>
        <x:v>11264</x:v>
      </x:c>
      <x:c r="N374" s="47" t="n">
        <x:f>N373+M374</x:f>
        <x:v>11264</x:v>
      </x:c>
      <x:c r="O374" s="46" t="n">
        <x:f>IF(C374="P0",0,IF(D374&lt;=3,0.15,IF(D374&lt;=14,0.25,IF(D374&lt;=45,0.35,0.5))))</x:f>
        <x:v>0.15</x:v>
      </x:c>
      <x:c r="P374" s="47" t="n">
        <x:f>J374*O374</x:f>
        <x:v>2112</x:v>
      </x:c>
      <x:c r="Q374" s="46" t="n">
        <x:f>IF(C374="P0",0,IF(D374&lt;=3,0.05,IF(D374&lt;=14,0.1,IF(D374&lt;=45,0.15,0.2))))</x:f>
        <x:v>0.05</x:v>
      </x:c>
      <x:c r="R374" s="47" t="n">
        <x:f>J374*Q374</x:f>
        <x:v>704</x:v>
      </x:c>
      <x:c r="S374" s="20" t="str">
        <x:f>IF(D374&lt;E374,"closed",IF(D374&lt;'Paths'!$N$11,"initial","expanded"))</x:f>
        <x:v>initial</x:v>
      </x:c>
      <x:c r="T374" s="72"/>
    </x:row>
    <x:row r="375">
      <x:c r="C375" s="20" t="str">
        <x:v>P4</x:v>
      </x:c>
      <x:c r="D375" s="20" t="n">
        <x:v>4</x:v>
      </x:c>
      <x:c r="E375" s="45" t="n">
        <x:f>IF('Controls'!$D$7="Reference",'Paths'!$J$11,'Paths'!$K$11)</x:f>
        <x:v>3</x:v>
      </x:c>
      <x:c r="F375" s="47" t="n">
        <x:f>IF(D375&lt;'Paths'!$N$11,IF('Controls'!$D$7="Reference",'Paths'!$L$11,'Paths'!$M$11),IF('Controls'!$D$7="Reference",'Paths'!$O$11,'Paths'!$P$11))</x:f>
        <x:v>16000</x:v>
      </x:c>
      <x:c r="G375" s="46" t="n">
        <x:f>IF('Controls'!$D$7="Reference",1,IF(OR(D375=6,D375=7,D375=21,D375=46),'Paths'!$U$11,1))</x:f>
        <x:v>1</x:v>
      </x:c>
      <x:c r="H375" s="46" t="n">
        <x:f>IF('Controls'!$D$7="Reference",1,IF(OR(AND(D375&gt;=14,D375&lt;=16),AND(D375&gt;=34,D375&lt;=35),AND(D375&gt;=61,D375&lt;=63)),'Paths'!$V$11,1))</x:f>
        <x:v>1</x:v>
      </x:c>
      <x:c r="I375" s="46" t="n">
        <x:f>'Paths'!$W$11</x:f>
        <x:v>0.88</x:v>
      </x:c>
      <x:c r="J375" s="47" t="n">
        <x:f>IF(D375&lt;E375,0,MIN(F375*G375*H375*I375,IF('Paths'!$T$11&gt;0,MAX(0,'Paths'!$T$11-K374),1000000000)))</x:f>
        <x:v>14080</x:v>
      </x:c>
      <x:c r="K375" s="47" t="n">
        <x:f>K374+J375</x:f>
        <x:v>28160</x:v>
      </x:c>
      <x:c r="L375" s="46" t="n">
        <x:f>IF(C375="P0",1,IF(D375&lt;=3,0.8,IF(D375&lt;=14,0.65,IF(D375&lt;=45,0.5,0.3))))</x:f>
        <x:v>0.65</x:v>
      </x:c>
      <x:c r="M375" s="47" t="n">
        <x:f>J375*L375</x:f>
        <x:v>9152</x:v>
      </x:c>
      <x:c r="N375" s="47" t="n">
        <x:f>N374+M375</x:f>
        <x:v>20416</x:v>
      </x:c>
      <x:c r="O375" s="46" t="n">
        <x:f>IF(C375="P0",0,IF(D375&lt;=3,0.15,IF(D375&lt;=14,0.25,IF(D375&lt;=45,0.35,0.5))))</x:f>
        <x:v>0.25</x:v>
      </x:c>
      <x:c r="P375" s="47" t="n">
        <x:f>J375*O375</x:f>
        <x:v>3520</x:v>
      </x:c>
      <x:c r="Q375" s="46" t="n">
        <x:f>IF(C375="P0",0,IF(D375&lt;=3,0.05,IF(D375&lt;=14,0.1,IF(D375&lt;=45,0.15,0.2))))</x:f>
        <x:v>0.1</x:v>
      </x:c>
      <x:c r="R375" s="47" t="n">
        <x:f>J375*Q375</x:f>
        <x:v>1408</x:v>
      </x:c>
      <x:c r="S375" s="20" t="str">
        <x:f>IF(D375&lt;E375,"closed",IF(D375&lt;'Paths'!$N$11,"initial","expanded"))</x:f>
        <x:v>initial</x:v>
      </x:c>
      <x:c r="T375" s="72"/>
    </x:row>
    <x:row r="376">
      <x:c r="C376" s="20" t="str">
        <x:v>P4</x:v>
      </x:c>
      <x:c r="D376" s="20" t="n">
        <x:v>5</x:v>
      </x:c>
      <x:c r="E376" s="45" t="n">
        <x:f>IF('Controls'!$D$7="Reference",'Paths'!$J$11,'Paths'!$K$11)</x:f>
        <x:v>3</x:v>
      </x:c>
      <x:c r="F376" s="47" t="n">
        <x:f>IF(D376&lt;'Paths'!$N$11,IF('Controls'!$D$7="Reference",'Paths'!$L$11,'Paths'!$M$11),IF('Controls'!$D$7="Reference",'Paths'!$O$11,'Paths'!$P$11))</x:f>
        <x:v>16000</x:v>
      </x:c>
      <x:c r="G376" s="46" t="n">
        <x:f>IF('Controls'!$D$7="Reference",1,IF(OR(D376=6,D376=7,D376=21,D376=46),'Paths'!$U$11,1))</x:f>
        <x:v>1</x:v>
      </x:c>
      <x:c r="H376" s="46" t="n">
        <x:f>IF('Controls'!$D$7="Reference",1,IF(OR(AND(D376&gt;=14,D376&lt;=16),AND(D376&gt;=34,D376&lt;=35),AND(D376&gt;=61,D376&lt;=63)),'Paths'!$V$11,1))</x:f>
        <x:v>1</x:v>
      </x:c>
      <x:c r="I376" s="46" t="n">
        <x:f>'Paths'!$W$11</x:f>
        <x:v>0.88</x:v>
      </x:c>
      <x:c r="J376" s="47" t="n">
        <x:f>IF(D376&lt;E376,0,MIN(F376*G376*H376*I376,IF('Paths'!$T$11&gt;0,MAX(0,'Paths'!$T$11-K375),1000000000)))</x:f>
        <x:v>14080</x:v>
      </x:c>
      <x:c r="K376" s="47" t="n">
        <x:f>K375+J376</x:f>
        <x:v>42240</x:v>
      </x:c>
      <x:c r="L376" s="46" t="n">
        <x:f>IF(C376="P0",1,IF(D376&lt;=3,0.8,IF(D376&lt;=14,0.65,IF(D376&lt;=45,0.5,0.3))))</x:f>
        <x:v>0.65</x:v>
      </x:c>
      <x:c r="M376" s="47" t="n">
        <x:f>J376*L376</x:f>
        <x:v>9152</x:v>
      </x:c>
      <x:c r="N376" s="47" t="n">
        <x:f>N375+M376</x:f>
        <x:v>29568</x:v>
      </x:c>
      <x:c r="O376" s="46" t="n">
        <x:f>IF(C376="P0",0,IF(D376&lt;=3,0.15,IF(D376&lt;=14,0.25,IF(D376&lt;=45,0.35,0.5))))</x:f>
        <x:v>0.25</x:v>
      </x:c>
      <x:c r="P376" s="47" t="n">
        <x:f>J376*O376</x:f>
        <x:v>3520</x:v>
      </x:c>
      <x:c r="Q376" s="46" t="n">
        <x:f>IF(C376="P0",0,IF(D376&lt;=3,0.05,IF(D376&lt;=14,0.1,IF(D376&lt;=45,0.15,0.2))))</x:f>
        <x:v>0.1</x:v>
      </x:c>
      <x:c r="R376" s="47" t="n">
        <x:f>J376*Q376</x:f>
        <x:v>1408</x:v>
      </x:c>
      <x:c r="S376" s="20" t="str">
        <x:f>IF(D376&lt;E376,"closed",IF(D376&lt;'Paths'!$N$11,"initial","expanded"))</x:f>
        <x:v>initial</x:v>
      </x:c>
      <x:c r="T376" s="72"/>
    </x:row>
    <x:row r="377">
      <x:c r="C377" s="20" t="str">
        <x:v>P4</x:v>
      </x:c>
      <x:c r="D377" s="20" t="n">
        <x:v>6</x:v>
      </x:c>
      <x:c r="E377" s="45" t="n">
        <x:f>IF('Controls'!$D$7="Reference",'Paths'!$J$11,'Paths'!$K$11)</x:f>
        <x:v>3</x:v>
      </x:c>
      <x:c r="F377" s="47" t="n">
        <x:f>IF(D377&lt;'Paths'!$N$11,IF('Controls'!$D$7="Reference",'Paths'!$L$11,'Paths'!$M$11),IF('Controls'!$D$7="Reference",'Paths'!$O$11,'Paths'!$P$11))</x:f>
        <x:v>16000</x:v>
      </x:c>
      <x:c r="G377" s="46" t="n">
        <x:f>IF('Controls'!$D$7="Reference",1,IF(OR(D377=6,D377=7,D377=21,D377=46),'Paths'!$U$11,1))</x:f>
        <x:v>0.65</x:v>
      </x:c>
      <x:c r="H377" s="46" t="n">
        <x:f>IF('Controls'!$D$7="Reference",1,IF(OR(AND(D377&gt;=14,D377&lt;=16),AND(D377&gt;=34,D377&lt;=35),AND(D377&gt;=61,D377&lt;=63)),'Paths'!$V$11,1))</x:f>
        <x:v>1</x:v>
      </x:c>
      <x:c r="I377" s="46" t="n">
        <x:f>'Paths'!$W$11</x:f>
        <x:v>0.88</x:v>
      </x:c>
      <x:c r="J377" s="47" t="n">
        <x:f>IF(D377&lt;E377,0,MIN(F377*G377*H377*I377,IF('Paths'!$T$11&gt;0,MAX(0,'Paths'!$T$11-K376),1000000000)))</x:f>
        <x:v>9152</x:v>
      </x:c>
      <x:c r="K377" s="47" t="n">
        <x:f>K376+J377</x:f>
        <x:v>51392</x:v>
      </x:c>
      <x:c r="L377" s="46" t="n">
        <x:f>IF(C377="P0",1,IF(D377&lt;=3,0.8,IF(D377&lt;=14,0.65,IF(D377&lt;=45,0.5,0.3))))</x:f>
        <x:v>0.65</x:v>
      </x:c>
      <x:c r="M377" s="47" t="n">
        <x:f>J377*L377</x:f>
        <x:v>5948.8</x:v>
      </x:c>
      <x:c r="N377" s="47" t="n">
        <x:f>N376+M377</x:f>
        <x:v>35516.8</x:v>
      </x:c>
      <x:c r="O377" s="46" t="n">
        <x:f>IF(C377="P0",0,IF(D377&lt;=3,0.15,IF(D377&lt;=14,0.25,IF(D377&lt;=45,0.35,0.5))))</x:f>
        <x:v>0.25</x:v>
      </x:c>
      <x:c r="P377" s="47" t="n">
        <x:f>J377*O377</x:f>
        <x:v>2288</x:v>
      </x:c>
      <x:c r="Q377" s="46" t="n">
        <x:f>IF(C377="P0",0,IF(D377&lt;=3,0.05,IF(D377&lt;=14,0.1,IF(D377&lt;=45,0.15,0.2))))</x:f>
        <x:v>0.1</x:v>
      </x:c>
      <x:c r="R377" s="47" t="n">
        <x:f>J377*Q377</x:f>
        <x:v>915.2</x:v>
      </x:c>
      <x:c r="S377" s="20" t="str">
        <x:f>IF(D377&lt;E377,"closed",IF(D377&lt;'Paths'!$N$11,"initial","expanded"))</x:f>
        <x:v>initial</x:v>
      </x:c>
      <x:c r="T377" s="72"/>
    </x:row>
    <x:row r="378">
      <x:c r="C378" s="20" t="str">
        <x:v>P4</x:v>
      </x:c>
      <x:c r="D378" s="20" t="n">
        <x:v>7</x:v>
      </x:c>
      <x:c r="E378" s="45" t="n">
        <x:f>IF('Controls'!$D$7="Reference",'Paths'!$J$11,'Paths'!$K$11)</x:f>
        <x:v>3</x:v>
      </x:c>
      <x:c r="F378" s="47" t="n">
        <x:f>IF(D378&lt;'Paths'!$N$11,IF('Controls'!$D$7="Reference",'Paths'!$L$11,'Paths'!$M$11),IF('Controls'!$D$7="Reference",'Paths'!$O$11,'Paths'!$P$11))</x:f>
        <x:v>16000</x:v>
      </x:c>
      <x:c r="G378" s="46" t="n">
        <x:f>IF('Controls'!$D$7="Reference",1,IF(OR(D378=6,D378=7,D378=21,D378=46),'Paths'!$U$11,1))</x:f>
        <x:v>0.65</x:v>
      </x:c>
      <x:c r="H378" s="46" t="n">
        <x:f>IF('Controls'!$D$7="Reference",1,IF(OR(AND(D378&gt;=14,D378&lt;=16),AND(D378&gt;=34,D378&lt;=35),AND(D378&gt;=61,D378&lt;=63)),'Paths'!$V$11,1))</x:f>
        <x:v>1</x:v>
      </x:c>
      <x:c r="I378" s="46" t="n">
        <x:f>'Paths'!$W$11</x:f>
        <x:v>0.88</x:v>
      </x:c>
      <x:c r="J378" s="47" t="n">
        <x:f>IF(D378&lt;E378,0,MIN(F378*G378*H378*I378,IF('Paths'!$T$11&gt;0,MAX(0,'Paths'!$T$11-K377),1000000000)))</x:f>
        <x:v>9152</x:v>
      </x:c>
      <x:c r="K378" s="47" t="n">
        <x:f>K377+J378</x:f>
        <x:v>60544</x:v>
      </x:c>
      <x:c r="L378" s="46" t="n">
        <x:f>IF(C378="P0",1,IF(D378&lt;=3,0.8,IF(D378&lt;=14,0.65,IF(D378&lt;=45,0.5,0.3))))</x:f>
        <x:v>0.65</x:v>
      </x:c>
      <x:c r="M378" s="47" t="n">
        <x:f>J378*L378</x:f>
        <x:v>5948.8</x:v>
      </x:c>
      <x:c r="N378" s="47" t="n">
        <x:f>N377+M378</x:f>
        <x:v>41465.600000000006</x:v>
      </x:c>
      <x:c r="O378" s="46" t="n">
        <x:f>IF(C378="P0",0,IF(D378&lt;=3,0.15,IF(D378&lt;=14,0.25,IF(D378&lt;=45,0.35,0.5))))</x:f>
        <x:v>0.25</x:v>
      </x:c>
      <x:c r="P378" s="47" t="n">
        <x:f>J378*O378</x:f>
        <x:v>2288</x:v>
      </x:c>
      <x:c r="Q378" s="46" t="n">
        <x:f>IF(C378="P0",0,IF(D378&lt;=3,0.05,IF(D378&lt;=14,0.1,IF(D378&lt;=45,0.15,0.2))))</x:f>
        <x:v>0.1</x:v>
      </x:c>
      <x:c r="R378" s="47" t="n">
        <x:f>J378*Q378</x:f>
        <x:v>915.2</x:v>
      </x:c>
      <x:c r="S378" s="20" t="str">
        <x:f>IF(D378&lt;E378,"closed",IF(D378&lt;'Paths'!$N$11,"initial","expanded"))</x:f>
        <x:v>initial</x:v>
      </x:c>
      <x:c r="T378" s="72"/>
    </x:row>
    <x:row r="379">
      <x:c r="C379" s="20" t="str">
        <x:v>P4</x:v>
      </x:c>
      <x:c r="D379" s="20" t="n">
        <x:v>8</x:v>
      </x:c>
      <x:c r="E379" s="45" t="n">
        <x:f>IF('Controls'!$D$7="Reference",'Paths'!$J$11,'Paths'!$K$11)</x:f>
        <x:v>3</x:v>
      </x:c>
      <x:c r="F379" s="47" t="n">
        <x:f>IF(D379&lt;'Paths'!$N$11,IF('Controls'!$D$7="Reference",'Paths'!$L$11,'Paths'!$M$11),IF('Controls'!$D$7="Reference",'Paths'!$O$11,'Paths'!$P$11))</x:f>
        <x:v>16000</x:v>
      </x:c>
      <x:c r="G379" s="46" t="n">
        <x:f>IF('Controls'!$D$7="Reference",1,IF(OR(D379=6,D379=7,D379=21,D379=46),'Paths'!$U$11,1))</x:f>
        <x:v>1</x:v>
      </x:c>
      <x:c r="H379" s="46" t="n">
        <x:f>IF('Controls'!$D$7="Reference",1,IF(OR(AND(D379&gt;=14,D379&lt;=16),AND(D379&gt;=34,D379&lt;=35),AND(D379&gt;=61,D379&lt;=63)),'Paths'!$V$11,1))</x:f>
        <x:v>1</x:v>
      </x:c>
      <x:c r="I379" s="46" t="n">
        <x:f>'Paths'!$W$11</x:f>
        <x:v>0.88</x:v>
      </x:c>
      <x:c r="J379" s="47" t="n">
        <x:f>IF(D379&lt;E379,0,MIN(F379*G379*H379*I379,IF('Paths'!$T$11&gt;0,MAX(0,'Paths'!$T$11-K378),1000000000)))</x:f>
        <x:v>14080</x:v>
      </x:c>
      <x:c r="K379" s="47" t="n">
        <x:f>K378+J379</x:f>
        <x:v>74624</x:v>
      </x:c>
      <x:c r="L379" s="46" t="n">
        <x:f>IF(C379="P0",1,IF(D379&lt;=3,0.8,IF(D379&lt;=14,0.65,IF(D379&lt;=45,0.5,0.3))))</x:f>
        <x:v>0.65</x:v>
      </x:c>
      <x:c r="M379" s="47" t="n">
        <x:f>J379*L379</x:f>
        <x:v>9152</x:v>
      </x:c>
      <x:c r="N379" s="47" t="n">
        <x:f>N378+M379</x:f>
        <x:v>50617.600000000006</x:v>
      </x:c>
      <x:c r="O379" s="46" t="n">
        <x:f>IF(C379="P0",0,IF(D379&lt;=3,0.15,IF(D379&lt;=14,0.25,IF(D379&lt;=45,0.35,0.5))))</x:f>
        <x:v>0.25</x:v>
      </x:c>
      <x:c r="P379" s="47" t="n">
        <x:f>J379*O379</x:f>
        <x:v>3520</x:v>
      </x:c>
      <x:c r="Q379" s="46" t="n">
        <x:f>IF(C379="P0",0,IF(D379&lt;=3,0.05,IF(D379&lt;=14,0.1,IF(D379&lt;=45,0.15,0.2))))</x:f>
        <x:v>0.1</x:v>
      </x:c>
      <x:c r="R379" s="47" t="n">
        <x:f>J379*Q379</x:f>
        <x:v>1408</x:v>
      </x:c>
      <x:c r="S379" s="20" t="str">
        <x:f>IF(D379&lt;E379,"closed",IF(D379&lt;'Paths'!$N$11,"initial","expanded"))</x:f>
        <x:v>initial</x:v>
      </x:c>
      <x:c r="T379" s="72"/>
    </x:row>
    <x:row r="380">
      <x:c r="C380" s="20" t="str">
        <x:v>P4</x:v>
      </x:c>
      <x:c r="D380" s="20" t="n">
        <x:v>9</x:v>
      </x:c>
      <x:c r="E380" s="45" t="n">
        <x:f>IF('Controls'!$D$7="Reference",'Paths'!$J$11,'Paths'!$K$11)</x:f>
        <x:v>3</x:v>
      </x:c>
      <x:c r="F380" s="47" t="n">
        <x:f>IF(D380&lt;'Paths'!$N$11,IF('Controls'!$D$7="Reference",'Paths'!$L$11,'Paths'!$M$11),IF('Controls'!$D$7="Reference",'Paths'!$O$11,'Paths'!$P$11))</x:f>
        <x:v>16000</x:v>
      </x:c>
      <x:c r="G380" s="46" t="n">
        <x:f>IF('Controls'!$D$7="Reference",1,IF(OR(D380=6,D380=7,D380=21,D380=46),'Paths'!$U$11,1))</x:f>
        <x:v>1</x:v>
      </x:c>
      <x:c r="H380" s="46" t="n">
        <x:f>IF('Controls'!$D$7="Reference",1,IF(OR(AND(D380&gt;=14,D380&lt;=16),AND(D380&gt;=34,D380&lt;=35),AND(D380&gt;=61,D380&lt;=63)),'Paths'!$V$11,1))</x:f>
        <x:v>1</x:v>
      </x:c>
      <x:c r="I380" s="46" t="n">
        <x:f>'Paths'!$W$11</x:f>
        <x:v>0.88</x:v>
      </x:c>
      <x:c r="J380" s="47" t="n">
        <x:f>IF(D380&lt;E380,0,MIN(F380*G380*H380*I380,IF('Paths'!$T$11&gt;0,MAX(0,'Paths'!$T$11-K379),1000000000)))</x:f>
        <x:v>14080</x:v>
      </x:c>
      <x:c r="K380" s="47" t="n">
        <x:f>K379+J380</x:f>
        <x:v>88704</x:v>
      </x:c>
      <x:c r="L380" s="46" t="n">
        <x:f>IF(C380="P0",1,IF(D380&lt;=3,0.8,IF(D380&lt;=14,0.65,IF(D380&lt;=45,0.5,0.3))))</x:f>
        <x:v>0.65</x:v>
      </x:c>
      <x:c r="M380" s="47" t="n">
        <x:f>J380*L380</x:f>
        <x:v>9152</x:v>
      </x:c>
      <x:c r="N380" s="47" t="n">
        <x:f>N379+M380</x:f>
        <x:v>59769.600000000006</x:v>
      </x:c>
      <x:c r="O380" s="46" t="n">
        <x:f>IF(C380="P0",0,IF(D380&lt;=3,0.15,IF(D380&lt;=14,0.25,IF(D380&lt;=45,0.35,0.5))))</x:f>
        <x:v>0.25</x:v>
      </x:c>
      <x:c r="P380" s="47" t="n">
        <x:f>J380*O380</x:f>
        <x:v>3520</x:v>
      </x:c>
      <x:c r="Q380" s="46" t="n">
        <x:f>IF(C380="P0",0,IF(D380&lt;=3,0.05,IF(D380&lt;=14,0.1,IF(D380&lt;=45,0.15,0.2))))</x:f>
        <x:v>0.1</x:v>
      </x:c>
      <x:c r="R380" s="47" t="n">
        <x:f>J380*Q380</x:f>
        <x:v>1408</x:v>
      </x:c>
      <x:c r="S380" s="20" t="str">
        <x:f>IF(D380&lt;E380,"closed",IF(D380&lt;'Paths'!$N$11,"initial","expanded"))</x:f>
        <x:v>initial</x:v>
      </x:c>
      <x:c r="T380" s="72"/>
    </x:row>
    <x:row r="381">
      <x:c r="C381" s="20" t="str">
        <x:v>P4</x:v>
      </x:c>
      <x:c r="D381" s="20" t="n">
        <x:v>10</x:v>
      </x:c>
      <x:c r="E381" s="45" t="n">
        <x:f>IF('Controls'!$D$7="Reference",'Paths'!$J$11,'Paths'!$K$11)</x:f>
        <x:v>3</x:v>
      </x:c>
      <x:c r="F381" s="47" t="n">
        <x:f>IF(D381&lt;'Paths'!$N$11,IF('Controls'!$D$7="Reference",'Paths'!$L$11,'Paths'!$M$11),IF('Controls'!$D$7="Reference",'Paths'!$O$11,'Paths'!$P$11))</x:f>
        <x:v>24000</x:v>
      </x:c>
      <x:c r="G381" s="46" t="n">
        <x:f>IF('Controls'!$D$7="Reference",1,IF(OR(D381=6,D381=7,D381=21,D381=46),'Paths'!$U$11,1))</x:f>
        <x:v>1</x:v>
      </x:c>
      <x:c r="H381" s="46" t="n">
        <x:f>IF('Controls'!$D$7="Reference",1,IF(OR(AND(D381&gt;=14,D381&lt;=16),AND(D381&gt;=34,D381&lt;=35),AND(D381&gt;=61,D381&lt;=63)),'Paths'!$V$11,1))</x:f>
        <x:v>1</x:v>
      </x:c>
      <x:c r="I381" s="46" t="n">
        <x:f>'Paths'!$W$11</x:f>
        <x:v>0.88</x:v>
      </x:c>
      <x:c r="J381" s="47" t="n">
        <x:f>IF(D381&lt;E381,0,MIN(F381*G381*H381*I381,IF('Paths'!$T$11&gt;0,MAX(0,'Paths'!$T$11-K380),1000000000)))</x:f>
        <x:v>21120</x:v>
      </x:c>
      <x:c r="K381" s="47" t="n">
        <x:f>K380+J381</x:f>
        <x:v>109824</x:v>
      </x:c>
      <x:c r="L381" s="46" t="n">
        <x:f>IF(C381="P0",1,IF(D381&lt;=3,0.8,IF(D381&lt;=14,0.65,IF(D381&lt;=45,0.5,0.3))))</x:f>
        <x:v>0.65</x:v>
      </x:c>
      <x:c r="M381" s="47" t="n">
        <x:f>J381*L381</x:f>
        <x:v>13728</x:v>
      </x:c>
      <x:c r="N381" s="47" t="n">
        <x:f>N380+M381</x:f>
        <x:v>73497.6</x:v>
      </x:c>
      <x:c r="O381" s="46" t="n">
        <x:f>IF(C381="P0",0,IF(D381&lt;=3,0.15,IF(D381&lt;=14,0.25,IF(D381&lt;=45,0.35,0.5))))</x:f>
        <x:v>0.25</x:v>
      </x:c>
      <x:c r="P381" s="47" t="n">
        <x:f>J381*O381</x:f>
        <x:v>5280</x:v>
      </x:c>
      <x:c r="Q381" s="46" t="n">
        <x:f>IF(C381="P0",0,IF(D381&lt;=3,0.05,IF(D381&lt;=14,0.1,IF(D381&lt;=45,0.15,0.2))))</x:f>
        <x:v>0.1</x:v>
      </x:c>
      <x:c r="R381" s="47" t="n">
        <x:f>J381*Q381</x:f>
        <x:v>2112</x:v>
      </x:c>
      <x:c r="S381" s="20" t="str">
        <x:f>IF(D381&lt;E381,"closed",IF(D381&lt;'Paths'!$N$11,"initial","expanded"))</x:f>
        <x:v>expanded</x:v>
      </x:c>
      <x:c r="T381" s="72"/>
    </x:row>
    <x:row r="382">
      <x:c r="C382" s="20" t="str">
        <x:v>P4</x:v>
      </x:c>
      <x:c r="D382" s="20" t="n">
        <x:v>11</x:v>
      </x:c>
      <x:c r="E382" s="45" t="n">
        <x:f>IF('Controls'!$D$7="Reference",'Paths'!$J$11,'Paths'!$K$11)</x:f>
        <x:v>3</x:v>
      </x:c>
      <x:c r="F382" s="47" t="n">
        <x:f>IF(D382&lt;'Paths'!$N$11,IF('Controls'!$D$7="Reference",'Paths'!$L$11,'Paths'!$M$11),IF('Controls'!$D$7="Reference",'Paths'!$O$11,'Paths'!$P$11))</x:f>
        <x:v>24000</x:v>
      </x:c>
      <x:c r="G382" s="46" t="n">
        <x:f>IF('Controls'!$D$7="Reference",1,IF(OR(D382=6,D382=7,D382=21,D382=46),'Paths'!$U$11,1))</x:f>
        <x:v>1</x:v>
      </x:c>
      <x:c r="H382" s="46" t="n">
        <x:f>IF('Controls'!$D$7="Reference",1,IF(OR(AND(D382&gt;=14,D382&lt;=16),AND(D382&gt;=34,D382&lt;=35),AND(D382&gt;=61,D382&lt;=63)),'Paths'!$V$11,1))</x:f>
        <x:v>1</x:v>
      </x:c>
      <x:c r="I382" s="46" t="n">
        <x:f>'Paths'!$W$11</x:f>
        <x:v>0.88</x:v>
      </x:c>
      <x:c r="J382" s="47" t="n">
        <x:f>IF(D382&lt;E382,0,MIN(F382*G382*H382*I382,IF('Paths'!$T$11&gt;0,MAX(0,'Paths'!$T$11-K381),1000000000)))</x:f>
        <x:v>21120</x:v>
      </x:c>
      <x:c r="K382" s="47" t="n">
        <x:f>K381+J382</x:f>
        <x:v>130944</x:v>
      </x:c>
      <x:c r="L382" s="46" t="n">
        <x:f>IF(C382="P0",1,IF(D382&lt;=3,0.8,IF(D382&lt;=14,0.65,IF(D382&lt;=45,0.5,0.3))))</x:f>
        <x:v>0.65</x:v>
      </x:c>
      <x:c r="M382" s="47" t="n">
        <x:f>J382*L382</x:f>
        <x:v>13728</x:v>
      </x:c>
      <x:c r="N382" s="47" t="n">
        <x:f>N381+M382</x:f>
        <x:v>87225.6</x:v>
      </x:c>
      <x:c r="O382" s="46" t="n">
        <x:f>IF(C382="P0",0,IF(D382&lt;=3,0.15,IF(D382&lt;=14,0.25,IF(D382&lt;=45,0.35,0.5))))</x:f>
        <x:v>0.25</x:v>
      </x:c>
      <x:c r="P382" s="47" t="n">
        <x:f>J382*O382</x:f>
        <x:v>5280</x:v>
      </x:c>
      <x:c r="Q382" s="46" t="n">
        <x:f>IF(C382="P0",0,IF(D382&lt;=3,0.05,IF(D382&lt;=14,0.1,IF(D382&lt;=45,0.15,0.2))))</x:f>
        <x:v>0.1</x:v>
      </x:c>
      <x:c r="R382" s="47" t="n">
        <x:f>J382*Q382</x:f>
        <x:v>2112</x:v>
      </x:c>
      <x:c r="S382" s="20" t="str">
        <x:f>IF(D382&lt;E382,"closed",IF(D382&lt;'Paths'!$N$11,"initial","expanded"))</x:f>
        <x:v>expanded</x:v>
      </x:c>
      <x:c r="T382" s="72"/>
    </x:row>
    <x:row r="383">
      <x:c r="C383" s="20" t="str">
        <x:v>P4</x:v>
      </x:c>
      <x:c r="D383" s="20" t="n">
        <x:v>12</x:v>
      </x:c>
      <x:c r="E383" s="45" t="n">
        <x:f>IF('Controls'!$D$7="Reference",'Paths'!$J$11,'Paths'!$K$11)</x:f>
        <x:v>3</x:v>
      </x:c>
      <x:c r="F383" s="47" t="n">
        <x:f>IF(D383&lt;'Paths'!$N$11,IF('Controls'!$D$7="Reference",'Paths'!$L$11,'Paths'!$M$11),IF('Controls'!$D$7="Reference",'Paths'!$O$11,'Paths'!$P$11))</x:f>
        <x:v>24000</x:v>
      </x:c>
      <x:c r="G383" s="46" t="n">
        <x:f>IF('Controls'!$D$7="Reference",1,IF(OR(D383=6,D383=7,D383=21,D383=46),'Paths'!$U$11,1))</x:f>
        <x:v>1</x:v>
      </x:c>
      <x:c r="H383" s="46" t="n">
        <x:f>IF('Controls'!$D$7="Reference",1,IF(OR(AND(D383&gt;=14,D383&lt;=16),AND(D383&gt;=34,D383&lt;=35),AND(D383&gt;=61,D383&lt;=63)),'Paths'!$V$11,1))</x:f>
        <x:v>1</x:v>
      </x:c>
      <x:c r="I383" s="46" t="n">
        <x:f>'Paths'!$W$11</x:f>
        <x:v>0.88</x:v>
      </x:c>
      <x:c r="J383" s="47" t="n">
        <x:f>IF(D383&lt;E383,0,MIN(F383*G383*H383*I383,IF('Paths'!$T$11&gt;0,MAX(0,'Paths'!$T$11-K382),1000000000)))</x:f>
        <x:v>21120</x:v>
      </x:c>
      <x:c r="K383" s="47" t="n">
        <x:f>K382+J383</x:f>
        <x:v>152064</x:v>
      </x:c>
      <x:c r="L383" s="46" t="n">
        <x:f>IF(C383="P0",1,IF(D383&lt;=3,0.8,IF(D383&lt;=14,0.65,IF(D383&lt;=45,0.5,0.3))))</x:f>
        <x:v>0.65</x:v>
      </x:c>
      <x:c r="M383" s="47" t="n">
        <x:f>J383*L383</x:f>
        <x:v>13728</x:v>
      </x:c>
      <x:c r="N383" s="47" t="n">
        <x:f>N382+M383</x:f>
        <x:v>100953.6</x:v>
      </x:c>
      <x:c r="O383" s="46" t="n">
        <x:f>IF(C383="P0",0,IF(D383&lt;=3,0.15,IF(D383&lt;=14,0.25,IF(D383&lt;=45,0.35,0.5))))</x:f>
        <x:v>0.25</x:v>
      </x:c>
      <x:c r="P383" s="47" t="n">
        <x:f>J383*O383</x:f>
        <x:v>5280</x:v>
      </x:c>
      <x:c r="Q383" s="46" t="n">
        <x:f>IF(C383="P0",0,IF(D383&lt;=3,0.05,IF(D383&lt;=14,0.1,IF(D383&lt;=45,0.15,0.2))))</x:f>
        <x:v>0.1</x:v>
      </x:c>
      <x:c r="R383" s="47" t="n">
        <x:f>J383*Q383</x:f>
        <x:v>2112</x:v>
      </x:c>
      <x:c r="S383" s="20" t="str">
        <x:f>IF(D383&lt;E383,"closed",IF(D383&lt;'Paths'!$N$11,"initial","expanded"))</x:f>
        <x:v>expanded</x:v>
      </x:c>
      <x:c r="T383" s="72"/>
    </x:row>
    <x:row r="384">
      <x:c r="C384" s="20" t="str">
        <x:v>P4</x:v>
      </x:c>
      <x:c r="D384" s="20" t="n">
        <x:v>13</x:v>
      </x:c>
      <x:c r="E384" s="45" t="n">
        <x:f>IF('Controls'!$D$7="Reference",'Paths'!$J$11,'Paths'!$K$11)</x:f>
        <x:v>3</x:v>
      </x:c>
      <x:c r="F384" s="47" t="n">
        <x:f>IF(D384&lt;'Paths'!$N$11,IF('Controls'!$D$7="Reference",'Paths'!$L$11,'Paths'!$M$11),IF('Controls'!$D$7="Reference",'Paths'!$O$11,'Paths'!$P$11))</x:f>
        <x:v>24000</x:v>
      </x:c>
      <x:c r="G384" s="46" t="n">
        <x:f>IF('Controls'!$D$7="Reference",1,IF(OR(D384=6,D384=7,D384=21,D384=46),'Paths'!$U$11,1))</x:f>
        <x:v>1</x:v>
      </x:c>
      <x:c r="H384" s="46" t="n">
        <x:f>IF('Controls'!$D$7="Reference",1,IF(OR(AND(D384&gt;=14,D384&lt;=16),AND(D384&gt;=34,D384&lt;=35),AND(D384&gt;=61,D384&lt;=63)),'Paths'!$V$11,1))</x:f>
        <x:v>1</x:v>
      </x:c>
      <x:c r="I384" s="46" t="n">
        <x:f>'Paths'!$W$11</x:f>
        <x:v>0.88</x:v>
      </x:c>
      <x:c r="J384" s="47" t="n">
        <x:f>IF(D384&lt;E384,0,MIN(F384*G384*H384*I384,IF('Paths'!$T$11&gt;0,MAX(0,'Paths'!$T$11-K383),1000000000)))</x:f>
        <x:v>21120</x:v>
      </x:c>
      <x:c r="K384" s="47" t="n">
        <x:f>K383+J384</x:f>
        <x:v>173184</x:v>
      </x:c>
      <x:c r="L384" s="46" t="n">
        <x:f>IF(C384="P0",1,IF(D384&lt;=3,0.8,IF(D384&lt;=14,0.65,IF(D384&lt;=45,0.5,0.3))))</x:f>
        <x:v>0.65</x:v>
      </x:c>
      <x:c r="M384" s="47" t="n">
        <x:f>J384*L384</x:f>
        <x:v>13728</x:v>
      </x:c>
      <x:c r="N384" s="47" t="n">
        <x:f>N383+M384</x:f>
        <x:v>114681.6</x:v>
      </x:c>
      <x:c r="O384" s="46" t="n">
        <x:f>IF(C384="P0",0,IF(D384&lt;=3,0.15,IF(D384&lt;=14,0.25,IF(D384&lt;=45,0.35,0.5))))</x:f>
        <x:v>0.25</x:v>
      </x:c>
      <x:c r="P384" s="47" t="n">
        <x:f>J384*O384</x:f>
        <x:v>5280</x:v>
      </x:c>
      <x:c r="Q384" s="46" t="n">
        <x:f>IF(C384="P0",0,IF(D384&lt;=3,0.05,IF(D384&lt;=14,0.1,IF(D384&lt;=45,0.15,0.2))))</x:f>
        <x:v>0.1</x:v>
      </x:c>
      <x:c r="R384" s="47" t="n">
        <x:f>J384*Q384</x:f>
        <x:v>2112</x:v>
      </x:c>
      <x:c r="S384" s="20" t="str">
        <x:f>IF(D384&lt;E384,"closed",IF(D384&lt;'Paths'!$N$11,"initial","expanded"))</x:f>
        <x:v>expanded</x:v>
      </x:c>
      <x:c r="T384" s="72"/>
    </x:row>
    <x:row r="385">
      <x:c r="C385" s="20" t="str">
        <x:v>P4</x:v>
      </x:c>
      <x:c r="D385" s="20" t="n">
        <x:v>14</x:v>
      </x:c>
      <x:c r="E385" s="45" t="n">
        <x:f>IF('Controls'!$D$7="Reference",'Paths'!$J$11,'Paths'!$K$11)</x:f>
        <x:v>3</x:v>
      </x:c>
      <x:c r="F385" s="47" t="n">
        <x:f>IF(D385&lt;'Paths'!$N$11,IF('Controls'!$D$7="Reference",'Paths'!$L$11,'Paths'!$M$11),IF('Controls'!$D$7="Reference",'Paths'!$O$11,'Paths'!$P$11))</x:f>
        <x:v>24000</x:v>
      </x:c>
      <x:c r="G385" s="46" t="n">
        <x:f>IF('Controls'!$D$7="Reference",1,IF(OR(D385=6,D385=7,D385=21,D385=46),'Paths'!$U$11,1))</x:f>
        <x:v>1</x:v>
      </x:c>
      <x:c r="H385" s="46" t="n">
        <x:f>IF('Controls'!$D$7="Reference",1,IF(OR(AND(D385&gt;=14,D385&lt;=16),AND(D385&gt;=34,D385&lt;=35),AND(D385&gt;=61,D385&lt;=63)),'Paths'!$V$11,1))</x:f>
        <x:v>0.6</x:v>
      </x:c>
      <x:c r="I385" s="46" t="n">
        <x:f>'Paths'!$W$11</x:f>
        <x:v>0.88</x:v>
      </x:c>
      <x:c r="J385" s="47" t="n">
        <x:f>IF(D385&lt;E385,0,MIN(F385*G385*H385*I385,IF('Paths'!$T$11&gt;0,MAX(0,'Paths'!$T$11-K384),1000000000)))</x:f>
        <x:v>12672</x:v>
      </x:c>
      <x:c r="K385" s="47" t="n">
        <x:f>K384+J385</x:f>
        <x:v>185856</x:v>
      </x:c>
      <x:c r="L385" s="46" t="n">
        <x:f>IF(C385="P0",1,IF(D385&lt;=3,0.8,IF(D385&lt;=14,0.65,IF(D385&lt;=45,0.5,0.3))))</x:f>
        <x:v>0.65</x:v>
      </x:c>
      <x:c r="M385" s="47" t="n">
        <x:f>J385*L385</x:f>
        <x:v>8236.800000000001</x:v>
      </x:c>
      <x:c r="N385" s="47" t="n">
        <x:f>N384+M385</x:f>
        <x:v>122918.40000000001</x:v>
      </x:c>
      <x:c r="O385" s="46" t="n">
        <x:f>IF(C385="P0",0,IF(D385&lt;=3,0.15,IF(D385&lt;=14,0.25,IF(D385&lt;=45,0.35,0.5))))</x:f>
        <x:v>0.25</x:v>
      </x:c>
      <x:c r="P385" s="47" t="n">
        <x:f>J385*O385</x:f>
        <x:v>3168</x:v>
      </x:c>
      <x:c r="Q385" s="46" t="n">
        <x:f>IF(C385="P0",0,IF(D385&lt;=3,0.05,IF(D385&lt;=14,0.1,IF(D385&lt;=45,0.15,0.2))))</x:f>
        <x:v>0.1</x:v>
      </x:c>
      <x:c r="R385" s="47" t="n">
        <x:f>J385*Q385</x:f>
        <x:v>1267.2</x:v>
      </x:c>
      <x:c r="S385" s="20" t="str">
        <x:f>IF(D385&lt;E385,"closed",IF(D385&lt;'Paths'!$N$11,"initial","expanded"))</x:f>
        <x:v>expanded</x:v>
      </x:c>
      <x:c r="T385" s="72"/>
    </x:row>
    <x:row r="386">
      <x:c r="C386" s="20" t="str">
        <x:v>P4</x:v>
      </x:c>
      <x:c r="D386" s="20" t="n">
        <x:v>15</x:v>
      </x:c>
      <x:c r="E386" s="45" t="n">
        <x:f>IF('Controls'!$D$7="Reference",'Paths'!$J$11,'Paths'!$K$11)</x:f>
        <x:v>3</x:v>
      </x:c>
      <x:c r="F386" s="47" t="n">
        <x:f>IF(D386&lt;'Paths'!$N$11,IF('Controls'!$D$7="Reference",'Paths'!$L$11,'Paths'!$M$11),IF('Controls'!$D$7="Reference",'Paths'!$O$11,'Paths'!$P$11))</x:f>
        <x:v>24000</x:v>
      </x:c>
      <x:c r="G386" s="46" t="n">
        <x:f>IF('Controls'!$D$7="Reference",1,IF(OR(D386=6,D386=7,D386=21,D386=46),'Paths'!$U$11,1))</x:f>
        <x:v>1</x:v>
      </x:c>
      <x:c r="H386" s="46" t="n">
        <x:f>IF('Controls'!$D$7="Reference",1,IF(OR(AND(D386&gt;=14,D386&lt;=16),AND(D386&gt;=34,D386&lt;=35),AND(D386&gt;=61,D386&lt;=63)),'Paths'!$V$11,1))</x:f>
        <x:v>0.6</x:v>
      </x:c>
      <x:c r="I386" s="46" t="n">
        <x:f>'Paths'!$W$11</x:f>
        <x:v>0.88</x:v>
      </x:c>
      <x:c r="J386" s="47" t="n">
        <x:f>IF(D386&lt;E386,0,MIN(F386*G386*H386*I386,IF('Paths'!$T$11&gt;0,MAX(0,'Paths'!$T$11-K385),1000000000)))</x:f>
        <x:v>12672</x:v>
      </x:c>
      <x:c r="K386" s="47" t="n">
        <x:f>K385+J386</x:f>
        <x:v>198528</x:v>
      </x:c>
      <x:c r="L386" s="46" t="n">
        <x:f>IF(C386="P0",1,IF(D386&lt;=3,0.8,IF(D386&lt;=14,0.65,IF(D386&lt;=45,0.5,0.3))))</x:f>
        <x:v>0.5</x:v>
      </x:c>
      <x:c r="M386" s="47" t="n">
        <x:f>J386*L386</x:f>
        <x:v>6336</x:v>
      </x:c>
      <x:c r="N386" s="47" t="n">
        <x:f>N385+M386</x:f>
        <x:v>129254.40000000001</x:v>
      </x:c>
      <x:c r="O386" s="46" t="n">
        <x:f>IF(C386="P0",0,IF(D386&lt;=3,0.15,IF(D386&lt;=14,0.25,IF(D386&lt;=45,0.35,0.5))))</x:f>
        <x:v>0.35</x:v>
      </x:c>
      <x:c r="P386" s="47" t="n">
        <x:f>J386*O386</x:f>
        <x:v>4435.2</x:v>
      </x:c>
      <x:c r="Q386" s="46" t="n">
        <x:f>IF(C386="P0",0,IF(D386&lt;=3,0.05,IF(D386&lt;=14,0.1,IF(D386&lt;=45,0.15,0.2))))</x:f>
        <x:v>0.15</x:v>
      </x:c>
      <x:c r="R386" s="47" t="n">
        <x:f>J386*Q386</x:f>
        <x:v>1900.8</x:v>
      </x:c>
      <x:c r="S386" s="20" t="str">
        <x:f>IF(D386&lt;E386,"closed",IF(D386&lt;'Paths'!$N$11,"initial","expanded"))</x:f>
        <x:v>expanded</x:v>
      </x:c>
      <x:c r="T386" s="72"/>
    </x:row>
    <x:row r="387">
      <x:c r="C387" s="20" t="str">
        <x:v>P4</x:v>
      </x:c>
      <x:c r="D387" s="20" t="n">
        <x:v>16</x:v>
      </x:c>
      <x:c r="E387" s="45" t="n">
        <x:f>IF('Controls'!$D$7="Reference",'Paths'!$J$11,'Paths'!$K$11)</x:f>
        <x:v>3</x:v>
      </x:c>
      <x:c r="F387" s="47" t="n">
        <x:f>IF(D387&lt;'Paths'!$N$11,IF('Controls'!$D$7="Reference",'Paths'!$L$11,'Paths'!$M$11),IF('Controls'!$D$7="Reference",'Paths'!$O$11,'Paths'!$P$11))</x:f>
        <x:v>24000</x:v>
      </x:c>
      <x:c r="G387" s="46" t="n">
        <x:f>IF('Controls'!$D$7="Reference",1,IF(OR(D387=6,D387=7,D387=21,D387=46),'Paths'!$U$11,1))</x:f>
        <x:v>1</x:v>
      </x:c>
      <x:c r="H387" s="46" t="n">
        <x:f>IF('Controls'!$D$7="Reference",1,IF(OR(AND(D387&gt;=14,D387&lt;=16),AND(D387&gt;=34,D387&lt;=35),AND(D387&gt;=61,D387&lt;=63)),'Paths'!$V$11,1))</x:f>
        <x:v>0.6</x:v>
      </x:c>
      <x:c r="I387" s="46" t="n">
        <x:f>'Paths'!$W$11</x:f>
        <x:v>0.88</x:v>
      </x:c>
      <x:c r="J387" s="47" t="n">
        <x:f>IF(D387&lt;E387,0,MIN(F387*G387*H387*I387,IF('Paths'!$T$11&gt;0,MAX(0,'Paths'!$T$11-K386),1000000000)))</x:f>
        <x:v>12672</x:v>
      </x:c>
      <x:c r="K387" s="47" t="n">
        <x:f>K386+J387</x:f>
        <x:v>211200</x:v>
      </x:c>
      <x:c r="L387" s="46" t="n">
        <x:f>IF(C387="P0",1,IF(D387&lt;=3,0.8,IF(D387&lt;=14,0.65,IF(D387&lt;=45,0.5,0.3))))</x:f>
        <x:v>0.5</x:v>
      </x:c>
      <x:c r="M387" s="47" t="n">
        <x:f>J387*L387</x:f>
        <x:v>6336</x:v>
      </x:c>
      <x:c r="N387" s="47" t="n">
        <x:f>N386+M387</x:f>
        <x:v>135590.40000000002</x:v>
      </x:c>
      <x:c r="O387" s="46" t="n">
        <x:f>IF(C387="P0",0,IF(D387&lt;=3,0.15,IF(D387&lt;=14,0.25,IF(D387&lt;=45,0.35,0.5))))</x:f>
        <x:v>0.35</x:v>
      </x:c>
      <x:c r="P387" s="47" t="n">
        <x:f>J387*O387</x:f>
        <x:v>4435.2</x:v>
      </x:c>
      <x:c r="Q387" s="46" t="n">
        <x:f>IF(C387="P0",0,IF(D387&lt;=3,0.05,IF(D387&lt;=14,0.1,IF(D387&lt;=45,0.15,0.2))))</x:f>
        <x:v>0.15</x:v>
      </x:c>
      <x:c r="R387" s="47" t="n">
        <x:f>J387*Q387</x:f>
        <x:v>1900.8</x:v>
      </x:c>
      <x:c r="S387" s="20" t="str">
        <x:f>IF(D387&lt;E387,"closed",IF(D387&lt;'Paths'!$N$11,"initial","expanded"))</x:f>
        <x:v>expanded</x:v>
      </x:c>
      <x:c r="T387" s="72"/>
    </x:row>
    <x:row r="388">
      <x:c r="C388" s="20" t="str">
        <x:v>P4</x:v>
      </x:c>
      <x:c r="D388" s="20" t="n">
        <x:v>17</x:v>
      </x:c>
      <x:c r="E388" s="45" t="n">
        <x:f>IF('Controls'!$D$7="Reference",'Paths'!$J$11,'Paths'!$K$11)</x:f>
        <x:v>3</x:v>
      </x:c>
      <x:c r="F388" s="47" t="n">
        <x:f>IF(D388&lt;'Paths'!$N$11,IF('Controls'!$D$7="Reference",'Paths'!$L$11,'Paths'!$M$11),IF('Controls'!$D$7="Reference",'Paths'!$O$11,'Paths'!$P$11))</x:f>
        <x:v>24000</x:v>
      </x:c>
      <x:c r="G388" s="46" t="n">
        <x:f>IF('Controls'!$D$7="Reference",1,IF(OR(D388=6,D388=7,D388=21,D388=46),'Paths'!$U$11,1))</x:f>
        <x:v>1</x:v>
      </x:c>
      <x:c r="H388" s="46" t="n">
        <x:f>IF('Controls'!$D$7="Reference",1,IF(OR(AND(D388&gt;=14,D388&lt;=16),AND(D388&gt;=34,D388&lt;=35),AND(D388&gt;=61,D388&lt;=63)),'Paths'!$V$11,1))</x:f>
        <x:v>1</x:v>
      </x:c>
      <x:c r="I388" s="46" t="n">
        <x:f>'Paths'!$W$11</x:f>
        <x:v>0.88</x:v>
      </x:c>
      <x:c r="J388" s="47" t="n">
        <x:f>IF(D388&lt;E388,0,MIN(F388*G388*H388*I388,IF('Paths'!$T$11&gt;0,MAX(0,'Paths'!$T$11-K387),1000000000)))</x:f>
        <x:v>21120</x:v>
      </x:c>
      <x:c r="K388" s="47" t="n">
        <x:f>K387+J388</x:f>
        <x:v>232320</x:v>
      </x:c>
      <x:c r="L388" s="46" t="n">
        <x:f>IF(C388="P0",1,IF(D388&lt;=3,0.8,IF(D388&lt;=14,0.65,IF(D388&lt;=45,0.5,0.3))))</x:f>
        <x:v>0.5</x:v>
      </x:c>
      <x:c r="M388" s="47" t="n">
        <x:f>J388*L388</x:f>
        <x:v>10560</x:v>
      </x:c>
      <x:c r="N388" s="47" t="n">
        <x:f>N387+M388</x:f>
        <x:v>146150.40000000002</x:v>
      </x:c>
      <x:c r="O388" s="46" t="n">
        <x:f>IF(C388="P0",0,IF(D388&lt;=3,0.15,IF(D388&lt;=14,0.25,IF(D388&lt;=45,0.35,0.5))))</x:f>
        <x:v>0.35</x:v>
      </x:c>
      <x:c r="P388" s="47" t="n">
        <x:f>J388*O388</x:f>
        <x:v>7391.999999999999</x:v>
      </x:c>
      <x:c r="Q388" s="46" t="n">
        <x:f>IF(C388="P0",0,IF(D388&lt;=3,0.05,IF(D388&lt;=14,0.1,IF(D388&lt;=45,0.15,0.2))))</x:f>
        <x:v>0.15</x:v>
      </x:c>
      <x:c r="R388" s="47" t="n">
        <x:f>J388*Q388</x:f>
        <x:v>3168</x:v>
      </x:c>
      <x:c r="S388" s="20" t="str">
        <x:f>IF(D388&lt;E388,"closed",IF(D388&lt;'Paths'!$N$11,"initial","expanded"))</x:f>
        <x:v>expanded</x:v>
      </x:c>
      <x:c r="T388" s="72"/>
    </x:row>
    <x:row r="389">
      <x:c r="C389" s="20" t="str">
        <x:v>P4</x:v>
      </x:c>
      <x:c r="D389" s="20" t="n">
        <x:v>18</x:v>
      </x:c>
      <x:c r="E389" s="45" t="n">
        <x:f>IF('Controls'!$D$7="Reference",'Paths'!$J$11,'Paths'!$K$11)</x:f>
        <x:v>3</x:v>
      </x:c>
      <x:c r="F389" s="47" t="n">
        <x:f>IF(D389&lt;'Paths'!$N$11,IF('Controls'!$D$7="Reference",'Paths'!$L$11,'Paths'!$M$11),IF('Controls'!$D$7="Reference",'Paths'!$O$11,'Paths'!$P$11))</x:f>
        <x:v>24000</x:v>
      </x:c>
      <x:c r="G389" s="46" t="n">
        <x:f>IF('Controls'!$D$7="Reference",1,IF(OR(D389=6,D389=7,D389=21,D389=46),'Paths'!$U$11,1))</x:f>
        <x:v>1</x:v>
      </x:c>
      <x:c r="H389" s="46" t="n">
        <x:f>IF('Controls'!$D$7="Reference",1,IF(OR(AND(D389&gt;=14,D389&lt;=16),AND(D389&gt;=34,D389&lt;=35),AND(D389&gt;=61,D389&lt;=63)),'Paths'!$V$11,1))</x:f>
        <x:v>1</x:v>
      </x:c>
      <x:c r="I389" s="46" t="n">
        <x:f>'Paths'!$W$11</x:f>
        <x:v>0.88</x:v>
      </x:c>
      <x:c r="J389" s="47" t="n">
        <x:f>IF(D389&lt;E389,0,MIN(F389*G389*H389*I389,IF('Paths'!$T$11&gt;0,MAX(0,'Paths'!$T$11-K388),1000000000)))</x:f>
        <x:v>21120</x:v>
      </x:c>
      <x:c r="K389" s="47" t="n">
        <x:f>K388+J389</x:f>
        <x:v>253440</x:v>
      </x:c>
      <x:c r="L389" s="46" t="n">
        <x:f>IF(C389="P0",1,IF(D389&lt;=3,0.8,IF(D389&lt;=14,0.65,IF(D389&lt;=45,0.5,0.3))))</x:f>
        <x:v>0.5</x:v>
      </x:c>
      <x:c r="M389" s="47" t="n">
        <x:f>J389*L389</x:f>
        <x:v>10560</x:v>
      </x:c>
      <x:c r="N389" s="47" t="n">
        <x:f>N388+M389</x:f>
        <x:v>156710.40000000002</x:v>
      </x:c>
      <x:c r="O389" s="46" t="n">
        <x:f>IF(C389="P0",0,IF(D389&lt;=3,0.15,IF(D389&lt;=14,0.25,IF(D389&lt;=45,0.35,0.5))))</x:f>
        <x:v>0.35</x:v>
      </x:c>
      <x:c r="P389" s="47" t="n">
        <x:f>J389*O389</x:f>
        <x:v>7391.999999999999</x:v>
      </x:c>
      <x:c r="Q389" s="46" t="n">
        <x:f>IF(C389="P0",0,IF(D389&lt;=3,0.05,IF(D389&lt;=14,0.1,IF(D389&lt;=45,0.15,0.2))))</x:f>
        <x:v>0.15</x:v>
      </x:c>
      <x:c r="R389" s="47" t="n">
        <x:f>J389*Q389</x:f>
        <x:v>3168</x:v>
      </x:c>
      <x:c r="S389" s="20" t="str">
        <x:f>IF(D389&lt;E389,"closed",IF(D389&lt;'Paths'!$N$11,"initial","expanded"))</x:f>
        <x:v>expanded</x:v>
      </x:c>
      <x:c r="T389" s="72"/>
    </x:row>
    <x:row r="390">
      <x:c r="C390" s="20" t="str">
        <x:v>P4</x:v>
      </x:c>
      <x:c r="D390" s="20" t="n">
        <x:v>19</x:v>
      </x:c>
      <x:c r="E390" s="45" t="n">
        <x:f>IF('Controls'!$D$7="Reference",'Paths'!$J$11,'Paths'!$K$11)</x:f>
        <x:v>3</x:v>
      </x:c>
      <x:c r="F390" s="47" t="n">
        <x:f>IF(D390&lt;'Paths'!$N$11,IF('Controls'!$D$7="Reference",'Paths'!$L$11,'Paths'!$M$11),IF('Controls'!$D$7="Reference",'Paths'!$O$11,'Paths'!$P$11))</x:f>
        <x:v>24000</x:v>
      </x:c>
      <x:c r="G390" s="46" t="n">
        <x:f>IF('Controls'!$D$7="Reference",1,IF(OR(D390=6,D390=7,D390=21,D390=46),'Paths'!$U$11,1))</x:f>
        <x:v>1</x:v>
      </x:c>
      <x:c r="H390" s="46" t="n">
        <x:f>IF('Controls'!$D$7="Reference",1,IF(OR(AND(D390&gt;=14,D390&lt;=16),AND(D390&gt;=34,D390&lt;=35),AND(D390&gt;=61,D390&lt;=63)),'Paths'!$V$11,1))</x:f>
        <x:v>1</x:v>
      </x:c>
      <x:c r="I390" s="46" t="n">
        <x:f>'Paths'!$W$11</x:f>
        <x:v>0.88</x:v>
      </x:c>
      <x:c r="J390" s="47" t="n">
        <x:f>IF(D390&lt;E390,0,MIN(F390*G390*H390*I390,IF('Paths'!$T$11&gt;0,MAX(0,'Paths'!$T$11-K389),1000000000)))</x:f>
        <x:v>21120</x:v>
      </x:c>
      <x:c r="K390" s="47" t="n">
        <x:f>K389+J390</x:f>
        <x:v>274560</x:v>
      </x:c>
      <x:c r="L390" s="46" t="n">
        <x:f>IF(C390="P0",1,IF(D390&lt;=3,0.8,IF(D390&lt;=14,0.65,IF(D390&lt;=45,0.5,0.3))))</x:f>
        <x:v>0.5</x:v>
      </x:c>
      <x:c r="M390" s="47" t="n">
        <x:f>J390*L390</x:f>
        <x:v>10560</x:v>
      </x:c>
      <x:c r="N390" s="47" t="n">
        <x:f>N389+M390</x:f>
        <x:v>167270.40000000002</x:v>
      </x:c>
      <x:c r="O390" s="46" t="n">
        <x:f>IF(C390="P0",0,IF(D390&lt;=3,0.15,IF(D390&lt;=14,0.25,IF(D390&lt;=45,0.35,0.5))))</x:f>
        <x:v>0.35</x:v>
      </x:c>
      <x:c r="P390" s="47" t="n">
        <x:f>J390*O390</x:f>
        <x:v>7391.999999999999</x:v>
      </x:c>
      <x:c r="Q390" s="46" t="n">
        <x:f>IF(C390="P0",0,IF(D390&lt;=3,0.05,IF(D390&lt;=14,0.1,IF(D390&lt;=45,0.15,0.2))))</x:f>
        <x:v>0.15</x:v>
      </x:c>
      <x:c r="R390" s="47" t="n">
        <x:f>J390*Q390</x:f>
        <x:v>3168</x:v>
      </x:c>
      <x:c r="S390" s="20" t="str">
        <x:f>IF(D390&lt;E390,"closed",IF(D390&lt;'Paths'!$N$11,"initial","expanded"))</x:f>
        <x:v>expanded</x:v>
      </x:c>
      <x:c r="T390" s="72"/>
    </x:row>
    <x:row r="391">
      <x:c r="C391" s="20" t="str">
        <x:v>P4</x:v>
      </x:c>
      <x:c r="D391" s="20" t="n">
        <x:v>20</x:v>
      </x:c>
      <x:c r="E391" s="45" t="n">
        <x:f>IF('Controls'!$D$7="Reference",'Paths'!$J$11,'Paths'!$K$11)</x:f>
        <x:v>3</x:v>
      </x:c>
      <x:c r="F391" s="47" t="n">
        <x:f>IF(D391&lt;'Paths'!$N$11,IF('Controls'!$D$7="Reference",'Paths'!$L$11,'Paths'!$M$11),IF('Controls'!$D$7="Reference",'Paths'!$O$11,'Paths'!$P$11))</x:f>
        <x:v>24000</x:v>
      </x:c>
      <x:c r="G391" s="46" t="n">
        <x:f>IF('Controls'!$D$7="Reference",1,IF(OR(D391=6,D391=7,D391=21,D391=46),'Paths'!$U$11,1))</x:f>
        <x:v>1</x:v>
      </x:c>
      <x:c r="H391" s="46" t="n">
        <x:f>IF('Controls'!$D$7="Reference",1,IF(OR(AND(D391&gt;=14,D391&lt;=16),AND(D391&gt;=34,D391&lt;=35),AND(D391&gt;=61,D391&lt;=63)),'Paths'!$V$11,1))</x:f>
        <x:v>1</x:v>
      </x:c>
      <x:c r="I391" s="46" t="n">
        <x:f>'Paths'!$W$11</x:f>
        <x:v>0.88</x:v>
      </x:c>
      <x:c r="J391" s="47" t="n">
        <x:f>IF(D391&lt;E391,0,MIN(F391*G391*H391*I391,IF('Paths'!$T$11&gt;0,MAX(0,'Paths'!$T$11-K390),1000000000)))</x:f>
        <x:v>21120</x:v>
      </x:c>
      <x:c r="K391" s="47" t="n">
        <x:f>K390+J391</x:f>
        <x:v>295680</x:v>
      </x:c>
      <x:c r="L391" s="46" t="n">
        <x:f>IF(C391="P0",1,IF(D391&lt;=3,0.8,IF(D391&lt;=14,0.65,IF(D391&lt;=45,0.5,0.3))))</x:f>
        <x:v>0.5</x:v>
      </x:c>
      <x:c r="M391" s="47" t="n">
        <x:f>J391*L391</x:f>
        <x:v>10560</x:v>
      </x:c>
      <x:c r="N391" s="47" t="n">
        <x:f>N390+M391</x:f>
        <x:v>177830.40000000002</x:v>
      </x:c>
      <x:c r="O391" s="46" t="n">
        <x:f>IF(C391="P0",0,IF(D391&lt;=3,0.15,IF(D391&lt;=14,0.25,IF(D391&lt;=45,0.35,0.5))))</x:f>
        <x:v>0.35</x:v>
      </x:c>
      <x:c r="P391" s="47" t="n">
        <x:f>J391*O391</x:f>
        <x:v>7391.999999999999</x:v>
      </x:c>
      <x:c r="Q391" s="46" t="n">
        <x:f>IF(C391="P0",0,IF(D391&lt;=3,0.05,IF(D391&lt;=14,0.1,IF(D391&lt;=45,0.15,0.2))))</x:f>
        <x:v>0.15</x:v>
      </x:c>
      <x:c r="R391" s="47" t="n">
        <x:f>J391*Q391</x:f>
        <x:v>3168</x:v>
      </x:c>
      <x:c r="S391" s="20" t="str">
        <x:f>IF(D391&lt;E391,"closed",IF(D391&lt;'Paths'!$N$11,"initial","expanded"))</x:f>
        <x:v>expanded</x:v>
      </x:c>
      <x:c r="T391" s="72"/>
    </x:row>
    <x:row r="392">
      <x:c r="C392" s="20" t="str">
        <x:v>P4</x:v>
      </x:c>
      <x:c r="D392" s="20" t="n">
        <x:v>21</x:v>
      </x:c>
      <x:c r="E392" s="45" t="n">
        <x:f>IF('Controls'!$D$7="Reference",'Paths'!$J$11,'Paths'!$K$11)</x:f>
        <x:v>3</x:v>
      </x:c>
      <x:c r="F392" s="47" t="n">
        <x:f>IF(D392&lt;'Paths'!$N$11,IF('Controls'!$D$7="Reference",'Paths'!$L$11,'Paths'!$M$11),IF('Controls'!$D$7="Reference",'Paths'!$O$11,'Paths'!$P$11))</x:f>
        <x:v>24000</x:v>
      </x:c>
      <x:c r="G392" s="46" t="n">
        <x:f>IF('Controls'!$D$7="Reference",1,IF(OR(D392=6,D392=7,D392=21,D392=46),'Paths'!$U$11,1))</x:f>
        <x:v>0.65</x:v>
      </x:c>
      <x:c r="H392" s="46" t="n">
        <x:f>IF('Controls'!$D$7="Reference",1,IF(OR(AND(D392&gt;=14,D392&lt;=16),AND(D392&gt;=34,D392&lt;=35),AND(D392&gt;=61,D392&lt;=63)),'Paths'!$V$11,1))</x:f>
        <x:v>1</x:v>
      </x:c>
      <x:c r="I392" s="46" t="n">
        <x:f>'Paths'!$W$11</x:f>
        <x:v>0.88</x:v>
      </x:c>
      <x:c r="J392" s="47" t="n">
        <x:f>IF(D392&lt;E392,0,MIN(F392*G392*H392*I392,IF('Paths'!$T$11&gt;0,MAX(0,'Paths'!$T$11-K391),1000000000)))</x:f>
        <x:v>13728</x:v>
      </x:c>
      <x:c r="K392" s="47" t="n">
        <x:f>K391+J392</x:f>
        <x:v>309408</x:v>
      </x:c>
      <x:c r="L392" s="46" t="n">
        <x:f>IF(C392="P0",1,IF(D392&lt;=3,0.8,IF(D392&lt;=14,0.65,IF(D392&lt;=45,0.5,0.3))))</x:f>
        <x:v>0.5</x:v>
      </x:c>
      <x:c r="M392" s="47" t="n">
        <x:f>J392*L392</x:f>
        <x:v>6864</x:v>
      </x:c>
      <x:c r="N392" s="47" t="n">
        <x:f>N391+M392</x:f>
        <x:v>184694.40000000002</x:v>
      </x:c>
      <x:c r="O392" s="46" t="n">
        <x:f>IF(C392="P0",0,IF(D392&lt;=3,0.15,IF(D392&lt;=14,0.25,IF(D392&lt;=45,0.35,0.5))))</x:f>
        <x:v>0.35</x:v>
      </x:c>
      <x:c r="P392" s="47" t="n">
        <x:f>J392*O392</x:f>
        <x:v>4804.799999999999</x:v>
      </x:c>
      <x:c r="Q392" s="46" t="n">
        <x:f>IF(C392="P0",0,IF(D392&lt;=3,0.05,IF(D392&lt;=14,0.1,IF(D392&lt;=45,0.15,0.2))))</x:f>
        <x:v>0.15</x:v>
      </x:c>
      <x:c r="R392" s="47" t="n">
        <x:f>J392*Q392</x:f>
        <x:v>2059.2</x:v>
      </x:c>
      <x:c r="S392" s="20" t="str">
        <x:f>IF(D392&lt;E392,"closed",IF(D392&lt;'Paths'!$N$11,"initial","expanded"))</x:f>
        <x:v>expanded</x:v>
      </x:c>
      <x:c r="T392" s="72"/>
    </x:row>
    <x:row r="393">
      <x:c r="C393" s="20" t="str">
        <x:v>P4</x:v>
      </x:c>
      <x:c r="D393" s="20" t="n">
        <x:v>22</x:v>
      </x:c>
      <x:c r="E393" s="45" t="n">
        <x:f>IF('Controls'!$D$7="Reference",'Paths'!$J$11,'Paths'!$K$11)</x:f>
        <x:v>3</x:v>
      </x:c>
      <x:c r="F393" s="47" t="n">
        <x:f>IF(D393&lt;'Paths'!$N$11,IF('Controls'!$D$7="Reference",'Paths'!$L$11,'Paths'!$M$11),IF('Controls'!$D$7="Reference",'Paths'!$O$11,'Paths'!$P$11))</x:f>
        <x:v>24000</x:v>
      </x:c>
      <x:c r="G393" s="46" t="n">
        <x:f>IF('Controls'!$D$7="Reference",1,IF(OR(D393=6,D393=7,D393=21,D393=46),'Paths'!$U$11,1))</x:f>
        <x:v>1</x:v>
      </x:c>
      <x:c r="H393" s="46" t="n">
        <x:f>IF('Controls'!$D$7="Reference",1,IF(OR(AND(D393&gt;=14,D393&lt;=16),AND(D393&gt;=34,D393&lt;=35),AND(D393&gt;=61,D393&lt;=63)),'Paths'!$V$11,1))</x:f>
        <x:v>1</x:v>
      </x:c>
      <x:c r="I393" s="46" t="n">
        <x:f>'Paths'!$W$11</x:f>
        <x:v>0.88</x:v>
      </x:c>
      <x:c r="J393" s="47" t="n">
        <x:f>IF(D393&lt;E393,0,MIN(F393*G393*H393*I393,IF('Paths'!$T$11&gt;0,MAX(0,'Paths'!$T$11-K392),1000000000)))</x:f>
        <x:v>21120</x:v>
      </x:c>
      <x:c r="K393" s="47" t="n">
        <x:f>K392+J393</x:f>
        <x:v>330528</x:v>
      </x:c>
      <x:c r="L393" s="46" t="n">
        <x:f>IF(C393="P0",1,IF(D393&lt;=3,0.8,IF(D393&lt;=14,0.65,IF(D393&lt;=45,0.5,0.3))))</x:f>
        <x:v>0.5</x:v>
      </x:c>
      <x:c r="M393" s="47" t="n">
        <x:f>J393*L393</x:f>
        <x:v>10560</x:v>
      </x:c>
      <x:c r="N393" s="47" t="n">
        <x:f>N392+M393</x:f>
        <x:v>195254.40000000002</x:v>
      </x:c>
      <x:c r="O393" s="46" t="n">
        <x:f>IF(C393="P0",0,IF(D393&lt;=3,0.15,IF(D393&lt;=14,0.25,IF(D393&lt;=45,0.35,0.5))))</x:f>
        <x:v>0.35</x:v>
      </x:c>
      <x:c r="P393" s="47" t="n">
        <x:f>J393*O393</x:f>
        <x:v>7391.999999999999</x:v>
      </x:c>
      <x:c r="Q393" s="46" t="n">
        <x:f>IF(C393="P0",0,IF(D393&lt;=3,0.05,IF(D393&lt;=14,0.1,IF(D393&lt;=45,0.15,0.2))))</x:f>
        <x:v>0.15</x:v>
      </x:c>
      <x:c r="R393" s="47" t="n">
        <x:f>J393*Q393</x:f>
        <x:v>3168</x:v>
      </x:c>
      <x:c r="S393" s="20" t="str">
        <x:f>IF(D393&lt;E393,"closed",IF(D393&lt;'Paths'!$N$11,"initial","expanded"))</x:f>
        <x:v>expanded</x:v>
      </x:c>
      <x:c r="T393" s="72"/>
    </x:row>
    <x:row r="394">
      <x:c r="C394" s="20" t="str">
        <x:v>P4</x:v>
      </x:c>
      <x:c r="D394" s="20" t="n">
        <x:v>23</x:v>
      </x:c>
      <x:c r="E394" s="45" t="n">
        <x:f>IF('Controls'!$D$7="Reference",'Paths'!$J$11,'Paths'!$K$11)</x:f>
        <x:v>3</x:v>
      </x:c>
      <x:c r="F394" s="47" t="n">
        <x:f>IF(D394&lt;'Paths'!$N$11,IF('Controls'!$D$7="Reference",'Paths'!$L$11,'Paths'!$M$11),IF('Controls'!$D$7="Reference",'Paths'!$O$11,'Paths'!$P$11))</x:f>
        <x:v>24000</x:v>
      </x:c>
      <x:c r="G394" s="46" t="n">
        <x:f>IF('Controls'!$D$7="Reference",1,IF(OR(D394=6,D394=7,D394=21,D394=46),'Paths'!$U$11,1))</x:f>
        <x:v>1</x:v>
      </x:c>
      <x:c r="H394" s="46" t="n">
        <x:f>IF('Controls'!$D$7="Reference",1,IF(OR(AND(D394&gt;=14,D394&lt;=16),AND(D394&gt;=34,D394&lt;=35),AND(D394&gt;=61,D394&lt;=63)),'Paths'!$V$11,1))</x:f>
        <x:v>1</x:v>
      </x:c>
      <x:c r="I394" s="46" t="n">
        <x:f>'Paths'!$W$11</x:f>
        <x:v>0.88</x:v>
      </x:c>
      <x:c r="J394" s="47" t="n">
        <x:f>IF(D394&lt;E394,0,MIN(F394*G394*H394*I394,IF('Paths'!$T$11&gt;0,MAX(0,'Paths'!$T$11-K393),1000000000)))</x:f>
        <x:v>21120</x:v>
      </x:c>
      <x:c r="K394" s="47" t="n">
        <x:f>K393+J394</x:f>
        <x:v>351648</x:v>
      </x:c>
      <x:c r="L394" s="46" t="n">
        <x:f>IF(C394="P0",1,IF(D394&lt;=3,0.8,IF(D394&lt;=14,0.65,IF(D394&lt;=45,0.5,0.3))))</x:f>
        <x:v>0.5</x:v>
      </x:c>
      <x:c r="M394" s="47" t="n">
        <x:f>J394*L394</x:f>
        <x:v>10560</x:v>
      </x:c>
      <x:c r="N394" s="47" t="n">
        <x:f>N393+M394</x:f>
        <x:v>205814.40000000002</x:v>
      </x:c>
      <x:c r="O394" s="46" t="n">
        <x:f>IF(C394="P0",0,IF(D394&lt;=3,0.15,IF(D394&lt;=14,0.25,IF(D394&lt;=45,0.35,0.5))))</x:f>
        <x:v>0.35</x:v>
      </x:c>
      <x:c r="P394" s="47" t="n">
        <x:f>J394*O394</x:f>
        <x:v>7391.999999999999</x:v>
      </x:c>
      <x:c r="Q394" s="46" t="n">
        <x:f>IF(C394="P0",0,IF(D394&lt;=3,0.05,IF(D394&lt;=14,0.1,IF(D394&lt;=45,0.15,0.2))))</x:f>
        <x:v>0.15</x:v>
      </x:c>
      <x:c r="R394" s="47" t="n">
        <x:f>J394*Q394</x:f>
        <x:v>3168</x:v>
      </x:c>
      <x:c r="S394" s="20" t="str">
        <x:f>IF(D394&lt;E394,"closed",IF(D394&lt;'Paths'!$N$11,"initial","expanded"))</x:f>
        <x:v>expanded</x:v>
      </x:c>
      <x:c r="T394" s="72"/>
    </x:row>
    <x:row r="395">
      <x:c r="C395" s="20" t="str">
        <x:v>P4</x:v>
      </x:c>
      <x:c r="D395" s="20" t="n">
        <x:v>24</x:v>
      </x:c>
      <x:c r="E395" s="45" t="n">
        <x:f>IF('Controls'!$D$7="Reference",'Paths'!$J$11,'Paths'!$K$11)</x:f>
        <x:v>3</x:v>
      </x:c>
      <x:c r="F395" s="47" t="n">
        <x:f>IF(D395&lt;'Paths'!$N$11,IF('Controls'!$D$7="Reference",'Paths'!$L$11,'Paths'!$M$11),IF('Controls'!$D$7="Reference",'Paths'!$O$11,'Paths'!$P$11))</x:f>
        <x:v>24000</x:v>
      </x:c>
      <x:c r="G395" s="46" t="n">
        <x:f>IF('Controls'!$D$7="Reference",1,IF(OR(D395=6,D395=7,D395=21,D395=46),'Paths'!$U$11,1))</x:f>
        <x:v>1</x:v>
      </x:c>
      <x:c r="H395" s="46" t="n">
        <x:f>IF('Controls'!$D$7="Reference",1,IF(OR(AND(D395&gt;=14,D395&lt;=16),AND(D395&gt;=34,D395&lt;=35),AND(D395&gt;=61,D395&lt;=63)),'Paths'!$V$11,1))</x:f>
        <x:v>1</x:v>
      </x:c>
      <x:c r="I395" s="46" t="n">
        <x:f>'Paths'!$W$11</x:f>
        <x:v>0.88</x:v>
      </x:c>
      <x:c r="J395" s="47" t="n">
        <x:f>IF(D395&lt;E395,0,MIN(F395*G395*H395*I395,IF('Paths'!$T$11&gt;0,MAX(0,'Paths'!$T$11-K394),1000000000)))</x:f>
        <x:v>21120</x:v>
      </x:c>
      <x:c r="K395" s="47" t="n">
        <x:f>K394+J395</x:f>
        <x:v>372768</x:v>
      </x:c>
      <x:c r="L395" s="46" t="n">
        <x:f>IF(C395="P0",1,IF(D395&lt;=3,0.8,IF(D395&lt;=14,0.65,IF(D395&lt;=45,0.5,0.3))))</x:f>
        <x:v>0.5</x:v>
      </x:c>
      <x:c r="M395" s="47" t="n">
        <x:f>J395*L395</x:f>
        <x:v>10560</x:v>
      </x:c>
      <x:c r="N395" s="47" t="n">
        <x:f>N394+M395</x:f>
        <x:v>216374.40000000002</x:v>
      </x:c>
      <x:c r="O395" s="46" t="n">
        <x:f>IF(C395="P0",0,IF(D395&lt;=3,0.15,IF(D395&lt;=14,0.25,IF(D395&lt;=45,0.35,0.5))))</x:f>
        <x:v>0.35</x:v>
      </x:c>
      <x:c r="P395" s="47" t="n">
        <x:f>J395*O395</x:f>
        <x:v>7391.999999999999</x:v>
      </x:c>
      <x:c r="Q395" s="46" t="n">
        <x:f>IF(C395="P0",0,IF(D395&lt;=3,0.05,IF(D395&lt;=14,0.1,IF(D395&lt;=45,0.15,0.2))))</x:f>
        <x:v>0.15</x:v>
      </x:c>
      <x:c r="R395" s="47" t="n">
        <x:f>J395*Q395</x:f>
        <x:v>3168</x:v>
      </x:c>
      <x:c r="S395" s="20" t="str">
        <x:f>IF(D395&lt;E395,"closed",IF(D395&lt;'Paths'!$N$11,"initial","expanded"))</x:f>
        <x:v>expanded</x:v>
      </x:c>
      <x:c r="T395" s="72"/>
    </x:row>
    <x:row r="396">
      <x:c r="C396" s="20" t="str">
        <x:v>P4</x:v>
      </x:c>
      <x:c r="D396" s="20" t="n">
        <x:v>25</x:v>
      </x:c>
      <x:c r="E396" s="45" t="n">
        <x:f>IF('Controls'!$D$7="Reference",'Paths'!$J$11,'Paths'!$K$11)</x:f>
        <x:v>3</x:v>
      </x:c>
      <x:c r="F396" s="47" t="n">
        <x:f>IF(D396&lt;'Paths'!$N$11,IF('Controls'!$D$7="Reference",'Paths'!$L$11,'Paths'!$M$11),IF('Controls'!$D$7="Reference",'Paths'!$O$11,'Paths'!$P$11))</x:f>
        <x:v>24000</x:v>
      </x:c>
      <x:c r="G396" s="46" t="n">
        <x:f>IF('Controls'!$D$7="Reference",1,IF(OR(D396=6,D396=7,D396=21,D396=46),'Paths'!$U$11,1))</x:f>
        <x:v>1</x:v>
      </x:c>
      <x:c r="H396" s="46" t="n">
        <x:f>IF('Controls'!$D$7="Reference",1,IF(OR(AND(D396&gt;=14,D396&lt;=16),AND(D396&gt;=34,D396&lt;=35),AND(D396&gt;=61,D396&lt;=63)),'Paths'!$V$11,1))</x:f>
        <x:v>1</x:v>
      </x:c>
      <x:c r="I396" s="46" t="n">
        <x:f>'Paths'!$W$11</x:f>
        <x:v>0.88</x:v>
      </x:c>
      <x:c r="J396" s="47" t="n">
        <x:f>IF(D396&lt;E396,0,MIN(F396*G396*H396*I396,IF('Paths'!$T$11&gt;0,MAX(0,'Paths'!$T$11-K395),1000000000)))</x:f>
        <x:v>21120</x:v>
      </x:c>
      <x:c r="K396" s="47" t="n">
        <x:f>K395+J396</x:f>
        <x:v>393888</x:v>
      </x:c>
      <x:c r="L396" s="46" t="n">
        <x:f>IF(C396="P0",1,IF(D396&lt;=3,0.8,IF(D396&lt;=14,0.65,IF(D396&lt;=45,0.5,0.3))))</x:f>
        <x:v>0.5</x:v>
      </x:c>
      <x:c r="M396" s="47" t="n">
        <x:f>J396*L396</x:f>
        <x:v>10560</x:v>
      </x:c>
      <x:c r="N396" s="47" t="n">
        <x:f>N395+M396</x:f>
        <x:v>226934.40000000002</x:v>
      </x:c>
      <x:c r="O396" s="46" t="n">
        <x:f>IF(C396="P0",0,IF(D396&lt;=3,0.15,IF(D396&lt;=14,0.25,IF(D396&lt;=45,0.35,0.5))))</x:f>
        <x:v>0.35</x:v>
      </x:c>
      <x:c r="P396" s="47" t="n">
        <x:f>J396*O396</x:f>
        <x:v>7391.999999999999</x:v>
      </x:c>
      <x:c r="Q396" s="46" t="n">
        <x:f>IF(C396="P0",0,IF(D396&lt;=3,0.05,IF(D396&lt;=14,0.1,IF(D396&lt;=45,0.15,0.2))))</x:f>
        <x:v>0.15</x:v>
      </x:c>
      <x:c r="R396" s="47" t="n">
        <x:f>J396*Q396</x:f>
        <x:v>3168</x:v>
      </x:c>
      <x:c r="S396" s="20" t="str">
        <x:f>IF(D396&lt;E396,"closed",IF(D396&lt;'Paths'!$N$11,"initial","expanded"))</x:f>
        <x:v>expanded</x:v>
      </x:c>
      <x:c r="T396" s="72"/>
    </x:row>
    <x:row r="397">
      <x:c r="C397" s="20" t="str">
        <x:v>P4</x:v>
      </x:c>
      <x:c r="D397" s="20" t="n">
        <x:v>26</x:v>
      </x:c>
      <x:c r="E397" s="45" t="n">
        <x:f>IF('Controls'!$D$7="Reference",'Paths'!$J$11,'Paths'!$K$11)</x:f>
        <x:v>3</x:v>
      </x:c>
      <x:c r="F397" s="47" t="n">
        <x:f>IF(D397&lt;'Paths'!$N$11,IF('Controls'!$D$7="Reference",'Paths'!$L$11,'Paths'!$M$11),IF('Controls'!$D$7="Reference",'Paths'!$O$11,'Paths'!$P$11))</x:f>
        <x:v>24000</x:v>
      </x:c>
      <x:c r="G397" s="46" t="n">
        <x:f>IF('Controls'!$D$7="Reference",1,IF(OR(D397=6,D397=7,D397=21,D397=46),'Paths'!$U$11,1))</x:f>
        <x:v>1</x:v>
      </x:c>
      <x:c r="H397" s="46" t="n">
        <x:f>IF('Controls'!$D$7="Reference",1,IF(OR(AND(D397&gt;=14,D397&lt;=16),AND(D397&gt;=34,D397&lt;=35),AND(D397&gt;=61,D397&lt;=63)),'Paths'!$V$11,1))</x:f>
        <x:v>1</x:v>
      </x:c>
      <x:c r="I397" s="46" t="n">
        <x:f>'Paths'!$W$11</x:f>
        <x:v>0.88</x:v>
      </x:c>
      <x:c r="J397" s="47" t="n">
        <x:f>IF(D397&lt;E397,0,MIN(F397*G397*H397*I397,IF('Paths'!$T$11&gt;0,MAX(0,'Paths'!$T$11-K396),1000000000)))</x:f>
        <x:v>21120</x:v>
      </x:c>
      <x:c r="K397" s="47" t="n">
        <x:f>K396+J397</x:f>
        <x:v>415008</x:v>
      </x:c>
      <x:c r="L397" s="46" t="n">
        <x:f>IF(C397="P0",1,IF(D397&lt;=3,0.8,IF(D397&lt;=14,0.65,IF(D397&lt;=45,0.5,0.3))))</x:f>
        <x:v>0.5</x:v>
      </x:c>
      <x:c r="M397" s="47" t="n">
        <x:f>J397*L397</x:f>
        <x:v>10560</x:v>
      </x:c>
      <x:c r="N397" s="47" t="n">
        <x:f>N396+M397</x:f>
        <x:v>237494.40000000002</x:v>
      </x:c>
      <x:c r="O397" s="46" t="n">
        <x:f>IF(C397="P0",0,IF(D397&lt;=3,0.15,IF(D397&lt;=14,0.25,IF(D397&lt;=45,0.35,0.5))))</x:f>
        <x:v>0.35</x:v>
      </x:c>
      <x:c r="P397" s="47" t="n">
        <x:f>J397*O397</x:f>
        <x:v>7391.999999999999</x:v>
      </x:c>
      <x:c r="Q397" s="46" t="n">
        <x:f>IF(C397="P0",0,IF(D397&lt;=3,0.05,IF(D397&lt;=14,0.1,IF(D397&lt;=45,0.15,0.2))))</x:f>
        <x:v>0.15</x:v>
      </x:c>
      <x:c r="R397" s="47" t="n">
        <x:f>J397*Q397</x:f>
        <x:v>3168</x:v>
      </x:c>
      <x:c r="S397" s="20" t="str">
        <x:f>IF(D397&lt;E397,"closed",IF(D397&lt;'Paths'!$N$11,"initial","expanded"))</x:f>
        <x:v>expanded</x:v>
      </x:c>
      <x:c r="T397" s="72"/>
    </x:row>
    <x:row r="398">
      <x:c r="C398" s="20" t="str">
        <x:v>P4</x:v>
      </x:c>
      <x:c r="D398" s="20" t="n">
        <x:v>27</x:v>
      </x:c>
      <x:c r="E398" s="45" t="n">
        <x:f>IF('Controls'!$D$7="Reference",'Paths'!$J$11,'Paths'!$K$11)</x:f>
        <x:v>3</x:v>
      </x:c>
      <x:c r="F398" s="47" t="n">
        <x:f>IF(D398&lt;'Paths'!$N$11,IF('Controls'!$D$7="Reference",'Paths'!$L$11,'Paths'!$M$11),IF('Controls'!$D$7="Reference",'Paths'!$O$11,'Paths'!$P$11))</x:f>
        <x:v>24000</x:v>
      </x:c>
      <x:c r="G398" s="46" t="n">
        <x:f>IF('Controls'!$D$7="Reference",1,IF(OR(D398=6,D398=7,D398=21,D398=46),'Paths'!$U$11,1))</x:f>
        <x:v>1</x:v>
      </x:c>
      <x:c r="H398" s="46" t="n">
        <x:f>IF('Controls'!$D$7="Reference",1,IF(OR(AND(D398&gt;=14,D398&lt;=16),AND(D398&gt;=34,D398&lt;=35),AND(D398&gt;=61,D398&lt;=63)),'Paths'!$V$11,1))</x:f>
        <x:v>1</x:v>
      </x:c>
      <x:c r="I398" s="46" t="n">
        <x:f>'Paths'!$W$11</x:f>
        <x:v>0.88</x:v>
      </x:c>
      <x:c r="J398" s="47" t="n">
        <x:f>IF(D398&lt;E398,0,MIN(F398*G398*H398*I398,IF('Paths'!$T$11&gt;0,MAX(0,'Paths'!$T$11-K397),1000000000)))</x:f>
        <x:v>21120</x:v>
      </x:c>
      <x:c r="K398" s="47" t="n">
        <x:f>K397+J398</x:f>
        <x:v>436128</x:v>
      </x:c>
      <x:c r="L398" s="46" t="n">
        <x:f>IF(C398="P0",1,IF(D398&lt;=3,0.8,IF(D398&lt;=14,0.65,IF(D398&lt;=45,0.5,0.3))))</x:f>
        <x:v>0.5</x:v>
      </x:c>
      <x:c r="M398" s="47" t="n">
        <x:f>J398*L398</x:f>
        <x:v>10560</x:v>
      </x:c>
      <x:c r="N398" s="47" t="n">
        <x:f>N397+M398</x:f>
        <x:v>248054.40000000002</x:v>
      </x:c>
      <x:c r="O398" s="46" t="n">
        <x:f>IF(C398="P0",0,IF(D398&lt;=3,0.15,IF(D398&lt;=14,0.25,IF(D398&lt;=45,0.35,0.5))))</x:f>
        <x:v>0.35</x:v>
      </x:c>
      <x:c r="P398" s="47" t="n">
        <x:f>J398*O398</x:f>
        <x:v>7391.999999999999</x:v>
      </x:c>
      <x:c r="Q398" s="46" t="n">
        <x:f>IF(C398="P0",0,IF(D398&lt;=3,0.05,IF(D398&lt;=14,0.1,IF(D398&lt;=45,0.15,0.2))))</x:f>
        <x:v>0.15</x:v>
      </x:c>
      <x:c r="R398" s="47" t="n">
        <x:f>J398*Q398</x:f>
        <x:v>3168</x:v>
      </x:c>
      <x:c r="S398" s="20" t="str">
        <x:f>IF(D398&lt;E398,"closed",IF(D398&lt;'Paths'!$N$11,"initial","expanded"))</x:f>
        <x:v>expanded</x:v>
      </x:c>
      <x:c r="T398" s="72"/>
    </x:row>
    <x:row r="399">
      <x:c r="C399" s="20" t="str">
        <x:v>P4</x:v>
      </x:c>
      <x:c r="D399" s="20" t="n">
        <x:v>28</x:v>
      </x:c>
      <x:c r="E399" s="45" t="n">
        <x:f>IF('Controls'!$D$7="Reference",'Paths'!$J$11,'Paths'!$K$11)</x:f>
        <x:v>3</x:v>
      </x:c>
      <x:c r="F399" s="47" t="n">
        <x:f>IF(D399&lt;'Paths'!$N$11,IF('Controls'!$D$7="Reference",'Paths'!$L$11,'Paths'!$M$11),IF('Controls'!$D$7="Reference",'Paths'!$O$11,'Paths'!$P$11))</x:f>
        <x:v>24000</x:v>
      </x:c>
      <x:c r="G399" s="46" t="n">
        <x:f>IF('Controls'!$D$7="Reference",1,IF(OR(D399=6,D399=7,D399=21,D399=46),'Paths'!$U$11,1))</x:f>
        <x:v>1</x:v>
      </x:c>
      <x:c r="H399" s="46" t="n">
        <x:f>IF('Controls'!$D$7="Reference",1,IF(OR(AND(D399&gt;=14,D399&lt;=16),AND(D399&gt;=34,D399&lt;=35),AND(D399&gt;=61,D399&lt;=63)),'Paths'!$V$11,1))</x:f>
        <x:v>1</x:v>
      </x:c>
      <x:c r="I399" s="46" t="n">
        <x:f>'Paths'!$W$11</x:f>
        <x:v>0.88</x:v>
      </x:c>
      <x:c r="J399" s="47" t="n">
        <x:f>IF(D399&lt;E399,0,MIN(F399*G399*H399*I399,IF('Paths'!$T$11&gt;0,MAX(0,'Paths'!$T$11-K398),1000000000)))</x:f>
        <x:v>21120</x:v>
      </x:c>
      <x:c r="K399" s="47" t="n">
        <x:f>K398+J399</x:f>
        <x:v>457248</x:v>
      </x:c>
      <x:c r="L399" s="46" t="n">
        <x:f>IF(C399="P0",1,IF(D399&lt;=3,0.8,IF(D399&lt;=14,0.65,IF(D399&lt;=45,0.5,0.3))))</x:f>
        <x:v>0.5</x:v>
      </x:c>
      <x:c r="M399" s="47" t="n">
        <x:f>J399*L399</x:f>
        <x:v>10560</x:v>
      </x:c>
      <x:c r="N399" s="47" t="n">
        <x:f>N398+M399</x:f>
        <x:v>258614.40000000002</x:v>
      </x:c>
      <x:c r="O399" s="46" t="n">
        <x:f>IF(C399="P0",0,IF(D399&lt;=3,0.15,IF(D399&lt;=14,0.25,IF(D399&lt;=45,0.35,0.5))))</x:f>
        <x:v>0.35</x:v>
      </x:c>
      <x:c r="P399" s="47" t="n">
        <x:f>J399*O399</x:f>
        <x:v>7391.999999999999</x:v>
      </x:c>
      <x:c r="Q399" s="46" t="n">
        <x:f>IF(C399="P0",0,IF(D399&lt;=3,0.05,IF(D399&lt;=14,0.1,IF(D399&lt;=45,0.15,0.2))))</x:f>
        <x:v>0.15</x:v>
      </x:c>
      <x:c r="R399" s="47" t="n">
        <x:f>J399*Q399</x:f>
        <x:v>3168</x:v>
      </x:c>
      <x:c r="S399" s="20" t="str">
        <x:f>IF(D399&lt;E399,"closed",IF(D399&lt;'Paths'!$N$11,"initial","expanded"))</x:f>
        <x:v>expanded</x:v>
      </x:c>
      <x:c r="T399" s="72"/>
    </x:row>
    <x:row r="400">
      <x:c r="C400" s="20" t="str">
        <x:v>P4</x:v>
      </x:c>
      <x:c r="D400" s="20" t="n">
        <x:v>29</x:v>
      </x:c>
      <x:c r="E400" s="45" t="n">
        <x:f>IF('Controls'!$D$7="Reference",'Paths'!$J$11,'Paths'!$K$11)</x:f>
        <x:v>3</x:v>
      </x:c>
      <x:c r="F400" s="47" t="n">
        <x:f>IF(D400&lt;'Paths'!$N$11,IF('Controls'!$D$7="Reference",'Paths'!$L$11,'Paths'!$M$11),IF('Controls'!$D$7="Reference",'Paths'!$O$11,'Paths'!$P$11))</x:f>
        <x:v>24000</x:v>
      </x:c>
      <x:c r="G400" s="46" t="n">
        <x:f>IF('Controls'!$D$7="Reference",1,IF(OR(D400=6,D400=7,D400=21,D400=46),'Paths'!$U$11,1))</x:f>
        <x:v>1</x:v>
      </x:c>
      <x:c r="H400" s="46" t="n">
        <x:f>IF('Controls'!$D$7="Reference",1,IF(OR(AND(D400&gt;=14,D400&lt;=16),AND(D400&gt;=34,D400&lt;=35),AND(D400&gt;=61,D400&lt;=63)),'Paths'!$V$11,1))</x:f>
        <x:v>1</x:v>
      </x:c>
      <x:c r="I400" s="46" t="n">
        <x:f>'Paths'!$W$11</x:f>
        <x:v>0.88</x:v>
      </x:c>
      <x:c r="J400" s="47" t="n">
        <x:f>IF(D400&lt;E400,0,MIN(F400*G400*H400*I400,IF('Paths'!$T$11&gt;0,MAX(0,'Paths'!$T$11-K399),1000000000)))</x:f>
        <x:v>21120</x:v>
      </x:c>
      <x:c r="K400" s="47" t="n">
        <x:f>K399+J400</x:f>
        <x:v>478368</x:v>
      </x:c>
      <x:c r="L400" s="46" t="n">
        <x:f>IF(C400="P0",1,IF(D400&lt;=3,0.8,IF(D400&lt;=14,0.65,IF(D400&lt;=45,0.5,0.3))))</x:f>
        <x:v>0.5</x:v>
      </x:c>
      <x:c r="M400" s="47" t="n">
        <x:f>J400*L400</x:f>
        <x:v>10560</x:v>
      </x:c>
      <x:c r="N400" s="47" t="n">
        <x:f>N399+M400</x:f>
        <x:v>269174.4</x:v>
      </x:c>
      <x:c r="O400" s="46" t="n">
        <x:f>IF(C400="P0",0,IF(D400&lt;=3,0.15,IF(D400&lt;=14,0.25,IF(D400&lt;=45,0.35,0.5))))</x:f>
        <x:v>0.35</x:v>
      </x:c>
      <x:c r="P400" s="47" t="n">
        <x:f>J400*O400</x:f>
        <x:v>7391.999999999999</x:v>
      </x:c>
      <x:c r="Q400" s="46" t="n">
        <x:f>IF(C400="P0",0,IF(D400&lt;=3,0.05,IF(D400&lt;=14,0.1,IF(D400&lt;=45,0.15,0.2))))</x:f>
        <x:v>0.15</x:v>
      </x:c>
      <x:c r="R400" s="47" t="n">
        <x:f>J400*Q400</x:f>
        <x:v>3168</x:v>
      </x:c>
      <x:c r="S400" s="20" t="str">
        <x:f>IF(D400&lt;E400,"closed",IF(D400&lt;'Paths'!$N$11,"initial","expanded"))</x:f>
        <x:v>expanded</x:v>
      </x:c>
      <x:c r="T400" s="72"/>
    </x:row>
    <x:row r="401">
      <x:c r="C401" s="20" t="str">
        <x:v>P4</x:v>
      </x:c>
      <x:c r="D401" s="20" t="n">
        <x:v>30</x:v>
      </x:c>
      <x:c r="E401" s="45" t="n">
        <x:f>IF('Controls'!$D$7="Reference",'Paths'!$J$11,'Paths'!$K$11)</x:f>
        <x:v>3</x:v>
      </x:c>
      <x:c r="F401" s="47" t="n">
        <x:f>IF(D401&lt;'Paths'!$N$11,IF('Controls'!$D$7="Reference",'Paths'!$L$11,'Paths'!$M$11),IF('Controls'!$D$7="Reference",'Paths'!$O$11,'Paths'!$P$11))</x:f>
        <x:v>24000</x:v>
      </x:c>
      <x:c r="G401" s="46" t="n">
        <x:f>IF('Controls'!$D$7="Reference",1,IF(OR(D401=6,D401=7,D401=21,D401=46),'Paths'!$U$11,1))</x:f>
        <x:v>1</x:v>
      </x:c>
      <x:c r="H401" s="46" t="n">
        <x:f>IF('Controls'!$D$7="Reference",1,IF(OR(AND(D401&gt;=14,D401&lt;=16),AND(D401&gt;=34,D401&lt;=35),AND(D401&gt;=61,D401&lt;=63)),'Paths'!$V$11,1))</x:f>
        <x:v>1</x:v>
      </x:c>
      <x:c r="I401" s="46" t="n">
        <x:f>'Paths'!$W$11</x:f>
        <x:v>0.88</x:v>
      </x:c>
      <x:c r="J401" s="47" t="n">
        <x:f>IF(D401&lt;E401,0,MIN(F401*G401*H401*I401,IF('Paths'!$T$11&gt;0,MAX(0,'Paths'!$T$11-K400),1000000000)))</x:f>
        <x:v>21120</x:v>
      </x:c>
      <x:c r="K401" s="47" t="n">
        <x:f>K400+J401</x:f>
        <x:v>499488</x:v>
      </x:c>
      <x:c r="L401" s="46" t="n">
        <x:f>IF(C401="P0",1,IF(D401&lt;=3,0.8,IF(D401&lt;=14,0.65,IF(D401&lt;=45,0.5,0.3))))</x:f>
        <x:v>0.5</x:v>
      </x:c>
      <x:c r="M401" s="47" t="n">
        <x:f>J401*L401</x:f>
        <x:v>10560</x:v>
      </x:c>
      <x:c r="N401" s="47" t="n">
        <x:f>N400+M401</x:f>
        <x:v>279734.4</x:v>
      </x:c>
      <x:c r="O401" s="46" t="n">
        <x:f>IF(C401="P0",0,IF(D401&lt;=3,0.15,IF(D401&lt;=14,0.25,IF(D401&lt;=45,0.35,0.5))))</x:f>
        <x:v>0.35</x:v>
      </x:c>
      <x:c r="P401" s="47" t="n">
        <x:f>J401*O401</x:f>
        <x:v>7391.999999999999</x:v>
      </x:c>
      <x:c r="Q401" s="46" t="n">
        <x:f>IF(C401="P0",0,IF(D401&lt;=3,0.05,IF(D401&lt;=14,0.1,IF(D401&lt;=45,0.15,0.2))))</x:f>
        <x:v>0.15</x:v>
      </x:c>
      <x:c r="R401" s="47" t="n">
        <x:f>J401*Q401</x:f>
        <x:v>3168</x:v>
      </x:c>
      <x:c r="S401" s="20" t="str">
        <x:f>IF(D401&lt;E401,"closed",IF(D401&lt;'Paths'!$N$11,"initial","expanded"))</x:f>
        <x:v>expanded</x:v>
      </x:c>
      <x:c r="T401" s="72"/>
    </x:row>
    <x:row r="402">
      <x:c r="C402" s="20" t="str">
        <x:v>P4</x:v>
      </x:c>
      <x:c r="D402" s="20" t="n">
        <x:v>31</x:v>
      </x:c>
      <x:c r="E402" s="45" t="n">
        <x:f>IF('Controls'!$D$7="Reference",'Paths'!$J$11,'Paths'!$K$11)</x:f>
        <x:v>3</x:v>
      </x:c>
      <x:c r="F402" s="47" t="n">
        <x:f>IF(D402&lt;'Paths'!$N$11,IF('Controls'!$D$7="Reference",'Paths'!$L$11,'Paths'!$M$11),IF('Controls'!$D$7="Reference",'Paths'!$O$11,'Paths'!$P$11))</x:f>
        <x:v>24000</x:v>
      </x:c>
      <x:c r="G402" s="46" t="n">
        <x:f>IF('Controls'!$D$7="Reference",1,IF(OR(D402=6,D402=7,D402=21,D402=46),'Paths'!$U$11,1))</x:f>
        <x:v>1</x:v>
      </x:c>
      <x:c r="H402" s="46" t="n">
        <x:f>IF('Controls'!$D$7="Reference",1,IF(OR(AND(D402&gt;=14,D402&lt;=16),AND(D402&gt;=34,D402&lt;=35),AND(D402&gt;=61,D402&lt;=63)),'Paths'!$V$11,1))</x:f>
        <x:v>1</x:v>
      </x:c>
      <x:c r="I402" s="46" t="n">
        <x:f>'Paths'!$W$11</x:f>
        <x:v>0.88</x:v>
      </x:c>
      <x:c r="J402" s="47" t="n">
        <x:f>IF(D402&lt;E402,0,MIN(F402*G402*H402*I402,IF('Paths'!$T$11&gt;0,MAX(0,'Paths'!$T$11-K401),1000000000)))</x:f>
        <x:v>21120</x:v>
      </x:c>
      <x:c r="K402" s="47" t="n">
        <x:f>K401+J402</x:f>
        <x:v>520608</x:v>
      </x:c>
      <x:c r="L402" s="46" t="n">
        <x:f>IF(C402="P0",1,IF(D402&lt;=3,0.8,IF(D402&lt;=14,0.65,IF(D402&lt;=45,0.5,0.3))))</x:f>
        <x:v>0.5</x:v>
      </x:c>
      <x:c r="M402" s="47" t="n">
        <x:f>J402*L402</x:f>
        <x:v>10560</x:v>
      </x:c>
      <x:c r="N402" s="47" t="n">
        <x:f>N401+M402</x:f>
        <x:v>290294.4</x:v>
      </x:c>
      <x:c r="O402" s="46" t="n">
        <x:f>IF(C402="P0",0,IF(D402&lt;=3,0.15,IF(D402&lt;=14,0.25,IF(D402&lt;=45,0.35,0.5))))</x:f>
        <x:v>0.35</x:v>
      </x:c>
      <x:c r="P402" s="47" t="n">
        <x:f>J402*O402</x:f>
        <x:v>7391.999999999999</x:v>
      </x:c>
      <x:c r="Q402" s="46" t="n">
        <x:f>IF(C402="P0",0,IF(D402&lt;=3,0.05,IF(D402&lt;=14,0.1,IF(D402&lt;=45,0.15,0.2))))</x:f>
        <x:v>0.15</x:v>
      </x:c>
      <x:c r="R402" s="47" t="n">
        <x:f>J402*Q402</x:f>
        <x:v>3168</x:v>
      </x:c>
      <x:c r="S402" s="20" t="str">
        <x:f>IF(D402&lt;E402,"closed",IF(D402&lt;'Paths'!$N$11,"initial","expanded"))</x:f>
        <x:v>expanded</x:v>
      </x:c>
      <x:c r="T402" s="72"/>
    </x:row>
    <x:row r="403">
      <x:c r="C403" s="20" t="str">
        <x:v>P4</x:v>
      </x:c>
      <x:c r="D403" s="20" t="n">
        <x:v>32</x:v>
      </x:c>
      <x:c r="E403" s="45" t="n">
        <x:f>IF('Controls'!$D$7="Reference",'Paths'!$J$11,'Paths'!$K$11)</x:f>
        <x:v>3</x:v>
      </x:c>
      <x:c r="F403" s="47" t="n">
        <x:f>IF(D403&lt;'Paths'!$N$11,IF('Controls'!$D$7="Reference",'Paths'!$L$11,'Paths'!$M$11),IF('Controls'!$D$7="Reference",'Paths'!$O$11,'Paths'!$P$11))</x:f>
        <x:v>24000</x:v>
      </x:c>
      <x:c r="G403" s="46" t="n">
        <x:f>IF('Controls'!$D$7="Reference",1,IF(OR(D403=6,D403=7,D403=21,D403=46),'Paths'!$U$11,1))</x:f>
        <x:v>1</x:v>
      </x:c>
      <x:c r="H403" s="46" t="n">
        <x:f>IF('Controls'!$D$7="Reference",1,IF(OR(AND(D403&gt;=14,D403&lt;=16),AND(D403&gt;=34,D403&lt;=35),AND(D403&gt;=61,D403&lt;=63)),'Paths'!$V$11,1))</x:f>
        <x:v>1</x:v>
      </x:c>
      <x:c r="I403" s="46" t="n">
        <x:f>'Paths'!$W$11</x:f>
        <x:v>0.88</x:v>
      </x:c>
      <x:c r="J403" s="47" t="n">
        <x:f>IF(D403&lt;E403,0,MIN(F403*G403*H403*I403,IF('Paths'!$T$11&gt;0,MAX(0,'Paths'!$T$11-K402),1000000000)))</x:f>
        <x:v>21120</x:v>
      </x:c>
      <x:c r="K403" s="47" t="n">
        <x:f>K402+J403</x:f>
        <x:v>541728</x:v>
      </x:c>
      <x:c r="L403" s="46" t="n">
        <x:f>IF(C403="P0",1,IF(D403&lt;=3,0.8,IF(D403&lt;=14,0.65,IF(D403&lt;=45,0.5,0.3))))</x:f>
        <x:v>0.5</x:v>
      </x:c>
      <x:c r="M403" s="47" t="n">
        <x:f>J403*L403</x:f>
        <x:v>10560</x:v>
      </x:c>
      <x:c r="N403" s="47" t="n">
        <x:f>N402+M403</x:f>
        <x:v>300854.4</x:v>
      </x:c>
      <x:c r="O403" s="46" t="n">
        <x:f>IF(C403="P0",0,IF(D403&lt;=3,0.15,IF(D403&lt;=14,0.25,IF(D403&lt;=45,0.35,0.5))))</x:f>
        <x:v>0.35</x:v>
      </x:c>
      <x:c r="P403" s="47" t="n">
        <x:f>J403*O403</x:f>
        <x:v>7391.999999999999</x:v>
      </x:c>
      <x:c r="Q403" s="46" t="n">
        <x:f>IF(C403="P0",0,IF(D403&lt;=3,0.05,IF(D403&lt;=14,0.1,IF(D403&lt;=45,0.15,0.2))))</x:f>
        <x:v>0.15</x:v>
      </x:c>
      <x:c r="R403" s="47" t="n">
        <x:f>J403*Q403</x:f>
        <x:v>3168</x:v>
      </x:c>
      <x:c r="S403" s="20" t="str">
        <x:f>IF(D403&lt;E403,"closed",IF(D403&lt;'Paths'!$N$11,"initial","expanded"))</x:f>
        <x:v>expanded</x:v>
      </x:c>
      <x:c r="T403" s="72"/>
    </x:row>
    <x:row r="404">
      <x:c r="C404" s="20" t="str">
        <x:v>P4</x:v>
      </x:c>
      <x:c r="D404" s="20" t="n">
        <x:v>33</x:v>
      </x:c>
      <x:c r="E404" s="45" t="n">
        <x:f>IF('Controls'!$D$7="Reference",'Paths'!$J$11,'Paths'!$K$11)</x:f>
        <x:v>3</x:v>
      </x:c>
      <x:c r="F404" s="47" t="n">
        <x:f>IF(D404&lt;'Paths'!$N$11,IF('Controls'!$D$7="Reference",'Paths'!$L$11,'Paths'!$M$11),IF('Controls'!$D$7="Reference",'Paths'!$O$11,'Paths'!$P$11))</x:f>
        <x:v>24000</x:v>
      </x:c>
      <x:c r="G404" s="46" t="n">
        <x:f>IF('Controls'!$D$7="Reference",1,IF(OR(D404=6,D404=7,D404=21,D404=46),'Paths'!$U$11,1))</x:f>
        <x:v>1</x:v>
      </x:c>
      <x:c r="H404" s="46" t="n">
        <x:f>IF('Controls'!$D$7="Reference",1,IF(OR(AND(D404&gt;=14,D404&lt;=16),AND(D404&gt;=34,D404&lt;=35),AND(D404&gt;=61,D404&lt;=63)),'Paths'!$V$11,1))</x:f>
        <x:v>1</x:v>
      </x:c>
      <x:c r="I404" s="46" t="n">
        <x:f>'Paths'!$W$11</x:f>
        <x:v>0.88</x:v>
      </x:c>
      <x:c r="J404" s="47" t="n">
        <x:f>IF(D404&lt;E404,0,MIN(F404*G404*H404*I404,IF('Paths'!$T$11&gt;0,MAX(0,'Paths'!$T$11-K403),1000000000)))</x:f>
        <x:v>21120</x:v>
      </x:c>
      <x:c r="K404" s="47" t="n">
        <x:f>K403+J404</x:f>
        <x:v>562848</x:v>
      </x:c>
      <x:c r="L404" s="46" t="n">
        <x:f>IF(C404="P0",1,IF(D404&lt;=3,0.8,IF(D404&lt;=14,0.65,IF(D404&lt;=45,0.5,0.3))))</x:f>
        <x:v>0.5</x:v>
      </x:c>
      <x:c r="M404" s="47" t="n">
        <x:f>J404*L404</x:f>
        <x:v>10560</x:v>
      </x:c>
      <x:c r="N404" s="47" t="n">
        <x:f>N403+M404</x:f>
        <x:v>311414.4</x:v>
      </x:c>
      <x:c r="O404" s="46" t="n">
        <x:f>IF(C404="P0",0,IF(D404&lt;=3,0.15,IF(D404&lt;=14,0.25,IF(D404&lt;=45,0.35,0.5))))</x:f>
        <x:v>0.35</x:v>
      </x:c>
      <x:c r="P404" s="47" t="n">
        <x:f>J404*O404</x:f>
        <x:v>7391.999999999999</x:v>
      </x:c>
      <x:c r="Q404" s="46" t="n">
        <x:f>IF(C404="P0",0,IF(D404&lt;=3,0.05,IF(D404&lt;=14,0.1,IF(D404&lt;=45,0.15,0.2))))</x:f>
        <x:v>0.15</x:v>
      </x:c>
      <x:c r="R404" s="47" t="n">
        <x:f>J404*Q404</x:f>
        <x:v>3168</x:v>
      </x:c>
      <x:c r="S404" s="20" t="str">
        <x:f>IF(D404&lt;E404,"closed",IF(D404&lt;'Paths'!$N$11,"initial","expanded"))</x:f>
        <x:v>expanded</x:v>
      </x:c>
      <x:c r="T404" s="72"/>
    </x:row>
    <x:row r="405">
      <x:c r="C405" s="20" t="str">
        <x:v>P4</x:v>
      </x:c>
      <x:c r="D405" s="20" t="n">
        <x:v>34</x:v>
      </x:c>
      <x:c r="E405" s="45" t="n">
        <x:f>IF('Controls'!$D$7="Reference",'Paths'!$J$11,'Paths'!$K$11)</x:f>
        <x:v>3</x:v>
      </x:c>
      <x:c r="F405" s="47" t="n">
        <x:f>IF(D405&lt;'Paths'!$N$11,IF('Controls'!$D$7="Reference",'Paths'!$L$11,'Paths'!$M$11),IF('Controls'!$D$7="Reference",'Paths'!$O$11,'Paths'!$P$11))</x:f>
        <x:v>24000</x:v>
      </x:c>
      <x:c r="G405" s="46" t="n">
        <x:f>IF('Controls'!$D$7="Reference",1,IF(OR(D405=6,D405=7,D405=21,D405=46),'Paths'!$U$11,1))</x:f>
        <x:v>1</x:v>
      </x:c>
      <x:c r="H405" s="46" t="n">
        <x:f>IF('Controls'!$D$7="Reference",1,IF(OR(AND(D405&gt;=14,D405&lt;=16),AND(D405&gt;=34,D405&lt;=35),AND(D405&gt;=61,D405&lt;=63)),'Paths'!$V$11,1))</x:f>
        <x:v>0.6</x:v>
      </x:c>
      <x:c r="I405" s="46" t="n">
        <x:f>'Paths'!$W$11</x:f>
        <x:v>0.88</x:v>
      </x:c>
      <x:c r="J405" s="47" t="n">
        <x:f>IF(D405&lt;E405,0,MIN(F405*G405*H405*I405,IF('Paths'!$T$11&gt;0,MAX(0,'Paths'!$T$11-K404),1000000000)))</x:f>
        <x:v>12672</x:v>
      </x:c>
      <x:c r="K405" s="47" t="n">
        <x:f>K404+J405</x:f>
        <x:v>575520</x:v>
      </x:c>
      <x:c r="L405" s="46" t="n">
        <x:f>IF(C405="P0",1,IF(D405&lt;=3,0.8,IF(D405&lt;=14,0.65,IF(D405&lt;=45,0.5,0.3))))</x:f>
        <x:v>0.5</x:v>
      </x:c>
      <x:c r="M405" s="47" t="n">
        <x:f>J405*L405</x:f>
        <x:v>6336</x:v>
      </x:c>
      <x:c r="N405" s="47" t="n">
        <x:f>N404+M405</x:f>
        <x:v>317750.4</x:v>
      </x:c>
      <x:c r="O405" s="46" t="n">
        <x:f>IF(C405="P0",0,IF(D405&lt;=3,0.15,IF(D405&lt;=14,0.25,IF(D405&lt;=45,0.35,0.5))))</x:f>
        <x:v>0.35</x:v>
      </x:c>
      <x:c r="P405" s="47" t="n">
        <x:f>J405*O405</x:f>
        <x:v>4435.2</x:v>
      </x:c>
      <x:c r="Q405" s="46" t="n">
        <x:f>IF(C405="P0",0,IF(D405&lt;=3,0.05,IF(D405&lt;=14,0.1,IF(D405&lt;=45,0.15,0.2))))</x:f>
        <x:v>0.15</x:v>
      </x:c>
      <x:c r="R405" s="47" t="n">
        <x:f>J405*Q405</x:f>
        <x:v>1900.8</x:v>
      </x:c>
      <x:c r="S405" s="20" t="str">
        <x:f>IF(D405&lt;E405,"closed",IF(D405&lt;'Paths'!$N$11,"initial","expanded"))</x:f>
        <x:v>expanded</x:v>
      </x:c>
      <x:c r="T405" s="72"/>
    </x:row>
    <x:row r="406">
      <x:c r="C406" s="20" t="str">
        <x:v>P4</x:v>
      </x:c>
      <x:c r="D406" s="20" t="n">
        <x:v>35</x:v>
      </x:c>
      <x:c r="E406" s="45" t="n">
        <x:f>IF('Controls'!$D$7="Reference",'Paths'!$J$11,'Paths'!$K$11)</x:f>
        <x:v>3</x:v>
      </x:c>
      <x:c r="F406" s="47" t="n">
        <x:f>IF(D406&lt;'Paths'!$N$11,IF('Controls'!$D$7="Reference",'Paths'!$L$11,'Paths'!$M$11),IF('Controls'!$D$7="Reference",'Paths'!$O$11,'Paths'!$P$11))</x:f>
        <x:v>24000</x:v>
      </x:c>
      <x:c r="G406" s="46" t="n">
        <x:f>IF('Controls'!$D$7="Reference",1,IF(OR(D406=6,D406=7,D406=21,D406=46),'Paths'!$U$11,1))</x:f>
        <x:v>1</x:v>
      </x:c>
      <x:c r="H406" s="46" t="n">
        <x:f>IF('Controls'!$D$7="Reference",1,IF(OR(AND(D406&gt;=14,D406&lt;=16),AND(D406&gt;=34,D406&lt;=35),AND(D406&gt;=61,D406&lt;=63)),'Paths'!$V$11,1))</x:f>
        <x:v>0.6</x:v>
      </x:c>
      <x:c r="I406" s="46" t="n">
        <x:f>'Paths'!$W$11</x:f>
        <x:v>0.88</x:v>
      </x:c>
      <x:c r="J406" s="47" t="n">
        <x:f>IF(D406&lt;E406,0,MIN(F406*G406*H406*I406,IF('Paths'!$T$11&gt;0,MAX(0,'Paths'!$T$11-K405),1000000000)))</x:f>
        <x:v>12672</x:v>
      </x:c>
      <x:c r="K406" s="47" t="n">
        <x:f>K405+J406</x:f>
        <x:v>588192</x:v>
      </x:c>
      <x:c r="L406" s="46" t="n">
        <x:f>IF(C406="P0",1,IF(D406&lt;=3,0.8,IF(D406&lt;=14,0.65,IF(D406&lt;=45,0.5,0.3))))</x:f>
        <x:v>0.5</x:v>
      </x:c>
      <x:c r="M406" s="47" t="n">
        <x:f>J406*L406</x:f>
        <x:v>6336</x:v>
      </x:c>
      <x:c r="N406" s="47" t="n">
        <x:f>N405+M406</x:f>
        <x:v>324086.4</x:v>
      </x:c>
      <x:c r="O406" s="46" t="n">
        <x:f>IF(C406="P0",0,IF(D406&lt;=3,0.15,IF(D406&lt;=14,0.25,IF(D406&lt;=45,0.35,0.5))))</x:f>
        <x:v>0.35</x:v>
      </x:c>
      <x:c r="P406" s="47" t="n">
        <x:f>J406*O406</x:f>
        <x:v>4435.2</x:v>
      </x:c>
      <x:c r="Q406" s="46" t="n">
        <x:f>IF(C406="P0",0,IF(D406&lt;=3,0.05,IF(D406&lt;=14,0.1,IF(D406&lt;=45,0.15,0.2))))</x:f>
        <x:v>0.15</x:v>
      </x:c>
      <x:c r="R406" s="47" t="n">
        <x:f>J406*Q406</x:f>
        <x:v>1900.8</x:v>
      </x:c>
      <x:c r="S406" s="20" t="str">
        <x:f>IF(D406&lt;E406,"closed",IF(D406&lt;'Paths'!$N$11,"initial","expanded"))</x:f>
        <x:v>expanded</x:v>
      </x:c>
      <x:c r="T406" s="72"/>
    </x:row>
    <x:row r="407">
      <x:c r="C407" s="20" t="str">
        <x:v>P4</x:v>
      </x:c>
      <x:c r="D407" s="20" t="n">
        <x:v>36</x:v>
      </x:c>
      <x:c r="E407" s="45" t="n">
        <x:f>IF('Controls'!$D$7="Reference",'Paths'!$J$11,'Paths'!$K$11)</x:f>
        <x:v>3</x:v>
      </x:c>
      <x:c r="F407" s="47" t="n">
        <x:f>IF(D407&lt;'Paths'!$N$11,IF('Controls'!$D$7="Reference",'Paths'!$L$11,'Paths'!$M$11),IF('Controls'!$D$7="Reference",'Paths'!$O$11,'Paths'!$P$11))</x:f>
        <x:v>24000</x:v>
      </x:c>
      <x:c r="G407" s="46" t="n">
        <x:f>IF('Controls'!$D$7="Reference",1,IF(OR(D407=6,D407=7,D407=21,D407=46),'Paths'!$U$11,1))</x:f>
        <x:v>1</x:v>
      </x:c>
      <x:c r="H407" s="46" t="n">
        <x:f>IF('Controls'!$D$7="Reference",1,IF(OR(AND(D407&gt;=14,D407&lt;=16),AND(D407&gt;=34,D407&lt;=35),AND(D407&gt;=61,D407&lt;=63)),'Paths'!$V$11,1))</x:f>
        <x:v>1</x:v>
      </x:c>
      <x:c r="I407" s="46" t="n">
        <x:f>'Paths'!$W$11</x:f>
        <x:v>0.88</x:v>
      </x:c>
      <x:c r="J407" s="47" t="n">
        <x:f>IF(D407&lt;E407,0,MIN(F407*G407*H407*I407,IF('Paths'!$T$11&gt;0,MAX(0,'Paths'!$T$11-K406),1000000000)))</x:f>
        <x:v>21120</x:v>
      </x:c>
      <x:c r="K407" s="47" t="n">
        <x:f>K406+J407</x:f>
        <x:v>609312</x:v>
      </x:c>
      <x:c r="L407" s="46" t="n">
        <x:f>IF(C407="P0",1,IF(D407&lt;=3,0.8,IF(D407&lt;=14,0.65,IF(D407&lt;=45,0.5,0.3))))</x:f>
        <x:v>0.5</x:v>
      </x:c>
      <x:c r="M407" s="47" t="n">
        <x:f>J407*L407</x:f>
        <x:v>10560</x:v>
      </x:c>
      <x:c r="N407" s="47" t="n">
        <x:f>N406+M407</x:f>
        <x:v>334646.4</x:v>
      </x:c>
      <x:c r="O407" s="46" t="n">
        <x:f>IF(C407="P0",0,IF(D407&lt;=3,0.15,IF(D407&lt;=14,0.25,IF(D407&lt;=45,0.35,0.5))))</x:f>
        <x:v>0.35</x:v>
      </x:c>
      <x:c r="P407" s="47" t="n">
        <x:f>J407*O407</x:f>
        <x:v>7391.999999999999</x:v>
      </x:c>
      <x:c r="Q407" s="46" t="n">
        <x:f>IF(C407="P0",0,IF(D407&lt;=3,0.05,IF(D407&lt;=14,0.1,IF(D407&lt;=45,0.15,0.2))))</x:f>
        <x:v>0.15</x:v>
      </x:c>
      <x:c r="R407" s="47" t="n">
        <x:f>J407*Q407</x:f>
        <x:v>3168</x:v>
      </x:c>
      <x:c r="S407" s="20" t="str">
        <x:f>IF(D407&lt;E407,"closed",IF(D407&lt;'Paths'!$N$11,"initial","expanded"))</x:f>
        <x:v>expanded</x:v>
      </x:c>
      <x:c r="T407" s="72"/>
    </x:row>
    <x:row r="408">
      <x:c r="C408" s="20" t="str">
        <x:v>P4</x:v>
      </x:c>
      <x:c r="D408" s="20" t="n">
        <x:v>37</x:v>
      </x:c>
      <x:c r="E408" s="45" t="n">
        <x:f>IF('Controls'!$D$7="Reference",'Paths'!$J$11,'Paths'!$K$11)</x:f>
        <x:v>3</x:v>
      </x:c>
      <x:c r="F408" s="47" t="n">
        <x:f>IF(D408&lt;'Paths'!$N$11,IF('Controls'!$D$7="Reference",'Paths'!$L$11,'Paths'!$M$11),IF('Controls'!$D$7="Reference",'Paths'!$O$11,'Paths'!$P$11))</x:f>
        <x:v>24000</x:v>
      </x:c>
      <x:c r="G408" s="46" t="n">
        <x:f>IF('Controls'!$D$7="Reference",1,IF(OR(D408=6,D408=7,D408=21,D408=46),'Paths'!$U$11,1))</x:f>
        <x:v>1</x:v>
      </x:c>
      <x:c r="H408" s="46" t="n">
        <x:f>IF('Controls'!$D$7="Reference",1,IF(OR(AND(D408&gt;=14,D408&lt;=16),AND(D408&gt;=34,D408&lt;=35),AND(D408&gt;=61,D408&lt;=63)),'Paths'!$V$11,1))</x:f>
        <x:v>1</x:v>
      </x:c>
      <x:c r="I408" s="46" t="n">
        <x:f>'Paths'!$W$11</x:f>
        <x:v>0.88</x:v>
      </x:c>
      <x:c r="J408" s="47" t="n">
        <x:f>IF(D408&lt;E408,0,MIN(F408*G408*H408*I408,IF('Paths'!$T$11&gt;0,MAX(0,'Paths'!$T$11-K407),1000000000)))</x:f>
        <x:v>21120</x:v>
      </x:c>
      <x:c r="K408" s="47" t="n">
        <x:f>K407+J408</x:f>
        <x:v>630432</x:v>
      </x:c>
      <x:c r="L408" s="46" t="n">
        <x:f>IF(C408="P0",1,IF(D408&lt;=3,0.8,IF(D408&lt;=14,0.65,IF(D408&lt;=45,0.5,0.3))))</x:f>
        <x:v>0.5</x:v>
      </x:c>
      <x:c r="M408" s="47" t="n">
        <x:f>J408*L408</x:f>
        <x:v>10560</x:v>
      </x:c>
      <x:c r="N408" s="47" t="n">
        <x:f>N407+M408</x:f>
        <x:v>345206.4</x:v>
      </x:c>
      <x:c r="O408" s="46" t="n">
        <x:f>IF(C408="P0",0,IF(D408&lt;=3,0.15,IF(D408&lt;=14,0.25,IF(D408&lt;=45,0.35,0.5))))</x:f>
        <x:v>0.35</x:v>
      </x:c>
      <x:c r="P408" s="47" t="n">
        <x:f>J408*O408</x:f>
        <x:v>7391.999999999999</x:v>
      </x:c>
      <x:c r="Q408" s="46" t="n">
        <x:f>IF(C408="P0",0,IF(D408&lt;=3,0.05,IF(D408&lt;=14,0.1,IF(D408&lt;=45,0.15,0.2))))</x:f>
        <x:v>0.15</x:v>
      </x:c>
      <x:c r="R408" s="47" t="n">
        <x:f>J408*Q408</x:f>
        <x:v>3168</x:v>
      </x:c>
      <x:c r="S408" s="20" t="str">
        <x:f>IF(D408&lt;E408,"closed",IF(D408&lt;'Paths'!$N$11,"initial","expanded"))</x:f>
        <x:v>expanded</x:v>
      </x:c>
      <x:c r="T408" s="72"/>
    </x:row>
    <x:row r="409">
      <x:c r="C409" s="20" t="str">
        <x:v>P4</x:v>
      </x:c>
      <x:c r="D409" s="20" t="n">
        <x:v>38</x:v>
      </x:c>
      <x:c r="E409" s="45" t="n">
        <x:f>IF('Controls'!$D$7="Reference",'Paths'!$J$11,'Paths'!$K$11)</x:f>
        <x:v>3</x:v>
      </x:c>
      <x:c r="F409" s="47" t="n">
        <x:f>IF(D409&lt;'Paths'!$N$11,IF('Controls'!$D$7="Reference",'Paths'!$L$11,'Paths'!$M$11),IF('Controls'!$D$7="Reference",'Paths'!$O$11,'Paths'!$P$11))</x:f>
        <x:v>24000</x:v>
      </x:c>
      <x:c r="G409" s="46" t="n">
        <x:f>IF('Controls'!$D$7="Reference",1,IF(OR(D409=6,D409=7,D409=21,D409=46),'Paths'!$U$11,1))</x:f>
        <x:v>1</x:v>
      </x:c>
      <x:c r="H409" s="46" t="n">
        <x:f>IF('Controls'!$D$7="Reference",1,IF(OR(AND(D409&gt;=14,D409&lt;=16),AND(D409&gt;=34,D409&lt;=35),AND(D409&gt;=61,D409&lt;=63)),'Paths'!$V$11,1))</x:f>
        <x:v>1</x:v>
      </x:c>
      <x:c r="I409" s="46" t="n">
        <x:f>'Paths'!$W$11</x:f>
        <x:v>0.88</x:v>
      </x:c>
      <x:c r="J409" s="47" t="n">
        <x:f>IF(D409&lt;E409,0,MIN(F409*G409*H409*I409,IF('Paths'!$T$11&gt;0,MAX(0,'Paths'!$T$11-K408),1000000000)))</x:f>
        <x:v>21120</x:v>
      </x:c>
      <x:c r="K409" s="47" t="n">
        <x:f>K408+J409</x:f>
        <x:v>651552</x:v>
      </x:c>
      <x:c r="L409" s="46" t="n">
        <x:f>IF(C409="P0",1,IF(D409&lt;=3,0.8,IF(D409&lt;=14,0.65,IF(D409&lt;=45,0.5,0.3))))</x:f>
        <x:v>0.5</x:v>
      </x:c>
      <x:c r="M409" s="47" t="n">
        <x:f>J409*L409</x:f>
        <x:v>10560</x:v>
      </x:c>
      <x:c r="N409" s="47" t="n">
        <x:f>N408+M409</x:f>
        <x:v>355766.4</x:v>
      </x:c>
      <x:c r="O409" s="46" t="n">
        <x:f>IF(C409="P0",0,IF(D409&lt;=3,0.15,IF(D409&lt;=14,0.25,IF(D409&lt;=45,0.35,0.5))))</x:f>
        <x:v>0.35</x:v>
      </x:c>
      <x:c r="P409" s="47" t="n">
        <x:f>J409*O409</x:f>
        <x:v>7391.999999999999</x:v>
      </x:c>
      <x:c r="Q409" s="46" t="n">
        <x:f>IF(C409="P0",0,IF(D409&lt;=3,0.05,IF(D409&lt;=14,0.1,IF(D409&lt;=45,0.15,0.2))))</x:f>
        <x:v>0.15</x:v>
      </x:c>
      <x:c r="R409" s="47" t="n">
        <x:f>J409*Q409</x:f>
        <x:v>3168</x:v>
      </x:c>
      <x:c r="S409" s="20" t="str">
        <x:f>IF(D409&lt;E409,"closed",IF(D409&lt;'Paths'!$N$11,"initial","expanded"))</x:f>
        <x:v>expanded</x:v>
      </x:c>
      <x:c r="T409" s="72"/>
    </x:row>
    <x:row r="410">
      <x:c r="C410" s="20" t="str">
        <x:v>P4</x:v>
      </x:c>
      <x:c r="D410" s="20" t="n">
        <x:v>39</x:v>
      </x:c>
      <x:c r="E410" s="45" t="n">
        <x:f>IF('Controls'!$D$7="Reference",'Paths'!$J$11,'Paths'!$K$11)</x:f>
        <x:v>3</x:v>
      </x:c>
      <x:c r="F410" s="47" t="n">
        <x:f>IF(D410&lt;'Paths'!$N$11,IF('Controls'!$D$7="Reference",'Paths'!$L$11,'Paths'!$M$11),IF('Controls'!$D$7="Reference",'Paths'!$O$11,'Paths'!$P$11))</x:f>
        <x:v>24000</x:v>
      </x:c>
      <x:c r="G410" s="46" t="n">
        <x:f>IF('Controls'!$D$7="Reference",1,IF(OR(D410=6,D410=7,D410=21,D410=46),'Paths'!$U$11,1))</x:f>
        <x:v>1</x:v>
      </x:c>
      <x:c r="H410" s="46" t="n">
        <x:f>IF('Controls'!$D$7="Reference",1,IF(OR(AND(D410&gt;=14,D410&lt;=16),AND(D410&gt;=34,D410&lt;=35),AND(D410&gt;=61,D410&lt;=63)),'Paths'!$V$11,1))</x:f>
        <x:v>1</x:v>
      </x:c>
      <x:c r="I410" s="46" t="n">
        <x:f>'Paths'!$W$11</x:f>
        <x:v>0.88</x:v>
      </x:c>
      <x:c r="J410" s="47" t="n">
        <x:f>IF(D410&lt;E410,0,MIN(F410*G410*H410*I410,IF('Paths'!$T$11&gt;0,MAX(0,'Paths'!$T$11-K409),1000000000)))</x:f>
        <x:v>21120</x:v>
      </x:c>
      <x:c r="K410" s="47" t="n">
        <x:f>K409+J410</x:f>
        <x:v>672672</x:v>
      </x:c>
      <x:c r="L410" s="46" t="n">
        <x:f>IF(C410="P0",1,IF(D410&lt;=3,0.8,IF(D410&lt;=14,0.65,IF(D410&lt;=45,0.5,0.3))))</x:f>
        <x:v>0.5</x:v>
      </x:c>
      <x:c r="M410" s="47" t="n">
        <x:f>J410*L410</x:f>
        <x:v>10560</x:v>
      </x:c>
      <x:c r="N410" s="47" t="n">
        <x:f>N409+M410</x:f>
        <x:v>366326.4</x:v>
      </x:c>
      <x:c r="O410" s="46" t="n">
        <x:f>IF(C410="P0",0,IF(D410&lt;=3,0.15,IF(D410&lt;=14,0.25,IF(D410&lt;=45,0.35,0.5))))</x:f>
        <x:v>0.35</x:v>
      </x:c>
      <x:c r="P410" s="47" t="n">
        <x:f>J410*O410</x:f>
        <x:v>7391.999999999999</x:v>
      </x:c>
      <x:c r="Q410" s="46" t="n">
        <x:f>IF(C410="P0",0,IF(D410&lt;=3,0.05,IF(D410&lt;=14,0.1,IF(D410&lt;=45,0.15,0.2))))</x:f>
        <x:v>0.15</x:v>
      </x:c>
      <x:c r="R410" s="47" t="n">
        <x:f>J410*Q410</x:f>
        <x:v>3168</x:v>
      </x:c>
      <x:c r="S410" s="20" t="str">
        <x:f>IF(D410&lt;E410,"closed",IF(D410&lt;'Paths'!$N$11,"initial","expanded"))</x:f>
        <x:v>expanded</x:v>
      </x:c>
      <x:c r="T410" s="72"/>
    </x:row>
    <x:row r="411">
      <x:c r="C411" s="20" t="str">
        <x:v>P4</x:v>
      </x:c>
      <x:c r="D411" s="20" t="n">
        <x:v>40</x:v>
      </x:c>
      <x:c r="E411" s="45" t="n">
        <x:f>IF('Controls'!$D$7="Reference",'Paths'!$J$11,'Paths'!$K$11)</x:f>
        <x:v>3</x:v>
      </x:c>
      <x:c r="F411" s="47" t="n">
        <x:f>IF(D411&lt;'Paths'!$N$11,IF('Controls'!$D$7="Reference",'Paths'!$L$11,'Paths'!$M$11),IF('Controls'!$D$7="Reference",'Paths'!$O$11,'Paths'!$P$11))</x:f>
        <x:v>24000</x:v>
      </x:c>
      <x:c r="G411" s="46" t="n">
        <x:f>IF('Controls'!$D$7="Reference",1,IF(OR(D411=6,D411=7,D411=21,D411=46),'Paths'!$U$11,1))</x:f>
        <x:v>1</x:v>
      </x:c>
      <x:c r="H411" s="46" t="n">
        <x:f>IF('Controls'!$D$7="Reference",1,IF(OR(AND(D411&gt;=14,D411&lt;=16),AND(D411&gt;=34,D411&lt;=35),AND(D411&gt;=61,D411&lt;=63)),'Paths'!$V$11,1))</x:f>
        <x:v>1</x:v>
      </x:c>
      <x:c r="I411" s="46" t="n">
        <x:f>'Paths'!$W$11</x:f>
        <x:v>0.88</x:v>
      </x:c>
      <x:c r="J411" s="47" t="n">
        <x:f>IF(D411&lt;E411,0,MIN(F411*G411*H411*I411,IF('Paths'!$T$11&gt;0,MAX(0,'Paths'!$T$11-K410),1000000000)))</x:f>
        <x:v>21120</x:v>
      </x:c>
      <x:c r="K411" s="47" t="n">
        <x:f>K410+J411</x:f>
        <x:v>693792</x:v>
      </x:c>
      <x:c r="L411" s="46" t="n">
        <x:f>IF(C411="P0",1,IF(D411&lt;=3,0.8,IF(D411&lt;=14,0.65,IF(D411&lt;=45,0.5,0.3))))</x:f>
        <x:v>0.5</x:v>
      </x:c>
      <x:c r="M411" s="47" t="n">
        <x:f>J411*L411</x:f>
        <x:v>10560</x:v>
      </x:c>
      <x:c r="N411" s="47" t="n">
        <x:f>N410+M411</x:f>
        <x:v>376886.4</x:v>
      </x:c>
      <x:c r="O411" s="46" t="n">
        <x:f>IF(C411="P0",0,IF(D411&lt;=3,0.15,IF(D411&lt;=14,0.25,IF(D411&lt;=45,0.35,0.5))))</x:f>
        <x:v>0.35</x:v>
      </x:c>
      <x:c r="P411" s="47" t="n">
        <x:f>J411*O411</x:f>
        <x:v>7391.999999999999</x:v>
      </x:c>
      <x:c r="Q411" s="46" t="n">
        <x:f>IF(C411="P0",0,IF(D411&lt;=3,0.05,IF(D411&lt;=14,0.1,IF(D411&lt;=45,0.15,0.2))))</x:f>
        <x:v>0.15</x:v>
      </x:c>
      <x:c r="R411" s="47" t="n">
        <x:f>J411*Q411</x:f>
        <x:v>3168</x:v>
      </x:c>
      <x:c r="S411" s="20" t="str">
        <x:f>IF(D411&lt;E411,"closed",IF(D411&lt;'Paths'!$N$11,"initial","expanded"))</x:f>
        <x:v>expanded</x:v>
      </x:c>
      <x:c r="T411" s="72"/>
    </x:row>
    <x:row r="412">
      <x:c r="C412" s="20" t="str">
        <x:v>P4</x:v>
      </x:c>
      <x:c r="D412" s="20" t="n">
        <x:v>41</x:v>
      </x:c>
      <x:c r="E412" s="45" t="n">
        <x:f>IF('Controls'!$D$7="Reference",'Paths'!$J$11,'Paths'!$K$11)</x:f>
        <x:v>3</x:v>
      </x:c>
      <x:c r="F412" s="47" t="n">
        <x:f>IF(D412&lt;'Paths'!$N$11,IF('Controls'!$D$7="Reference",'Paths'!$L$11,'Paths'!$M$11),IF('Controls'!$D$7="Reference",'Paths'!$O$11,'Paths'!$P$11))</x:f>
        <x:v>24000</x:v>
      </x:c>
      <x:c r="G412" s="46" t="n">
        <x:f>IF('Controls'!$D$7="Reference",1,IF(OR(D412=6,D412=7,D412=21,D412=46),'Paths'!$U$11,1))</x:f>
        <x:v>1</x:v>
      </x:c>
      <x:c r="H412" s="46" t="n">
        <x:f>IF('Controls'!$D$7="Reference",1,IF(OR(AND(D412&gt;=14,D412&lt;=16),AND(D412&gt;=34,D412&lt;=35),AND(D412&gt;=61,D412&lt;=63)),'Paths'!$V$11,1))</x:f>
        <x:v>1</x:v>
      </x:c>
      <x:c r="I412" s="46" t="n">
        <x:f>'Paths'!$W$11</x:f>
        <x:v>0.88</x:v>
      </x:c>
      <x:c r="J412" s="47" t="n">
        <x:f>IF(D412&lt;E412,0,MIN(F412*G412*H412*I412,IF('Paths'!$T$11&gt;0,MAX(0,'Paths'!$T$11-K411),1000000000)))</x:f>
        <x:v>21120</x:v>
      </x:c>
      <x:c r="K412" s="47" t="n">
        <x:f>K411+J412</x:f>
        <x:v>714912</x:v>
      </x:c>
      <x:c r="L412" s="46" t="n">
        <x:f>IF(C412="P0",1,IF(D412&lt;=3,0.8,IF(D412&lt;=14,0.65,IF(D412&lt;=45,0.5,0.3))))</x:f>
        <x:v>0.5</x:v>
      </x:c>
      <x:c r="M412" s="47" t="n">
        <x:f>J412*L412</x:f>
        <x:v>10560</x:v>
      </x:c>
      <x:c r="N412" s="47" t="n">
        <x:f>N411+M412</x:f>
        <x:v>387446.4</x:v>
      </x:c>
      <x:c r="O412" s="46" t="n">
        <x:f>IF(C412="P0",0,IF(D412&lt;=3,0.15,IF(D412&lt;=14,0.25,IF(D412&lt;=45,0.35,0.5))))</x:f>
        <x:v>0.35</x:v>
      </x:c>
      <x:c r="P412" s="47" t="n">
        <x:f>J412*O412</x:f>
        <x:v>7391.999999999999</x:v>
      </x:c>
      <x:c r="Q412" s="46" t="n">
        <x:f>IF(C412="P0",0,IF(D412&lt;=3,0.05,IF(D412&lt;=14,0.1,IF(D412&lt;=45,0.15,0.2))))</x:f>
        <x:v>0.15</x:v>
      </x:c>
      <x:c r="R412" s="47" t="n">
        <x:f>J412*Q412</x:f>
        <x:v>3168</x:v>
      </x:c>
      <x:c r="S412" s="20" t="str">
        <x:f>IF(D412&lt;E412,"closed",IF(D412&lt;'Paths'!$N$11,"initial","expanded"))</x:f>
        <x:v>expanded</x:v>
      </x:c>
      <x:c r="T412" s="72"/>
    </x:row>
    <x:row r="413">
      <x:c r="C413" s="20" t="str">
        <x:v>P4</x:v>
      </x:c>
      <x:c r="D413" s="20" t="n">
        <x:v>42</x:v>
      </x:c>
      <x:c r="E413" s="45" t="n">
        <x:f>IF('Controls'!$D$7="Reference",'Paths'!$J$11,'Paths'!$K$11)</x:f>
        <x:v>3</x:v>
      </x:c>
      <x:c r="F413" s="47" t="n">
        <x:f>IF(D413&lt;'Paths'!$N$11,IF('Controls'!$D$7="Reference",'Paths'!$L$11,'Paths'!$M$11),IF('Controls'!$D$7="Reference",'Paths'!$O$11,'Paths'!$P$11))</x:f>
        <x:v>24000</x:v>
      </x:c>
      <x:c r="G413" s="46" t="n">
        <x:f>IF('Controls'!$D$7="Reference",1,IF(OR(D413=6,D413=7,D413=21,D413=46),'Paths'!$U$11,1))</x:f>
        <x:v>1</x:v>
      </x:c>
      <x:c r="H413" s="46" t="n">
        <x:f>IF('Controls'!$D$7="Reference",1,IF(OR(AND(D413&gt;=14,D413&lt;=16),AND(D413&gt;=34,D413&lt;=35),AND(D413&gt;=61,D413&lt;=63)),'Paths'!$V$11,1))</x:f>
        <x:v>1</x:v>
      </x:c>
      <x:c r="I413" s="46" t="n">
        <x:f>'Paths'!$W$11</x:f>
        <x:v>0.88</x:v>
      </x:c>
      <x:c r="J413" s="47" t="n">
        <x:f>IF(D413&lt;E413,0,MIN(F413*G413*H413*I413,IF('Paths'!$T$11&gt;0,MAX(0,'Paths'!$T$11-K412),1000000000)))</x:f>
        <x:v>21120</x:v>
      </x:c>
      <x:c r="K413" s="47" t="n">
        <x:f>K412+J413</x:f>
        <x:v>736032</x:v>
      </x:c>
      <x:c r="L413" s="46" t="n">
        <x:f>IF(C413="P0",1,IF(D413&lt;=3,0.8,IF(D413&lt;=14,0.65,IF(D413&lt;=45,0.5,0.3))))</x:f>
        <x:v>0.5</x:v>
      </x:c>
      <x:c r="M413" s="47" t="n">
        <x:f>J413*L413</x:f>
        <x:v>10560</x:v>
      </x:c>
      <x:c r="N413" s="47" t="n">
        <x:f>N412+M413</x:f>
        <x:v>398006.4</x:v>
      </x:c>
      <x:c r="O413" s="46" t="n">
        <x:f>IF(C413="P0",0,IF(D413&lt;=3,0.15,IF(D413&lt;=14,0.25,IF(D413&lt;=45,0.35,0.5))))</x:f>
        <x:v>0.35</x:v>
      </x:c>
      <x:c r="P413" s="47" t="n">
        <x:f>J413*O413</x:f>
        <x:v>7391.999999999999</x:v>
      </x:c>
      <x:c r="Q413" s="46" t="n">
        <x:f>IF(C413="P0",0,IF(D413&lt;=3,0.05,IF(D413&lt;=14,0.1,IF(D413&lt;=45,0.15,0.2))))</x:f>
        <x:v>0.15</x:v>
      </x:c>
      <x:c r="R413" s="47" t="n">
        <x:f>J413*Q413</x:f>
        <x:v>3168</x:v>
      </x:c>
      <x:c r="S413" s="20" t="str">
        <x:f>IF(D413&lt;E413,"closed",IF(D413&lt;'Paths'!$N$11,"initial","expanded"))</x:f>
        <x:v>expanded</x:v>
      </x:c>
      <x:c r="T413" s="72"/>
    </x:row>
    <x:row r="414">
      <x:c r="C414" s="20" t="str">
        <x:v>P4</x:v>
      </x:c>
      <x:c r="D414" s="20" t="n">
        <x:v>43</x:v>
      </x:c>
      <x:c r="E414" s="45" t="n">
        <x:f>IF('Controls'!$D$7="Reference",'Paths'!$J$11,'Paths'!$K$11)</x:f>
        <x:v>3</x:v>
      </x:c>
      <x:c r="F414" s="47" t="n">
        <x:f>IF(D414&lt;'Paths'!$N$11,IF('Controls'!$D$7="Reference",'Paths'!$L$11,'Paths'!$M$11),IF('Controls'!$D$7="Reference",'Paths'!$O$11,'Paths'!$P$11))</x:f>
        <x:v>24000</x:v>
      </x:c>
      <x:c r="G414" s="46" t="n">
        <x:f>IF('Controls'!$D$7="Reference",1,IF(OR(D414=6,D414=7,D414=21,D414=46),'Paths'!$U$11,1))</x:f>
        <x:v>1</x:v>
      </x:c>
      <x:c r="H414" s="46" t="n">
        <x:f>IF('Controls'!$D$7="Reference",1,IF(OR(AND(D414&gt;=14,D414&lt;=16),AND(D414&gt;=34,D414&lt;=35),AND(D414&gt;=61,D414&lt;=63)),'Paths'!$V$11,1))</x:f>
        <x:v>1</x:v>
      </x:c>
      <x:c r="I414" s="46" t="n">
        <x:f>'Paths'!$W$11</x:f>
        <x:v>0.88</x:v>
      </x:c>
      <x:c r="J414" s="47" t="n">
        <x:f>IF(D414&lt;E414,0,MIN(F414*G414*H414*I414,IF('Paths'!$T$11&gt;0,MAX(0,'Paths'!$T$11-K413),1000000000)))</x:f>
        <x:v>21120</x:v>
      </x:c>
      <x:c r="K414" s="47" t="n">
        <x:f>K413+J414</x:f>
        <x:v>757152</x:v>
      </x:c>
      <x:c r="L414" s="46" t="n">
        <x:f>IF(C414="P0",1,IF(D414&lt;=3,0.8,IF(D414&lt;=14,0.65,IF(D414&lt;=45,0.5,0.3))))</x:f>
        <x:v>0.5</x:v>
      </x:c>
      <x:c r="M414" s="47" t="n">
        <x:f>J414*L414</x:f>
        <x:v>10560</x:v>
      </x:c>
      <x:c r="N414" s="47" t="n">
        <x:f>N413+M414</x:f>
        <x:v>408566.4</x:v>
      </x:c>
      <x:c r="O414" s="46" t="n">
        <x:f>IF(C414="P0",0,IF(D414&lt;=3,0.15,IF(D414&lt;=14,0.25,IF(D414&lt;=45,0.35,0.5))))</x:f>
        <x:v>0.35</x:v>
      </x:c>
      <x:c r="P414" s="47" t="n">
        <x:f>J414*O414</x:f>
        <x:v>7391.999999999999</x:v>
      </x:c>
      <x:c r="Q414" s="46" t="n">
        <x:f>IF(C414="P0",0,IF(D414&lt;=3,0.05,IF(D414&lt;=14,0.1,IF(D414&lt;=45,0.15,0.2))))</x:f>
        <x:v>0.15</x:v>
      </x:c>
      <x:c r="R414" s="47" t="n">
        <x:f>J414*Q414</x:f>
        <x:v>3168</x:v>
      </x:c>
      <x:c r="S414" s="20" t="str">
        <x:f>IF(D414&lt;E414,"closed",IF(D414&lt;'Paths'!$N$11,"initial","expanded"))</x:f>
        <x:v>expanded</x:v>
      </x:c>
      <x:c r="T414" s="72"/>
    </x:row>
    <x:row r="415">
      <x:c r="C415" s="20" t="str">
        <x:v>P4</x:v>
      </x:c>
      <x:c r="D415" s="20" t="n">
        <x:v>44</x:v>
      </x:c>
      <x:c r="E415" s="45" t="n">
        <x:f>IF('Controls'!$D$7="Reference",'Paths'!$J$11,'Paths'!$K$11)</x:f>
        <x:v>3</x:v>
      </x:c>
      <x:c r="F415" s="47" t="n">
        <x:f>IF(D415&lt;'Paths'!$N$11,IF('Controls'!$D$7="Reference",'Paths'!$L$11,'Paths'!$M$11),IF('Controls'!$D$7="Reference",'Paths'!$O$11,'Paths'!$P$11))</x:f>
        <x:v>24000</x:v>
      </x:c>
      <x:c r="G415" s="46" t="n">
        <x:f>IF('Controls'!$D$7="Reference",1,IF(OR(D415=6,D415=7,D415=21,D415=46),'Paths'!$U$11,1))</x:f>
        <x:v>1</x:v>
      </x:c>
      <x:c r="H415" s="46" t="n">
        <x:f>IF('Controls'!$D$7="Reference",1,IF(OR(AND(D415&gt;=14,D415&lt;=16),AND(D415&gt;=34,D415&lt;=35),AND(D415&gt;=61,D415&lt;=63)),'Paths'!$V$11,1))</x:f>
        <x:v>1</x:v>
      </x:c>
      <x:c r="I415" s="46" t="n">
        <x:f>'Paths'!$W$11</x:f>
        <x:v>0.88</x:v>
      </x:c>
      <x:c r="J415" s="47" t="n">
        <x:f>IF(D415&lt;E415,0,MIN(F415*G415*H415*I415,IF('Paths'!$T$11&gt;0,MAX(0,'Paths'!$T$11-K414),1000000000)))</x:f>
        <x:v>21120</x:v>
      </x:c>
      <x:c r="K415" s="47" t="n">
        <x:f>K414+J415</x:f>
        <x:v>778272</x:v>
      </x:c>
      <x:c r="L415" s="46" t="n">
        <x:f>IF(C415="P0",1,IF(D415&lt;=3,0.8,IF(D415&lt;=14,0.65,IF(D415&lt;=45,0.5,0.3))))</x:f>
        <x:v>0.5</x:v>
      </x:c>
      <x:c r="M415" s="47" t="n">
        <x:f>J415*L415</x:f>
        <x:v>10560</x:v>
      </x:c>
      <x:c r="N415" s="47" t="n">
        <x:f>N414+M415</x:f>
        <x:v>419126.4</x:v>
      </x:c>
      <x:c r="O415" s="46" t="n">
        <x:f>IF(C415="P0",0,IF(D415&lt;=3,0.15,IF(D415&lt;=14,0.25,IF(D415&lt;=45,0.35,0.5))))</x:f>
        <x:v>0.35</x:v>
      </x:c>
      <x:c r="P415" s="47" t="n">
        <x:f>J415*O415</x:f>
        <x:v>7391.999999999999</x:v>
      </x:c>
      <x:c r="Q415" s="46" t="n">
        <x:f>IF(C415="P0",0,IF(D415&lt;=3,0.05,IF(D415&lt;=14,0.1,IF(D415&lt;=45,0.15,0.2))))</x:f>
        <x:v>0.15</x:v>
      </x:c>
      <x:c r="R415" s="47" t="n">
        <x:f>J415*Q415</x:f>
        <x:v>3168</x:v>
      </x:c>
      <x:c r="S415" s="20" t="str">
        <x:f>IF(D415&lt;E415,"closed",IF(D415&lt;'Paths'!$N$11,"initial","expanded"))</x:f>
        <x:v>expanded</x:v>
      </x:c>
      <x:c r="T415" s="72"/>
    </x:row>
    <x:row r="416">
      <x:c r="C416" s="20" t="str">
        <x:v>P4</x:v>
      </x:c>
      <x:c r="D416" s="20" t="n">
        <x:v>45</x:v>
      </x:c>
      <x:c r="E416" s="45" t="n">
        <x:f>IF('Controls'!$D$7="Reference",'Paths'!$J$11,'Paths'!$K$11)</x:f>
        <x:v>3</x:v>
      </x:c>
      <x:c r="F416" s="47" t="n">
        <x:f>IF(D416&lt;'Paths'!$N$11,IF('Controls'!$D$7="Reference",'Paths'!$L$11,'Paths'!$M$11),IF('Controls'!$D$7="Reference",'Paths'!$O$11,'Paths'!$P$11))</x:f>
        <x:v>24000</x:v>
      </x:c>
      <x:c r="G416" s="46" t="n">
        <x:f>IF('Controls'!$D$7="Reference",1,IF(OR(D416=6,D416=7,D416=21,D416=46),'Paths'!$U$11,1))</x:f>
        <x:v>1</x:v>
      </x:c>
      <x:c r="H416" s="46" t="n">
        <x:f>IF('Controls'!$D$7="Reference",1,IF(OR(AND(D416&gt;=14,D416&lt;=16),AND(D416&gt;=34,D416&lt;=35),AND(D416&gt;=61,D416&lt;=63)),'Paths'!$V$11,1))</x:f>
        <x:v>1</x:v>
      </x:c>
      <x:c r="I416" s="46" t="n">
        <x:f>'Paths'!$W$11</x:f>
        <x:v>0.88</x:v>
      </x:c>
      <x:c r="J416" s="47" t="n">
        <x:f>IF(D416&lt;E416,0,MIN(F416*G416*H416*I416,IF('Paths'!$T$11&gt;0,MAX(0,'Paths'!$T$11-K415),1000000000)))</x:f>
        <x:v>21120</x:v>
      </x:c>
      <x:c r="K416" s="47" t="n">
        <x:f>K415+J416</x:f>
        <x:v>799392</x:v>
      </x:c>
      <x:c r="L416" s="46" t="n">
        <x:f>IF(C416="P0",1,IF(D416&lt;=3,0.8,IF(D416&lt;=14,0.65,IF(D416&lt;=45,0.5,0.3))))</x:f>
        <x:v>0.5</x:v>
      </x:c>
      <x:c r="M416" s="47" t="n">
        <x:f>J416*L416</x:f>
        <x:v>10560</x:v>
      </x:c>
      <x:c r="N416" s="47" t="n">
        <x:f>N415+M416</x:f>
        <x:v>429686.4</x:v>
      </x:c>
      <x:c r="O416" s="46" t="n">
        <x:f>IF(C416="P0",0,IF(D416&lt;=3,0.15,IF(D416&lt;=14,0.25,IF(D416&lt;=45,0.35,0.5))))</x:f>
        <x:v>0.35</x:v>
      </x:c>
      <x:c r="P416" s="47" t="n">
        <x:f>J416*O416</x:f>
        <x:v>7391.999999999999</x:v>
      </x:c>
      <x:c r="Q416" s="46" t="n">
        <x:f>IF(C416="P0",0,IF(D416&lt;=3,0.05,IF(D416&lt;=14,0.1,IF(D416&lt;=45,0.15,0.2))))</x:f>
        <x:v>0.15</x:v>
      </x:c>
      <x:c r="R416" s="47" t="n">
        <x:f>J416*Q416</x:f>
        <x:v>3168</x:v>
      </x:c>
      <x:c r="S416" s="20" t="str">
        <x:f>IF(D416&lt;E416,"closed",IF(D416&lt;'Paths'!$N$11,"initial","expanded"))</x:f>
        <x:v>expanded</x:v>
      </x:c>
      <x:c r="T416" s="72"/>
    </x:row>
    <x:row r="417">
      <x:c r="C417" s="20" t="str">
        <x:v>P4</x:v>
      </x:c>
      <x:c r="D417" s="20" t="n">
        <x:v>46</x:v>
      </x:c>
      <x:c r="E417" s="45" t="n">
        <x:f>IF('Controls'!$D$7="Reference",'Paths'!$J$11,'Paths'!$K$11)</x:f>
        <x:v>3</x:v>
      </x:c>
      <x:c r="F417" s="47" t="n">
        <x:f>IF(D417&lt;'Paths'!$N$11,IF('Controls'!$D$7="Reference",'Paths'!$L$11,'Paths'!$M$11),IF('Controls'!$D$7="Reference",'Paths'!$O$11,'Paths'!$P$11))</x:f>
        <x:v>24000</x:v>
      </x:c>
      <x:c r="G417" s="46" t="n">
        <x:f>IF('Controls'!$D$7="Reference",1,IF(OR(D417=6,D417=7,D417=21,D417=46),'Paths'!$U$11,1))</x:f>
        <x:v>0.65</x:v>
      </x:c>
      <x:c r="H417" s="46" t="n">
        <x:f>IF('Controls'!$D$7="Reference",1,IF(OR(AND(D417&gt;=14,D417&lt;=16),AND(D417&gt;=34,D417&lt;=35),AND(D417&gt;=61,D417&lt;=63)),'Paths'!$V$11,1))</x:f>
        <x:v>1</x:v>
      </x:c>
      <x:c r="I417" s="46" t="n">
        <x:f>'Paths'!$W$11</x:f>
        <x:v>0.88</x:v>
      </x:c>
      <x:c r="J417" s="47" t="n">
        <x:f>IF(D417&lt;E417,0,MIN(F417*G417*H417*I417,IF('Paths'!$T$11&gt;0,MAX(0,'Paths'!$T$11-K416),1000000000)))</x:f>
        <x:v>13728</x:v>
      </x:c>
      <x:c r="K417" s="47" t="n">
        <x:f>K416+J417</x:f>
        <x:v>813120</x:v>
      </x:c>
      <x:c r="L417" s="46" t="n">
        <x:f>IF(C417="P0",1,IF(D417&lt;=3,0.8,IF(D417&lt;=14,0.65,IF(D417&lt;=45,0.5,0.3))))</x:f>
        <x:v>0.3</x:v>
      </x:c>
      <x:c r="M417" s="47" t="n">
        <x:f>J417*L417</x:f>
        <x:v>4118.4</x:v>
      </x:c>
      <x:c r="N417" s="47" t="n">
        <x:f>N416+M417</x:f>
        <x:v>433804.80000000005</x:v>
      </x:c>
      <x:c r="O417" s="46" t="n">
        <x:f>IF(C417="P0",0,IF(D417&lt;=3,0.15,IF(D417&lt;=14,0.25,IF(D417&lt;=45,0.35,0.5))))</x:f>
        <x:v>0.5</x:v>
      </x:c>
      <x:c r="P417" s="47" t="n">
        <x:f>J417*O417</x:f>
        <x:v>6864</x:v>
      </x:c>
      <x:c r="Q417" s="46" t="n">
        <x:f>IF(C417="P0",0,IF(D417&lt;=3,0.05,IF(D417&lt;=14,0.1,IF(D417&lt;=45,0.15,0.2))))</x:f>
        <x:v>0.2</x:v>
      </x:c>
      <x:c r="R417" s="47" t="n">
        <x:f>J417*Q417</x:f>
        <x:v>2745.6000000000004</x:v>
      </x:c>
      <x:c r="S417" s="20" t="str">
        <x:f>IF(D417&lt;E417,"closed",IF(D417&lt;'Paths'!$N$11,"initial","expanded"))</x:f>
        <x:v>expanded</x:v>
      </x:c>
      <x:c r="T417" s="72"/>
    </x:row>
    <x:row r="418">
      <x:c r="C418" s="20" t="str">
        <x:v>P4</x:v>
      </x:c>
      <x:c r="D418" s="20" t="n">
        <x:v>47</x:v>
      </x:c>
      <x:c r="E418" s="45" t="n">
        <x:f>IF('Controls'!$D$7="Reference",'Paths'!$J$11,'Paths'!$K$11)</x:f>
        <x:v>3</x:v>
      </x:c>
      <x:c r="F418" s="47" t="n">
        <x:f>IF(D418&lt;'Paths'!$N$11,IF('Controls'!$D$7="Reference",'Paths'!$L$11,'Paths'!$M$11),IF('Controls'!$D$7="Reference",'Paths'!$O$11,'Paths'!$P$11))</x:f>
        <x:v>24000</x:v>
      </x:c>
      <x:c r="G418" s="46" t="n">
        <x:f>IF('Controls'!$D$7="Reference",1,IF(OR(D418=6,D418=7,D418=21,D418=46),'Paths'!$U$11,1))</x:f>
        <x:v>1</x:v>
      </x:c>
      <x:c r="H418" s="46" t="n">
        <x:f>IF('Controls'!$D$7="Reference",1,IF(OR(AND(D418&gt;=14,D418&lt;=16),AND(D418&gt;=34,D418&lt;=35),AND(D418&gt;=61,D418&lt;=63)),'Paths'!$V$11,1))</x:f>
        <x:v>1</x:v>
      </x:c>
      <x:c r="I418" s="46" t="n">
        <x:f>'Paths'!$W$11</x:f>
        <x:v>0.88</x:v>
      </x:c>
      <x:c r="J418" s="47" t="n">
        <x:f>IF(D418&lt;E418,0,MIN(F418*G418*H418*I418,IF('Paths'!$T$11&gt;0,MAX(0,'Paths'!$T$11-K417),1000000000)))</x:f>
        <x:v>21120</x:v>
      </x:c>
      <x:c r="K418" s="47" t="n">
        <x:f>K417+J418</x:f>
        <x:v>834240</x:v>
      </x:c>
      <x:c r="L418" s="46" t="n">
        <x:f>IF(C418="P0",1,IF(D418&lt;=3,0.8,IF(D418&lt;=14,0.65,IF(D418&lt;=45,0.5,0.3))))</x:f>
        <x:v>0.3</x:v>
      </x:c>
      <x:c r="M418" s="47" t="n">
        <x:f>J418*L418</x:f>
        <x:v>6336</x:v>
      </x:c>
      <x:c r="N418" s="47" t="n">
        <x:f>N417+M418</x:f>
        <x:v>440140.80000000005</x:v>
      </x:c>
      <x:c r="O418" s="46" t="n">
        <x:f>IF(C418="P0",0,IF(D418&lt;=3,0.15,IF(D418&lt;=14,0.25,IF(D418&lt;=45,0.35,0.5))))</x:f>
        <x:v>0.5</x:v>
      </x:c>
      <x:c r="P418" s="47" t="n">
        <x:f>J418*O418</x:f>
        <x:v>10560</x:v>
      </x:c>
      <x:c r="Q418" s="46" t="n">
        <x:f>IF(C418="P0",0,IF(D418&lt;=3,0.05,IF(D418&lt;=14,0.1,IF(D418&lt;=45,0.15,0.2))))</x:f>
        <x:v>0.2</x:v>
      </x:c>
      <x:c r="R418" s="47" t="n">
        <x:f>J418*Q418</x:f>
        <x:v>4224</x:v>
      </x:c>
      <x:c r="S418" s="20" t="str">
        <x:f>IF(D418&lt;E418,"closed",IF(D418&lt;'Paths'!$N$11,"initial","expanded"))</x:f>
        <x:v>expanded</x:v>
      </x:c>
      <x:c r="T418" s="72"/>
    </x:row>
    <x:row r="419">
      <x:c r="C419" s="20" t="str">
        <x:v>P4</x:v>
      </x:c>
      <x:c r="D419" s="20" t="n">
        <x:v>48</x:v>
      </x:c>
      <x:c r="E419" s="45" t="n">
        <x:f>IF('Controls'!$D$7="Reference",'Paths'!$J$11,'Paths'!$K$11)</x:f>
        <x:v>3</x:v>
      </x:c>
      <x:c r="F419" s="47" t="n">
        <x:f>IF(D419&lt;'Paths'!$N$11,IF('Controls'!$D$7="Reference",'Paths'!$L$11,'Paths'!$M$11),IF('Controls'!$D$7="Reference",'Paths'!$O$11,'Paths'!$P$11))</x:f>
        <x:v>24000</x:v>
      </x:c>
      <x:c r="G419" s="46" t="n">
        <x:f>IF('Controls'!$D$7="Reference",1,IF(OR(D419=6,D419=7,D419=21,D419=46),'Paths'!$U$11,1))</x:f>
        <x:v>1</x:v>
      </x:c>
      <x:c r="H419" s="46" t="n">
        <x:f>IF('Controls'!$D$7="Reference",1,IF(OR(AND(D419&gt;=14,D419&lt;=16),AND(D419&gt;=34,D419&lt;=35),AND(D419&gt;=61,D419&lt;=63)),'Paths'!$V$11,1))</x:f>
        <x:v>1</x:v>
      </x:c>
      <x:c r="I419" s="46" t="n">
        <x:f>'Paths'!$W$11</x:f>
        <x:v>0.88</x:v>
      </x:c>
      <x:c r="J419" s="47" t="n">
        <x:f>IF(D419&lt;E419,0,MIN(F419*G419*H419*I419,IF('Paths'!$T$11&gt;0,MAX(0,'Paths'!$T$11-K418),1000000000)))</x:f>
        <x:v>21120</x:v>
      </x:c>
      <x:c r="K419" s="47" t="n">
        <x:f>K418+J419</x:f>
        <x:v>855360</x:v>
      </x:c>
      <x:c r="L419" s="46" t="n">
        <x:f>IF(C419="P0",1,IF(D419&lt;=3,0.8,IF(D419&lt;=14,0.65,IF(D419&lt;=45,0.5,0.3))))</x:f>
        <x:v>0.3</x:v>
      </x:c>
      <x:c r="M419" s="47" t="n">
        <x:f>J419*L419</x:f>
        <x:v>6336</x:v>
      </x:c>
      <x:c r="N419" s="47" t="n">
        <x:f>N418+M419</x:f>
        <x:v>446476.80000000005</x:v>
      </x:c>
      <x:c r="O419" s="46" t="n">
        <x:f>IF(C419="P0",0,IF(D419&lt;=3,0.15,IF(D419&lt;=14,0.25,IF(D419&lt;=45,0.35,0.5))))</x:f>
        <x:v>0.5</x:v>
      </x:c>
      <x:c r="P419" s="47" t="n">
        <x:f>J419*O419</x:f>
        <x:v>10560</x:v>
      </x:c>
      <x:c r="Q419" s="46" t="n">
        <x:f>IF(C419="P0",0,IF(D419&lt;=3,0.05,IF(D419&lt;=14,0.1,IF(D419&lt;=45,0.15,0.2))))</x:f>
        <x:v>0.2</x:v>
      </x:c>
      <x:c r="R419" s="47" t="n">
        <x:f>J419*Q419</x:f>
        <x:v>4224</x:v>
      </x:c>
      <x:c r="S419" s="20" t="str">
        <x:f>IF(D419&lt;E419,"closed",IF(D419&lt;'Paths'!$N$11,"initial","expanded"))</x:f>
        <x:v>expanded</x:v>
      </x:c>
      <x:c r="T419" s="72"/>
    </x:row>
    <x:row r="420">
      <x:c r="C420" s="20" t="str">
        <x:v>P4</x:v>
      </x:c>
      <x:c r="D420" s="20" t="n">
        <x:v>49</x:v>
      </x:c>
      <x:c r="E420" s="45" t="n">
        <x:f>IF('Controls'!$D$7="Reference",'Paths'!$J$11,'Paths'!$K$11)</x:f>
        <x:v>3</x:v>
      </x:c>
      <x:c r="F420" s="47" t="n">
        <x:f>IF(D420&lt;'Paths'!$N$11,IF('Controls'!$D$7="Reference",'Paths'!$L$11,'Paths'!$M$11),IF('Controls'!$D$7="Reference",'Paths'!$O$11,'Paths'!$P$11))</x:f>
        <x:v>24000</x:v>
      </x:c>
      <x:c r="G420" s="46" t="n">
        <x:f>IF('Controls'!$D$7="Reference",1,IF(OR(D420=6,D420=7,D420=21,D420=46),'Paths'!$U$11,1))</x:f>
        <x:v>1</x:v>
      </x:c>
      <x:c r="H420" s="46" t="n">
        <x:f>IF('Controls'!$D$7="Reference",1,IF(OR(AND(D420&gt;=14,D420&lt;=16),AND(D420&gt;=34,D420&lt;=35),AND(D420&gt;=61,D420&lt;=63)),'Paths'!$V$11,1))</x:f>
        <x:v>1</x:v>
      </x:c>
      <x:c r="I420" s="46" t="n">
        <x:f>'Paths'!$W$11</x:f>
        <x:v>0.88</x:v>
      </x:c>
      <x:c r="J420" s="47" t="n">
        <x:f>IF(D420&lt;E420,0,MIN(F420*G420*H420*I420,IF('Paths'!$T$11&gt;0,MAX(0,'Paths'!$T$11-K419),1000000000)))</x:f>
        <x:v>21120</x:v>
      </x:c>
      <x:c r="K420" s="47" t="n">
        <x:f>K419+J420</x:f>
        <x:v>876480</x:v>
      </x:c>
      <x:c r="L420" s="46" t="n">
        <x:f>IF(C420="P0",1,IF(D420&lt;=3,0.8,IF(D420&lt;=14,0.65,IF(D420&lt;=45,0.5,0.3))))</x:f>
        <x:v>0.3</x:v>
      </x:c>
      <x:c r="M420" s="47" t="n">
        <x:f>J420*L420</x:f>
        <x:v>6336</x:v>
      </x:c>
      <x:c r="N420" s="47" t="n">
        <x:f>N419+M420</x:f>
        <x:v>452812.80000000005</x:v>
      </x:c>
      <x:c r="O420" s="46" t="n">
        <x:f>IF(C420="P0",0,IF(D420&lt;=3,0.15,IF(D420&lt;=14,0.25,IF(D420&lt;=45,0.35,0.5))))</x:f>
        <x:v>0.5</x:v>
      </x:c>
      <x:c r="P420" s="47" t="n">
        <x:f>J420*O420</x:f>
        <x:v>10560</x:v>
      </x:c>
      <x:c r="Q420" s="46" t="n">
        <x:f>IF(C420="P0",0,IF(D420&lt;=3,0.05,IF(D420&lt;=14,0.1,IF(D420&lt;=45,0.15,0.2))))</x:f>
        <x:v>0.2</x:v>
      </x:c>
      <x:c r="R420" s="47" t="n">
        <x:f>J420*Q420</x:f>
        <x:v>4224</x:v>
      </x:c>
      <x:c r="S420" s="20" t="str">
        <x:f>IF(D420&lt;E420,"closed",IF(D420&lt;'Paths'!$N$11,"initial","expanded"))</x:f>
        <x:v>expanded</x:v>
      </x:c>
      <x:c r="T420" s="72"/>
    </x:row>
    <x:row r="421">
      <x:c r="C421" s="20" t="str">
        <x:v>P4</x:v>
      </x:c>
      <x:c r="D421" s="20" t="n">
        <x:v>50</x:v>
      </x:c>
      <x:c r="E421" s="45" t="n">
        <x:f>IF('Controls'!$D$7="Reference",'Paths'!$J$11,'Paths'!$K$11)</x:f>
        <x:v>3</x:v>
      </x:c>
      <x:c r="F421" s="47" t="n">
        <x:f>IF(D421&lt;'Paths'!$N$11,IF('Controls'!$D$7="Reference",'Paths'!$L$11,'Paths'!$M$11),IF('Controls'!$D$7="Reference",'Paths'!$O$11,'Paths'!$P$11))</x:f>
        <x:v>24000</x:v>
      </x:c>
      <x:c r="G421" s="46" t="n">
        <x:f>IF('Controls'!$D$7="Reference",1,IF(OR(D421=6,D421=7,D421=21,D421=46),'Paths'!$U$11,1))</x:f>
        <x:v>1</x:v>
      </x:c>
      <x:c r="H421" s="46" t="n">
        <x:f>IF('Controls'!$D$7="Reference",1,IF(OR(AND(D421&gt;=14,D421&lt;=16),AND(D421&gt;=34,D421&lt;=35),AND(D421&gt;=61,D421&lt;=63)),'Paths'!$V$11,1))</x:f>
        <x:v>1</x:v>
      </x:c>
      <x:c r="I421" s="46" t="n">
        <x:f>'Paths'!$W$11</x:f>
        <x:v>0.88</x:v>
      </x:c>
      <x:c r="J421" s="47" t="n">
        <x:f>IF(D421&lt;E421,0,MIN(F421*G421*H421*I421,IF('Paths'!$T$11&gt;0,MAX(0,'Paths'!$T$11-K420),1000000000)))</x:f>
        <x:v>21120</x:v>
      </x:c>
      <x:c r="K421" s="47" t="n">
        <x:f>K420+J421</x:f>
        <x:v>897600</x:v>
      </x:c>
      <x:c r="L421" s="46" t="n">
        <x:f>IF(C421="P0",1,IF(D421&lt;=3,0.8,IF(D421&lt;=14,0.65,IF(D421&lt;=45,0.5,0.3))))</x:f>
        <x:v>0.3</x:v>
      </x:c>
      <x:c r="M421" s="47" t="n">
        <x:f>J421*L421</x:f>
        <x:v>6336</x:v>
      </x:c>
      <x:c r="N421" s="47" t="n">
        <x:f>N420+M421</x:f>
        <x:v>459148.80000000005</x:v>
      </x:c>
      <x:c r="O421" s="46" t="n">
        <x:f>IF(C421="P0",0,IF(D421&lt;=3,0.15,IF(D421&lt;=14,0.25,IF(D421&lt;=45,0.35,0.5))))</x:f>
        <x:v>0.5</x:v>
      </x:c>
      <x:c r="P421" s="47" t="n">
        <x:f>J421*O421</x:f>
        <x:v>10560</x:v>
      </x:c>
      <x:c r="Q421" s="46" t="n">
        <x:f>IF(C421="P0",0,IF(D421&lt;=3,0.05,IF(D421&lt;=14,0.1,IF(D421&lt;=45,0.15,0.2))))</x:f>
        <x:v>0.2</x:v>
      </x:c>
      <x:c r="R421" s="47" t="n">
        <x:f>J421*Q421</x:f>
        <x:v>4224</x:v>
      </x:c>
      <x:c r="S421" s="20" t="str">
        <x:f>IF(D421&lt;E421,"closed",IF(D421&lt;'Paths'!$N$11,"initial","expanded"))</x:f>
        <x:v>expanded</x:v>
      </x:c>
      <x:c r="T421" s="72"/>
    </x:row>
    <x:row r="422">
      <x:c r="C422" s="20" t="str">
        <x:v>P4</x:v>
      </x:c>
      <x:c r="D422" s="20" t="n">
        <x:v>51</x:v>
      </x:c>
      <x:c r="E422" s="45" t="n">
        <x:f>IF('Controls'!$D$7="Reference",'Paths'!$J$11,'Paths'!$K$11)</x:f>
        <x:v>3</x:v>
      </x:c>
      <x:c r="F422" s="47" t="n">
        <x:f>IF(D422&lt;'Paths'!$N$11,IF('Controls'!$D$7="Reference",'Paths'!$L$11,'Paths'!$M$11),IF('Controls'!$D$7="Reference",'Paths'!$O$11,'Paths'!$P$11))</x:f>
        <x:v>24000</x:v>
      </x:c>
      <x:c r="G422" s="46" t="n">
        <x:f>IF('Controls'!$D$7="Reference",1,IF(OR(D422=6,D422=7,D422=21,D422=46),'Paths'!$U$11,1))</x:f>
        <x:v>1</x:v>
      </x:c>
      <x:c r="H422" s="46" t="n">
        <x:f>IF('Controls'!$D$7="Reference",1,IF(OR(AND(D422&gt;=14,D422&lt;=16),AND(D422&gt;=34,D422&lt;=35),AND(D422&gt;=61,D422&lt;=63)),'Paths'!$V$11,1))</x:f>
        <x:v>1</x:v>
      </x:c>
      <x:c r="I422" s="46" t="n">
        <x:f>'Paths'!$W$11</x:f>
        <x:v>0.88</x:v>
      </x:c>
      <x:c r="J422" s="47" t="n">
        <x:f>IF(D422&lt;E422,0,MIN(F422*G422*H422*I422,IF('Paths'!$T$11&gt;0,MAX(0,'Paths'!$T$11-K421),1000000000)))</x:f>
        <x:v>21120</x:v>
      </x:c>
      <x:c r="K422" s="47" t="n">
        <x:f>K421+J422</x:f>
        <x:v>918720</x:v>
      </x:c>
      <x:c r="L422" s="46" t="n">
        <x:f>IF(C422="P0",1,IF(D422&lt;=3,0.8,IF(D422&lt;=14,0.65,IF(D422&lt;=45,0.5,0.3))))</x:f>
        <x:v>0.3</x:v>
      </x:c>
      <x:c r="M422" s="47" t="n">
        <x:f>J422*L422</x:f>
        <x:v>6336</x:v>
      </x:c>
      <x:c r="N422" s="47" t="n">
        <x:f>N421+M422</x:f>
        <x:v>465484.80000000005</x:v>
      </x:c>
      <x:c r="O422" s="46" t="n">
        <x:f>IF(C422="P0",0,IF(D422&lt;=3,0.15,IF(D422&lt;=14,0.25,IF(D422&lt;=45,0.35,0.5))))</x:f>
        <x:v>0.5</x:v>
      </x:c>
      <x:c r="P422" s="47" t="n">
        <x:f>J422*O422</x:f>
        <x:v>10560</x:v>
      </x:c>
      <x:c r="Q422" s="46" t="n">
        <x:f>IF(C422="P0",0,IF(D422&lt;=3,0.05,IF(D422&lt;=14,0.1,IF(D422&lt;=45,0.15,0.2))))</x:f>
        <x:v>0.2</x:v>
      </x:c>
      <x:c r="R422" s="47" t="n">
        <x:f>J422*Q422</x:f>
        <x:v>4224</x:v>
      </x:c>
      <x:c r="S422" s="20" t="str">
        <x:f>IF(D422&lt;E422,"closed",IF(D422&lt;'Paths'!$N$11,"initial","expanded"))</x:f>
        <x:v>expanded</x:v>
      </x:c>
      <x:c r="T422" s="72"/>
    </x:row>
    <x:row r="423">
      <x:c r="C423" s="20" t="str">
        <x:v>P4</x:v>
      </x:c>
      <x:c r="D423" s="20" t="n">
        <x:v>52</x:v>
      </x:c>
      <x:c r="E423" s="45" t="n">
        <x:f>IF('Controls'!$D$7="Reference",'Paths'!$J$11,'Paths'!$K$11)</x:f>
        <x:v>3</x:v>
      </x:c>
      <x:c r="F423" s="47" t="n">
        <x:f>IF(D423&lt;'Paths'!$N$11,IF('Controls'!$D$7="Reference",'Paths'!$L$11,'Paths'!$M$11),IF('Controls'!$D$7="Reference",'Paths'!$O$11,'Paths'!$P$11))</x:f>
        <x:v>24000</x:v>
      </x:c>
      <x:c r="G423" s="46" t="n">
        <x:f>IF('Controls'!$D$7="Reference",1,IF(OR(D423=6,D423=7,D423=21,D423=46),'Paths'!$U$11,1))</x:f>
        <x:v>1</x:v>
      </x:c>
      <x:c r="H423" s="46" t="n">
        <x:f>IF('Controls'!$D$7="Reference",1,IF(OR(AND(D423&gt;=14,D423&lt;=16),AND(D423&gt;=34,D423&lt;=35),AND(D423&gt;=61,D423&lt;=63)),'Paths'!$V$11,1))</x:f>
        <x:v>1</x:v>
      </x:c>
      <x:c r="I423" s="46" t="n">
        <x:f>'Paths'!$W$11</x:f>
        <x:v>0.88</x:v>
      </x:c>
      <x:c r="J423" s="47" t="n">
        <x:f>IF(D423&lt;E423,0,MIN(F423*G423*H423*I423,IF('Paths'!$T$11&gt;0,MAX(0,'Paths'!$T$11-K422),1000000000)))</x:f>
        <x:v>21120</x:v>
      </x:c>
      <x:c r="K423" s="47" t="n">
        <x:f>K422+J423</x:f>
        <x:v>939840</x:v>
      </x:c>
      <x:c r="L423" s="46" t="n">
        <x:f>IF(C423="P0",1,IF(D423&lt;=3,0.8,IF(D423&lt;=14,0.65,IF(D423&lt;=45,0.5,0.3))))</x:f>
        <x:v>0.3</x:v>
      </x:c>
      <x:c r="M423" s="47" t="n">
        <x:f>J423*L423</x:f>
        <x:v>6336</x:v>
      </x:c>
      <x:c r="N423" s="47" t="n">
        <x:f>N422+M423</x:f>
        <x:v>471820.80000000005</x:v>
      </x:c>
      <x:c r="O423" s="46" t="n">
        <x:f>IF(C423="P0",0,IF(D423&lt;=3,0.15,IF(D423&lt;=14,0.25,IF(D423&lt;=45,0.35,0.5))))</x:f>
        <x:v>0.5</x:v>
      </x:c>
      <x:c r="P423" s="47" t="n">
        <x:f>J423*O423</x:f>
        <x:v>10560</x:v>
      </x:c>
      <x:c r="Q423" s="46" t="n">
        <x:f>IF(C423="P0",0,IF(D423&lt;=3,0.05,IF(D423&lt;=14,0.1,IF(D423&lt;=45,0.15,0.2))))</x:f>
        <x:v>0.2</x:v>
      </x:c>
      <x:c r="R423" s="47" t="n">
        <x:f>J423*Q423</x:f>
        <x:v>4224</x:v>
      </x:c>
      <x:c r="S423" s="20" t="str">
        <x:f>IF(D423&lt;E423,"closed",IF(D423&lt;'Paths'!$N$11,"initial","expanded"))</x:f>
        <x:v>expanded</x:v>
      </x:c>
      <x:c r="T423" s="72"/>
    </x:row>
    <x:row r="424">
      <x:c r="C424" s="20" t="str">
        <x:v>P4</x:v>
      </x:c>
      <x:c r="D424" s="20" t="n">
        <x:v>53</x:v>
      </x:c>
      <x:c r="E424" s="45" t="n">
        <x:f>IF('Controls'!$D$7="Reference",'Paths'!$J$11,'Paths'!$K$11)</x:f>
        <x:v>3</x:v>
      </x:c>
      <x:c r="F424" s="47" t="n">
        <x:f>IF(D424&lt;'Paths'!$N$11,IF('Controls'!$D$7="Reference",'Paths'!$L$11,'Paths'!$M$11),IF('Controls'!$D$7="Reference",'Paths'!$O$11,'Paths'!$P$11))</x:f>
        <x:v>24000</x:v>
      </x:c>
      <x:c r="G424" s="46" t="n">
        <x:f>IF('Controls'!$D$7="Reference",1,IF(OR(D424=6,D424=7,D424=21,D424=46),'Paths'!$U$11,1))</x:f>
        <x:v>1</x:v>
      </x:c>
      <x:c r="H424" s="46" t="n">
        <x:f>IF('Controls'!$D$7="Reference",1,IF(OR(AND(D424&gt;=14,D424&lt;=16),AND(D424&gt;=34,D424&lt;=35),AND(D424&gt;=61,D424&lt;=63)),'Paths'!$V$11,1))</x:f>
        <x:v>1</x:v>
      </x:c>
      <x:c r="I424" s="46" t="n">
        <x:f>'Paths'!$W$11</x:f>
        <x:v>0.88</x:v>
      </x:c>
      <x:c r="J424" s="47" t="n">
        <x:f>IF(D424&lt;E424,0,MIN(F424*G424*H424*I424,IF('Paths'!$T$11&gt;0,MAX(0,'Paths'!$T$11-K423),1000000000)))</x:f>
        <x:v>21120</x:v>
      </x:c>
      <x:c r="K424" s="47" t="n">
        <x:f>K423+J424</x:f>
        <x:v>960960</x:v>
      </x:c>
      <x:c r="L424" s="46" t="n">
        <x:f>IF(C424="P0",1,IF(D424&lt;=3,0.8,IF(D424&lt;=14,0.65,IF(D424&lt;=45,0.5,0.3))))</x:f>
        <x:v>0.3</x:v>
      </x:c>
      <x:c r="M424" s="47" t="n">
        <x:f>J424*L424</x:f>
        <x:v>6336</x:v>
      </x:c>
      <x:c r="N424" s="47" t="n">
        <x:f>N423+M424</x:f>
        <x:v>478156.80000000005</x:v>
      </x:c>
      <x:c r="O424" s="46" t="n">
        <x:f>IF(C424="P0",0,IF(D424&lt;=3,0.15,IF(D424&lt;=14,0.25,IF(D424&lt;=45,0.35,0.5))))</x:f>
        <x:v>0.5</x:v>
      </x:c>
      <x:c r="P424" s="47" t="n">
        <x:f>J424*O424</x:f>
        <x:v>10560</x:v>
      </x:c>
      <x:c r="Q424" s="46" t="n">
        <x:f>IF(C424="P0",0,IF(D424&lt;=3,0.05,IF(D424&lt;=14,0.1,IF(D424&lt;=45,0.15,0.2))))</x:f>
        <x:v>0.2</x:v>
      </x:c>
      <x:c r="R424" s="47" t="n">
        <x:f>J424*Q424</x:f>
        <x:v>4224</x:v>
      </x:c>
      <x:c r="S424" s="20" t="str">
        <x:f>IF(D424&lt;E424,"closed",IF(D424&lt;'Paths'!$N$11,"initial","expanded"))</x:f>
        <x:v>expanded</x:v>
      </x:c>
      <x:c r="T424" s="72"/>
    </x:row>
    <x:row r="425">
      <x:c r="C425" s="20" t="str">
        <x:v>P4</x:v>
      </x:c>
      <x:c r="D425" s="20" t="n">
        <x:v>54</x:v>
      </x:c>
      <x:c r="E425" s="45" t="n">
        <x:f>IF('Controls'!$D$7="Reference",'Paths'!$J$11,'Paths'!$K$11)</x:f>
        <x:v>3</x:v>
      </x:c>
      <x:c r="F425" s="47" t="n">
        <x:f>IF(D425&lt;'Paths'!$N$11,IF('Controls'!$D$7="Reference",'Paths'!$L$11,'Paths'!$M$11),IF('Controls'!$D$7="Reference",'Paths'!$O$11,'Paths'!$P$11))</x:f>
        <x:v>24000</x:v>
      </x:c>
      <x:c r="G425" s="46" t="n">
        <x:f>IF('Controls'!$D$7="Reference",1,IF(OR(D425=6,D425=7,D425=21,D425=46),'Paths'!$U$11,1))</x:f>
        <x:v>1</x:v>
      </x:c>
      <x:c r="H425" s="46" t="n">
        <x:f>IF('Controls'!$D$7="Reference",1,IF(OR(AND(D425&gt;=14,D425&lt;=16),AND(D425&gt;=34,D425&lt;=35),AND(D425&gt;=61,D425&lt;=63)),'Paths'!$V$11,1))</x:f>
        <x:v>1</x:v>
      </x:c>
      <x:c r="I425" s="46" t="n">
        <x:f>'Paths'!$W$11</x:f>
        <x:v>0.88</x:v>
      </x:c>
      <x:c r="J425" s="47" t="n">
        <x:f>IF(D425&lt;E425,0,MIN(F425*G425*H425*I425,IF('Paths'!$T$11&gt;0,MAX(0,'Paths'!$T$11-K424),1000000000)))</x:f>
        <x:v>21120</x:v>
      </x:c>
      <x:c r="K425" s="47" t="n">
        <x:f>K424+J425</x:f>
        <x:v>982080</x:v>
      </x:c>
      <x:c r="L425" s="46" t="n">
        <x:f>IF(C425="P0",1,IF(D425&lt;=3,0.8,IF(D425&lt;=14,0.65,IF(D425&lt;=45,0.5,0.3))))</x:f>
        <x:v>0.3</x:v>
      </x:c>
      <x:c r="M425" s="47" t="n">
        <x:f>J425*L425</x:f>
        <x:v>6336</x:v>
      </x:c>
      <x:c r="N425" s="47" t="n">
        <x:f>N424+M425</x:f>
        <x:v>484492.80000000005</x:v>
      </x:c>
      <x:c r="O425" s="46" t="n">
        <x:f>IF(C425="P0",0,IF(D425&lt;=3,0.15,IF(D425&lt;=14,0.25,IF(D425&lt;=45,0.35,0.5))))</x:f>
        <x:v>0.5</x:v>
      </x:c>
      <x:c r="P425" s="47" t="n">
        <x:f>J425*O425</x:f>
        <x:v>10560</x:v>
      </x:c>
      <x:c r="Q425" s="46" t="n">
        <x:f>IF(C425="P0",0,IF(D425&lt;=3,0.05,IF(D425&lt;=14,0.1,IF(D425&lt;=45,0.15,0.2))))</x:f>
        <x:v>0.2</x:v>
      </x:c>
      <x:c r="R425" s="47" t="n">
        <x:f>J425*Q425</x:f>
        <x:v>4224</x:v>
      </x:c>
      <x:c r="S425" s="20" t="str">
        <x:f>IF(D425&lt;E425,"closed",IF(D425&lt;'Paths'!$N$11,"initial","expanded"))</x:f>
        <x:v>expanded</x:v>
      </x:c>
      <x:c r="T425" s="72"/>
    </x:row>
    <x:row r="426">
      <x:c r="C426" s="20" t="str">
        <x:v>P4</x:v>
      </x:c>
      <x:c r="D426" s="20" t="n">
        <x:v>55</x:v>
      </x:c>
      <x:c r="E426" s="45" t="n">
        <x:f>IF('Controls'!$D$7="Reference",'Paths'!$J$11,'Paths'!$K$11)</x:f>
        <x:v>3</x:v>
      </x:c>
      <x:c r="F426" s="47" t="n">
        <x:f>IF(D426&lt;'Paths'!$N$11,IF('Controls'!$D$7="Reference",'Paths'!$L$11,'Paths'!$M$11),IF('Controls'!$D$7="Reference",'Paths'!$O$11,'Paths'!$P$11))</x:f>
        <x:v>24000</x:v>
      </x:c>
      <x:c r="G426" s="46" t="n">
        <x:f>IF('Controls'!$D$7="Reference",1,IF(OR(D426=6,D426=7,D426=21,D426=46),'Paths'!$U$11,1))</x:f>
        <x:v>1</x:v>
      </x:c>
      <x:c r="H426" s="46" t="n">
        <x:f>IF('Controls'!$D$7="Reference",1,IF(OR(AND(D426&gt;=14,D426&lt;=16),AND(D426&gt;=34,D426&lt;=35),AND(D426&gt;=61,D426&lt;=63)),'Paths'!$V$11,1))</x:f>
        <x:v>1</x:v>
      </x:c>
      <x:c r="I426" s="46" t="n">
        <x:f>'Paths'!$W$11</x:f>
        <x:v>0.88</x:v>
      </x:c>
      <x:c r="J426" s="47" t="n">
        <x:f>IF(D426&lt;E426,0,MIN(F426*G426*H426*I426,IF('Paths'!$T$11&gt;0,MAX(0,'Paths'!$T$11-K425),1000000000)))</x:f>
        <x:v>21120</x:v>
      </x:c>
      <x:c r="K426" s="47" t="n">
        <x:f>K425+J426</x:f>
        <x:v>1003200</x:v>
      </x:c>
      <x:c r="L426" s="46" t="n">
        <x:f>IF(C426="P0",1,IF(D426&lt;=3,0.8,IF(D426&lt;=14,0.65,IF(D426&lt;=45,0.5,0.3))))</x:f>
        <x:v>0.3</x:v>
      </x:c>
      <x:c r="M426" s="47" t="n">
        <x:f>J426*L426</x:f>
        <x:v>6336</x:v>
      </x:c>
      <x:c r="N426" s="47" t="n">
        <x:f>N425+M426</x:f>
        <x:v>490828.80000000005</x:v>
      </x:c>
      <x:c r="O426" s="46" t="n">
        <x:f>IF(C426="P0",0,IF(D426&lt;=3,0.15,IF(D426&lt;=14,0.25,IF(D426&lt;=45,0.35,0.5))))</x:f>
        <x:v>0.5</x:v>
      </x:c>
      <x:c r="P426" s="47" t="n">
        <x:f>J426*O426</x:f>
        <x:v>10560</x:v>
      </x:c>
      <x:c r="Q426" s="46" t="n">
        <x:f>IF(C426="P0",0,IF(D426&lt;=3,0.05,IF(D426&lt;=14,0.1,IF(D426&lt;=45,0.15,0.2))))</x:f>
        <x:v>0.2</x:v>
      </x:c>
      <x:c r="R426" s="47" t="n">
        <x:f>J426*Q426</x:f>
        <x:v>4224</x:v>
      </x:c>
      <x:c r="S426" s="20" t="str">
        <x:f>IF(D426&lt;E426,"closed",IF(D426&lt;'Paths'!$N$11,"initial","expanded"))</x:f>
        <x:v>expanded</x:v>
      </x:c>
      <x:c r="T426" s="72"/>
    </x:row>
    <x:row r="427">
      <x:c r="C427" s="20" t="str">
        <x:v>P4</x:v>
      </x:c>
      <x:c r="D427" s="20" t="n">
        <x:v>56</x:v>
      </x:c>
      <x:c r="E427" s="45" t="n">
        <x:f>IF('Controls'!$D$7="Reference",'Paths'!$J$11,'Paths'!$K$11)</x:f>
        <x:v>3</x:v>
      </x:c>
      <x:c r="F427" s="47" t="n">
        <x:f>IF(D427&lt;'Paths'!$N$11,IF('Controls'!$D$7="Reference",'Paths'!$L$11,'Paths'!$M$11),IF('Controls'!$D$7="Reference",'Paths'!$O$11,'Paths'!$P$11))</x:f>
        <x:v>24000</x:v>
      </x:c>
      <x:c r="G427" s="46" t="n">
        <x:f>IF('Controls'!$D$7="Reference",1,IF(OR(D427=6,D427=7,D427=21,D427=46),'Paths'!$U$11,1))</x:f>
        <x:v>1</x:v>
      </x:c>
      <x:c r="H427" s="46" t="n">
        <x:f>IF('Controls'!$D$7="Reference",1,IF(OR(AND(D427&gt;=14,D427&lt;=16),AND(D427&gt;=34,D427&lt;=35),AND(D427&gt;=61,D427&lt;=63)),'Paths'!$V$11,1))</x:f>
        <x:v>1</x:v>
      </x:c>
      <x:c r="I427" s="46" t="n">
        <x:f>'Paths'!$W$11</x:f>
        <x:v>0.88</x:v>
      </x:c>
      <x:c r="J427" s="47" t="n">
        <x:f>IF(D427&lt;E427,0,MIN(F427*G427*H427*I427,IF('Paths'!$T$11&gt;0,MAX(0,'Paths'!$T$11-K426),1000000000)))</x:f>
        <x:v>21120</x:v>
      </x:c>
      <x:c r="K427" s="47" t="n">
        <x:f>K426+J427</x:f>
        <x:v>1024320</x:v>
      </x:c>
      <x:c r="L427" s="46" t="n">
        <x:f>IF(C427="P0",1,IF(D427&lt;=3,0.8,IF(D427&lt;=14,0.65,IF(D427&lt;=45,0.5,0.3))))</x:f>
        <x:v>0.3</x:v>
      </x:c>
      <x:c r="M427" s="47" t="n">
        <x:f>J427*L427</x:f>
        <x:v>6336</x:v>
      </x:c>
      <x:c r="N427" s="47" t="n">
        <x:f>N426+M427</x:f>
        <x:v>497164.80000000005</x:v>
      </x:c>
      <x:c r="O427" s="46" t="n">
        <x:f>IF(C427="P0",0,IF(D427&lt;=3,0.15,IF(D427&lt;=14,0.25,IF(D427&lt;=45,0.35,0.5))))</x:f>
        <x:v>0.5</x:v>
      </x:c>
      <x:c r="P427" s="47" t="n">
        <x:f>J427*O427</x:f>
        <x:v>10560</x:v>
      </x:c>
      <x:c r="Q427" s="46" t="n">
        <x:f>IF(C427="P0",0,IF(D427&lt;=3,0.05,IF(D427&lt;=14,0.1,IF(D427&lt;=45,0.15,0.2))))</x:f>
        <x:v>0.2</x:v>
      </x:c>
      <x:c r="R427" s="47" t="n">
        <x:f>J427*Q427</x:f>
        <x:v>4224</x:v>
      </x:c>
      <x:c r="S427" s="20" t="str">
        <x:f>IF(D427&lt;E427,"closed",IF(D427&lt;'Paths'!$N$11,"initial","expanded"))</x:f>
        <x:v>expanded</x:v>
      </x:c>
      <x:c r="T427" s="72"/>
    </x:row>
    <x:row r="428">
      <x:c r="C428" s="20" t="str">
        <x:v>P4</x:v>
      </x:c>
      <x:c r="D428" s="20" t="n">
        <x:v>57</x:v>
      </x:c>
      <x:c r="E428" s="45" t="n">
        <x:f>IF('Controls'!$D$7="Reference",'Paths'!$J$11,'Paths'!$K$11)</x:f>
        <x:v>3</x:v>
      </x:c>
      <x:c r="F428" s="47" t="n">
        <x:f>IF(D428&lt;'Paths'!$N$11,IF('Controls'!$D$7="Reference",'Paths'!$L$11,'Paths'!$M$11),IF('Controls'!$D$7="Reference",'Paths'!$O$11,'Paths'!$P$11))</x:f>
        <x:v>24000</x:v>
      </x:c>
      <x:c r="G428" s="46" t="n">
        <x:f>IF('Controls'!$D$7="Reference",1,IF(OR(D428=6,D428=7,D428=21,D428=46),'Paths'!$U$11,1))</x:f>
        <x:v>1</x:v>
      </x:c>
      <x:c r="H428" s="46" t="n">
        <x:f>IF('Controls'!$D$7="Reference",1,IF(OR(AND(D428&gt;=14,D428&lt;=16),AND(D428&gt;=34,D428&lt;=35),AND(D428&gt;=61,D428&lt;=63)),'Paths'!$V$11,1))</x:f>
        <x:v>1</x:v>
      </x:c>
      <x:c r="I428" s="46" t="n">
        <x:f>'Paths'!$W$11</x:f>
        <x:v>0.88</x:v>
      </x:c>
      <x:c r="J428" s="47" t="n">
        <x:f>IF(D428&lt;E428,0,MIN(F428*G428*H428*I428,IF('Paths'!$T$11&gt;0,MAX(0,'Paths'!$T$11-K427),1000000000)))</x:f>
        <x:v>21120</x:v>
      </x:c>
      <x:c r="K428" s="47" t="n">
        <x:f>K427+J428</x:f>
        <x:v>1045440</x:v>
      </x:c>
      <x:c r="L428" s="46" t="n">
        <x:f>IF(C428="P0",1,IF(D428&lt;=3,0.8,IF(D428&lt;=14,0.65,IF(D428&lt;=45,0.5,0.3))))</x:f>
        <x:v>0.3</x:v>
      </x:c>
      <x:c r="M428" s="47" t="n">
        <x:f>J428*L428</x:f>
        <x:v>6336</x:v>
      </x:c>
      <x:c r="N428" s="47" t="n">
        <x:f>N427+M428</x:f>
        <x:v>503500.80000000005</x:v>
      </x:c>
      <x:c r="O428" s="46" t="n">
        <x:f>IF(C428="P0",0,IF(D428&lt;=3,0.15,IF(D428&lt;=14,0.25,IF(D428&lt;=45,0.35,0.5))))</x:f>
        <x:v>0.5</x:v>
      </x:c>
      <x:c r="P428" s="47" t="n">
        <x:f>J428*O428</x:f>
        <x:v>10560</x:v>
      </x:c>
      <x:c r="Q428" s="46" t="n">
        <x:f>IF(C428="P0",0,IF(D428&lt;=3,0.05,IF(D428&lt;=14,0.1,IF(D428&lt;=45,0.15,0.2))))</x:f>
        <x:v>0.2</x:v>
      </x:c>
      <x:c r="R428" s="47" t="n">
        <x:f>J428*Q428</x:f>
        <x:v>4224</x:v>
      </x:c>
      <x:c r="S428" s="20" t="str">
        <x:f>IF(D428&lt;E428,"closed",IF(D428&lt;'Paths'!$N$11,"initial","expanded"))</x:f>
        <x:v>expanded</x:v>
      </x:c>
      <x:c r="T428" s="72"/>
    </x:row>
    <x:row r="429">
      <x:c r="C429" s="20" t="str">
        <x:v>P4</x:v>
      </x:c>
      <x:c r="D429" s="20" t="n">
        <x:v>58</x:v>
      </x:c>
      <x:c r="E429" s="45" t="n">
        <x:f>IF('Controls'!$D$7="Reference",'Paths'!$J$11,'Paths'!$K$11)</x:f>
        <x:v>3</x:v>
      </x:c>
      <x:c r="F429" s="47" t="n">
        <x:f>IF(D429&lt;'Paths'!$N$11,IF('Controls'!$D$7="Reference",'Paths'!$L$11,'Paths'!$M$11),IF('Controls'!$D$7="Reference",'Paths'!$O$11,'Paths'!$P$11))</x:f>
        <x:v>24000</x:v>
      </x:c>
      <x:c r="G429" s="46" t="n">
        <x:f>IF('Controls'!$D$7="Reference",1,IF(OR(D429=6,D429=7,D429=21,D429=46),'Paths'!$U$11,1))</x:f>
        <x:v>1</x:v>
      </x:c>
      <x:c r="H429" s="46" t="n">
        <x:f>IF('Controls'!$D$7="Reference",1,IF(OR(AND(D429&gt;=14,D429&lt;=16),AND(D429&gt;=34,D429&lt;=35),AND(D429&gt;=61,D429&lt;=63)),'Paths'!$V$11,1))</x:f>
        <x:v>1</x:v>
      </x:c>
      <x:c r="I429" s="46" t="n">
        <x:f>'Paths'!$W$11</x:f>
        <x:v>0.88</x:v>
      </x:c>
      <x:c r="J429" s="47" t="n">
        <x:f>IF(D429&lt;E429,0,MIN(F429*G429*H429*I429,IF('Paths'!$T$11&gt;0,MAX(0,'Paths'!$T$11-K428),1000000000)))</x:f>
        <x:v>21120</x:v>
      </x:c>
      <x:c r="K429" s="47" t="n">
        <x:f>K428+J429</x:f>
        <x:v>1066560</x:v>
      </x:c>
      <x:c r="L429" s="46" t="n">
        <x:f>IF(C429="P0",1,IF(D429&lt;=3,0.8,IF(D429&lt;=14,0.65,IF(D429&lt;=45,0.5,0.3))))</x:f>
        <x:v>0.3</x:v>
      </x:c>
      <x:c r="M429" s="47" t="n">
        <x:f>J429*L429</x:f>
        <x:v>6336</x:v>
      </x:c>
      <x:c r="N429" s="47" t="n">
        <x:f>N428+M429</x:f>
        <x:v>509836.80000000005</x:v>
      </x:c>
      <x:c r="O429" s="46" t="n">
        <x:f>IF(C429="P0",0,IF(D429&lt;=3,0.15,IF(D429&lt;=14,0.25,IF(D429&lt;=45,0.35,0.5))))</x:f>
        <x:v>0.5</x:v>
      </x:c>
      <x:c r="P429" s="47" t="n">
        <x:f>J429*O429</x:f>
        <x:v>10560</x:v>
      </x:c>
      <x:c r="Q429" s="46" t="n">
        <x:f>IF(C429="P0",0,IF(D429&lt;=3,0.05,IF(D429&lt;=14,0.1,IF(D429&lt;=45,0.15,0.2))))</x:f>
        <x:v>0.2</x:v>
      </x:c>
      <x:c r="R429" s="47" t="n">
        <x:f>J429*Q429</x:f>
        <x:v>4224</x:v>
      </x:c>
      <x:c r="S429" s="20" t="str">
        <x:f>IF(D429&lt;E429,"closed",IF(D429&lt;'Paths'!$N$11,"initial","expanded"))</x:f>
        <x:v>expanded</x:v>
      </x:c>
      <x:c r="T429" s="72"/>
    </x:row>
    <x:row r="430">
      <x:c r="C430" s="20" t="str">
        <x:v>P4</x:v>
      </x:c>
      <x:c r="D430" s="20" t="n">
        <x:v>59</x:v>
      </x:c>
      <x:c r="E430" s="45" t="n">
        <x:f>IF('Controls'!$D$7="Reference",'Paths'!$J$11,'Paths'!$K$11)</x:f>
        <x:v>3</x:v>
      </x:c>
      <x:c r="F430" s="47" t="n">
        <x:f>IF(D430&lt;'Paths'!$N$11,IF('Controls'!$D$7="Reference",'Paths'!$L$11,'Paths'!$M$11),IF('Controls'!$D$7="Reference",'Paths'!$O$11,'Paths'!$P$11))</x:f>
        <x:v>24000</x:v>
      </x:c>
      <x:c r="G430" s="46" t="n">
        <x:f>IF('Controls'!$D$7="Reference",1,IF(OR(D430=6,D430=7,D430=21,D430=46),'Paths'!$U$11,1))</x:f>
        <x:v>1</x:v>
      </x:c>
      <x:c r="H430" s="46" t="n">
        <x:f>IF('Controls'!$D$7="Reference",1,IF(OR(AND(D430&gt;=14,D430&lt;=16),AND(D430&gt;=34,D430&lt;=35),AND(D430&gt;=61,D430&lt;=63)),'Paths'!$V$11,1))</x:f>
        <x:v>1</x:v>
      </x:c>
      <x:c r="I430" s="46" t="n">
        <x:f>'Paths'!$W$11</x:f>
        <x:v>0.88</x:v>
      </x:c>
      <x:c r="J430" s="47" t="n">
        <x:f>IF(D430&lt;E430,0,MIN(F430*G430*H430*I430,IF('Paths'!$T$11&gt;0,MAX(0,'Paths'!$T$11-K429),1000000000)))</x:f>
        <x:v>21120</x:v>
      </x:c>
      <x:c r="K430" s="47" t="n">
        <x:f>K429+J430</x:f>
        <x:v>1087680</x:v>
      </x:c>
      <x:c r="L430" s="46" t="n">
        <x:f>IF(C430="P0",1,IF(D430&lt;=3,0.8,IF(D430&lt;=14,0.65,IF(D430&lt;=45,0.5,0.3))))</x:f>
        <x:v>0.3</x:v>
      </x:c>
      <x:c r="M430" s="47" t="n">
        <x:f>J430*L430</x:f>
        <x:v>6336</x:v>
      </x:c>
      <x:c r="N430" s="47" t="n">
        <x:f>N429+M430</x:f>
        <x:v>516172.80000000005</x:v>
      </x:c>
      <x:c r="O430" s="46" t="n">
        <x:f>IF(C430="P0",0,IF(D430&lt;=3,0.15,IF(D430&lt;=14,0.25,IF(D430&lt;=45,0.35,0.5))))</x:f>
        <x:v>0.5</x:v>
      </x:c>
      <x:c r="P430" s="47" t="n">
        <x:f>J430*O430</x:f>
        <x:v>10560</x:v>
      </x:c>
      <x:c r="Q430" s="46" t="n">
        <x:f>IF(C430="P0",0,IF(D430&lt;=3,0.05,IF(D430&lt;=14,0.1,IF(D430&lt;=45,0.15,0.2))))</x:f>
        <x:v>0.2</x:v>
      </x:c>
      <x:c r="R430" s="47" t="n">
        <x:f>J430*Q430</x:f>
        <x:v>4224</x:v>
      </x:c>
      <x:c r="S430" s="20" t="str">
        <x:f>IF(D430&lt;E430,"closed",IF(D430&lt;'Paths'!$N$11,"initial","expanded"))</x:f>
        <x:v>expanded</x:v>
      </x:c>
      <x:c r="T430" s="72"/>
    </x:row>
    <x:row r="431">
      <x:c r="C431" s="20" t="str">
        <x:v>P4</x:v>
      </x:c>
      <x:c r="D431" s="20" t="n">
        <x:v>60</x:v>
      </x:c>
      <x:c r="E431" s="45" t="n">
        <x:f>IF('Controls'!$D$7="Reference",'Paths'!$J$11,'Paths'!$K$11)</x:f>
        <x:v>3</x:v>
      </x:c>
      <x:c r="F431" s="47" t="n">
        <x:f>IF(D431&lt;'Paths'!$N$11,IF('Controls'!$D$7="Reference",'Paths'!$L$11,'Paths'!$M$11),IF('Controls'!$D$7="Reference",'Paths'!$O$11,'Paths'!$P$11))</x:f>
        <x:v>24000</x:v>
      </x:c>
      <x:c r="G431" s="46" t="n">
        <x:f>IF('Controls'!$D$7="Reference",1,IF(OR(D431=6,D431=7,D431=21,D431=46),'Paths'!$U$11,1))</x:f>
        <x:v>1</x:v>
      </x:c>
      <x:c r="H431" s="46" t="n">
        <x:f>IF('Controls'!$D$7="Reference",1,IF(OR(AND(D431&gt;=14,D431&lt;=16),AND(D431&gt;=34,D431&lt;=35),AND(D431&gt;=61,D431&lt;=63)),'Paths'!$V$11,1))</x:f>
        <x:v>1</x:v>
      </x:c>
      <x:c r="I431" s="46" t="n">
        <x:f>'Paths'!$W$11</x:f>
        <x:v>0.88</x:v>
      </x:c>
      <x:c r="J431" s="47" t="n">
        <x:f>IF(D431&lt;E431,0,MIN(F431*G431*H431*I431,IF('Paths'!$T$11&gt;0,MAX(0,'Paths'!$T$11-K430),1000000000)))</x:f>
        <x:v>21120</x:v>
      </x:c>
      <x:c r="K431" s="47" t="n">
        <x:f>K430+J431</x:f>
        <x:v>1108800</x:v>
      </x:c>
      <x:c r="L431" s="46" t="n">
        <x:f>IF(C431="P0",1,IF(D431&lt;=3,0.8,IF(D431&lt;=14,0.65,IF(D431&lt;=45,0.5,0.3))))</x:f>
        <x:v>0.3</x:v>
      </x:c>
      <x:c r="M431" s="47" t="n">
        <x:f>J431*L431</x:f>
        <x:v>6336</x:v>
      </x:c>
      <x:c r="N431" s="47" t="n">
        <x:f>N430+M431</x:f>
        <x:v>522508.80000000005</x:v>
      </x:c>
      <x:c r="O431" s="46" t="n">
        <x:f>IF(C431="P0",0,IF(D431&lt;=3,0.15,IF(D431&lt;=14,0.25,IF(D431&lt;=45,0.35,0.5))))</x:f>
        <x:v>0.5</x:v>
      </x:c>
      <x:c r="P431" s="47" t="n">
        <x:f>J431*O431</x:f>
        <x:v>10560</x:v>
      </x:c>
      <x:c r="Q431" s="46" t="n">
        <x:f>IF(C431="P0",0,IF(D431&lt;=3,0.05,IF(D431&lt;=14,0.1,IF(D431&lt;=45,0.15,0.2))))</x:f>
        <x:v>0.2</x:v>
      </x:c>
      <x:c r="R431" s="47" t="n">
        <x:f>J431*Q431</x:f>
        <x:v>4224</x:v>
      </x:c>
      <x:c r="S431" s="20" t="str">
        <x:f>IF(D431&lt;E431,"closed",IF(D431&lt;'Paths'!$N$11,"initial","expanded"))</x:f>
        <x:v>expanded</x:v>
      </x:c>
      <x:c r="T431" s="72"/>
    </x:row>
    <x:row r="432">
      <x:c r="C432" s="20" t="str">
        <x:v>P4</x:v>
      </x:c>
      <x:c r="D432" s="20" t="n">
        <x:v>61</x:v>
      </x:c>
      <x:c r="E432" s="45" t="n">
        <x:f>IF('Controls'!$D$7="Reference",'Paths'!$J$11,'Paths'!$K$11)</x:f>
        <x:v>3</x:v>
      </x:c>
      <x:c r="F432" s="47" t="n">
        <x:f>IF(D432&lt;'Paths'!$N$11,IF('Controls'!$D$7="Reference",'Paths'!$L$11,'Paths'!$M$11),IF('Controls'!$D$7="Reference",'Paths'!$O$11,'Paths'!$P$11))</x:f>
        <x:v>24000</x:v>
      </x:c>
      <x:c r="G432" s="46" t="n">
        <x:f>IF('Controls'!$D$7="Reference",1,IF(OR(D432=6,D432=7,D432=21,D432=46),'Paths'!$U$11,1))</x:f>
        <x:v>1</x:v>
      </x:c>
      <x:c r="H432" s="46" t="n">
        <x:f>IF('Controls'!$D$7="Reference",1,IF(OR(AND(D432&gt;=14,D432&lt;=16),AND(D432&gt;=34,D432&lt;=35),AND(D432&gt;=61,D432&lt;=63)),'Paths'!$V$11,1))</x:f>
        <x:v>0.6</x:v>
      </x:c>
      <x:c r="I432" s="46" t="n">
        <x:f>'Paths'!$W$11</x:f>
        <x:v>0.88</x:v>
      </x:c>
      <x:c r="J432" s="47" t="n">
        <x:f>IF(D432&lt;E432,0,MIN(F432*G432*H432*I432,IF('Paths'!$T$11&gt;0,MAX(0,'Paths'!$T$11-K431),1000000000)))</x:f>
        <x:v>12672</x:v>
      </x:c>
      <x:c r="K432" s="47" t="n">
        <x:f>K431+J432</x:f>
        <x:v>1121472</x:v>
      </x:c>
      <x:c r="L432" s="46" t="n">
        <x:f>IF(C432="P0",1,IF(D432&lt;=3,0.8,IF(D432&lt;=14,0.65,IF(D432&lt;=45,0.5,0.3))))</x:f>
        <x:v>0.3</x:v>
      </x:c>
      <x:c r="M432" s="47" t="n">
        <x:f>J432*L432</x:f>
        <x:v>3801.6</x:v>
      </x:c>
      <x:c r="N432" s="47" t="n">
        <x:f>N431+M432</x:f>
        <x:v>526310.4</x:v>
      </x:c>
      <x:c r="O432" s="46" t="n">
        <x:f>IF(C432="P0",0,IF(D432&lt;=3,0.15,IF(D432&lt;=14,0.25,IF(D432&lt;=45,0.35,0.5))))</x:f>
        <x:v>0.5</x:v>
      </x:c>
      <x:c r="P432" s="47" t="n">
        <x:f>J432*O432</x:f>
        <x:v>6336</x:v>
      </x:c>
      <x:c r="Q432" s="46" t="n">
        <x:f>IF(C432="P0",0,IF(D432&lt;=3,0.05,IF(D432&lt;=14,0.1,IF(D432&lt;=45,0.15,0.2))))</x:f>
        <x:v>0.2</x:v>
      </x:c>
      <x:c r="R432" s="47" t="n">
        <x:f>J432*Q432</x:f>
        <x:v>2534.4</x:v>
      </x:c>
      <x:c r="S432" s="20" t="str">
        <x:f>IF(D432&lt;E432,"closed",IF(D432&lt;'Paths'!$N$11,"initial","expanded"))</x:f>
        <x:v>expanded</x:v>
      </x:c>
      <x:c r="T432" s="72"/>
    </x:row>
    <x:row r="433">
      <x:c r="C433" s="20" t="str">
        <x:v>P4</x:v>
      </x:c>
      <x:c r="D433" s="20" t="n">
        <x:v>62</x:v>
      </x:c>
      <x:c r="E433" s="45" t="n">
        <x:f>IF('Controls'!$D$7="Reference",'Paths'!$J$11,'Paths'!$K$11)</x:f>
        <x:v>3</x:v>
      </x:c>
      <x:c r="F433" s="47" t="n">
        <x:f>IF(D433&lt;'Paths'!$N$11,IF('Controls'!$D$7="Reference",'Paths'!$L$11,'Paths'!$M$11),IF('Controls'!$D$7="Reference",'Paths'!$O$11,'Paths'!$P$11))</x:f>
        <x:v>24000</x:v>
      </x:c>
      <x:c r="G433" s="46" t="n">
        <x:f>IF('Controls'!$D$7="Reference",1,IF(OR(D433=6,D433=7,D433=21,D433=46),'Paths'!$U$11,1))</x:f>
        <x:v>1</x:v>
      </x:c>
      <x:c r="H433" s="46" t="n">
        <x:f>IF('Controls'!$D$7="Reference",1,IF(OR(AND(D433&gt;=14,D433&lt;=16),AND(D433&gt;=34,D433&lt;=35),AND(D433&gt;=61,D433&lt;=63)),'Paths'!$V$11,1))</x:f>
        <x:v>0.6</x:v>
      </x:c>
      <x:c r="I433" s="46" t="n">
        <x:f>'Paths'!$W$11</x:f>
        <x:v>0.88</x:v>
      </x:c>
      <x:c r="J433" s="47" t="n">
        <x:f>IF(D433&lt;E433,0,MIN(F433*G433*H433*I433,IF('Paths'!$T$11&gt;0,MAX(0,'Paths'!$T$11-K432),1000000000)))</x:f>
        <x:v>12672</x:v>
      </x:c>
      <x:c r="K433" s="47" t="n">
        <x:f>K432+J433</x:f>
        <x:v>1134144</x:v>
      </x:c>
      <x:c r="L433" s="46" t="n">
        <x:f>IF(C433="P0",1,IF(D433&lt;=3,0.8,IF(D433&lt;=14,0.65,IF(D433&lt;=45,0.5,0.3))))</x:f>
        <x:v>0.3</x:v>
      </x:c>
      <x:c r="M433" s="47" t="n">
        <x:f>J433*L433</x:f>
        <x:v>3801.6</x:v>
      </x:c>
      <x:c r="N433" s="47" t="n">
        <x:f>N432+M433</x:f>
        <x:v>530112</x:v>
      </x:c>
      <x:c r="O433" s="46" t="n">
        <x:f>IF(C433="P0",0,IF(D433&lt;=3,0.15,IF(D433&lt;=14,0.25,IF(D433&lt;=45,0.35,0.5))))</x:f>
        <x:v>0.5</x:v>
      </x:c>
      <x:c r="P433" s="47" t="n">
        <x:f>J433*O433</x:f>
        <x:v>6336</x:v>
      </x:c>
      <x:c r="Q433" s="46" t="n">
        <x:f>IF(C433="P0",0,IF(D433&lt;=3,0.05,IF(D433&lt;=14,0.1,IF(D433&lt;=45,0.15,0.2))))</x:f>
        <x:v>0.2</x:v>
      </x:c>
      <x:c r="R433" s="47" t="n">
        <x:f>J433*Q433</x:f>
        <x:v>2534.4</x:v>
      </x:c>
      <x:c r="S433" s="20" t="str">
        <x:f>IF(D433&lt;E433,"closed",IF(D433&lt;'Paths'!$N$11,"initial","expanded"))</x:f>
        <x:v>expanded</x:v>
      </x:c>
      <x:c r="T433" s="72"/>
    </x:row>
    <x:row r="434">
      <x:c r="C434" s="20" t="str">
        <x:v>P4</x:v>
      </x:c>
      <x:c r="D434" s="20" t="n">
        <x:v>63</x:v>
      </x:c>
      <x:c r="E434" s="45" t="n">
        <x:f>IF('Controls'!$D$7="Reference",'Paths'!$J$11,'Paths'!$K$11)</x:f>
        <x:v>3</x:v>
      </x:c>
      <x:c r="F434" s="47" t="n">
        <x:f>IF(D434&lt;'Paths'!$N$11,IF('Controls'!$D$7="Reference",'Paths'!$L$11,'Paths'!$M$11),IF('Controls'!$D$7="Reference",'Paths'!$O$11,'Paths'!$P$11))</x:f>
        <x:v>24000</x:v>
      </x:c>
      <x:c r="G434" s="46" t="n">
        <x:f>IF('Controls'!$D$7="Reference",1,IF(OR(D434=6,D434=7,D434=21,D434=46),'Paths'!$U$11,1))</x:f>
        <x:v>1</x:v>
      </x:c>
      <x:c r="H434" s="46" t="n">
        <x:f>IF('Controls'!$D$7="Reference",1,IF(OR(AND(D434&gt;=14,D434&lt;=16),AND(D434&gt;=34,D434&lt;=35),AND(D434&gt;=61,D434&lt;=63)),'Paths'!$V$11,1))</x:f>
        <x:v>0.6</x:v>
      </x:c>
      <x:c r="I434" s="46" t="n">
        <x:f>'Paths'!$W$11</x:f>
        <x:v>0.88</x:v>
      </x:c>
      <x:c r="J434" s="47" t="n">
        <x:f>IF(D434&lt;E434,0,MIN(F434*G434*H434*I434,IF('Paths'!$T$11&gt;0,MAX(0,'Paths'!$T$11-K433),1000000000)))</x:f>
        <x:v>12672</x:v>
      </x:c>
      <x:c r="K434" s="47" t="n">
        <x:f>K433+J434</x:f>
        <x:v>1146816</x:v>
      </x:c>
      <x:c r="L434" s="46" t="n">
        <x:f>IF(C434="P0",1,IF(D434&lt;=3,0.8,IF(D434&lt;=14,0.65,IF(D434&lt;=45,0.5,0.3))))</x:f>
        <x:v>0.3</x:v>
      </x:c>
      <x:c r="M434" s="47" t="n">
        <x:f>J434*L434</x:f>
        <x:v>3801.6</x:v>
      </x:c>
      <x:c r="N434" s="47" t="n">
        <x:f>N433+M434</x:f>
        <x:v>533913.6</x:v>
      </x:c>
      <x:c r="O434" s="46" t="n">
        <x:f>IF(C434="P0",0,IF(D434&lt;=3,0.15,IF(D434&lt;=14,0.25,IF(D434&lt;=45,0.35,0.5))))</x:f>
        <x:v>0.5</x:v>
      </x:c>
      <x:c r="P434" s="47" t="n">
        <x:f>J434*O434</x:f>
        <x:v>6336</x:v>
      </x:c>
      <x:c r="Q434" s="46" t="n">
        <x:f>IF(C434="P0",0,IF(D434&lt;=3,0.05,IF(D434&lt;=14,0.1,IF(D434&lt;=45,0.15,0.2))))</x:f>
        <x:v>0.2</x:v>
      </x:c>
      <x:c r="R434" s="47" t="n">
        <x:f>J434*Q434</x:f>
        <x:v>2534.4</x:v>
      </x:c>
      <x:c r="S434" s="20" t="str">
        <x:f>IF(D434&lt;E434,"closed",IF(D434&lt;'Paths'!$N$11,"initial","expanded"))</x:f>
        <x:v>expanded</x:v>
      </x:c>
      <x:c r="T434" s="72"/>
    </x:row>
    <x:row r="435">
      <x:c r="C435" s="20" t="str">
        <x:v>P4</x:v>
      </x:c>
      <x:c r="D435" s="20" t="n">
        <x:v>64</x:v>
      </x:c>
      <x:c r="E435" s="45" t="n">
        <x:f>IF('Controls'!$D$7="Reference",'Paths'!$J$11,'Paths'!$K$11)</x:f>
        <x:v>3</x:v>
      </x:c>
      <x:c r="F435" s="47" t="n">
        <x:f>IF(D435&lt;'Paths'!$N$11,IF('Controls'!$D$7="Reference",'Paths'!$L$11,'Paths'!$M$11),IF('Controls'!$D$7="Reference",'Paths'!$O$11,'Paths'!$P$11))</x:f>
        <x:v>24000</x:v>
      </x:c>
      <x:c r="G435" s="46" t="n">
        <x:f>IF('Controls'!$D$7="Reference",1,IF(OR(D435=6,D435=7,D435=21,D435=46),'Paths'!$U$11,1))</x:f>
        <x:v>1</x:v>
      </x:c>
      <x:c r="H435" s="46" t="n">
        <x:f>IF('Controls'!$D$7="Reference",1,IF(OR(AND(D435&gt;=14,D435&lt;=16),AND(D435&gt;=34,D435&lt;=35),AND(D435&gt;=61,D435&lt;=63)),'Paths'!$V$11,1))</x:f>
        <x:v>1</x:v>
      </x:c>
      <x:c r="I435" s="46" t="n">
        <x:f>'Paths'!$W$11</x:f>
        <x:v>0.88</x:v>
      </x:c>
      <x:c r="J435" s="47" t="n">
        <x:f>IF(D435&lt;E435,0,MIN(F435*G435*H435*I435,IF('Paths'!$T$11&gt;0,MAX(0,'Paths'!$T$11-K434),1000000000)))</x:f>
        <x:v>21120</x:v>
      </x:c>
      <x:c r="K435" s="47" t="n">
        <x:f>K434+J435</x:f>
        <x:v>1167936</x:v>
      </x:c>
      <x:c r="L435" s="46" t="n">
        <x:f>IF(C435="P0",1,IF(D435&lt;=3,0.8,IF(D435&lt;=14,0.65,IF(D435&lt;=45,0.5,0.3))))</x:f>
        <x:v>0.3</x:v>
      </x:c>
      <x:c r="M435" s="47" t="n">
        <x:f>J435*L435</x:f>
        <x:v>6336</x:v>
      </x:c>
      <x:c r="N435" s="47" t="n">
        <x:f>N434+M435</x:f>
        <x:v>540249.6</x:v>
      </x:c>
      <x:c r="O435" s="46" t="n">
        <x:f>IF(C435="P0",0,IF(D435&lt;=3,0.15,IF(D435&lt;=14,0.25,IF(D435&lt;=45,0.35,0.5))))</x:f>
        <x:v>0.5</x:v>
      </x:c>
      <x:c r="P435" s="47" t="n">
        <x:f>J435*O435</x:f>
        <x:v>10560</x:v>
      </x:c>
      <x:c r="Q435" s="46" t="n">
        <x:f>IF(C435="P0",0,IF(D435&lt;=3,0.05,IF(D435&lt;=14,0.1,IF(D435&lt;=45,0.15,0.2))))</x:f>
        <x:v>0.2</x:v>
      </x:c>
      <x:c r="R435" s="47" t="n">
        <x:f>J435*Q435</x:f>
        <x:v>4224</x:v>
      </x:c>
      <x:c r="S435" s="20" t="str">
        <x:f>IF(D435&lt;E435,"closed",IF(D435&lt;'Paths'!$N$11,"initial","expanded"))</x:f>
        <x:v>expanded</x:v>
      </x:c>
      <x:c r="T435" s="72"/>
    </x:row>
    <x:row r="436">
      <x:c r="C436" s="20" t="str">
        <x:v>P4</x:v>
      </x:c>
      <x:c r="D436" s="20" t="n">
        <x:v>65</x:v>
      </x:c>
      <x:c r="E436" s="45" t="n">
        <x:f>IF('Controls'!$D$7="Reference",'Paths'!$J$11,'Paths'!$K$11)</x:f>
        <x:v>3</x:v>
      </x:c>
      <x:c r="F436" s="47" t="n">
        <x:f>IF(D436&lt;'Paths'!$N$11,IF('Controls'!$D$7="Reference",'Paths'!$L$11,'Paths'!$M$11),IF('Controls'!$D$7="Reference",'Paths'!$O$11,'Paths'!$P$11))</x:f>
        <x:v>24000</x:v>
      </x:c>
      <x:c r="G436" s="46" t="n">
        <x:f>IF('Controls'!$D$7="Reference",1,IF(OR(D436=6,D436=7,D436=21,D436=46),'Paths'!$U$11,1))</x:f>
        <x:v>1</x:v>
      </x:c>
      <x:c r="H436" s="46" t="n">
        <x:f>IF('Controls'!$D$7="Reference",1,IF(OR(AND(D436&gt;=14,D436&lt;=16),AND(D436&gt;=34,D436&lt;=35),AND(D436&gt;=61,D436&lt;=63)),'Paths'!$V$11,1))</x:f>
        <x:v>1</x:v>
      </x:c>
      <x:c r="I436" s="46" t="n">
        <x:f>'Paths'!$W$11</x:f>
        <x:v>0.88</x:v>
      </x:c>
      <x:c r="J436" s="47" t="n">
        <x:f>IF(D436&lt;E436,0,MIN(F436*G436*H436*I436,IF('Paths'!$T$11&gt;0,MAX(0,'Paths'!$T$11-K435),1000000000)))</x:f>
        <x:v>21120</x:v>
      </x:c>
      <x:c r="K436" s="47" t="n">
        <x:f>K435+J436</x:f>
        <x:v>1189056</x:v>
      </x:c>
      <x:c r="L436" s="46" t="n">
        <x:f>IF(C436="P0",1,IF(D436&lt;=3,0.8,IF(D436&lt;=14,0.65,IF(D436&lt;=45,0.5,0.3))))</x:f>
        <x:v>0.3</x:v>
      </x:c>
      <x:c r="M436" s="47" t="n">
        <x:f>J436*L436</x:f>
        <x:v>6336</x:v>
      </x:c>
      <x:c r="N436" s="47" t="n">
        <x:f>N435+M436</x:f>
        <x:v>546585.6</x:v>
      </x:c>
      <x:c r="O436" s="46" t="n">
        <x:f>IF(C436="P0",0,IF(D436&lt;=3,0.15,IF(D436&lt;=14,0.25,IF(D436&lt;=45,0.35,0.5))))</x:f>
        <x:v>0.5</x:v>
      </x:c>
      <x:c r="P436" s="47" t="n">
        <x:f>J436*O436</x:f>
        <x:v>10560</x:v>
      </x:c>
      <x:c r="Q436" s="46" t="n">
        <x:f>IF(C436="P0",0,IF(D436&lt;=3,0.05,IF(D436&lt;=14,0.1,IF(D436&lt;=45,0.15,0.2))))</x:f>
        <x:v>0.2</x:v>
      </x:c>
      <x:c r="R436" s="47" t="n">
        <x:f>J436*Q436</x:f>
        <x:v>4224</x:v>
      </x:c>
      <x:c r="S436" s="20" t="str">
        <x:f>IF(D436&lt;E436,"closed",IF(D436&lt;'Paths'!$N$11,"initial","expanded"))</x:f>
        <x:v>expanded</x:v>
      </x:c>
      <x:c r="T436" s="72"/>
    </x:row>
    <x:row r="437">
      <x:c r="C437" s="20" t="str">
        <x:v>P4</x:v>
      </x:c>
      <x:c r="D437" s="20" t="n">
        <x:v>66</x:v>
      </x:c>
      <x:c r="E437" s="45" t="n">
        <x:f>IF('Controls'!$D$7="Reference",'Paths'!$J$11,'Paths'!$K$11)</x:f>
        <x:v>3</x:v>
      </x:c>
      <x:c r="F437" s="47" t="n">
        <x:f>IF(D437&lt;'Paths'!$N$11,IF('Controls'!$D$7="Reference",'Paths'!$L$11,'Paths'!$M$11),IF('Controls'!$D$7="Reference",'Paths'!$O$11,'Paths'!$P$11))</x:f>
        <x:v>24000</x:v>
      </x:c>
      <x:c r="G437" s="46" t="n">
        <x:f>IF('Controls'!$D$7="Reference",1,IF(OR(D437=6,D437=7,D437=21,D437=46),'Paths'!$U$11,1))</x:f>
        <x:v>1</x:v>
      </x:c>
      <x:c r="H437" s="46" t="n">
        <x:f>IF('Controls'!$D$7="Reference",1,IF(OR(AND(D437&gt;=14,D437&lt;=16),AND(D437&gt;=34,D437&lt;=35),AND(D437&gt;=61,D437&lt;=63)),'Paths'!$V$11,1))</x:f>
        <x:v>1</x:v>
      </x:c>
      <x:c r="I437" s="46" t="n">
        <x:f>'Paths'!$W$11</x:f>
        <x:v>0.88</x:v>
      </x:c>
      <x:c r="J437" s="47" t="n">
        <x:f>IF(D437&lt;E437,0,MIN(F437*G437*H437*I437,IF('Paths'!$T$11&gt;0,MAX(0,'Paths'!$T$11-K436),1000000000)))</x:f>
        <x:v>21120</x:v>
      </x:c>
      <x:c r="K437" s="47" t="n">
        <x:f>K436+J437</x:f>
        <x:v>1210176</x:v>
      </x:c>
      <x:c r="L437" s="46" t="n">
        <x:f>IF(C437="P0",1,IF(D437&lt;=3,0.8,IF(D437&lt;=14,0.65,IF(D437&lt;=45,0.5,0.3))))</x:f>
        <x:v>0.3</x:v>
      </x:c>
      <x:c r="M437" s="47" t="n">
        <x:f>J437*L437</x:f>
        <x:v>6336</x:v>
      </x:c>
      <x:c r="N437" s="47" t="n">
        <x:f>N436+M437</x:f>
        <x:v>552921.6</x:v>
      </x:c>
      <x:c r="O437" s="46" t="n">
        <x:f>IF(C437="P0",0,IF(D437&lt;=3,0.15,IF(D437&lt;=14,0.25,IF(D437&lt;=45,0.35,0.5))))</x:f>
        <x:v>0.5</x:v>
      </x:c>
      <x:c r="P437" s="47" t="n">
        <x:f>J437*O437</x:f>
        <x:v>10560</x:v>
      </x:c>
      <x:c r="Q437" s="46" t="n">
        <x:f>IF(C437="P0",0,IF(D437&lt;=3,0.05,IF(D437&lt;=14,0.1,IF(D437&lt;=45,0.15,0.2))))</x:f>
        <x:v>0.2</x:v>
      </x:c>
      <x:c r="R437" s="47" t="n">
        <x:f>J437*Q437</x:f>
        <x:v>4224</x:v>
      </x:c>
      <x:c r="S437" s="20" t="str">
        <x:f>IF(D437&lt;E437,"closed",IF(D437&lt;'Paths'!$N$11,"initial","expanded"))</x:f>
        <x:v>expanded</x:v>
      </x:c>
      <x:c r="T437" s="72"/>
    </x:row>
    <x:row r="438">
      <x:c r="C438" s="20" t="str">
        <x:v>P4</x:v>
      </x:c>
      <x:c r="D438" s="20" t="n">
        <x:v>67</x:v>
      </x:c>
      <x:c r="E438" s="45" t="n">
        <x:f>IF('Controls'!$D$7="Reference",'Paths'!$J$11,'Paths'!$K$11)</x:f>
        <x:v>3</x:v>
      </x:c>
      <x:c r="F438" s="47" t="n">
        <x:f>IF(D438&lt;'Paths'!$N$11,IF('Controls'!$D$7="Reference",'Paths'!$L$11,'Paths'!$M$11),IF('Controls'!$D$7="Reference",'Paths'!$O$11,'Paths'!$P$11))</x:f>
        <x:v>24000</x:v>
      </x:c>
      <x:c r="G438" s="46" t="n">
        <x:f>IF('Controls'!$D$7="Reference",1,IF(OR(D438=6,D438=7,D438=21,D438=46),'Paths'!$U$11,1))</x:f>
        <x:v>1</x:v>
      </x:c>
      <x:c r="H438" s="46" t="n">
        <x:f>IF('Controls'!$D$7="Reference",1,IF(OR(AND(D438&gt;=14,D438&lt;=16),AND(D438&gt;=34,D438&lt;=35),AND(D438&gt;=61,D438&lt;=63)),'Paths'!$V$11,1))</x:f>
        <x:v>1</x:v>
      </x:c>
      <x:c r="I438" s="46" t="n">
        <x:f>'Paths'!$W$11</x:f>
        <x:v>0.88</x:v>
      </x:c>
      <x:c r="J438" s="47" t="n">
        <x:f>IF(D438&lt;E438,0,MIN(F438*G438*H438*I438,IF('Paths'!$T$11&gt;0,MAX(0,'Paths'!$T$11-K437),1000000000)))</x:f>
        <x:v>21120</x:v>
      </x:c>
      <x:c r="K438" s="47" t="n">
        <x:f>K437+J438</x:f>
        <x:v>1231296</x:v>
      </x:c>
      <x:c r="L438" s="46" t="n">
        <x:f>IF(C438="P0",1,IF(D438&lt;=3,0.8,IF(D438&lt;=14,0.65,IF(D438&lt;=45,0.5,0.3))))</x:f>
        <x:v>0.3</x:v>
      </x:c>
      <x:c r="M438" s="47" t="n">
        <x:f>J438*L438</x:f>
        <x:v>6336</x:v>
      </x:c>
      <x:c r="N438" s="47" t="n">
        <x:f>N437+M438</x:f>
        <x:v>559257.6</x:v>
      </x:c>
      <x:c r="O438" s="46" t="n">
        <x:f>IF(C438="P0",0,IF(D438&lt;=3,0.15,IF(D438&lt;=14,0.25,IF(D438&lt;=45,0.35,0.5))))</x:f>
        <x:v>0.5</x:v>
      </x:c>
      <x:c r="P438" s="47" t="n">
        <x:f>J438*O438</x:f>
        <x:v>10560</x:v>
      </x:c>
      <x:c r="Q438" s="46" t="n">
        <x:f>IF(C438="P0",0,IF(D438&lt;=3,0.05,IF(D438&lt;=14,0.1,IF(D438&lt;=45,0.15,0.2))))</x:f>
        <x:v>0.2</x:v>
      </x:c>
      <x:c r="R438" s="47" t="n">
        <x:f>J438*Q438</x:f>
        <x:v>4224</x:v>
      </x:c>
      <x:c r="S438" s="20" t="str">
        <x:f>IF(D438&lt;E438,"closed",IF(D438&lt;'Paths'!$N$11,"initial","expanded"))</x:f>
        <x:v>expanded</x:v>
      </x:c>
      <x:c r="T438" s="72"/>
    </x:row>
    <x:row r="439">
      <x:c r="C439" s="20" t="str">
        <x:v>P4</x:v>
      </x:c>
      <x:c r="D439" s="20" t="n">
        <x:v>68</x:v>
      </x:c>
      <x:c r="E439" s="45" t="n">
        <x:f>IF('Controls'!$D$7="Reference",'Paths'!$J$11,'Paths'!$K$11)</x:f>
        <x:v>3</x:v>
      </x:c>
      <x:c r="F439" s="47" t="n">
        <x:f>IF(D439&lt;'Paths'!$N$11,IF('Controls'!$D$7="Reference",'Paths'!$L$11,'Paths'!$M$11),IF('Controls'!$D$7="Reference",'Paths'!$O$11,'Paths'!$P$11))</x:f>
        <x:v>24000</x:v>
      </x:c>
      <x:c r="G439" s="46" t="n">
        <x:f>IF('Controls'!$D$7="Reference",1,IF(OR(D439=6,D439=7,D439=21,D439=46),'Paths'!$U$11,1))</x:f>
        <x:v>1</x:v>
      </x:c>
      <x:c r="H439" s="46" t="n">
        <x:f>IF('Controls'!$D$7="Reference",1,IF(OR(AND(D439&gt;=14,D439&lt;=16),AND(D439&gt;=34,D439&lt;=35),AND(D439&gt;=61,D439&lt;=63)),'Paths'!$V$11,1))</x:f>
        <x:v>1</x:v>
      </x:c>
      <x:c r="I439" s="46" t="n">
        <x:f>'Paths'!$W$11</x:f>
        <x:v>0.88</x:v>
      </x:c>
      <x:c r="J439" s="47" t="n">
        <x:f>IF(D439&lt;E439,0,MIN(F439*G439*H439*I439,IF('Paths'!$T$11&gt;0,MAX(0,'Paths'!$T$11-K438),1000000000)))</x:f>
        <x:v>21120</x:v>
      </x:c>
      <x:c r="K439" s="47" t="n">
        <x:f>K438+J439</x:f>
        <x:v>1252416</x:v>
      </x:c>
      <x:c r="L439" s="46" t="n">
        <x:f>IF(C439="P0",1,IF(D439&lt;=3,0.8,IF(D439&lt;=14,0.65,IF(D439&lt;=45,0.5,0.3))))</x:f>
        <x:v>0.3</x:v>
      </x:c>
      <x:c r="M439" s="47" t="n">
        <x:f>J439*L439</x:f>
        <x:v>6336</x:v>
      </x:c>
      <x:c r="N439" s="47" t="n">
        <x:f>N438+M439</x:f>
        <x:v>565593.6</x:v>
      </x:c>
      <x:c r="O439" s="46" t="n">
        <x:f>IF(C439="P0",0,IF(D439&lt;=3,0.15,IF(D439&lt;=14,0.25,IF(D439&lt;=45,0.35,0.5))))</x:f>
        <x:v>0.5</x:v>
      </x:c>
      <x:c r="P439" s="47" t="n">
        <x:f>J439*O439</x:f>
        <x:v>10560</x:v>
      </x:c>
      <x:c r="Q439" s="46" t="n">
        <x:f>IF(C439="P0",0,IF(D439&lt;=3,0.05,IF(D439&lt;=14,0.1,IF(D439&lt;=45,0.15,0.2))))</x:f>
        <x:v>0.2</x:v>
      </x:c>
      <x:c r="R439" s="47" t="n">
        <x:f>J439*Q439</x:f>
        <x:v>4224</x:v>
      </x:c>
      <x:c r="S439" s="20" t="str">
        <x:f>IF(D439&lt;E439,"closed",IF(D439&lt;'Paths'!$N$11,"initial","expanded"))</x:f>
        <x:v>expanded</x:v>
      </x:c>
      <x:c r="T439" s="72"/>
    </x:row>
    <x:row r="440">
      <x:c r="C440" s="20" t="str">
        <x:v>P4</x:v>
      </x:c>
      <x:c r="D440" s="20" t="n">
        <x:v>69</x:v>
      </x:c>
      <x:c r="E440" s="45" t="n">
        <x:f>IF('Controls'!$D$7="Reference",'Paths'!$J$11,'Paths'!$K$11)</x:f>
        <x:v>3</x:v>
      </x:c>
      <x:c r="F440" s="47" t="n">
        <x:f>IF(D440&lt;'Paths'!$N$11,IF('Controls'!$D$7="Reference",'Paths'!$L$11,'Paths'!$M$11),IF('Controls'!$D$7="Reference",'Paths'!$O$11,'Paths'!$P$11))</x:f>
        <x:v>24000</x:v>
      </x:c>
      <x:c r="G440" s="46" t="n">
        <x:f>IF('Controls'!$D$7="Reference",1,IF(OR(D440=6,D440=7,D440=21,D440=46),'Paths'!$U$11,1))</x:f>
        <x:v>1</x:v>
      </x:c>
      <x:c r="H440" s="46" t="n">
        <x:f>IF('Controls'!$D$7="Reference",1,IF(OR(AND(D440&gt;=14,D440&lt;=16),AND(D440&gt;=34,D440&lt;=35),AND(D440&gt;=61,D440&lt;=63)),'Paths'!$V$11,1))</x:f>
        <x:v>1</x:v>
      </x:c>
      <x:c r="I440" s="46" t="n">
        <x:f>'Paths'!$W$11</x:f>
        <x:v>0.88</x:v>
      </x:c>
      <x:c r="J440" s="47" t="n">
        <x:f>IF(D440&lt;E440,0,MIN(F440*G440*H440*I440,IF('Paths'!$T$11&gt;0,MAX(0,'Paths'!$T$11-K439),1000000000)))</x:f>
        <x:v>21120</x:v>
      </x:c>
      <x:c r="K440" s="47" t="n">
        <x:f>K439+J440</x:f>
        <x:v>1273536</x:v>
      </x:c>
      <x:c r="L440" s="46" t="n">
        <x:f>IF(C440="P0",1,IF(D440&lt;=3,0.8,IF(D440&lt;=14,0.65,IF(D440&lt;=45,0.5,0.3))))</x:f>
        <x:v>0.3</x:v>
      </x:c>
      <x:c r="M440" s="47" t="n">
        <x:f>J440*L440</x:f>
        <x:v>6336</x:v>
      </x:c>
      <x:c r="N440" s="47" t="n">
        <x:f>N439+M440</x:f>
        <x:v>571929.6</x:v>
      </x:c>
      <x:c r="O440" s="46" t="n">
        <x:f>IF(C440="P0",0,IF(D440&lt;=3,0.15,IF(D440&lt;=14,0.25,IF(D440&lt;=45,0.35,0.5))))</x:f>
        <x:v>0.5</x:v>
      </x:c>
      <x:c r="P440" s="47" t="n">
        <x:f>J440*O440</x:f>
        <x:v>10560</x:v>
      </x:c>
      <x:c r="Q440" s="46" t="n">
        <x:f>IF(C440="P0",0,IF(D440&lt;=3,0.05,IF(D440&lt;=14,0.1,IF(D440&lt;=45,0.15,0.2))))</x:f>
        <x:v>0.2</x:v>
      </x:c>
      <x:c r="R440" s="47" t="n">
        <x:f>J440*Q440</x:f>
        <x:v>4224</x:v>
      </x:c>
      <x:c r="S440" s="20" t="str">
        <x:f>IF(D440&lt;E440,"closed",IF(D440&lt;'Paths'!$N$11,"initial","expanded"))</x:f>
        <x:v>expanded</x:v>
      </x:c>
      <x:c r="T440" s="72"/>
    </x:row>
    <x:row r="441">
      <x:c r="C441" s="20" t="str">
        <x:v>P4</x:v>
      </x:c>
      <x:c r="D441" s="20" t="n">
        <x:v>70</x:v>
      </x:c>
      <x:c r="E441" s="45" t="n">
        <x:f>IF('Controls'!$D$7="Reference",'Paths'!$J$11,'Paths'!$K$11)</x:f>
        <x:v>3</x:v>
      </x:c>
      <x:c r="F441" s="47" t="n">
        <x:f>IF(D441&lt;'Paths'!$N$11,IF('Controls'!$D$7="Reference",'Paths'!$L$11,'Paths'!$M$11),IF('Controls'!$D$7="Reference",'Paths'!$O$11,'Paths'!$P$11))</x:f>
        <x:v>24000</x:v>
      </x:c>
      <x:c r="G441" s="46" t="n">
        <x:f>IF('Controls'!$D$7="Reference",1,IF(OR(D441=6,D441=7,D441=21,D441=46),'Paths'!$U$11,1))</x:f>
        <x:v>1</x:v>
      </x:c>
      <x:c r="H441" s="46" t="n">
        <x:f>IF('Controls'!$D$7="Reference",1,IF(OR(AND(D441&gt;=14,D441&lt;=16),AND(D441&gt;=34,D441&lt;=35),AND(D441&gt;=61,D441&lt;=63)),'Paths'!$V$11,1))</x:f>
        <x:v>1</x:v>
      </x:c>
      <x:c r="I441" s="46" t="n">
        <x:f>'Paths'!$W$11</x:f>
        <x:v>0.88</x:v>
      </x:c>
      <x:c r="J441" s="47" t="n">
        <x:f>IF(D441&lt;E441,0,MIN(F441*G441*H441*I441,IF('Paths'!$T$11&gt;0,MAX(0,'Paths'!$T$11-K440),1000000000)))</x:f>
        <x:v>21120</x:v>
      </x:c>
      <x:c r="K441" s="47" t="n">
        <x:f>K440+J441</x:f>
        <x:v>1294656</x:v>
      </x:c>
      <x:c r="L441" s="46" t="n">
        <x:f>IF(C441="P0",1,IF(D441&lt;=3,0.8,IF(D441&lt;=14,0.65,IF(D441&lt;=45,0.5,0.3))))</x:f>
        <x:v>0.3</x:v>
      </x:c>
      <x:c r="M441" s="47" t="n">
        <x:f>J441*L441</x:f>
        <x:v>6336</x:v>
      </x:c>
      <x:c r="N441" s="47" t="n">
        <x:f>N440+M441</x:f>
        <x:v>578265.6</x:v>
      </x:c>
      <x:c r="O441" s="46" t="n">
        <x:f>IF(C441="P0",0,IF(D441&lt;=3,0.15,IF(D441&lt;=14,0.25,IF(D441&lt;=45,0.35,0.5))))</x:f>
        <x:v>0.5</x:v>
      </x:c>
      <x:c r="P441" s="47" t="n">
        <x:f>J441*O441</x:f>
        <x:v>10560</x:v>
      </x:c>
      <x:c r="Q441" s="46" t="n">
        <x:f>IF(C441="P0",0,IF(D441&lt;=3,0.05,IF(D441&lt;=14,0.1,IF(D441&lt;=45,0.15,0.2))))</x:f>
        <x:v>0.2</x:v>
      </x:c>
      <x:c r="R441" s="47" t="n">
        <x:f>J441*Q441</x:f>
        <x:v>4224</x:v>
      </x:c>
      <x:c r="S441" s="20" t="str">
        <x:f>IF(D441&lt;E441,"closed",IF(D441&lt;'Paths'!$N$11,"initial","expanded"))</x:f>
        <x:v>expanded</x:v>
      </x:c>
      <x:c r="T441" s="72"/>
    </x:row>
    <x:row r="442">
      <x:c r="C442" s="20" t="str">
        <x:v>P4</x:v>
      </x:c>
      <x:c r="D442" s="20" t="n">
        <x:v>71</x:v>
      </x:c>
      <x:c r="E442" s="45" t="n">
        <x:f>IF('Controls'!$D$7="Reference",'Paths'!$J$11,'Paths'!$K$11)</x:f>
        <x:v>3</x:v>
      </x:c>
      <x:c r="F442" s="47" t="n">
        <x:f>IF(D442&lt;'Paths'!$N$11,IF('Controls'!$D$7="Reference",'Paths'!$L$11,'Paths'!$M$11),IF('Controls'!$D$7="Reference",'Paths'!$O$11,'Paths'!$P$11))</x:f>
        <x:v>24000</x:v>
      </x:c>
      <x:c r="G442" s="46" t="n">
        <x:f>IF('Controls'!$D$7="Reference",1,IF(OR(D442=6,D442=7,D442=21,D442=46),'Paths'!$U$11,1))</x:f>
        <x:v>1</x:v>
      </x:c>
      <x:c r="H442" s="46" t="n">
        <x:f>IF('Controls'!$D$7="Reference",1,IF(OR(AND(D442&gt;=14,D442&lt;=16),AND(D442&gt;=34,D442&lt;=35),AND(D442&gt;=61,D442&lt;=63)),'Paths'!$V$11,1))</x:f>
        <x:v>1</x:v>
      </x:c>
      <x:c r="I442" s="46" t="n">
        <x:f>'Paths'!$W$11</x:f>
        <x:v>0.88</x:v>
      </x:c>
      <x:c r="J442" s="47" t="n">
        <x:f>IF(D442&lt;E442,0,MIN(F442*G442*H442*I442,IF('Paths'!$T$11&gt;0,MAX(0,'Paths'!$T$11-K441),1000000000)))</x:f>
        <x:v>21120</x:v>
      </x:c>
      <x:c r="K442" s="47" t="n">
        <x:f>K441+J442</x:f>
        <x:v>1315776</x:v>
      </x:c>
      <x:c r="L442" s="46" t="n">
        <x:f>IF(C442="P0",1,IF(D442&lt;=3,0.8,IF(D442&lt;=14,0.65,IF(D442&lt;=45,0.5,0.3))))</x:f>
        <x:v>0.3</x:v>
      </x:c>
      <x:c r="M442" s="47" t="n">
        <x:f>J442*L442</x:f>
        <x:v>6336</x:v>
      </x:c>
      <x:c r="N442" s="47" t="n">
        <x:f>N441+M442</x:f>
        <x:v>584601.6</x:v>
      </x:c>
      <x:c r="O442" s="46" t="n">
        <x:f>IF(C442="P0",0,IF(D442&lt;=3,0.15,IF(D442&lt;=14,0.25,IF(D442&lt;=45,0.35,0.5))))</x:f>
        <x:v>0.5</x:v>
      </x:c>
      <x:c r="P442" s="47" t="n">
        <x:f>J442*O442</x:f>
        <x:v>10560</x:v>
      </x:c>
      <x:c r="Q442" s="46" t="n">
        <x:f>IF(C442="P0",0,IF(D442&lt;=3,0.05,IF(D442&lt;=14,0.1,IF(D442&lt;=45,0.15,0.2))))</x:f>
        <x:v>0.2</x:v>
      </x:c>
      <x:c r="R442" s="47" t="n">
        <x:f>J442*Q442</x:f>
        <x:v>4224</x:v>
      </x:c>
      <x:c r="S442" s="20" t="str">
        <x:f>IF(D442&lt;E442,"closed",IF(D442&lt;'Paths'!$N$11,"initial","expanded"))</x:f>
        <x:v>expanded</x:v>
      </x:c>
      <x:c r="T442" s="72"/>
    </x:row>
    <x:row r="443">
      <x:c r="C443" s="20" t="str">
        <x:v>P4</x:v>
      </x:c>
      <x:c r="D443" s="20" t="n">
        <x:v>72</x:v>
      </x:c>
      <x:c r="E443" s="45" t="n">
        <x:f>IF('Controls'!$D$7="Reference",'Paths'!$J$11,'Paths'!$K$11)</x:f>
        <x:v>3</x:v>
      </x:c>
      <x:c r="F443" s="47" t="n">
        <x:f>IF(D443&lt;'Paths'!$N$11,IF('Controls'!$D$7="Reference",'Paths'!$L$11,'Paths'!$M$11),IF('Controls'!$D$7="Reference",'Paths'!$O$11,'Paths'!$P$11))</x:f>
        <x:v>24000</x:v>
      </x:c>
      <x:c r="G443" s="46" t="n">
        <x:f>IF('Controls'!$D$7="Reference",1,IF(OR(D443=6,D443=7,D443=21,D443=46),'Paths'!$U$11,1))</x:f>
        <x:v>1</x:v>
      </x:c>
      <x:c r="H443" s="46" t="n">
        <x:f>IF('Controls'!$D$7="Reference",1,IF(OR(AND(D443&gt;=14,D443&lt;=16),AND(D443&gt;=34,D443&lt;=35),AND(D443&gt;=61,D443&lt;=63)),'Paths'!$V$11,1))</x:f>
        <x:v>1</x:v>
      </x:c>
      <x:c r="I443" s="46" t="n">
        <x:f>'Paths'!$W$11</x:f>
        <x:v>0.88</x:v>
      </x:c>
      <x:c r="J443" s="47" t="n">
        <x:f>IF(D443&lt;E443,0,MIN(F443*G443*H443*I443,IF('Paths'!$T$11&gt;0,MAX(0,'Paths'!$T$11-K442),1000000000)))</x:f>
        <x:v>21120</x:v>
      </x:c>
      <x:c r="K443" s="47" t="n">
        <x:f>K442+J443</x:f>
        <x:v>1336896</x:v>
      </x:c>
      <x:c r="L443" s="46" t="n">
        <x:f>IF(C443="P0",1,IF(D443&lt;=3,0.8,IF(D443&lt;=14,0.65,IF(D443&lt;=45,0.5,0.3))))</x:f>
        <x:v>0.3</x:v>
      </x:c>
      <x:c r="M443" s="47" t="n">
        <x:f>J443*L443</x:f>
        <x:v>6336</x:v>
      </x:c>
      <x:c r="N443" s="47" t="n">
        <x:f>N442+M443</x:f>
        <x:v>590937.6</x:v>
      </x:c>
      <x:c r="O443" s="46" t="n">
        <x:f>IF(C443="P0",0,IF(D443&lt;=3,0.15,IF(D443&lt;=14,0.25,IF(D443&lt;=45,0.35,0.5))))</x:f>
        <x:v>0.5</x:v>
      </x:c>
      <x:c r="P443" s="47" t="n">
        <x:f>J443*O443</x:f>
        <x:v>10560</x:v>
      </x:c>
      <x:c r="Q443" s="46" t="n">
        <x:f>IF(C443="P0",0,IF(D443&lt;=3,0.05,IF(D443&lt;=14,0.1,IF(D443&lt;=45,0.15,0.2))))</x:f>
        <x:v>0.2</x:v>
      </x:c>
      <x:c r="R443" s="47" t="n">
        <x:f>J443*Q443</x:f>
        <x:v>4224</x:v>
      </x:c>
      <x:c r="S443" s="20" t="str">
        <x:f>IF(D443&lt;E443,"closed",IF(D443&lt;'Paths'!$N$11,"initial","expanded"))</x:f>
        <x:v>expanded</x:v>
      </x:c>
      <x:c r="T443" s="72"/>
    </x:row>
    <x:row r="444">
      <x:c r="C444" s="20" t="str">
        <x:v>P4</x:v>
      </x:c>
      <x:c r="D444" s="20" t="n">
        <x:v>73</x:v>
      </x:c>
      <x:c r="E444" s="45" t="n">
        <x:f>IF('Controls'!$D$7="Reference",'Paths'!$J$11,'Paths'!$K$11)</x:f>
        <x:v>3</x:v>
      </x:c>
      <x:c r="F444" s="47" t="n">
        <x:f>IF(D444&lt;'Paths'!$N$11,IF('Controls'!$D$7="Reference",'Paths'!$L$11,'Paths'!$M$11),IF('Controls'!$D$7="Reference",'Paths'!$O$11,'Paths'!$P$11))</x:f>
        <x:v>24000</x:v>
      </x:c>
      <x:c r="G444" s="46" t="n">
        <x:f>IF('Controls'!$D$7="Reference",1,IF(OR(D444=6,D444=7,D444=21,D444=46),'Paths'!$U$11,1))</x:f>
        <x:v>1</x:v>
      </x:c>
      <x:c r="H444" s="46" t="n">
        <x:f>IF('Controls'!$D$7="Reference",1,IF(OR(AND(D444&gt;=14,D444&lt;=16),AND(D444&gt;=34,D444&lt;=35),AND(D444&gt;=61,D444&lt;=63)),'Paths'!$V$11,1))</x:f>
        <x:v>1</x:v>
      </x:c>
      <x:c r="I444" s="46" t="n">
        <x:f>'Paths'!$W$11</x:f>
        <x:v>0.88</x:v>
      </x:c>
      <x:c r="J444" s="47" t="n">
        <x:f>IF(D444&lt;E444,0,MIN(F444*G444*H444*I444,IF('Paths'!$T$11&gt;0,MAX(0,'Paths'!$T$11-K443),1000000000)))</x:f>
        <x:v>21120</x:v>
      </x:c>
      <x:c r="K444" s="47" t="n">
        <x:f>K443+J444</x:f>
        <x:v>1358016</x:v>
      </x:c>
      <x:c r="L444" s="46" t="n">
        <x:f>IF(C444="P0",1,IF(D444&lt;=3,0.8,IF(D444&lt;=14,0.65,IF(D444&lt;=45,0.5,0.3))))</x:f>
        <x:v>0.3</x:v>
      </x:c>
      <x:c r="M444" s="47" t="n">
        <x:f>J444*L444</x:f>
        <x:v>6336</x:v>
      </x:c>
      <x:c r="N444" s="47" t="n">
        <x:f>N443+M444</x:f>
        <x:v>597273.6</x:v>
      </x:c>
      <x:c r="O444" s="46" t="n">
        <x:f>IF(C444="P0",0,IF(D444&lt;=3,0.15,IF(D444&lt;=14,0.25,IF(D444&lt;=45,0.35,0.5))))</x:f>
        <x:v>0.5</x:v>
      </x:c>
      <x:c r="P444" s="47" t="n">
        <x:f>J444*O444</x:f>
        <x:v>10560</x:v>
      </x:c>
      <x:c r="Q444" s="46" t="n">
        <x:f>IF(C444="P0",0,IF(D444&lt;=3,0.05,IF(D444&lt;=14,0.1,IF(D444&lt;=45,0.15,0.2))))</x:f>
        <x:v>0.2</x:v>
      </x:c>
      <x:c r="R444" s="47" t="n">
        <x:f>J444*Q444</x:f>
        <x:v>4224</x:v>
      </x:c>
      <x:c r="S444" s="20" t="str">
        <x:f>IF(D444&lt;E444,"closed",IF(D444&lt;'Paths'!$N$11,"initial","expanded"))</x:f>
        <x:v>expanded</x:v>
      </x:c>
      <x:c r="T444" s="72"/>
    </x:row>
    <x:row r="445">
      <x:c r="C445" s="20" t="str">
        <x:v>P4</x:v>
      </x:c>
      <x:c r="D445" s="20" t="n">
        <x:v>74</x:v>
      </x:c>
      <x:c r="E445" s="45" t="n">
        <x:f>IF('Controls'!$D$7="Reference",'Paths'!$J$11,'Paths'!$K$11)</x:f>
        <x:v>3</x:v>
      </x:c>
      <x:c r="F445" s="47" t="n">
        <x:f>IF(D445&lt;'Paths'!$N$11,IF('Controls'!$D$7="Reference",'Paths'!$L$11,'Paths'!$M$11),IF('Controls'!$D$7="Reference",'Paths'!$O$11,'Paths'!$P$11))</x:f>
        <x:v>24000</x:v>
      </x:c>
      <x:c r="G445" s="46" t="n">
        <x:f>IF('Controls'!$D$7="Reference",1,IF(OR(D445=6,D445=7,D445=21,D445=46),'Paths'!$U$11,1))</x:f>
        <x:v>1</x:v>
      </x:c>
      <x:c r="H445" s="46" t="n">
        <x:f>IF('Controls'!$D$7="Reference",1,IF(OR(AND(D445&gt;=14,D445&lt;=16),AND(D445&gt;=34,D445&lt;=35),AND(D445&gt;=61,D445&lt;=63)),'Paths'!$V$11,1))</x:f>
        <x:v>1</x:v>
      </x:c>
      <x:c r="I445" s="46" t="n">
        <x:f>'Paths'!$W$11</x:f>
        <x:v>0.88</x:v>
      </x:c>
      <x:c r="J445" s="47" t="n">
        <x:f>IF(D445&lt;E445,0,MIN(F445*G445*H445*I445,IF('Paths'!$T$11&gt;0,MAX(0,'Paths'!$T$11-K444),1000000000)))</x:f>
        <x:v>21120</x:v>
      </x:c>
      <x:c r="K445" s="47" t="n">
        <x:f>K444+J445</x:f>
        <x:v>1379136</x:v>
      </x:c>
      <x:c r="L445" s="46" t="n">
        <x:f>IF(C445="P0",1,IF(D445&lt;=3,0.8,IF(D445&lt;=14,0.65,IF(D445&lt;=45,0.5,0.3))))</x:f>
        <x:v>0.3</x:v>
      </x:c>
      <x:c r="M445" s="47" t="n">
        <x:f>J445*L445</x:f>
        <x:v>6336</x:v>
      </x:c>
      <x:c r="N445" s="47" t="n">
        <x:f>N444+M445</x:f>
        <x:v>603609.6</x:v>
      </x:c>
      <x:c r="O445" s="46" t="n">
        <x:f>IF(C445="P0",0,IF(D445&lt;=3,0.15,IF(D445&lt;=14,0.25,IF(D445&lt;=45,0.35,0.5))))</x:f>
        <x:v>0.5</x:v>
      </x:c>
      <x:c r="P445" s="47" t="n">
        <x:f>J445*O445</x:f>
        <x:v>10560</x:v>
      </x:c>
      <x:c r="Q445" s="46" t="n">
        <x:f>IF(C445="P0",0,IF(D445&lt;=3,0.05,IF(D445&lt;=14,0.1,IF(D445&lt;=45,0.15,0.2))))</x:f>
        <x:v>0.2</x:v>
      </x:c>
      <x:c r="R445" s="47" t="n">
        <x:f>J445*Q445</x:f>
        <x:v>4224</x:v>
      </x:c>
      <x:c r="S445" s="20" t="str">
        <x:f>IF(D445&lt;E445,"closed",IF(D445&lt;'Paths'!$N$11,"initial","expanded"))</x:f>
        <x:v>expanded</x:v>
      </x:c>
      <x:c r="T445" s="72"/>
    </x:row>
    <x:row r="446">
      <x:c r="C446" s="20" t="str">
        <x:v>P4</x:v>
      </x:c>
      <x:c r="D446" s="20" t="n">
        <x:v>75</x:v>
      </x:c>
      <x:c r="E446" s="45" t="n">
        <x:f>IF('Controls'!$D$7="Reference",'Paths'!$J$11,'Paths'!$K$11)</x:f>
        <x:v>3</x:v>
      </x:c>
      <x:c r="F446" s="47" t="n">
        <x:f>IF(D446&lt;'Paths'!$N$11,IF('Controls'!$D$7="Reference",'Paths'!$L$11,'Paths'!$M$11),IF('Controls'!$D$7="Reference",'Paths'!$O$11,'Paths'!$P$11))</x:f>
        <x:v>24000</x:v>
      </x:c>
      <x:c r="G446" s="46" t="n">
        <x:f>IF('Controls'!$D$7="Reference",1,IF(OR(D446=6,D446=7,D446=21,D446=46),'Paths'!$U$11,1))</x:f>
        <x:v>1</x:v>
      </x:c>
      <x:c r="H446" s="46" t="n">
        <x:f>IF('Controls'!$D$7="Reference",1,IF(OR(AND(D446&gt;=14,D446&lt;=16),AND(D446&gt;=34,D446&lt;=35),AND(D446&gt;=61,D446&lt;=63)),'Paths'!$V$11,1))</x:f>
        <x:v>1</x:v>
      </x:c>
      <x:c r="I446" s="46" t="n">
        <x:f>'Paths'!$W$11</x:f>
        <x:v>0.88</x:v>
      </x:c>
      <x:c r="J446" s="47" t="n">
        <x:f>IF(D446&lt;E446,0,MIN(F446*G446*H446*I446,IF('Paths'!$T$11&gt;0,MAX(0,'Paths'!$T$11-K445),1000000000)))</x:f>
        <x:v>21120</x:v>
      </x:c>
      <x:c r="K446" s="47" t="n">
        <x:f>K445+J446</x:f>
        <x:v>1400256</x:v>
      </x:c>
      <x:c r="L446" s="46" t="n">
        <x:f>IF(C446="P0",1,IF(D446&lt;=3,0.8,IF(D446&lt;=14,0.65,IF(D446&lt;=45,0.5,0.3))))</x:f>
        <x:v>0.3</x:v>
      </x:c>
      <x:c r="M446" s="47" t="n">
        <x:f>J446*L446</x:f>
        <x:v>6336</x:v>
      </x:c>
      <x:c r="N446" s="47" t="n">
        <x:f>N445+M446</x:f>
        <x:v>609945.6</x:v>
      </x:c>
      <x:c r="O446" s="46" t="n">
        <x:f>IF(C446="P0",0,IF(D446&lt;=3,0.15,IF(D446&lt;=14,0.25,IF(D446&lt;=45,0.35,0.5))))</x:f>
        <x:v>0.5</x:v>
      </x:c>
      <x:c r="P446" s="47" t="n">
        <x:f>J446*O446</x:f>
        <x:v>10560</x:v>
      </x:c>
      <x:c r="Q446" s="46" t="n">
        <x:f>IF(C446="P0",0,IF(D446&lt;=3,0.05,IF(D446&lt;=14,0.1,IF(D446&lt;=45,0.15,0.2))))</x:f>
        <x:v>0.2</x:v>
      </x:c>
      <x:c r="R446" s="47" t="n">
        <x:f>J446*Q446</x:f>
        <x:v>4224</x:v>
      </x:c>
      <x:c r="S446" s="20" t="str">
        <x:f>IF(D446&lt;E446,"closed",IF(D446&lt;'Paths'!$N$11,"initial","expanded"))</x:f>
        <x:v>expanded</x:v>
      </x:c>
      <x:c r="T446" s="72"/>
    </x:row>
    <x:row r="447">
      <x:c r="C447" s="20" t="str">
        <x:v>P4</x:v>
      </x:c>
      <x:c r="D447" s="20" t="n">
        <x:v>76</x:v>
      </x:c>
      <x:c r="E447" s="45" t="n">
        <x:f>IF('Controls'!$D$7="Reference",'Paths'!$J$11,'Paths'!$K$11)</x:f>
        <x:v>3</x:v>
      </x:c>
      <x:c r="F447" s="47" t="n">
        <x:f>IF(D447&lt;'Paths'!$N$11,IF('Controls'!$D$7="Reference",'Paths'!$L$11,'Paths'!$M$11),IF('Controls'!$D$7="Reference",'Paths'!$O$11,'Paths'!$P$11))</x:f>
        <x:v>24000</x:v>
      </x:c>
      <x:c r="G447" s="46" t="n">
        <x:f>IF('Controls'!$D$7="Reference",1,IF(OR(D447=6,D447=7,D447=21,D447=46),'Paths'!$U$11,1))</x:f>
        <x:v>1</x:v>
      </x:c>
      <x:c r="H447" s="46" t="n">
        <x:f>IF('Controls'!$D$7="Reference",1,IF(OR(AND(D447&gt;=14,D447&lt;=16),AND(D447&gt;=34,D447&lt;=35),AND(D447&gt;=61,D447&lt;=63)),'Paths'!$V$11,1))</x:f>
        <x:v>1</x:v>
      </x:c>
      <x:c r="I447" s="46" t="n">
        <x:f>'Paths'!$W$11</x:f>
        <x:v>0.88</x:v>
      </x:c>
      <x:c r="J447" s="47" t="n">
        <x:f>IF(D447&lt;E447,0,MIN(F447*G447*H447*I447,IF('Paths'!$T$11&gt;0,MAX(0,'Paths'!$T$11-K446),1000000000)))</x:f>
        <x:v>21120</x:v>
      </x:c>
      <x:c r="K447" s="47" t="n">
        <x:f>K446+J447</x:f>
        <x:v>1421376</x:v>
      </x:c>
      <x:c r="L447" s="46" t="n">
        <x:f>IF(C447="P0",1,IF(D447&lt;=3,0.8,IF(D447&lt;=14,0.65,IF(D447&lt;=45,0.5,0.3))))</x:f>
        <x:v>0.3</x:v>
      </x:c>
      <x:c r="M447" s="47" t="n">
        <x:f>J447*L447</x:f>
        <x:v>6336</x:v>
      </x:c>
      <x:c r="N447" s="47" t="n">
        <x:f>N446+M447</x:f>
        <x:v>616281.6</x:v>
      </x:c>
      <x:c r="O447" s="46" t="n">
        <x:f>IF(C447="P0",0,IF(D447&lt;=3,0.15,IF(D447&lt;=14,0.25,IF(D447&lt;=45,0.35,0.5))))</x:f>
        <x:v>0.5</x:v>
      </x:c>
      <x:c r="P447" s="47" t="n">
        <x:f>J447*O447</x:f>
        <x:v>10560</x:v>
      </x:c>
      <x:c r="Q447" s="46" t="n">
        <x:f>IF(C447="P0",0,IF(D447&lt;=3,0.05,IF(D447&lt;=14,0.1,IF(D447&lt;=45,0.15,0.2))))</x:f>
        <x:v>0.2</x:v>
      </x:c>
      <x:c r="R447" s="47" t="n">
        <x:f>J447*Q447</x:f>
        <x:v>4224</x:v>
      </x:c>
      <x:c r="S447" s="20" t="str">
        <x:f>IF(D447&lt;E447,"closed",IF(D447&lt;'Paths'!$N$11,"initial","expanded"))</x:f>
        <x:v>expanded</x:v>
      </x:c>
      <x:c r="T447" s="72"/>
    </x:row>
    <x:row r="448">
      <x:c r="C448" s="20" t="str">
        <x:v>P4</x:v>
      </x:c>
      <x:c r="D448" s="20" t="n">
        <x:v>77</x:v>
      </x:c>
      <x:c r="E448" s="45" t="n">
        <x:f>IF('Controls'!$D$7="Reference",'Paths'!$J$11,'Paths'!$K$11)</x:f>
        <x:v>3</x:v>
      </x:c>
      <x:c r="F448" s="47" t="n">
        <x:f>IF(D448&lt;'Paths'!$N$11,IF('Controls'!$D$7="Reference",'Paths'!$L$11,'Paths'!$M$11),IF('Controls'!$D$7="Reference",'Paths'!$O$11,'Paths'!$P$11))</x:f>
        <x:v>24000</x:v>
      </x:c>
      <x:c r="G448" s="46" t="n">
        <x:f>IF('Controls'!$D$7="Reference",1,IF(OR(D448=6,D448=7,D448=21,D448=46),'Paths'!$U$11,1))</x:f>
        <x:v>1</x:v>
      </x:c>
      <x:c r="H448" s="46" t="n">
        <x:f>IF('Controls'!$D$7="Reference",1,IF(OR(AND(D448&gt;=14,D448&lt;=16),AND(D448&gt;=34,D448&lt;=35),AND(D448&gt;=61,D448&lt;=63)),'Paths'!$V$11,1))</x:f>
        <x:v>1</x:v>
      </x:c>
      <x:c r="I448" s="46" t="n">
        <x:f>'Paths'!$W$11</x:f>
        <x:v>0.88</x:v>
      </x:c>
      <x:c r="J448" s="47" t="n">
        <x:f>IF(D448&lt;E448,0,MIN(F448*G448*H448*I448,IF('Paths'!$T$11&gt;0,MAX(0,'Paths'!$T$11-K447),1000000000)))</x:f>
        <x:v>21120</x:v>
      </x:c>
      <x:c r="K448" s="47" t="n">
        <x:f>K447+J448</x:f>
        <x:v>1442496</x:v>
      </x:c>
      <x:c r="L448" s="46" t="n">
        <x:f>IF(C448="P0",1,IF(D448&lt;=3,0.8,IF(D448&lt;=14,0.65,IF(D448&lt;=45,0.5,0.3))))</x:f>
        <x:v>0.3</x:v>
      </x:c>
      <x:c r="M448" s="47" t="n">
        <x:f>J448*L448</x:f>
        <x:v>6336</x:v>
      </x:c>
      <x:c r="N448" s="47" t="n">
        <x:f>N447+M448</x:f>
        <x:v>622617.6</x:v>
      </x:c>
      <x:c r="O448" s="46" t="n">
        <x:f>IF(C448="P0",0,IF(D448&lt;=3,0.15,IF(D448&lt;=14,0.25,IF(D448&lt;=45,0.35,0.5))))</x:f>
        <x:v>0.5</x:v>
      </x:c>
      <x:c r="P448" s="47" t="n">
        <x:f>J448*O448</x:f>
        <x:v>10560</x:v>
      </x:c>
      <x:c r="Q448" s="46" t="n">
        <x:f>IF(C448="P0",0,IF(D448&lt;=3,0.05,IF(D448&lt;=14,0.1,IF(D448&lt;=45,0.15,0.2))))</x:f>
        <x:v>0.2</x:v>
      </x:c>
      <x:c r="R448" s="47" t="n">
        <x:f>J448*Q448</x:f>
        <x:v>4224</x:v>
      </x:c>
      <x:c r="S448" s="20" t="str">
        <x:f>IF(D448&lt;E448,"closed",IF(D448&lt;'Paths'!$N$11,"initial","expanded"))</x:f>
        <x:v>expanded</x:v>
      </x:c>
      <x:c r="T448" s="72"/>
    </x:row>
    <x:row r="449">
      <x:c r="C449" s="20" t="str">
        <x:v>P4</x:v>
      </x:c>
      <x:c r="D449" s="20" t="n">
        <x:v>78</x:v>
      </x:c>
      <x:c r="E449" s="45" t="n">
        <x:f>IF('Controls'!$D$7="Reference",'Paths'!$J$11,'Paths'!$K$11)</x:f>
        <x:v>3</x:v>
      </x:c>
      <x:c r="F449" s="47" t="n">
        <x:f>IF(D449&lt;'Paths'!$N$11,IF('Controls'!$D$7="Reference",'Paths'!$L$11,'Paths'!$M$11),IF('Controls'!$D$7="Reference",'Paths'!$O$11,'Paths'!$P$11))</x:f>
        <x:v>24000</x:v>
      </x:c>
      <x:c r="G449" s="46" t="n">
        <x:f>IF('Controls'!$D$7="Reference",1,IF(OR(D449=6,D449=7,D449=21,D449=46),'Paths'!$U$11,1))</x:f>
        <x:v>1</x:v>
      </x:c>
      <x:c r="H449" s="46" t="n">
        <x:f>IF('Controls'!$D$7="Reference",1,IF(OR(AND(D449&gt;=14,D449&lt;=16),AND(D449&gt;=34,D449&lt;=35),AND(D449&gt;=61,D449&lt;=63)),'Paths'!$V$11,1))</x:f>
        <x:v>1</x:v>
      </x:c>
      <x:c r="I449" s="46" t="n">
        <x:f>'Paths'!$W$11</x:f>
        <x:v>0.88</x:v>
      </x:c>
      <x:c r="J449" s="47" t="n">
        <x:f>IF(D449&lt;E449,0,MIN(F449*G449*H449*I449,IF('Paths'!$T$11&gt;0,MAX(0,'Paths'!$T$11-K448),1000000000)))</x:f>
        <x:v>21120</x:v>
      </x:c>
      <x:c r="K449" s="47" t="n">
        <x:f>K448+J449</x:f>
        <x:v>1463616</x:v>
      </x:c>
      <x:c r="L449" s="46" t="n">
        <x:f>IF(C449="P0",1,IF(D449&lt;=3,0.8,IF(D449&lt;=14,0.65,IF(D449&lt;=45,0.5,0.3))))</x:f>
        <x:v>0.3</x:v>
      </x:c>
      <x:c r="M449" s="47" t="n">
        <x:f>J449*L449</x:f>
        <x:v>6336</x:v>
      </x:c>
      <x:c r="N449" s="47" t="n">
        <x:f>N448+M449</x:f>
        <x:v>628953.6</x:v>
      </x:c>
      <x:c r="O449" s="46" t="n">
        <x:f>IF(C449="P0",0,IF(D449&lt;=3,0.15,IF(D449&lt;=14,0.25,IF(D449&lt;=45,0.35,0.5))))</x:f>
        <x:v>0.5</x:v>
      </x:c>
      <x:c r="P449" s="47" t="n">
        <x:f>J449*O449</x:f>
        <x:v>10560</x:v>
      </x:c>
      <x:c r="Q449" s="46" t="n">
        <x:f>IF(C449="P0",0,IF(D449&lt;=3,0.05,IF(D449&lt;=14,0.1,IF(D449&lt;=45,0.15,0.2))))</x:f>
        <x:v>0.2</x:v>
      </x:c>
      <x:c r="R449" s="47" t="n">
        <x:f>J449*Q449</x:f>
        <x:v>4224</x:v>
      </x:c>
      <x:c r="S449" s="20" t="str">
        <x:f>IF(D449&lt;E449,"closed",IF(D449&lt;'Paths'!$N$11,"initial","expanded"))</x:f>
        <x:v>expanded</x:v>
      </x:c>
      <x:c r="T449" s="72"/>
    </x:row>
    <x:row r="450">
      <x:c r="C450" s="20" t="str">
        <x:v>P4</x:v>
      </x:c>
      <x:c r="D450" s="20" t="n">
        <x:v>79</x:v>
      </x:c>
      <x:c r="E450" s="45" t="n">
        <x:f>IF('Controls'!$D$7="Reference",'Paths'!$J$11,'Paths'!$K$11)</x:f>
        <x:v>3</x:v>
      </x:c>
      <x:c r="F450" s="47" t="n">
        <x:f>IF(D450&lt;'Paths'!$N$11,IF('Controls'!$D$7="Reference",'Paths'!$L$11,'Paths'!$M$11),IF('Controls'!$D$7="Reference",'Paths'!$O$11,'Paths'!$P$11))</x:f>
        <x:v>24000</x:v>
      </x:c>
      <x:c r="G450" s="46" t="n">
        <x:f>IF('Controls'!$D$7="Reference",1,IF(OR(D450=6,D450=7,D450=21,D450=46),'Paths'!$U$11,1))</x:f>
        <x:v>1</x:v>
      </x:c>
      <x:c r="H450" s="46" t="n">
        <x:f>IF('Controls'!$D$7="Reference",1,IF(OR(AND(D450&gt;=14,D450&lt;=16),AND(D450&gt;=34,D450&lt;=35),AND(D450&gt;=61,D450&lt;=63)),'Paths'!$V$11,1))</x:f>
        <x:v>1</x:v>
      </x:c>
      <x:c r="I450" s="46" t="n">
        <x:f>'Paths'!$W$11</x:f>
        <x:v>0.88</x:v>
      </x:c>
      <x:c r="J450" s="47" t="n">
        <x:f>IF(D450&lt;E450,0,MIN(F450*G450*H450*I450,IF('Paths'!$T$11&gt;0,MAX(0,'Paths'!$T$11-K449),1000000000)))</x:f>
        <x:v>21120</x:v>
      </x:c>
      <x:c r="K450" s="47" t="n">
        <x:f>K449+J450</x:f>
        <x:v>1484736</x:v>
      </x:c>
      <x:c r="L450" s="46" t="n">
        <x:f>IF(C450="P0",1,IF(D450&lt;=3,0.8,IF(D450&lt;=14,0.65,IF(D450&lt;=45,0.5,0.3))))</x:f>
        <x:v>0.3</x:v>
      </x:c>
      <x:c r="M450" s="47" t="n">
        <x:f>J450*L450</x:f>
        <x:v>6336</x:v>
      </x:c>
      <x:c r="N450" s="47" t="n">
        <x:f>N449+M450</x:f>
        <x:v>635289.6</x:v>
      </x:c>
      <x:c r="O450" s="46" t="n">
        <x:f>IF(C450="P0",0,IF(D450&lt;=3,0.15,IF(D450&lt;=14,0.25,IF(D450&lt;=45,0.35,0.5))))</x:f>
        <x:v>0.5</x:v>
      </x:c>
      <x:c r="P450" s="47" t="n">
        <x:f>J450*O450</x:f>
        <x:v>10560</x:v>
      </x:c>
      <x:c r="Q450" s="46" t="n">
        <x:f>IF(C450="P0",0,IF(D450&lt;=3,0.05,IF(D450&lt;=14,0.1,IF(D450&lt;=45,0.15,0.2))))</x:f>
        <x:v>0.2</x:v>
      </x:c>
      <x:c r="R450" s="47" t="n">
        <x:f>J450*Q450</x:f>
        <x:v>4224</x:v>
      </x:c>
      <x:c r="S450" s="20" t="str">
        <x:f>IF(D450&lt;E450,"closed",IF(D450&lt;'Paths'!$N$11,"initial","expanded"))</x:f>
        <x:v>expanded</x:v>
      </x:c>
      <x:c r="T450" s="72"/>
    </x:row>
    <x:row r="451">
      <x:c r="C451" s="20" t="str">
        <x:v>P4</x:v>
      </x:c>
      <x:c r="D451" s="20" t="n">
        <x:v>80</x:v>
      </x:c>
      <x:c r="E451" s="45" t="n">
        <x:f>IF('Controls'!$D$7="Reference",'Paths'!$J$11,'Paths'!$K$11)</x:f>
        <x:v>3</x:v>
      </x:c>
      <x:c r="F451" s="47" t="n">
        <x:f>IF(D451&lt;'Paths'!$N$11,IF('Controls'!$D$7="Reference",'Paths'!$L$11,'Paths'!$M$11),IF('Controls'!$D$7="Reference",'Paths'!$O$11,'Paths'!$P$11))</x:f>
        <x:v>24000</x:v>
      </x:c>
      <x:c r="G451" s="46" t="n">
        <x:f>IF('Controls'!$D$7="Reference",1,IF(OR(D451=6,D451=7,D451=21,D451=46),'Paths'!$U$11,1))</x:f>
        <x:v>1</x:v>
      </x:c>
      <x:c r="H451" s="46" t="n">
        <x:f>IF('Controls'!$D$7="Reference",1,IF(OR(AND(D451&gt;=14,D451&lt;=16),AND(D451&gt;=34,D451&lt;=35),AND(D451&gt;=61,D451&lt;=63)),'Paths'!$V$11,1))</x:f>
        <x:v>1</x:v>
      </x:c>
      <x:c r="I451" s="46" t="n">
        <x:f>'Paths'!$W$11</x:f>
        <x:v>0.88</x:v>
      </x:c>
      <x:c r="J451" s="47" t="n">
        <x:f>IF(D451&lt;E451,0,MIN(F451*G451*H451*I451,IF('Paths'!$T$11&gt;0,MAX(0,'Paths'!$T$11-K450),1000000000)))</x:f>
        <x:v>21120</x:v>
      </x:c>
      <x:c r="K451" s="47" t="n">
        <x:f>K450+J451</x:f>
        <x:v>1505856</x:v>
      </x:c>
      <x:c r="L451" s="46" t="n">
        <x:f>IF(C451="P0",1,IF(D451&lt;=3,0.8,IF(D451&lt;=14,0.65,IF(D451&lt;=45,0.5,0.3))))</x:f>
        <x:v>0.3</x:v>
      </x:c>
      <x:c r="M451" s="47" t="n">
        <x:f>J451*L451</x:f>
        <x:v>6336</x:v>
      </x:c>
      <x:c r="N451" s="47" t="n">
        <x:f>N450+M451</x:f>
        <x:v>641625.6</x:v>
      </x:c>
      <x:c r="O451" s="46" t="n">
        <x:f>IF(C451="P0",0,IF(D451&lt;=3,0.15,IF(D451&lt;=14,0.25,IF(D451&lt;=45,0.35,0.5))))</x:f>
        <x:v>0.5</x:v>
      </x:c>
      <x:c r="P451" s="47" t="n">
        <x:f>J451*O451</x:f>
        <x:v>10560</x:v>
      </x:c>
      <x:c r="Q451" s="46" t="n">
        <x:f>IF(C451="P0",0,IF(D451&lt;=3,0.05,IF(D451&lt;=14,0.1,IF(D451&lt;=45,0.15,0.2))))</x:f>
        <x:v>0.2</x:v>
      </x:c>
      <x:c r="R451" s="47" t="n">
        <x:f>J451*Q451</x:f>
        <x:v>4224</x:v>
      </x:c>
      <x:c r="S451" s="20" t="str">
        <x:f>IF(D451&lt;E451,"closed",IF(D451&lt;'Paths'!$N$11,"initial","expanded"))</x:f>
        <x:v>expanded</x:v>
      </x:c>
      <x:c r="T451" s="72"/>
    </x:row>
    <x:row r="452">
      <x:c r="C452" s="20" t="str">
        <x:v>P4</x:v>
      </x:c>
      <x:c r="D452" s="20" t="n">
        <x:v>81</x:v>
      </x:c>
      <x:c r="E452" s="45" t="n">
        <x:f>IF('Controls'!$D$7="Reference",'Paths'!$J$11,'Paths'!$K$11)</x:f>
        <x:v>3</x:v>
      </x:c>
      <x:c r="F452" s="47" t="n">
        <x:f>IF(D452&lt;'Paths'!$N$11,IF('Controls'!$D$7="Reference",'Paths'!$L$11,'Paths'!$M$11),IF('Controls'!$D$7="Reference",'Paths'!$O$11,'Paths'!$P$11))</x:f>
        <x:v>24000</x:v>
      </x:c>
      <x:c r="G452" s="46" t="n">
        <x:f>IF('Controls'!$D$7="Reference",1,IF(OR(D452=6,D452=7,D452=21,D452=46),'Paths'!$U$11,1))</x:f>
        <x:v>1</x:v>
      </x:c>
      <x:c r="H452" s="46" t="n">
        <x:f>IF('Controls'!$D$7="Reference",1,IF(OR(AND(D452&gt;=14,D452&lt;=16),AND(D452&gt;=34,D452&lt;=35),AND(D452&gt;=61,D452&lt;=63)),'Paths'!$V$11,1))</x:f>
        <x:v>1</x:v>
      </x:c>
      <x:c r="I452" s="46" t="n">
        <x:f>'Paths'!$W$11</x:f>
        <x:v>0.88</x:v>
      </x:c>
      <x:c r="J452" s="47" t="n">
        <x:f>IF(D452&lt;E452,0,MIN(F452*G452*H452*I452,IF('Paths'!$T$11&gt;0,MAX(0,'Paths'!$T$11-K451),1000000000)))</x:f>
        <x:v>21120</x:v>
      </x:c>
      <x:c r="K452" s="47" t="n">
        <x:f>K451+J452</x:f>
        <x:v>1526976</x:v>
      </x:c>
      <x:c r="L452" s="46" t="n">
        <x:f>IF(C452="P0",1,IF(D452&lt;=3,0.8,IF(D452&lt;=14,0.65,IF(D452&lt;=45,0.5,0.3))))</x:f>
        <x:v>0.3</x:v>
      </x:c>
      <x:c r="M452" s="47" t="n">
        <x:f>J452*L452</x:f>
        <x:v>6336</x:v>
      </x:c>
      <x:c r="N452" s="47" t="n">
        <x:f>N451+M452</x:f>
        <x:v>647961.6</x:v>
      </x:c>
      <x:c r="O452" s="46" t="n">
        <x:f>IF(C452="P0",0,IF(D452&lt;=3,0.15,IF(D452&lt;=14,0.25,IF(D452&lt;=45,0.35,0.5))))</x:f>
        <x:v>0.5</x:v>
      </x:c>
      <x:c r="P452" s="47" t="n">
        <x:f>J452*O452</x:f>
        <x:v>10560</x:v>
      </x:c>
      <x:c r="Q452" s="46" t="n">
        <x:f>IF(C452="P0",0,IF(D452&lt;=3,0.05,IF(D452&lt;=14,0.1,IF(D452&lt;=45,0.15,0.2))))</x:f>
        <x:v>0.2</x:v>
      </x:c>
      <x:c r="R452" s="47" t="n">
        <x:f>J452*Q452</x:f>
        <x:v>4224</x:v>
      </x:c>
      <x:c r="S452" s="20" t="str">
        <x:f>IF(D452&lt;E452,"closed",IF(D452&lt;'Paths'!$N$11,"initial","expanded"))</x:f>
        <x:v>expanded</x:v>
      </x:c>
      <x:c r="T452" s="72"/>
    </x:row>
    <x:row r="453">
      <x:c r="C453" s="20" t="str">
        <x:v>P4</x:v>
      </x:c>
      <x:c r="D453" s="20" t="n">
        <x:v>82</x:v>
      </x:c>
      <x:c r="E453" s="45" t="n">
        <x:f>IF('Controls'!$D$7="Reference",'Paths'!$J$11,'Paths'!$K$11)</x:f>
        <x:v>3</x:v>
      </x:c>
      <x:c r="F453" s="47" t="n">
        <x:f>IF(D453&lt;'Paths'!$N$11,IF('Controls'!$D$7="Reference",'Paths'!$L$11,'Paths'!$M$11),IF('Controls'!$D$7="Reference",'Paths'!$O$11,'Paths'!$P$11))</x:f>
        <x:v>24000</x:v>
      </x:c>
      <x:c r="G453" s="46" t="n">
        <x:f>IF('Controls'!$D$7="Reference",1,IF(OR(D453=6,D453=7,D453=21,D453=46),'Paths'!$U$11,1))</x:f>
        <x:v>1</x:v>
      </x:c>
      <x:c r="H453" s="46" t="n">
        <x:f>IF('Controls'!$D$7="Reference",1,IF(OR(AND(D453&gt;=14,D453&lt;=16),AND(D453&gt;=34,D453&lt;=35),AND(D453&gt;=61,D453&lt;=63)),'Paths'!$V$11,1))</x:f>
        <x:v>1</x:v>
      </x:c>
      <x:c r="I453" s="46" t="n">
        <x:f>'Paths'!$W$11</x:f>
        <x:v>0.88</x:v>
      </x:c>
      <x:c r="J453" s="47" t="n">
        <x:f>IF(D453&lt;E453,0,MIN(F453*G453*H453*I453,IF('Paths'!$T$11&gt;0,MAX(0,'Paths'!$T$11-K452),1000000000)))</x:f>
        <x:v>21120</x:v>
      </x:c>
      <x:c r="K453" s="47" t="n">
        <x:f>K452+J453</x:f>
        <x:v>1548096</x:v>
      </x:c>
      <x:c r="L453" s="46" t="n">
        <x:f>IF(C453="P0",1,IF(D453&lt;=3,0.8,IF(D453&lt;=14,0.65,IF(D453&lt;=45,0.5,0.3))))</x:f>
        <x:v>0.3</x:v>
      </x:c>
      <x:c r="M453" s="47" t="n">
        <x:f>J453*L453</x:f>
        <x:v>6336</x:v>
      </x:c>
      <x:c r="N453" s="47" t="n">
        <x:f>N452+M453</x:f>
        <x:v>654297.6</x:v>
      </x:c>
      <x:c r="O453" s="46" t="n">
        <x:f>IF(C453="P0",0,IF(D453&lt;=3,0.15,IF(D453&lt;=14,0.25,IF(D453&lt;=45,0.35,0.5))))</x:f>
        <x:v>0.5</x:v>
      </x:c>
      <x:c r="P453" s="47" t="n">
        <x:f>J453*O453</x:f>
        <x:v>10560</x:v>
      </x:c>
      <x:c r="Q453" s="46" t="n">
        <x:f>IF(C453="P0",0,IF(D453&lt;=3,0.05,IF(D453&lt;=14,0.1,IF(D453&lt;=45,0.15,0.2))))</x:f>
        <x:v>0.2</x:v>
      </x:c>
      <x:c r="R453" s="47" t="n">
        <x:f>J453*Q453</x:f>
        <x:v>4224</x:v>
      </x:c>
      <x:c r="S453" s="20" t="str">
        <x:f>IF(D453&lt;E453,"closed",IF(D453&lt;'Paths'!$N$11,"initial","expanded"))</x:f>
        <x:v>expanded</x:v>
      </x:c>
      <x:c r="T453" s="72"/>
    </x:row>
    <x:row r="454">
      <x:c r="C454" s="20" t="str">
        <x:v>P4</x:v>
      </x:c>
      <x:c r="D454" s="20" t="n">
        <x:v>83</x:v>
      </x:c>
      <x:c r="E454" s="45" t="n">
        <x:f>IF('Controls'!$D$7="Reference",'Paths'!$J$11,'Paths'!$K$11)</x:f>
        <x:v>3</x:v>
      </x:c>
      <x:c r="F454" s="47" t="n">
        <x:f>IF(D454&lt;'Paths'!$N$11,IF('Controls'!$D$7="Reference",'Paths'!$L$11,'Paths'!$M$11),IF('Controls'!$D$7="Reference",'Paths'!$O$11,'Paths'!$P$11))</x:f>
        <x:v>24000</x:v>
      </x:c>
      <x:c r="G454" s="46" t="n">
        <x:f>IF('Controls'!$D$7="Reference",1,IF(OR(D454=6,D454=7,D454=21,D454=46),'Paths'!$U$11,1))</x:f>
        <x:v>1</x:v>
      </x:c>
      <x:c r="H454" s="46" t="n">
        <x:f>IF('Controls'!$D$7="Reference",1,IF(OR(AND(D454&gt;=14,D454&lt;=16),AND(D454&gt;=34,D454&lt;=35),AND(D454&gt;=61,D454&lt;=63)),'Paths'!$V$11,1))</x:f>
        <x:v>1</x:v>
      </x:c>
      <x:c r="I454" s="46" t="n">
        <x:f>'Paths'!$W$11</x:f>
        <x:v>0.88</x:v>
      </x:c>
      <x:c r="J454" s="47" t="n">
        <x:f>IF(D454&lt;E454,0,MIN(F454*G454*H454*I454,IF('Paths'!$T$11&gt;0,MAX(0,'Paths'!$T$11-K453),1000000000)))</x:f>
        <x:v>21120</x:v>
      </x:c>
      <x:c r="K454" s="47" t="n">
        <x:f>K453+J454</x:f>
        <x:v>1569216</x:v>
      </x:c>
      <x:c r="L454" s="46" t="n">
        <x:f>IF(C454="P0",1,IF(D454&lt;=3,0.8,IF(D454&lt;=14,0.65,IF(D454&lt;=45,0.5,0.3))))</x:f>
        <x:v>0.3</x:v>
      </x:c>
      <x:c r="M454" s="47" t="n">
        <x:f>J454*L454</x:f>
        <x:v>6336</x:v>
      </x:c>
      <x:c r="N454" s="47" t="n">
        <x:f>N453+M454</x:f>
        <x:v>660633.6</x:v>
      </x:c>
      <x:c r="O454" s="46" t="n">
        <x:f>IF(C454="P0",0,IF(D454&lt;=3,0.15,IF(D454&lt;=14,0.25,IF(D454&lt;=45,0.35,0.5))))</x:f>
        <x:v>0.5</x:v>
      </x:c>
      <x:c r="P454" s="47" t="n">
        <x:f>J454*O454</x:f>
        <x:v>10560</x:v>
      </x:c>
      <x:c r="Q454" s="46" t="n">
        <x:f>IF(C454="P0",0,IF(D454&lt;=3,0.05,IF(D454&lt;=14,0.1,IF(D454&lt;=45,0.15,0.2))))</x:f>
        <x:v>0.2</x:v>
      </x:c>
      <x:c r="R454" s="47" t="n">
        <x:f>J454*Q454</x:f>
        <x:v>4224</x:v>
      </x:c>
      <x:c r="S454" s="20" t="str">
        <x:f>IF(D454&lt;E454,"closed",IF(D454&lt;'Paths'!$N$11,"initial","expanded"))</x:f>
        <x:v>expanded</x:v>
      </x:c>
      <x:c r="T454" s="72"/>
    </x:row>
    <x:row r="455">
      <x:c r="C455" s="20" t="str">
        <x:v>P4</x:v>
      </x:c>
      <x:c r="D455" s="20" t="n">
        <x:v>84</x:v>
      </x:c>
      <x:c r="E455" s="45" t="n">
        <x:f>IF('Controls'!$D$7="Reference",'Paths'!$J$11,'Paths'!$K$11)</x:f>
        <x:v>3</x:v>
      </x:c>
      <x:c r="F455" s="47" t="n">
        <x:f>IF(D455&lt;'Paths'!$N$11,IF('Controls'!$D$7="Reference",'Paths'!$L$11,'Paths'!$M$11),IF('Controls'!$D$7="Reference",'Paths'!$O$11,'Paths'!$P$11))</x:f>
        <x:v>24000</x:v>
      </x:c>
      <x:c r="G455" s="46" t="n">
        <x:f>IF('Controls'!$D$7="Reference",1,IF(OR(D455=6,D455=7,D455=21,D455=46),'Paths'!$U$11,1))</x:f>
        <x:v>1</x:v>
      </x:c>
      <x:c r="H455" s="46" t="n">
        <x:f>IF('Controls'!$D$7="Reference",1,IF(OR(AND(D455&gt;=14,D455&lt;=16),AND(D455&gt;=34,D455&lt;=35),AND(D455&gt;=61,D455&lt;=63)),'Paths'!$V$11,1))</x:f>
        <x:v>1</x:v>
      </x:c>
      <x:c r="I455" s="46" t="n">
        <x:f>'Paths'!$W$11</x:f>
        <x:v>0.88</x:v>
      </x:c>
      <x:c r="J455" s="47" t="n">
        <x:f>IF(D455&lt;E455,0,MIN(F455*G455*H455*I455,IF('Paths'!$T$11&gt;0,MAX(0,'Paths'!$T$11-K454),1000000000)))</x:f>
        <x:v>21120</x:v>
      </x:c>
      <x:c r="K455" s="47" t="n">
        <x:f>K454+J455</x:f>
        <x:v>1590336</x:v>
      </x:c>
      <x:c r="L455" s="46" t="n">
        <x:f>IF(C455="P0",1,IF(D455&lt;=3,0.8,IF(D455&lt;=14,0.65,IF(D455&lt;=45,0.5,0.3))))</x:f>
        <x:v>0.3</x:v>
      </x:c>
      <x:c r="M455" s="47" t="n">
        <x:f>J455*L455</x:f>
        <x:v>6336</x:v>
      </x:c>
      <x:c r="N455" s="47" t="n">
        <x:f>N454+M455</x:f>
        <x:v>666969.6</x:v>
      </x:c>
      <x:c r="O455" s="46" t="n">
        <x:f>IF(C455="P0",0,IF(D455&lt;=3,0.15,IF(D455&lt;=14,0.25,IF(D455&lt;=45,0.35,0.5))))</x:f>
        <x:v>0.5</x:v>
      </x:c>
      <x:c r="P455" s="47" t="n">
        <x:f>J455*O455</x:f>
        <x:v>10560</x:v>
      </x:c>
      <x:c r="Q455" s="46" t="n">
        <x:f>IF(C455="P0",0,IF(D455&lt;=3,0.05,IF(D455&lt;=14,0.1,IF(D455&lt;=45,0.15,0.2))))</x:f>
        <x:v>0.2</x:v>
      </x:c>
      <x:c r="R455" s="47" t="n">
        <x:f>J455*Q455</x:f>
        <x:v>4224</x:v>
      </x:c>
      <x:c r="S455" s="20" t="str">
        <x:f>IF(D455&lt;E455,"closed",IF(D455&lt;'Paths'!$N$11,"initial","expanded"))</x:f>
        <x:v>expanded</x:v>
      </x:c>
      <x:c r="T455" s="72"/>
    </x:row>
    <x:row r="456">
      <x:c r="C456" s="20" t="str">
        <x:v>P4</x:v>
      </x:c>
      <x:c r="D456" s="20" t="n">
        <x:v>85</x:v>
      </x:c>
      <x:c r="E456" s="45" t="n">
        <x:f>IF('Controls'!$D$7="Reference",'Paths'!$J$11,'Paths'!$K$11)</x:f>
        <x:v>3</x:v>
      </x:c>
      <x:c r="F456" s="47" t="n">
        <x:f>IF(D456&lt;'Paths'!$N$11,IF('Controls'!$D$7="Reference",'Paths'!$L$11,'Paths'!$M$11),IF('Controls'!$D$7="Reference",'Paths'!$O$11,'Paths'!$P$11))</x:f>
        <x:v>24000</x:v>
      </x:c>
      <x:c r="G456" s="46" t="n">
        <x:f>IF('Controls'!$D$7="Reference",1,IF(OR(D456=6,D456=7,D456=21,D456=46),'Paths'!$U$11,1))</x:f>
        <x:v>1</x:v>
      </x:c>
      <x:c r="H456" s="46" t="n">
        <x:f>IF('Controls'!$D$7="Reference",1,IF(OR(AND(D456&gt;=14,D456&lt;=16),AND(D456&gt;=34,D456&lt;=35),AND(D456&gt;=61,D456&lt;=63)),'Paths'!$V$11,1))</x:f>
        <x:v>1</x:v>
      </x:c>
      <x:c r="I456" s="46" t="n">
        <x:f>'Paths'!$W$11</x:f>
        <x:v>0.88</x:v>
      </x:c>
      <x:c r="J456" s="47" t="n">
        <x:f>IF(D456&lt;E456,0,MIN(F456*G456*H456*I456,IF('Paths'!$T$11&gt;0,MAX(0,'Paths'!$T$11-K455),1000000000)))</x:f>
        <x:v>21120</x:v>
      </x:c>
      <x:c r="K456" s="47" t="n">
        <x:f>K455+J456</x:f>
        <x:v>1611456</x:v>
      </x:c>
      <x:c r="L456" s="46" t="n">
        <x:f>IF(C456="P0",1,IF(D456&lt;=3,0.8,IF(D456&lt;=14,0.65,IF(D456&lt;=45,0.5,0.3))))</x:f>
        <x:v>0.3</x:v>
      </x:c>
      <x:c r="M456" s="47" t="n">
        <x:f>J456*L456</x:f>
        <x:v>6336</x:v>
      </x:c>
      <x:c r="N456" s="47" t="n">
        <x:f>N455+M456</x:f>
        <x:v>673305.6</x:v>
      </x:c>
      <x:c r="O456" s="46" t="n">
        <x:f>IF(C456="P0",0,IF(D456&lt;=3,0.15,IF(D456&lt;=14,0.25,IF(D456&lt;=45,0.35,0.5))))</x:f>
        <x:v>0.5</x:v>
      </x:c>
      <x:c r="P456" s="47" t="n">
        <x:f>J456*O456</x:f>
        <x:v>10560</x:v>
      </x:c>
      <x:c r="Q456" s="46" t="n">
        <x:f>IF(C456="P0",0,IF(D456&lt;=3,0.05,IF(D456&lt;=14,0.1,IF(D456&lt;=45,0.15,0.2))))</x:f>
        <x:v>0.2</x:v>
      </x:c>
      <x:c r="R456" s="47" t="n">
        <x:f>J456*Q456</x:f>
        <x:v>4224</x:v>
      </x:c>
      <x:c r="S456" s="20" t="str">
        <x:f>IF(D456&lt;E456,"closed",IF(D456&lt;'Paths'!$N$11,"initial","expanded"))</x:f>
        <x:v>expanded</x:v>
      </x:c>
      <x:c r="T456" s="72"/>
    </x:row>
    <x:row r="457">
      <x:c r="C457" s="20" t="str">
        <x:v>P4</x:v>
      </x:c>
      <x:c r="D457" s="20" t="n">
        <x:v>86</x:v>
      </x:c>
      <x:c r="E457" s="45" t="n">
        <x:f>IF('Controls'!$D$7="Reference",'Paths'!$J$11,'Paths'!$K$11)</x:f>
        <x:v>3</x:v>
      </x:c>
      <x:c r="F457" s="47" t="n">
        <x:f>IF(D457&lt;'Paths'!$N$11,IF('Controls'!$D$7="Reference",'Paths'!$L$11,'Paths'!$M$11),IF('Controls'!$D$7="Reference",'Paths'!$O$11,'Paths'!$P$11))</x:f>
        <x:v>24000</x:v>
      </x:c>
      <x:c r="G457" s="46" t="n">
        <x:f>IF('Controls'!$D$7="Reference",1,IF(OR(D457=6,D457=7,D457=21,D457=46),'Paths'!$U$11,1))</x:f>
        <x:v>1</x:v>
      </x:c>
      <x:c r="H457" s="46" t="n">
        <x:f>IF('Controls'!$D$7="Reference",1,IF(OR(AND(D457&gt;=14,D457&lt;=16),AND(D457&gt;=34,D457&lt;=35),AND(D457&gt;=61,D457&lt;=63)),'Paths'!$V$11,1))</x:f>
        <x:v>1</x:v>
      </x:c>
      <x:c r="I457" s="46" t="n">
        <x:f>'Paths'!$W$11</x:f>
        <x:v>0.88</x:v>
      </x:c>
      <x:c r="J457" s="47" t="n">
        <x:f>IF(D457&lt;E457,0,MIN(F457*G457*H457*I457,IF('Paths'!$T$11&gt;0,MAX(0,'Paths'!$T$11-K456),1000000000)))</x:f>
        <x:v>21120</x:v>
      </x:c>
      <x:c r="K457" s="47" t="n">
        <x:f>K456+J457</x:f>
        <x:v>1632576</x:v>
      </x:c>
      <x:c r="L457" s="46" t="n">
        <x:f>IF(C457="P0",1,IF(D457&lt;=3,0.8,IF(D457&lt;=14,0.65,IF(D457&lt;=45,0.5,0.3))))</x:f>
        <x:v>0.3</x:v>
      </x:c>
      <x:c r="M457" s="47" t="n">
        <x:f>J457*L457</x:f>
        <x:v>6336</x:v>
      </x:c>
      <x:c r="N457" s="47" t="n">
        <x:f>N456+M457</x:f>
        <x:v>679641.6</x:v>
      </x:c>
      <x:c r="O457" s="46" t="n">
        <x:f>IF(C457="P0",0,IF(D457&lt;=3,0.15,IF(D457&lt;=14,0.25,IF(D457&lt;=45,0.35,0.5))))</x:f>
        <x:v>0.5</x:v>
      </x:c>
      <x:c r="P457" s="47" t="n">
        <x:f>J457*O457</x:f>
        <x:v>10560</x:v>
      </x:c>
      <x:c r="Q457" s="46" t="n">
        <x:f>IF(C457="P0",0,IF(D457&lt;=3,0.05,IF(D457&lt;=14,0.1,IF(D457&lt;=45,0.15,0.2))))</x:f>
        <x:v>0.2</x:v>
      </x:c>
      <x:c r="R457" s="47" t="n">
        <x:f>J457*Q457</x:f>
        <x:v>4224</x:v>
      </x:c>
      <x:c r="S457" s="20" t="str">
        <x:f>IF(D457&lt;E457,"closed",IF(D457&lt;'Paths'!$N$11,"initial","expanded"))</x:f>
        <x:v>expanded</x:v>
      </x:c>
      <x:c r="T457" s="72"/>
    </x:row>
    <x:row r="458">
      <x:c r="C458" s="20" t="str">
        <x:v>P4</x:v>
      </x:c>
      <x:c r="D458" s="20" t="n">
        <x:v>87</x:v>
      </x:c>
      <x:c r="E458" s="45" t="n">
        <x:f>IF('Controls'!$D$7="Reference",'Paths'!$J$11,'Paths'!$K$11)</x:f>
        <x:v>3</x:v>
      </x:c>
      <x:c r="F458" s="47" t="n">
        <x:f>IF(D458&lt;'Paths'!$N$11,IF('Controls'!$D$7="Reference",'Paths'!$L$11,'Paths'!$M$11),IF('Controls'!$D$7="Reference",'Paths'!$O$11,'Paths'!$P$11))</x:f>
        <x:v>24000</x:v>
      </x:c>
      <x:c r="G458" s="46" t="n">
        <x:f>IF('Controls'!$D$7="Reference",1,IF(OR(D458=6,D458=7,D458=21,D458=46),'Paths'!$U$11,1))</x:f>
        <x:v>1</x:v>
      </x:c>
      <x:c r="H458" s="46" t="n">
        <x:f>IF('Controls'!$D$7="Reference",1,IF(OR(AND(D458&gt;=14,D458&lt;=16),AND(D458&gt;=34,D458&lt;=35),AND(D458&gt;=61,D458&lt;=63)),'Paths'!$V$11,1))</x:f>
        <x:v>1</x:v>
      </x:c>
      <x:c r="I458" s="46" t="n">
        <x:f>'Paths'!$W$11</x:f>
        <x:v>0.88</x:v>
      </x:c>
      <x:c r="J458" s="47" t="n">
        <x:f>IF(D458&lt;E458,0,MIN(F458*G458*H458*I458,IF('Paths'!$T$11&gt;0,MAX(0,'Paths'!$T$11-K457),1000000000)))</x:f>
        <x:v>21120</x:v>
      </x:c>
      <x:c r="K458" s="47" t="n">
        <x:f>K457+J458</x:f>
        <x:v>1653696</x:v>
      </x:c>
      <x:c r="L458" s="46" t="n">
        <x:f>IF(C458="P0",1,IF(D458&lt;=3,0.8,IF(D458&lt;=14,0.65,IF(D458&lt;=45,0.5,0.3))))</x:f>
        <x:v>0.3</x:v>
      </x:c>
      <x:c r="M458" s="47" t="n">
        <x:f>J458*L458</x:f>
        <x:v>6336</x:v>
      </x:c>
      <x:c r="N458" s="47" t="n">
        <x:f>N457+M458</x:f>
        <x:v>685977.6</x:v>
      </x:c>
      <x:c r="O458" s="46" t="n">
        <x:f>IF(C458="P0",0,IF(D458&lt;=3,0.15,IF(D458&lt;=14,0.25,IF(D458&lt;=45,0.35,0.5))))</x:f>
        <x:v>0.5</x:v>
      </x:c>
      <x:c r="P458" s="47" t="n">
        <x:f>J458*O458</x:f>
        <x:v>10560</x:v>
      </x:c>
      <x:c r="Q458" s="46" t="n">
        <x:f>IF(C458="P0",0,IF(D458&lt;=3,0.05,IF(D458&lt;=14,0.1,IF(D458&lt;=45,0.15,0.2))))</x:f>
        <x:v>0.2</x:v>
      </x:c>
      <x:c r="R458" s="47" t="n">
        <x:f>J458*Q458</x:f>
        <x:v>4224</x:v>
      </x:c>
      <x:c r="S458" s="20" t="str">
        <x:f>IF(D458&lt;E458,"closed",IF(D458&lt;'Paths'!$N$11,"initial","expanded"))</x:f>
        <x:v>expanded</x:v>
      </x:c>
      <x:c r="T458" s="72"/>
    </x:row>
    <x:row r="459">
      <x:c r="C459" s="20" t="str">
        <x:v>P4</x:v>
      </x:c>
      <x:c r="D459" s="20" t="n">
        <x:v>88</x:v>
      </x:c>
      <x:c r="E459" s="45" t="n">
        <x:f>IF('Controls'!$D$7="Reference",'Paths'!$J$11,'Paths'!$K$11)</x:f>
        <x:v>3</x:v>
      </x:c>
      <x:c r="F459" s="47" t="n">
        <x:f>IF(D459&lt;'Paths'!$N$11,IF('Controls'!$D$7="Reference",'Paths'!$L$11,'Paths'!$M$11),IF('Controls'!$D$7="Reference",'Paths'!$O$11,'Paths'!$P$11))</x:f>
        <x:v>24000</x:v>
      </x:c>
      <x:c r="G459" s="46" t="n">
        <x:f>IF('Controls'!$D$7="Reference",1,IF(OR(D459=6,D459=7,D459=21,D459=46),'Paths'!$U$11,1))</x:f>
        <x:v>1</x:v>
      </x:c>
      <x:c r="H459" s="46" t="n">
        <x:f>IF('Controls'!$D$7="Reference",1,IF(OR(AND(D459&gt;=14,D459&lt;=16),AND(D459&gt;=34,D459&lt;=35),AND(D459&gt;=61,D459&lt;=63)),'Paths'!$V$11,1))</x:f>
        <x:v>1</x:v>
      </x:c>
      <x:c r="I459" s="46" t="n">
        <x:f>'Paths'!$W$11</x:f>
        <x:v>0.88</x:v>
      </x:c>
      <x:c r="J459" s="47" t="n">
        <x:f>IF(D459&lt;E459,0,MIN(F459*G459*H459*I459,IF('Paths'!$T$11&gt;0,MAX(0,'Paths'!$T$11-K458),1000000000)))</x:f>
        <x:v>21120</x:v>
      </x:c>
      <x:c r="K459" s="47" t="n">
        <x:f>K458+J459</x:f>
        <x:v>1674816</x:v>
      </x:c>
      <x:c r="L459" s="46" t="n">
        <x:f>IF(C459="P0",1,IF(D459&lt;=3,0.8,IF(D459&lt;=14,0.65,IF(D459&lt;=45,0.5,0.3))))</x:f>
        <x:v>0.3</x:v>
      </x:c>
      <x:c r="M459" s="47" t="n">
        <x:f>J459*L459</x:f>
        <x:v>6336</x:v>
      </x:c>
      <x:c r="N459" s="47" t="n">
        <x:f>N458+M459</x:f>
        <x:v>692313.6</x:v>
      </x:c>
      <x:c r="O459" s="46" t="n">
        <x:f>IF(C459="P0",0,IF(D459&lt;=3,0.15,IF(D459&lt;=14,0.25,IF(D459&lt;=45,0.35,0.5))))</x:f>
        <x:v>0.5</x:v>
      </x:c>
      <x:c r="P459" s="47" t="n">
        <x:f>J459*O459</x:f>
        <x:v>10560</x:v>
      </x:c>
      <x:c r="Q459" s="46" t="n">
        <x:f>IF(C459="P0",0,IF(D459&lt;=3,0.05,IF(D459&lt;=14,0.1,IF(D459&lt;=45,0.15,0.2))))</x:f>
        <x:v>0.2</x:v>
      </x:c>
      <x:c r="R459" s="47" t="n">
        <x:f>J459*Q459</x:f>
        <x:v>4224</x:v>
      </x:c>
      <x:c r="S459" s="20" t="str">
        <x:f>IF(D459&lt;E459,"closed",IF(D459&lt;'Paths'!$N$11,"initial","expanded"))</x:f>
        <x:v>expanded</x:v>
      </x:c>
      <x:c r="T459" s="72"/>
    </x:row>
    <x:row r="460">
      <x:c r="C460" s="20" t="str">
        <x:v>P4</x:v>
      </x:c>
      <x:c r="D460" s="20" t="n">
        <x:v>89</x:v>
      </x:c>
      <x:c r="E460" s="45" t="n">
        <x:f>IF('Controls'!$D$7="Reference",'Paths'!$J$11,'Paths'!$K$11)</x:f>
        <x:v>3</x:v>
      </x:c>
      <x:c r="F460" s="47" t="n">
        <x:f>IF(D460&lt;'Paths'!$N$11,IF('Controls'!$D$7="Reference",'Paths'!$L$11,'Paths'!$M$11),IF('Controls'!$D$7="Reference",'Paths'!$O$11,'Paths'!$P$11))</x:f>
        <x:v>24000</x:v>
      </x:c>
      <x:c r="G460" s="46" t="n">
        <x:f>IF('Controls'!$D$7="Reference",1,IF(OR(D460=6,D460=7,D460=21,D460=46),'Paths'!$U$11,1))</x:f>
        <x:v>1</x:v>
      </x:c>
      <x:c r="H460" s="46" t="n">
        <x:f>IF('Controls'!$D$7="Reference",1,IF(OR(AND(D460&gt;=14,D460&lt;=16),AND(D460&gt;=34,D460&lt;=35),AND(D460&gt;=61,D460&lt;=63)),'Paths'!$V$11,1))</x:f>
        <x:v>1</x:v>
      </x:c>
      <x:c r="I460" s="46" t="n">
        <x:f>'Paths'!$W$11</x:f>
        <x:v>0.88</x:v>
      </x:c>
      <x:c r="J460" s="47" t="n">
        <x:f>IF(D460&lt;E460,0,MIN(F460*G460*H460*I460,IF('Paths'!$T$11&gt;0,MAX(0,'Paths'!$T$11-K459),1000000000)))</x:f>
        <x:v>21120</x:v>
      </x:c>
      <x:c r="K460" s="47" t="n">
        <x:f>K459+J460</x:f>
        <x:v>1695936</x:v>
      </x:c>
      <x:c r="L460" s="46" t="n">
        <x:f>IF(C460="P0",1,IF(D460&lt;=3,0.8,IF(D460&lt;=14,0.65,IF(D460&lt;=45,0.5,0.3))))</x:f>
        <x:v>0.3</x:v>
      </x:c>
      <x:c r="M460" s="47" t="n">
        <x:f>J460*L460</x:f>
        <x:v>6336</x:v>
      </x:c>
      <x:c r="N460" s="47" t="n">
        <x:f>N459+M460</x:f>
        <x:v>698649.6</x:v>
      </x:c>
      <x:c r="O460" s="46" t="n">
        <x:f>IF(C460="P0",0,IF(D460&lt;=3,0.15,IF(D460&lt;=14,0.25,IF(D460&lt;=45,0.35,0.5))))</x:f>
        <x:v>0.5</x:v>
      </x:c>
      <x:c r="P460" s="47" t="n">
        <x:f>J460*O460</x:f>
        <x:v>10560</x:v>
      </x:c>
      <x:c r="Q460" s="46" t="n">
        <x:f>IF(C460="P0",0,IF(D460&lt;=3,0.05,IF(D460&lt;=14,0.1,IF(D460&lt;=45,0.15,0.2))))</x:f>
        <x:v>0.2</x:v>
      </x:c>
      <x:c r="R460" s="47" t="n">
        <x:f>J460*Q460</x:f>
        <x:v>4224</x:v>
      </x:c>
      <x:c r="S460" s="20" t="str">
        <x:f>IF(D460&lt;E460,"closed",IF(D460&lt;'Paths'!$N$11,"initial","expanded"))</x:f>
        <x:v>expanded</x:v>
      </x:c>
      <x:c r="T460" s="72"/>
    </x:row>
    <x:row r="461">
      <x:c r="C461" s="20" t="str">
        <x:v>P4</x:v>
      </x:c>
      <x:c r="D461" s="20" t="n">
        <x:v>90</x:v>
      </x:c>
      <x:c r="E461" s="45" t="n">
        <x:f>IF('Controls'!$D$7="Reference",'Paths'!$J$11,'Paths'!$K$11)</x:f>
        <x:v>3</x:v>
      </x:c>
      <x:c r="F461" s="47" t="n">
        <x:f>IF(D461&lt;'Paths'!$N$11,IF('Controls'!$D$7="Reference",'Paths'!$L$11,'Paths'!$M$11),IF('Controls'!$D$7="Reference",'Paths'!$O$11,'Paths'!$P$11))</x:f>
        <x:v>24000</x:v>
      </x:c>
      <x:c r="G461" s="46" t="n">
        <x:f>IF('Controls'!$D$7="Reference",1,IF(OR(D461=6,D461=7,D461=21,D461=46),'Paths'!$U$11,1))</x:f>
        <x:v>1</x:v>
      </x:c>
      <x:c r="H461" s="46" t="n">
        <x:f>IF('Controls'!$D$7="Reference",1,IF(OR(AND(D461&gt;=14,D461&lt;=16),AND(D461&gt;=34,D461&lt;=35),AND(D461&gt;=61,D461&lt;=63)),'Paths'!$V$11,1))</x:f>
        <x:v>1</x:v>
      </x:c>
      <x:c r="I461" s="46" t="n">
        <x:f>'Paths'!$W$11</x:f>
        <x:v>0.88</x:v>
      </x:c>
      <x:c r="J461" s="47" t="n">
        <x:f>IF(D461&lt;E461,0,MIN(F461*G461*H461*I461,IF('Paths'!$T$11&gt;0,MAX(0,'Paths'!$T$11-K460),1000000000)))</x:f>
        <x:v>21120</x:v>
      </x:c>
      <x:c r="K461" s="47" t="n">
        <x:f>K460+J461</x:f>
        <x:v>1717056</x:v>
      </x:c>
      <x:c r="L461" s="46" t="n">
        <x:f>IF(C461="P0",1,IF(D461&lt;=3,0.8,IF(D461&lt;=14,0.65,IF(D461&lt;=45,0.5,0.3))))</x:f>
        <x:v>0.3</x:v>
      </x:c>
      <x:c r="M461" s="47" t="n">
        <x:f>J461*L461</x:f>
        <x:v>6336</x:v>
      </x:c>
      <x:c r="N461" s="47" t="n">
        <x:f>N460+M461</x:f>
        <x:v>704985.6</x:v>
      </x:c>
      <x:c r="O461" s="46" t="n">
        <x:f>IF(C461="P0",0,IF(D461&lt;=3,0.15,IF(D461&lt;=14,0.25,IF(D461&lt;=45,0.35,0.5))))</x:f>
        <x:v>0.5</x:v>
      </x:c>
      <x:c r="P461" s="47" t="n">
        <x:f>J461*O461</x:f>
        <x:v>10560</x:v>
      </x:c>
      <x:c r="Q461" s="46" t="n">
        <x:f>IF(C461="P0",0,IF(D461&lt;=3,0.05,IF(D461&lt;=14,0.1,IF(D461&lt;=45,0.15,0.2))))</x:f>
        <x:v>0.2</x:v>
      </x:c>
      <x:c r="R461" s="47" t="n">
        <x:f>J461*Q461</x:f>
        <x:v>4224</x:v>
      </x:c>
      <x:c r="S461" s="20" t="str">
        <x:f>IF(D461&lt;E461,"closed",IF(D461&lt;'Paths'!$N$11,"initial","expanded"))</x:f>
        <x:v>expanded</x:v>
      </x:c>
      <x:c r="T461" s="72"/>
    </x:row>
    <x:row r="462">
      <x:c r="C462" s="20" t="str">
        <x:v>P5</x:v>
      </x:c>
      <x:c r="D462" s="20" t="n">
        <x:v>0</x:v>
      </x:c>
      <x:c r="E462" s="45" t="n">
        <x:f>IF('Controls'!$D$7="Reference",'Paths'!$J$12,'Paths'!$K$12)</x:f>
        <x:v>3</x:v>
      </x:c>
      <x:c r="F462" s="47" t="n">
        <x:f>IF(D462&lt;'Paths'!$N$12,IF('Controls'!$D$7="Reference",'Paths'!$L$12,'Paths'!$M$12),IF('Controls'!$D$7="Reference",'Paths'!$O$12,'Paths'!$P$12))</x:f>
        <x:v>22000</x:v>
      </x:c>
      <x:c r="G462" s="46" t="n">
        <x:f>IF('Controls'!$D$7="Reference",1,IF(OR(D462=6,D462=7,D462=21,D462=46),'Paths'!$U$12,1))</x:f>
        <x:v>1</x:v>
      </x:c>
      <x:c r="H462" s="46" t="n">
        <x:f>IF('Controls'!$D$7="Reference",1,IF(OR(AND(D462&gt;=14,D462&lt;=16),AND(D462&gt;=34,D462&lt;=35),AND(D462&gt;=61,D462&lt;=63)),'Paths'!$V$12,1))</x:f>
        <x:v>1</x:v>
      </x:c>
      <x:c r="I462" s="46" t="n">
        <x:f>'Paths'!$W$12</x:f>
        <x:v>0.88</x:v>
      </x:c>
      <x:c r="J462" s="47" t="n">
        <x:f>IF(D462&lt;E462,0,MIN(F462*G462*H462*I462,IF('Paths'!$T$12&gt;0,MAX(0,'Paths'!$T$12-0),1000000000)))</x:f>
        <x:v>0</x:v>
      </x:c>
      <x:c r="K462" s="47" t="n">
        <x:f>0+J462</x:f>
        <x:v>0</x:v>
      </x:c>
      <x:c r="L462" s="46" t="n">
        <x:f>IF(C462="P0",1,IF(D462&lt;=3,0.8,IF(D462&lt;=14,0.65,IF(D462&lt;=45,0.5,0.3))))</x:f>
        <x:v>0.8</x:v>
      </x:c>
      <x:c r="M462" s="47" t="n">
        <x:f>J462*L462</x:f>
        <x:v>0</x:v>
      </x:c>
      <x:c r="N462" s="47" t="n">
        <x:f>0+M462</x:f>
        <x:v>0</x:v>
      </x:c>
      <x:c r="O462" s="46" t="n">
        <x:f>IF(C462="P0",0,IF(D462&lt;=3,0.15,IF(D462&lt;=14,0.25,IF(D462&lt;=45,0.35,0.5))))</x:f>
        <x:v>0.15</x:v>
      </x:c>
      <x:c r="P462" s="47" t="n">
        <x:f>J462*O462</x:f>
        <x:v>0</x:v>
      </x:c>
      <x:c r="Q462" s="46" t="n">
        <x:f>IF(C462="P0",0,IF(D462&lt;=3,0.05,IF(D462&lt;=14,0.1,IF(D462&lt;=45,0.15,0.2))))</x:f>
        <x:v>0.05</x:v>
      </x:c>
      <x:c r="R462" s="47" t="n">
        <x:f>J462*Q462</x:f>
        <x:v>0</x:v>
      </x:c>
      <x:c r="S462" s="20" t="str">
        <x:f>IF(D462&lt;E462,"closed",IF(D462&lt;'Paths'!$N$12,"initial","expanded"))</x:f>
        <x:v>closed</x:v>
      </x:c>
      <x:c r="T462" s="72"/>
    </x:row>
    <x:row r="463">
      <x:c r="C463" s="20" t="str">
        <x:v>P5</x:v>
      </x:c>
      <x:c r="D463" s="20" t="n">
        <x:v>1</x:v>
      </x:c>
      <x:c r="E463" s="45" t="n">
        <x:f>IF('Controls'!$D$7="Reference",'Paths'!$J$12,'Paths'!$K$12)</x:f>
        <x:v>3</x:v>
      </x:c>
      <x:c r="F463" s="47" t="n">
        <x:f>IF(D463&lt;'Paths'!$N$12,IF('Controls'!$D$7="Reference",'Paths'!$L$12,'Paths'!$M$12),IF('Controls'!$D$7="Reference",'Paths'!$O$12,'Paths'!$P$12))</x:f>
        <x:v>22000</x:v>
      </x:c>
      <x:c r="G463" s="46" t="n">
        <x:f>IF('Controls'!$D$7="Reference",1,IF(OR(D463=6,D463=7,D463=21,D463=46),'Paths'!$U$12,1))</x:f>
        <x:v>1</x:v>
      </x:c>
      <x:c r="H463" s="46" t="n">
        <x:f>IF('Controls'!$D$7="Reference",1,IF(OR(AND(D463&gt;=14,D463&lt;=16),AND(D463&gt;=34,D463&lt;=35),AND(D463&gt;=61,D463&lt;=63)),'Paths'!$V$12,1))</x:f>
        <x:v>1</x:v>
      </x:c>
      <x:c r="I463" s="46" t="n">
        <x:f>'Paths'!$W$12</x:f>
        <x:v>0.88</x:v>
      </x:c>
      <x:c r="J463" s="47" t="n">
        <x:f>IF(D463&lt;E463,0,MIN(F463*G463*H463*I463,IF('Paths'!$T$12&gt;0,MAX(0,'Paths'!$T$12-K462),1000000000)))</x:f>
        <x:v>0</x:v>
      </x:c>
      <x:c r="K463" s="47" t="n">
        <x:f>K462+J463</x:f>
        <x:v>0</x:v>
      </x:c>
      <x:c r="L463" s="46" t="n">
        <x:f>IF(C463="P0",1,IF(D463&lt;=3,0.8,IF(D463&lt;=14,0.65,IF(D463&lt;=45,0.5,0.3))))</x:f>
        <x:v>0.8</x:v>
      </x:c>
      <x:c r="M463" s="47" t="n">
        <x:f>J463*L463</x:f>
        <x:v>0</x:v>
      </x:c>
      <x:c r="N463" s="47" t="n">
        <x:f>N462+M463</x:f>
        <x:v>0</x:v>
      </x:c>
      <x:c r="O463" s="46" t="n">
        <x:f>IF(C463="P0",0,IF(D463&lt;=3,0.15,IF(D463&lt;=14,0.25,IF(D463&lt;=45,0.35,0.5))))</x:f>
        <x:v>0.15</x:v>
      </x:c>
      <x:c r="P463" s="47" t="n">
        <x:f>J463*O463</x:f>
        <x:v>0</x:v>
      </x:c>
      <x:c r="Q463" s="46" t="n">
        <x:f>IF(C463="P0",0,IF(D463&lt;=3,0.05,IF(D463&lt;=14,0.1,IF(D463&lt;=45,0.15,0.2))))</x:f>
        <x:v>0.05</x:v>
      </x:c>
      <x:c r="R463" s="47" t="n">
        <x:f>J463*Q463</x:f>
        <x:v>0</x:v>
      </x:c>
      <x:c r="S463" s="20" t="str">
        <x:f>IF(D463&lt;E463,"closed",IF(D463&lt;'Paths'!$N$12,"initial","expanded"))</x:f>
        <x:v>closed</x:v>
      </x:c>
      <x:c r="T463" s="72"/>
    </x:row>
    <x:row r="464">
      <x:c r="C464" s="20" t="str">
        <x:v>P5</x:v>
      </x:c>
      <x:c r="D464" s="20" t="n">
        <x:v>2</x:v>
      </x:c>
      <x:c r="E464" s="45" t="n">
        <x:f>IF('Controls'!$D$7="Reference",'Paths'!$J$12,'Paths'!$K$12)</x:f>
        <x:v>3</x:v>
      </x:c>
      <x:c r="F464" s="47" t="n">
        <x:f>IF(D464&lt;'Paths'!$N$12,IF('Controls'!$D$7="Reference",'Paths'!$L$12,'Paths'!$M$12),IF('Controls'!$D$7="Reference",'Paths'!$O$12,'Paths'!$P$12))</x:f>
        <x:v>22000</x:v>
      </x:c>
      <x:c r="G464" s="46" t="n">
        <x:f>IF('Controls'!$D$7="Reference",1,IF(OR(D464=6,D464=7,D464=21,D464=46),'Paths'!$U$12,1))</x:f>
        <x:v>1</x:v>
      </x:c>
      <x:c r="H464" s="46" t="n">
        <x:f>IF('Controls'!$D$7="Reference",1,IF(OR(AND(D464&gt;=14,D464&lt;=16),AND(D464&gt;=34,D464&lt;=35),AND(D464&gt;=61,D464&lt;=63)),'Paths'!$V$12,1))</x:f>
        <x:v>1</x:v>
      </x:c>
      <x:c r="I464" s="46" t="n">
        <x:f>'Paths'!$W$12</x:f>
        <x:v>0.88</x:v>
      </x:c>
      <x:c r="J464" s="47" t="n">
        <x:f>IF(D464&lt;E464,0,MIN(F464*G464*H464*I464,IF('Paths'!$T$12&gt;0,MAX(0,'Paths'!$T$12-K463),1000000000)))</x:f>
        <x:v>0</x:v>
      </x:c>
      <x:c r="K464" s="47" t="n">
        <x:f>K463+J464</x:f>
        <x:v>0</x:v>
      </x:c>
      <x:c r="L464" s="46" t="n">
        <x:f>IF(C464="P0",1,IF(D464&lt;=3,0.8,IF(D464&lt;=14,0.65,IF(D464&lt;=45,0.5,0.3))))</x:f>
        <x:v>0.8</x:v>
      </x:c>
      <x:c r="M464" s="47" t="n">
        <x:f>J464*L464</x:f>
        <x:v>0</x:v>
      </x:c>
      <x:c r="N464" s="47" t="n">
        <x:f>N463+M464</x:f>
        <x:v>0</x:v>
      </x:c>
      <x:c r="O464" s="46" t="n">
        <x:f>IF(C464="P0",0,IF(D464&lt;=3,0.15,IF(D464&lt;=14,0.25,IF(D464&lt;=45,0.35,0.5))))</x:f>
        <x:v>0.15</x:v>
      </x:c>
      <x:c r="P464" s="47" t="n">
        <x:f>J464*O464</x:f>
        <x:v>0</x:v>
      </x:c>
      <x:c r="Q464" s="46" t="n">
        <x:f>IF(C464="P0",0,IF(D464&lt;=3,0.05,IF(D464&lt;=14,0.1,IF(D464&lt;=45,0.15,0.2))))</x:f>
        <x:v>0.05</x:v>
      </x:c>
      <x:c r="R464" s="47" t="n">
        <x:f>J464*Q464</x:f>
        <x:v>0</x:v>
      </x:c>
      <x:c r="S464" s="20" t="str">
        <x:f>IF(D464&lt;E464,"closed",IF(D464&lt;'Paths'!$N$12,"initial","expanded"))</x:f>
        <x:v>closed</x:v>
      </x:c>
      <x:c r="T464" s="72"/>
    </x:row>
    <x:row r="465">
      <x:c r="C465" s="20" t="str">
        <x:v>P5</x:v>
      </x:c>
      <x:c r="D465" s="20" t="n">
        <x:v>3</x:v>
      </x:c>
      <x:c r="E465" s="45" t="n">
        <x:f>IF('Controls'!$D$7="Reference",'Paths'!$J$12,'Paths'!$K$12)</x:f>
        <x:v>3</x:v>
      </x:c>
      <x:c r="F465" s="47" t="n">
        <x:f>IF(D465&lt;'Paths'!$N$12,IF('Controls'!$D$7="Reference",'Paths'!$L$12,'Paths'!$M$12),IF('Controls'!$D$7="Reference",'Paths'!$O$12,'Paths'!$P$12))</x:f>
        <x:v>22000</x:v>
      </x:c>
      <x:c r="G465" s="46" t="n">
        <x:f>IF('Controls'!$D$7="Reference",1,IF(OR(D465=6,D465=7,D465=21,D465=46),'Paths'!$U$12,1))</x:f>
        <x:v>1</x:v>
      </x:c>
      <x:c r="H465" s="46" t="n">
        <x:f>IF('Controls'!$D$7="Reference",1,IF(OR(AND(D465&gt;=14,D465&lt;=16),AND(D465&gt;=34,D465&lt;=35),AND(D465&gt;=61,D465&lt;=63)),'Paths'!$V$12,1))</x:f>
        <x:v>1</x:v>
      </x:c>
      <x:c r="I465" s="46" t="n">
        <x:f>'Paths'!$W$12</x:f>
        <x:v>0.88</x:v>
      </x:c>
      <x:c r="J465" s="47" t="n">
        <x:f>IF(D465&lt;E465,0,MIN(F465*G465*H465*I465,IF('Paths'!$T$12&gt;0,MAX(0,'Paths'!$T$12-K464),1000000000)))</x:f>
        <x:v>19360</x:v>
      </x:c>
      <x:c r="K465" s="47" t="n">
        <x:f>K464+J465</x:f>
        <x:v>19360</x:v>
      </x:c>
      <x:c r="L465" s="46" t="n">
        <x:f>IF(C465="P0",1,IF(D465&lt;=3,0.8,IF(D465&lt;=14,0.65,IF(D465&lt;=45,0.5,0.3))))</x:f>
        <x:v>0.8</x:v>
      </x:c>
      <x:c r="M465" s="47" t="n">
        <x:f>J465*L465</x:f>
        <x:v>15488</x:v>
      </x:c>
      <x:c r="N465" s="47" t="n">
        <x:f>N464+M465</x:f>
        <x:v>15488</x:v>
      </x:c>
      <x:c r="O465" s="46" t="n">
        <x:f>IF(C465="P0",0,IF(D465&lt;=3,0.15,IF(D465&lt;=14,0.25,IF(D465&lt;=45,0.35,0.5))))</x:f>
        <x:v>0.15</x:v>
      </x:c>
      <x:c r="P465" s="47" t="n">
        <x:f>J465*O465</x:f>
        <x:v>2904</x:v>
      </x:c>
      <x:c r="Q465" s="46" t="n">
        <x:f>IF(C465="P0",0,IF(D465&lt;=3,0.05,IF(D465&lt;=14,0.1,IF(D465&lt;=45,0.15,0.2))))</x:f>
        <x:v>0.05</x:v>
      </x:c>
      <x:c r="R465" s="47" t="n">
        <x:f>J465*Q465</x:f>
        <x:v>968</x:v>
      </x:c>
      <x:c r="S465" s="20" t="str">
        <x:f>IF(D465&lt;E465,"closed",IF(D465&lt;'Paths'!$N$12,"initial","expanded"))</x:f>
        <x:v>initial</x:v>
      </x:c>
      <x:c r="T465" s="72"/>
    </x:row>
    <x:row r="466">
      <x:c r="C466" s="20" t="str">
        <x:v>P5</x:v>
      </x:c>
      <x:c r="D466" s="20" t="n">
        <x:v>4</x:v>
      </x:c>
      <x:c r="E466" s="45" t="n">
        <x:f>IF('Controls'!$D$7="Reference",'Paths'!$J$12,'Paths'!$K$12)</x:f>
        <x:v>3</x:v>
      </x:c>
      <x:c r="F466" s="47" t="n">
        <x:f>IF(D466&lt;'Paths'!$N$12,IF('Controls'!$D$7="Reference",'Paths'!$L$12,'Paths'!$M$12),IF('Controls'!$D$7="Reference",'Paths'!$O$12,'Paths'!$P$12))</x:f>
        <x:v>22000</x:v>
      </x:c>
      <x:c r="G466" s="46" t="n">
        <x:f>IF('Controls'!$D$7="Reference",1,IF(OR(D466=6,D466=7,D466=21,D466=46),'Paths'!$U$12,1))</x:f>
        <x:v>1</x:v>
      </x:c>
      <x:c r="H466" s="46" t="n">
        <x:f>IF('Controls'!$D$7="Reference",1,IF(OR(AND(D466&gt;=14,D466&lt;=16),AND(D466&gt;=34,D466&lt;=35),AND(D466&gt;=61,D466&lt;=63)),'Paths'!$V$12,1))</x:f>
        <x:v>1</x:v>
      </x:c>
      <x:c r="I466" s="46" t="n">
        <x:f>'Paths'!$W$12</x:f>
        <x:v>0.88</x:v>
      </x:c>
      <x:c r="J466" s="47" t="n">
        <x:f>IF(D466&lt;E466,0,MIN(F466*G466*H466*I466,IF('Paths'!$T$12&gt;0,MAX(0,'Paths'!$T$12-K465),1000000000)))</x:f>
        <x:v>19360</x:v>
      </x:c>
      <x:c r="K466" s="47" t="n">
        <x:f>K465+J466</x:f>
        <x:v>38720</x:v>
      </x:c>
      <x:c r="L466" s="46" t="n">
        <x:f>IF(C466="P0",1,IF(D466&lt;=3,0.8,IF(D466&lt;=14,0.65,IF(D466&lt;=45,0.5,0.3))))</x:f>
        <x:v>0.65</x:v>
      </x:c>
      <x:c r="M466" s="47" t="n">
        <x:f>J466*L466</x:f>
        <x:v>12584</x:v>
      </x:c>
      <x:c r="N466" s="47" t="n">
        <x:f>N465+M466</x:f>
        <x:v>28072</x:v>
      </x:c>
      <x:c r="O466" s="46" t="n">
        <x:f>IF(C466="P0",0,IF(D466&lt;=3,0.15,IF(D466&lt;=14,0.25,IF(D466&lt;=45,0.35,0.5))))</x:f>
        <x:v>0.25</x:v>
      </x:c>
      <x:c r="P466" s="47" t="n">
        <x:f>J466*O466</x:f>
        <x:v>4840</x:v>
      </x:c>
      <x:c r="Q466" s="46" t="n">
        <x:f>IF(C466="P0",0,IF(D466&lt;=3,0.05,IF(D466&lt;=14,0.1,IF(D466&lt;=45,0.15,0.2))))</x:f>
        <x:v>0.1</x:v>
      </x:c>
      <x:c r="R466" s="47" t="n">
        <x:f>J466*Q466</x:f>
        <x:v>1936</x:v>
      </x:c>
      <x:c r="S466" s="20" t="str">
        <x:f>IF(D466&lt;E466,"closed",IF(D466&lt;'Paths'!$N$12,"initial","expanded"))</x:f>
        <x:v>initial</x:v>
      </x:c>
      <x:c r="T466" s="72"/>
    </x:row>
    <x:row r="467">
      <x:c r="C467" s="20" t="str">
        <x:v>P5</x:v>
      </x:c>
      <x:c r="D467" s="20" t="n">
        <x:v>5</x:v>
      </x:c>
      <x:c r="E467" s="45" t="n">
        <x:f>IF('Controls'!$D$7="Reference",'Paths'!$J$12,'Paths'!$K$12)</x:f>
        <x:v>3</x:v>
      </x:c>
      <x:c r="F467" s="47" t="n">
        <x:f>IF(D467&lt;'Paths'!$N$12,IF('Controls'!$D$7="Reference",'Paths'!$L$12,'Paths'!$M$12),IF('Controls'!$D$7="Reference",'Paths'!$O$12,'Paths'!$P$12))</x:f>
        <x:v>22000</x:v>
      </x:c>
      <x:c r="G467" s="46" t="n">
        <x:f>IF('Controls'!$D$7="Reference",1,IF(OR(D467=6,D467=7,D467=21,D467=46),'Paths'!$U$12,1))</x:f>
        <x:v>1</x:v>
      </x:c>
      <x:c r="H467" s="46" t="n">
        <x:f>IF('Controls'!$D$7="Reference",1,IF(OR(AND(D467&gt;=14,D467&lt;=16),AND(D467&gt;=34,D467&lt;=35),AND(D467&gt;=61,D467&lt;=63)),'Paths'!$V$12,1))</x:f>
        <x:v>1</x:v>
      </x:c>
      <x:c r="I467" s="46" t="n">
        <x:f>'Paths'!$W$12</x:f>
        <x:v>0.88</x:v>
      </x:c>
      <x:c r="J467" s="47" t="n">
        <x:f>IF(D467&lt;E467,0,MIN(F467*G467*H467*I467,IF('Paths'!$T$12&gt;0,MAX(0,'Paths'!$T$12-K466),1000000000)))</x:f>
        <x:v>19360</x:v>
      </x:c>
      <x:c r="K467" s="47" t="n">
        <x:f>K466+J467</x:f>
        <x:v>58080</x:v>
      </x:c>
      <x:c r="L467" s="46" t="n">
        <x:f>IF(C467="P0",1,IF(D467&lt;=3,0.8,IF(D467&lt;=14,0.65,IF(D467&lt;=45,0.5,0.3))))</x:f>
        <x:v>0.65</x:v>
      </x:c>
      <x:c r="M467" s="47" t="n">
        <x:f>J467*L467</x:f>
        <x:v>12584</x:v>
      </x:c>
      <x:c r="N467" s="47" t="n">
        <x:f>N466+M467</x:f>
        <x:v>40656</x:v>
      </x:c>
      <x:c r="O467" s="46" t="n">
        <x:f>IF(C467="P0",0,IF(D467&lt;=3,0.15,IF(D467&lt;=14,0.25,IF(D467&lt;=45,0.35,0.5))))</x:f>
        <x:v>0.25</x:v>
      </x:c>
      <x:c r="P467" s="47" t="n">
        <x:f>J467*O467</x:f>
        <x:v>4840</x:v>
      </x:c>
      <x:c r="Q467" s="46" t="n">
        <x:f>IF(C467="P0",0,IF(D467&lt;=3,0.05,IF(D467&lt;=14,0.1,IF(D467&lt;=45,0.15,0.2))))</x:f>
        <x:v>0.1</x:v>
      </x:c>
      <x:c r="R467" s="47" t="n">
        <x:f>J467*Q467</x:f>
        <x:v>1936</x:v>
      </x:c>
      <x:c r="S467" s="20" t="str">
        <x:f>IF(D467&lt;E467,"closed",IF(D467&lt;'Paths'!$N$12,"initial","expanded"))</x:f>
        <x:v>initial</x:v>
      </x:c>
      <x:c r="T467" s="72"/>
    </x:row>
    <x:row r="468">
      <x:c r="C468" s="20" t="str">
        <x:v>P5</x:v>
      </x:c>
      <x:c r="D468" s="20" t="n">
        <x:v>6</x:v>
      </x:c>
      <x:c r="E468" s="45" t="n">
        <x:f>IF('Controls'!$D$7="Reference",'Paths'!$J$12,'Paths'!$K$12)</x:f>
        <x:v>3</x:v>
      </x:c>
      <x:c r="F468" s="47" t="n">
        <x:f>IF(D468&lt;'Paths'!$N$12,IF('Controls'!$D$7="Reference",'Paths'!$L$12,'Paths'!$M$12),IF('Controls'!$D$7="Reference",'Paths'!$O$12,'Paths'!$P$12))</x:f>
        <x:v>22000</x:v>
      </x:c>
      <x:c r="G468" s="46" t="n">
        <x:f>IF('Controls'!$D$7="Reference",1,IF(OR(D468=6,D468=7,D468=21,D468=46),'Paths'!$U$12,1))</x:f>
        <x:v>0.65</x:v>
      </x:c>
      <x:c r="H468" s="46" t="n">
        <x:f>IF('Controls'!$D$7="Reference",1,IF(OR(AND(D468&gt;=14,D468&lt;=16),AND(D468&gt;=34,D468&lt;=35),AND(D468&gt;=61,D468&lt;=63)),'Paths'!$V$12,1))</x:f>
        <x:v>1</x:v>
      </x:c>
      <x:c r="I468" s="46" t="n">
        <x:f>'Paths'!$W$12</x:f>
        <x:v>0.88</x:v>
      </x:c>
      <x:c r="J468" s="47" t="n">
        <x:f>IF(D468&lt;E468,0,MIN(F468*G468*H468*I468,IF('Paths'!$T$12&gt;0,MAX(0,'Paths'!$T$12-K467),1000000000)))</x:f>
        <x:v>12584</x:v>
      </x:c>
      <x:c r="K468" s="47" t="n">
        <x:f>K467+J468</x:f>
        <x:v>70664</x:v>
      </x:c>
      <x:c r="L468" s="46" t="n">
        <x:f>IF(C468="P0",1,IF(D468&lt;=3,0.8,IF(D468&lt;=14,0.65,IF(D468&lt;=45,0.5,0.3))))</x:f>
        <x:v>0.65</x:v>
      </x:c>
      <x:c r="M468" s="47" t="n">
        <x:f>J468*L468</x:f>
        <x:v>8179.6</x:v>
      </x:c>
      <x:c r="N468" s="47" t="n">
        <x:f>N467+M468</x:f>
        <x:v>48835.6</x:v>
      </x:c>
      <x:c r="O468" s="46" t="n">
        <x:f>IF(C468="P0",0,IF(D468&lt;=3,0.15,IF(D468&lt;=14,0.25,IF(D468&lt;=45,0.35,0.5))))</x:f>
        <x:v>0.25</x:v>
      </x:c>
      <x:c r="P468" s="47" t="n">
        <x:f>J468*O468</x:f>
        <x:v>3146</x:v>
      </x:c>
      <x:c r="Q468" s="46" t="n">
        <x:f>IF(C468="P0",0,IF(D468&lt;=3,0.05,IF(D468&lt;=14,0.1,IF(D468&lt;=45,0.15,0.2))))</x:f>
        <x:v>0.1</x:v>
      </x:c>
      <x:c r="R468" s="47" t="n">
        <x:f>J468*Q468</x:f>
        <x:v>1258.4</x:v>
      </x:c>
      <x:c r="S468" s="20" t="str">
        <x:f>IF(D468&lt;E468,"closed",IF(D468&lt;'Paths'!$N$12,"initial","expanded"))</x:f>
        <x:v>initial</x:v>
      </x:c>
      <x:c r="T468" s="72"/>
    </x:row>
    <x:row r="469">
      <x:c r="C469" s="20" t="str">
        <x:v>P5</x:v>
      </x:c>
      <x:c r="D469" s="20" t="n">
        <x:v>7</x:v>
      </x:c>
      <x:c r="E469" s="45" t="n">
        <x:f>IF('Controls'!$D$7="Reference",'Paths'!$J$12,'Paths'!$K$12)</x:f>
        <x:v>3</x:v>
      </x:c>
      <x:c r="F469" s="47" t="n">
        <x:f>IF(D469&lt;'Paths'!$N$12,IF('Controls'!$D$7="Reference",'Paths'!$L$12,'Paths'!$M$12),IF('Controls'!$D$7="Reference",'Paths'!$O$12,'Paths'!$P$12))</x:f>
        <x:v>22000</x:v>
      </x:c>
      <x:c r="G469" s="46" t="n">
        <x:f>IF('Controls'!$D$7="Reference",1,IF(OR(D469=6,D469=7,D469=21,D469=46),'Paths'!$U$12,1))</x:f>
        <x:v>0.65</x:v>
      </x:c>
      <x:c r="H469" s="46" t="n">
        <x:f>IF('Controls'!$D$7="Reference",1,IF(OR(AND(D469&gt;=14,D469&lt;=16),AND(D469&gt;=34,D469&lt;=35),AND(D469&gt;=61,D469&lt;=63)),'Paths'!$V$12,1))</x:f>
        <x:v>1</x:v>
      </x:c>
      <x:c r="I469" s="46" t="n">
        <x:f>'Paths'!$W$12</x:f>
        <x:v>0.88</x:v>
      </x:c>
      <x:c r="J469" s="47" t="n">
        <x:f>IF(D469&lt;E469,0,MIN(F469*G469*H469*I469,IF('Paths'!$T$12&gt;0,MAX(0,'Paths'!$T$12-K468),1000000000)))</x:f>
        <x:v>12584</x:v>
      </x:c>
      <x:c r="K469" s="47" t="n">
        <x:f>K468+J469</x:f>
        <x:v>83248</x:v>
      </x:c>
      <x:c r="L469" s="46" t="n">
        <x:f>IF(C469="P0",1,IF(D469&lt;=3,0.8,IF(D469&lt;=14,0.65,IF(D469&lt;=45,0.5,0.3))))</x:f>
        <x:v>0.65</x:v>
      </x:c>
      <x:c r="M469" s="47" t="n">
        <x:f>J469*L469</x:f>
        <x:v>8179.6</x:v>
      </x:c>
      <x:c r="N469" s="47" t="n">
        <x:f>N468+M469</x:f>
        <x:v>57015.2</x:v>
      </x:c>
      <x:c r="O469" s="46" t="n">
        <x:f>IF(C469="P0",0,IF(D469&lt;=3,0.15,IF(D469&lt;=14,0.25,IF(D469&lt;=45,0.35,0.5))))</x:f>
        <x:v>0.25</x:v>
      </x:c>
      <x:c r="P469" s="47" t="n">
        <x:f>J469*O469</x:f>
        <x:v>3146</x:v>
      </x:c>
      <x:c r="Q469" s="46" t="n">
        <x:f>IF(C469="P0",0,IF(D469&lt;=3,0.05,IF(D469&lt;=14,0.1,IF(D469&lt;=45,0.15,0.2))))</x:f>
        <x:v>0.1</x:v>
      </x:c>
      <x:c r="R469" s="47" t="n">
        <x:f>J469*Q469</x:f>
        <x:v>1258.4</x:v>
      </x:c>
      <x:c r="S469" s="20" t="str">
        <x:f>IF(D469&lt;E469,"closed",IF(D469&lt;'Paths'!$N$12,"initial","expanded"))</x:f>
        <x:v>initial</x:v>
      </x:c>
      <x:c r="T469" s="72"/>
    </x:row>
    <x:row r="470">
      <x:c r="C470" s="20" t="str">
        <x:v>P5</x:v>
      </x:c>
      <x:c r="D470" s="20" t="n">
        <x:v>8</x:v>
      </x:c>
      <x:c r="E470" s="45" t="n">
        <x:f>IF('Controls'!$D$7="Reference",'Paths'!$J$12,'Paths'!$K$12)</x:f>
        <x:v>3</x:v>
      </x:c>
      <x:c r="F470" s="47" t="n">
        <x:f>IF(D470&lt;'Paths'!$N$12,IF('Controls'!$D$7="Reference",'Paths'!$L$12,'Paths'!$M$12),IF('Controls'!$D$7="Reference",'Paths'!$O$12,'Paths'!$P$12))</x:f>
        <x:v>22000</x:v>
      </x:c>
      <x:c r="G470" s="46" t="n">
        <x:f>IF('Controls'!$D$7="Reference",1,IF(OR(D470=6,D470=7,D470=21,D470=46),'Paths'!$U$12,1))</x:f>
        <x:v>1</x:v>
      </x:c>
      <x:c r="H470" s="46" t="n">
        <x:f>IF('Controls'!$D$7="Reference",1,IF(OR(AND(D470&gt;=14,D470&lt;=16),AND(D470&gt;=34,D470&lt;=35),AND(D470&gt;=61,D470&lt;=63)),'Paths'!$V$12,1))</x:f>
        <x:v>1</x:v>
      </x:c>
      <x:c r="I470" s="46" t="n">
        <x:f>'Paths'!$W$12</x:f>
        <x:v>0.88</x:v>
      </x:c>
      <x:c r="J470" s="47" t="n">
        <x:f>IF(D470&lt;E470,0,MIN(F470*G470*H470*I470,IF('Paths'!$T$12&gt;0,MAX(0,'Paths'!$T$12-K469),1000000000)))</x:f>
        <x:v>19360</x:v>
      </x:c>
      <x:c r="K470" s="47" t="n">
        <x:f>K469+J470</x:f>
        <x:v>102608</x:v>
      </x:c>
      <x:c r="L470" s="46" t="n">
        <x:f>IF(C470="P0",1,IF(D470&lt;=3,0.8,IF(D470&lt;=14,0.65,IF(D470&lt;=45,0.5,0.3))))</x:f>
        <x:v>0.65</x:v>
      </x:c>
      <x:c r="M470" s="47" t="n">
        <x:f>J470*L470</x:f>
        <x:v>12584</x:v>
      </x:c>
      <x:c r="N470" s="47" t="n">
        <x:f>N469+M470</x:f>
        <x:v>69599.2</x:v>
      </x:c>
      <x:c r="O470" s="46" t="n">
        <x:f>IF(C470="P0",0,IF(D470&lt;=3,0.15,IF(D470&lt;=14,0.25,IF(D470&lt;=45,0.35,0.5))))</x:f>
        <x:v>0.25</x:v>
      </x:c>
      <x:c r="P470" s="47" t="n">
        <x:f>J470*O470</x:f>
        <x:v>4840</x:v>
      </x:c>
      <x:c r="Q470" s="46" t="n">
        <x:f>IF(C470="P0",0,IF(D470&lt;=3,0.05,IF(D470&lt;=14,0.1,IF(D470&lt;=45,0.15,0.2))))</x:f>
        <x:v>0.1</x:v>
      </x:c>
      <x:c r="R470" s="47" t="n">
        <x:f>J470*Q470</x:f>
        <x:v>1936</x:v>
      </x:c>
      <x:c r="S470" s="20" t="str">
        <x:f>IF(D470&lt;E470,"closed",IF(D470&lt;'Paths'!$N$12,"initial","expanded"))</x:f>
        <x:v>initial</x:v>
      </x:c>
      <x:c r="T470" s="72"/>
    </x:row>
    <x:row r="471">
      <x:c r="C471" s="20" t="str">
        <x:v>P5</x:v>
      </x:c>
      <x:c r="D471" s="20" t="n">
        <x:v>9</x:v>
      </x:c>
      <x:c r="E471" s="45" t="n">
        <x:f>IF('Controls'!$D$7="Reference",'Paths'!$J$12,'Paths'!$K$12)</x:f>
        <x:v>3</x:v>
      </x:c>
      <x:c r="F471" s="47" t="n">
        <x:f>IF(D471&lt;'Paths'!$N$12,IF('Controls'!$D$7="Reference",'Paths'!$L$12,'Paths'!$M$12),IF('Controls'!$D$7="Reference",'Paths'!$O$12,'Paths'!$P$12))</x:f>
        <x:v>22000</x:v>
      </x:c>
      <x:c r="G471" s="46" t="n">
        <x:f>IF('Controls'!$D$7="Reference",1,IF(OR(D471=6,D471=7,D471=21,D471=46),'Paths'!$U$12,1))</x:f>
        <x:v>1</x:v>
      </x:c>
      <x:c r="H471" s="46" t="n">
        <x:f>IF('Controls'!$D$7="Reference",1,IF(OR(AND(D471&gt;=14,D471&lt;=16),AND(D471&gt;=34,D471&lt;=35),AND(D471&gt;=61,D471&lt;=63)),'Paths'!$V$12,1))</x:f>
        <x:v>1</x:v>
      </x:c>
      <x:c r="I471" s="46" t="n">
        <x:f>'Paths'!$W$12</x:f>
        <x:v>0.88</x:v>
      </x:c>
      <x:c r="J471" s="47" t="n">
        <x:f>IF(D471&lt;E471,0,MIN(F471*G471*H471*I471,IF('Paths'!$T$12&gt;0,MAX(0,'Paths'!$T$12-K470),1000000000)))</x:f>
        <x:v>19360</x:v>
      </x:c>
      <x:c r="K471" s="47" t="n">
        <x:f>K470+J471</x:f>
        <x:v>121968</x:v>
      </x:c>
      <x:c r="L471" s="46" t="n">
        <x:f>IF(C471="P0",1,IF(D471&lt;=3,0.8,IF(D471&lt;=14,0.65,IF(D471&lt;=45,0.5,0.3))))</x:f>
        <x:v>0.65</x:v>
      </x:c>
      <x:c r="M471" s="47" t="n">
        <x:f>J471*L471</x:f>
        <x:v>12584</x:v>
      </x:c>
      <x:c r="N471" s="47" t="n">
        <x:f>N470+M471</x:f>
        <x:v>82183.2</x:v>
      </x:c>
      <x:c r="O471" s="46" t="n">
        <x:f>IF(C471="P0",0,IF(D471&lt;=3,0.15,IF(D471&lt;=14,0.25,IF(D471&lt;=45,0.35,0.5))))</x:f>
        <x:v>0.25</x:v>
      </x:c>
      <x:c r="P471" s="47" t="n">
        <x:f>J471*O471</x:f>
        <x:v>4840</x:v>
      </x:c>
      <x:c r="Q471" s="46" t="n">
        <x:f>IF(C471="P0",0,IF(D471&lt;=3,0.05,IF(D471&lt;=14,0.1,IF(D471&lt;=45,0.15,0.2))))</x:f>
        <x:v>0.1</x:v>
      </x:c>
      <x:c r="R471" s="47" t="n">
        <x:f>J471*Q471</x:f>
        <x:v>1936</x:v>
      </x:c>
      <x:c r="S471" s="20" t="str">
        <x:f>IF(D471&lt;E471,"closed",IF(D471&lt;'Paths'!$N$12,"initial","expanded"))</x:f>
        <x:v>initial</x:v>
      </x:c>
      <x:c r="T471" s="72"/>
    </x:row>
    <x:row r="472">
      <x:c r="C472" s="20" t="str">
        <x:v>P5</x:v>
      </x:c>
      <x:c r="D472" s="20" t="n">
        <x:v>10</x:v>
      </x:c>
      <x:c r="E472" s="45" t="n">
        <x:f>IF('Controls'!$D$7="Reference",'Paths'!$J$12,'Paths'!$K$12)</x:f>
        <x:v>3</x:v>
      </x:c>
      <x:c r="F472" s="47" t="n">
        <x:f>IF(D472&lt;'Paths'!$N$12,IF('Controls'!$D$7="Reference",'Paths'!$L$12,'Paths'!$M$12),IF('Controls'!$D$7="Reference",'Paths'!$O$12,'Paths'!$P$12))</x:f>
        <x:v>30000</x:v>
      </x:c>
      <x:c r="G472" s="46" t="n">
        <x:f>IF('Controls'!$D$7="Reference",1,IF(OR(D472=6,D472=7,D472=21,D472=46),'Paths'!$U$12,1))</x:f>
        <x:v>1</x:v>
      </x:c>
      <x:c r="H472" s="46" t="n">
        <x:f>IF('Controls'!$D$7="Reference",1,IF(OR(AND(D472&gt;=14,D472&lt;=16),AND(D472&gt;=34,D472&lt;=35),AND(D472&gt;=61,D472&lt;=63)),'Paths'!$V$12,1))</x:f>
        <x:v>1</x:v>
      </x:c>
      <x:c r="I472" s="46" t="n">
        <x:f>'Paths'!$W$12</x:f>
        <x:v>0.88</x:v>
      </x:c>
      <x:c r="J472" s="47" t="n">
        <x:f>IF(D472&lt;E472,0,MIN(F472*G472*H472*I472,IF('Paths'!$T$12&gt;0,MAX(0,'Paths'!$T$12-K471),1000000000)))</x:f>
        <x:v>26400</x:v>
      </x:c>
      <x:c r="K472" s="47" t="n">
        <x:f>K471+J472</x:f>
        <x:v>148368</x:v>
      </x:c>
      <x:c r="L472" s="46" t="n">
        <x:f>IF(C472="P0",1,IF(D472&lt;=3,0.8,IF(D472&lt;=14,0.65,IF(D472&lt;=45,0.5,0.3))))</x:f>
        <x:v>0.65</x:v>
      </x:c>
      <x:c r="M472" s="47" t="n">
        <x:f>J472*L472</x:f>
        <x:v>17160</x:v>
      </x:c>
      <x:c r="N472" s="47" t="n">
        <x:f>N471+M472</x:f>
        <x:v>99343.2</x:v>
      </x:c>
      <x:c r="O472" s="46" t="n">
        <x:f>IF(C472="P0",0,IF(D472&lt;=3,0.15,IF(D472&lt;=14,0.25,IF(D472&lt;=45,0.35,0.5))))</x:f>
        <x:v>0.25</x:v>
      </x:c>
      <x:c r="P472" s="47" t="n">
        <x:f>J472*O472</x:f>
        <x:v>6600</x:v>
      </x:c>
      <x:c r="Q472" s="46" t="n">
        <x:f>IF(C472="P0",0,IF(D472&lt;=3,0.05,IF(D472&lt;=14,0.1,IF(D472&lt;=45,0.15,0.2))))</x:f>
        <x:v>0.1</x:v>
      </x:c>
      <x:c r="R472" s="47" t="n">
        <x:f>J472*Q472</x:f>
        <x:v>2640</x:v>
      </x:c>
      <x:c r="S472" s="20" t="str">
        <x:f>IF(D472&lt;E472,"closed",IF(D472&lt;'Paths'!$N$12,"initial","expanded"))</x:f>
        <x:v>expanded</x:v>
      </x:c>
      <x:c r="T472" s="72"/>
    </x:row>
    <x:row r="473">
      <x:c r="C473" s="20" t="str">
        <x:v>P5</x:v>
      </x:c>
      <x:c r="D473" s="20" t="n">
        <x:v>11</x:v>
      </x:c>
      <x:c r="E473" s="45" t="n">
        <x:f>IF('Controls'!$D$7="Reference",'Paths'!$J$12,'Paths'!$K$12)</x:f>
        <x:v>3</x:v>
      </x:c>
      <x:c r="F473" s="47" t="n">
        <x:f>IF(D473&lt;'Paths'!$N$12,IF('Controls'!$D$7="Reference",'Paths'!$L$12,'Paths'!$M$12),IF('Controls'!$D$7="Reference",'Paths'!$O$12,'Paths'!$P$12))</x:f>
        <x:v>30000</x:v>
      </x:c>
      <x:c r="G473" s="46" t="n">
        <x:f>IF('Controls'!$D$7="Reference",1,IF(OR(D473=6,D473=7,D473=21,D473=46),'Paths'!$U$12,1))</x:f>
        <x:v>1</x:v>
      </x:c>
      <x:c r="H473" s="46" t="n">
        <x:f>IF('Controls'!$D$7="Reference",1,IF(OR(AND(D473&gt;=14,D473&lt;=16),AND(D473&gt;=34,D473&lt;=35),AND(D473&gt;=61,D473&lt;=63)),'Paths'!$V$12,1))</x:f>
        <x:v>1</x:v>
      </x:c>
      <x:c r="I473" s="46" t="n">
        <x:f>'Paths'!$W$12</x:f>
        <x:v>0.88</x:v>
      </x:c>
      <x:c r="J473" s="47" t="n">
        <x:f>IF(D473&lt;E473,0,MIN(F473*G473*H473*I473,IF('Paths'!$T$12&gt;0,MAX(0,'Paths'!$T$12-K472),1000000000)))</x:f>
        <x:v>26400</x:v>
      </x:c>
      <x:c r="K473" s="47" t="n">
        <x:f>K472+J473</x:f>
        <x:v>174768</x:v>
      </x:c>
      <x:c r="L473" s="46" t="n">
        <x:f>IF(C473="P0",1,IF(D473&lt;=3,0.8,IF(D473&lt;=14,0.65,IF(D473&lt;=45,0.5,0.3))))</x:f>
        <x:v>0.65</x:v>
      </x:c>
      <x:c r="M473" s="47" t="n">
        <x:f>J473*L473</x:f>
        <x:v>17160</x:v>
      </x:c>
      <x:c r="N473" s="47" t="n">
        <x:f>N472+M473</x:f>
        <x:v>116503.2</x:v>
      </x:c>
      <x:c r="O473" s="46" t="n">
        <x:f>IF(C473="P0",0,IF(D473&lt;=3,0.15,IF(D473&lt;=14,0.25,IF(D473&lt;=45,0.35,0.5))))</x:f>
        <x:v>0.25</x:v>
      </x:c>
      <x:c r="P473" s="47" t="n">
        <x:f>J473*O473</x:f>
        <x:v>6600</x:v>
      </x:c>
      <x:c r="Q473" s="46" t="n">
        <x:f>IF(C473="P0",0,IF(D473&lt;=3,0.05,IF(D473&lt;=14,0.1,IF(D473&lt;=45,0.15,0.2))))</x:f>
        <x:v>0.1</x:v>
      </x:c>
      <x:c r="R473" s="47" t="n">
        <x:f>J473*Q473</x:f>
        <x:v>2640</x:v>
      </x:c>
      <x:c r="S473" s="20" t="str">
        <x:f>IF(D473&lt;E473,"closed",IF(D473&lt;'Paths'!$N$12,"initial","expanded"))</x:f>
        <x:v>expanded</x:v>
      </x:c>
      <x:c r="T473" s="72"/>
    </x:row>
    <x:row r="474">
      <x:c r="C474" s="20" t="str">
        <x:v>P5</x:v>
      </x:c>
      <x:c r="D474" s="20" t="n">
        <x:v>12</x:v>
      </x:c>
      <x:c r="E474" s="45" t="n">
        <x:f>IF('Controls'!$D$7="Reference",'Paths'!$J$12,'Paths'!$K$12)</x:f>
        <x:v>3</x:v>
      </x:c>
      <x:c r="F474" s="47" t="n">
        <x:f>IF(D474&lt;'Paths'!$N$12,IF('Controls'!$D$7="Reference",'Paths'!$L$12,'Paths'!$M$12),IF('Controls'!$D$7="Reference",'Paths'!$O$12,'Paths'!$P$12))</x:f>
        <x:v>30000</x:v>
      </x:c>
      <x:c r="G474" s="46" t="n">
        <x:f>IF('Controls'!$D$7="Reference",1,IF(OR(D474=6,D474=7,D474=21,D474=46),'Paths'!$U$12,1))</x:f>
        <x:v>1</x:v>
      </x:c>
      <x:c r="H474" s="46" t="n">
        <x:f>IF('Controls'!$D$7="Reference",1,IF(OR(AND(D474&gt;=14,D474&lt;=16),AND(D474&gt;=34,D474&lt;=35),AND(D474&gt;=61,D474&lt;=63)),'Paths'!$V$12,1))</x:f>
        <x:v>1</x:v>
      </x:c>
      <x:c r="I474" s="46" t="n">
        <x:f>'Paths'!$W$12</x:f>
        <x:v>0.88</x:v>
      </x:c>
      <x:c r="J474" s="47" t="n">
        <x:f>IF(D474&lt;E474,0,MIN(F474*G474*H474*I474,IF('Paths'!$T$12&gt;0,MAX(0,'Paths'!$T$12-K473),1000000000)))</x:f>
        <x:v>26400</x:v>
      </x:c>
      <x:c r="K474" s="47" t="n">
        <x:f>K473+J474</x:f>
        <x:v>201168</x:v>
      </x:c>
      <x:c r="L474" s="46" t="n">
        <x:f>IF(C474="P0",1,IF(D474&lt;=3,0.8,IF(D474&lt;=14,0.65,IF(D474&lt;=45,0.5,0.3))))</x:f>
        <x:v>0.65</x:v>
      </x:c>
      <x:c r="M474" s="47" t="n">
        <x:f>J474*L474</x:f>
        <x:v>17160</x:v>
      </x:c>
      <x:c r="N474" s="47" t="n">
        <x:f>N473+M474</x:f>
        <x:v>133663.2</x:v>
      </x:c>
      <x:c r="O474" s="46" t="n">
        <x:f>IF(C474="P0",0,IF(D474&lt;=3,0.15,IF(D474&lt;=14,0.25,IF(D474&lt;=45,0.35,0.5))))</x:f>
        <x:v>0.25</x:v>
      </x:c>
      <x:c r="P474" s="47" t="n">
        <x:f>J474*O474</x:f>
        <x:v>6600</x:v>
      </x:c>
      <x:c r="Q474" s="46" t="n">
        <x:f>IF(C474="P0",0,IF(D474&lt;=3,0.05,IF(D474&lt;=14,0.1,IF(D474&lt;=45,0.15,0.2))))</x:f>
        <x:v>0.1</x:v>
      </x:c>
      <x:c r="R474" s="47" t="n">
        <x:f>J474*Q474</x:f>
        <x:v>2640</x:v>
      </x:c>
      <x:c r="S474" s="20" t="str">
        <x:f>IF(D474&lt;E474,"closed",IF(D474&lt;'Paths'!$N$12,"initial","expanded"))</x:f>
        <x:v>expanded</x:v>
      </x:c>
      <x:c r="T474" s="72"/>
    </x:row>
    <x:row r="475">
      <x:c r="C475" s="20" t="str">
        <x:v>P5</x:v>
      </x:c>
      <x:c r="D475" s="20" t="n">
        <x:v>13</x:v>
      </x:c>
      <x:c r="E475" s="45" t="n">
        <x:f>IF('Controls'!$D$7="Reference",'Paths'!$J$12,'Paths'!$K$12)</x:f>
        <x:v>3</x:v>
      </x:c>
      <x:c r="F475" s="47" t="n">
        <x:f>IF(D475&lt;'Paths'!$N$12,IF('Controls'!$D$7="Reference",'Paths'!$L$12,'Paths'!$M$12),IF('Controls'!$D$7="Reference",'Paths'!$O$12,'Paths'!$P$12))</x:f>
        <x:v>30000</x:v>
      </x:c>
      <x:c r="G475" s="46" t="n">
        <x:f>IF('Controls'!$D$7="Reference",1,IF(OR(D475=6,D475=7,D475=21,D475=46),'Paths'!$U$12,1))</x:f>
        <x:v>1</x:v>
      </x:c>
      <x:c r="H475" s="46" t="n">
        <x:f>IF('Controls'!$D$7="Reference",1,IF(OR(AND(D475&gt;=14,D475&lt;=16),AND(D475&gt;=34,D475&lt;=35),AND(D475&gt;=61,D475&lt;=63)),'Paths'!$V$12,1))</x:f>
        <x:v>1</x:v>
      </x:c>
      <x:c r="I475" s="46" t="n">
        <x:f>'Paths'!$W$12</x:f>
        <x:v>0.88</x:v>
      </x:c>
      <x:c r="J475" s="47" t="n">
        <x:f>IF(D475&lt;E475,0,MIN(F475*G475*H475*I475,IF('Paths'!$T$12&gt;0,MAX(0,'Paths'!$T$12-K474),1000000000)))</x:f>
        <x:v>26400</x:v>
      </x:c>
      <x:c r="K475" s="47" t="n">
        <x:f>K474+J475</x:f>
        <x:v>227568</x:v>
      </x:c>
      <x:c r="L475" s="46" t="n">
        <x:f>IF(C475="P0",1,IF(D475&lt;=3,0.8,IF(D475&lt;=14,0.65,IF(D475&lt;=45,0.5,0.3))))</x:f>
        <x:v>0.65</x:v>
      </x:c>
      <x:c r="M475" s="47" t="n">
        <x:f>J475*L475</x:f>
        <x:v>17160</x:v>
      </x:c>
      <x:c r="N475" s="47" t="n">
        <x:f>N474+M475</x:f>
        <x:v>150823.2</x:v>
      </x:c>
      <x:c r="O475" s="46" t="n">
        <x:f>IF(C475="P0",0,IF(D475&lt;=3,0.15,IF(D475&lt;=14,0.25,IF(D475&lt;=45,0.35,0.5))))</x:f>
        <x:v>0.25</x:v>
      </x:c>
      <x:c r="P475" s="47" t="n">
        <x:f>J475*O475</x:f>
        <x:v>6600</x:v>
      </x:c>
      <x:c r="Q475" s="46" t="n">
        <x:f>IF(C475="P0",0,IF(D475&lt;=3,0.05,IF(D475&lt;=14,0.1,IF(D475&lt;=45,0.15,0.2))))</x:f>
        <x:v>0.1</x:v>
      </x:c>
      <x:c r="R475" s="47" t="n">
        <x:f>J475*Q475</x:f>
        <x:v>2640</x:v>
      </x:c>
      <x:c r="S475" s="20" t="str">
        <x:f>IF(D475&lt;E475,"closed",IF(D475&lt;'Paths'!$N$12,"initial","expanded"))</x:f>
        <x:v>expanded</x:v>
      </x:c>
      <x:c r="T475" s="72"/>
    </x:row>
    <x:row r="476">
      <x:c r="C476" s="20" t="str">
        <x:v>P5</x:v>
      </x:c>
      <x:c r="D476" s="20" t="n">
        <x:v>14</x:v>
      </x:c>
      <x:c r="E476" s="45" t="n">
        <x:f>IF('Controls'!$D$7="Reference",'Paths'!$J$12,'Paths'!$K$12)</x:f>
        <x:v>3</x:v>
      </x:c>
      <x:c r="F476" s="47" t="n">
        <x:f>IF(D476&lt;'Paths'!$N$12,IF('Controls'!$D$7="Reference",'Paths'!$L$12,'Paths'!$M$12),IF('Controls'!$D$7="Reference",'Paths'!$O$12,'Paths'!$P$12))</x:f>
        <x:v>30000</x:v>
      </x:c>
      <x:c r="G476" s="46" t="n">
        <x:f>IF('Controls'!$D$7="Reference",1,IF(OR(D476=6,D476=7,D476=21,D476=46),'Paths'!$U$12,1))</x:f>
        <x:v>1</x:v>
      </x:c>
      <x:c r="H476" s="46" t="n">
        <x:f>IF('Controls'!$D$7="Reference",1,IF(OR(AND(D476&gt;=14,D476&lt;=16),AND(D476&gt;=34,D476&lt;=35),AND(D476&gt;=61,D476&lt;=63)),'Paths'!$V$12,1))</x:f>
        <x:v>0.55</x:v>
      </x:c>
      <x:c r="I476" s="46" t="n">
        <x:f>'Paths'!$W$12</x:f>
        <x:v>0.88</x:v>
      </x:c>
      <x:c r="J476" s="47" t="n">
        <x:f>IF(D476&lt;E476,0,MIN(F476*G476*H476*I476,IF('Paths'!$T$12&gt;0,MAX(0,'Paths'!$T$12-K475),1000000000)))</x:f>
        <x:v>14520</x:v>
      </x:c>
      <x:c r="K476" s="47" t="n">
        <x:f>K475+J476</x:f>
        <x:v>242088</x:v>
      </x:c>
      <x:c r="L476" s="46" t="n">
        <x:f>IF(C476="P0",1,IF(D476&lt;=3,0.8,IF(D476&lt;=14,0.65,IF(D476&lt;=45,0.5,0.3))))</x:f>
        <x:v>0.65</x:v>
      </x:c>
      <x:c r="M476" s="47" t="n">
        <x:f>J476*L476</x:f>
        <x:v>9438</x:v>
      </x:c>
      <x:c r="N476" s="47" t="n">
        <x:f>N475+M476</x:f>
        <x:v>160261.2</x:v>
      </x:c>
      <x:c r="O476" s="46" t="n">
        <x:f>IF(C476="P0",0,IF(D476&lt;=3,0.15,IF(D476&lt;=14,0.25,IF(D476&lt;=45,0.35,0.5))))</x:f>
        <x:v>0.25</x:v>
      </x:c>
      <x:c r="P476" s="47" t="n">
        <x:f>J476*O476</x:f>
        <x:v>3630</x:v>
      </x:c>
      <x:c r="Q476" s="46" t="n">
        <x:f>IF(C476="P0",0,IF(D476&lt;=3,0.05,IF(D476&lt;=14,0.1,IF(D476&lt;=45,0.15,0.2))))</x:f>
        <x:v>0.1</x:v>
      </x:c>
      <x:c r="R476" s="47" t="n">
        <x:f>J476*Q476</x:f>
        <x:v>1452</x:v>
      </x:c>
      <x:c r="S476" s="20" t="str">
        <x:f>IF(D476&lt;E476,"closed",IF(D476&lt;'Paths'!$N$12,"initial","expanded"))</x:f>
        <x:v>expanded</x:v>
      </x:c>
      <x:c r="T476" s="72"/>
    </x:row>
    <x:row r="477">
      <x:c r="C477" s="20" t="str">
        <x:v>P5</x:v>
      </x:c>
      <x:c r="D477" s="20" t="n">
        <x:v>15</x:v>
      </x:c>
      <x:c r="E477" s="45" t="n">
        <x:f>IF('Controls'!$D$7="Reference",'Paths'!$J$12,'Paths'!$K$12)</x:f>
        <x:v>3</x:v>
      </x:c>
      <x:c r="F477" s="47" t="n">
        <x:f>IF(D477&lt;'Paths'!$N$12,IF('Controls'!$D$7="Reference",'Paths'!$L$12,'Paths'!$M$12),IF('Controls'!$D$7="Reference",'Paths'!$O$12,'Paths'!$P$12))</x:f>
        <x:v>30000</x:v>
      </x:c>
      <x:c r="G477" s="46" t="n">
        <x:f>IF('Controls'!$D$7="Reference",1,IF(OR(D477=6,D477=7,D477=21,D477=46),'Paths'!$U$12,1))</x:f>
        <x:v>1</x:v>
      </x:c>
      <x:c r="H477" s="46" t="n">
        <x:f>IF('Controls'!$D$7="Reference",1,IF(OR(AND(D477&gt;=14,D477&lt;=16),AND(D477&gt;=34,D477&lt;=35),AND(D477&gt;=61,D477&lt;=63)),'Paths'!$V$12,1))</x:f>
        <x:v>0.55</x:v>
      </x:c>
      <x:c r="I477" s="46" t="n">
        <x:f>'Paths'!$W$12</x:f>
        <x:v>0.88</x:v>
      </x:c>
      <x:c r="J477" s="47" t="n">
        <x:f>IF(D477&lt;E477,0,MIN(F477*G477*H477*I477,IF('Paths'!$T$12&gt;0,MAX(0,'Paths'!$T$12-K476),1000000000)))</x:f>
        <x:v>14520</x:v>
      </x:c>
      <x:c r="K477" s="47" t="n">
        <x:f>K476+J477</x:f>
        <x:v>256608</x:v>
      </x:c>
      <x:c r="L477" s="46" t="n">
        <x:f>IF(C477="P0",1,IF(D477&lt;=3,0.8,IF(D477&lt;=14,0.65,IF(D477&lt;=45,0.5,0.3))))</x:f>
        <x:v>0.5</x:v>
      </x:c>
      <x:c r="M477" s="47" t="n">
        <x:f>J477*L477</x:f>
        <x:v>7260</x:v>
      </x:c>
      <x:c r="N477" s="47" t="n">
        <x:f>N476+M477</x:f>
        <x:v>167521.2</x:v>
      </x:c>
      <x:c r="O477" s="46" t="n">
        <x:f>IF(C477="P0",0,IF(D477&lt;=3,0.15,IF(D477&lt;=14,0.25,IF(D477&lt;=45,0.35,0.5))))</x:f>
        <x:v>0.35</x:v>
      </x:c>
      <x:c r="P477" s="47" t="n">
        <x:f>J477*O477</x:f>
        <x:v>5082</x:v>
      </x:c>
      <x:c r="Q477" s="46" t="n">
        <x:f>IF(C477="P0",0,IF(D477&lt;=3,0.05,IF(D477&lt;=14,0.1,IF(D477&lt;=45,0.15,0.2))))</x:f>
        <x:v>0.15</x:v>
      </x:c>
      <x:c r="R477" s="47" t="n">
        <x:f>J477*Q477</x:f>
        <x:v>2178</x:v>
      </x:c>
      <x:c r="S477" s="20" t="str">
        <x:f>IF(D477&lt;E477,"closed",IF(D477&lt;'Paths'!$N$12,"initial","expanded"))</x:f>
        <x:v>expanded</x:v>
      </x:c>
      <x:c r="T477" s="72"/>
    </x:row>
    <x:row r="478">
      <x:c r="C478" s="20" t="str">
        <x:v>P5</x:v>
      </x:c>
      <x:c r="D478" s="20" t="n">
        <x:v>16</x:v>
      </x:c>
      <x:c r="E478" s="45" t="n">
        <x:f>IF('Controls'!$D$7="Reference",'Paths'!$J$12,'Paths'!$K$12)</x:f>
        <x:v>3</x:v>
      </x:c>
      <x:c r="F478" s="47" t="n">
        <x:f>IF(D478&lt;'Paths'!$N$12,IF('Controls'!$D$7="Reference",'Paths'!$L$12,'Paths'!$M$12),IF('Controls'!$D$7="Reference",'Paths'!$O$12,'Paths'!$P$12))</x:f>
        <x:v>30000</x:v>
      </x:c>
      <x:c r="G478" s="46" t="n">
        <x:f>IF('Controls'!$D$7="Reference",1,IF(OR(D478=6,D478=7,D478=21,D478=46),'Paths'!$U$12,1))</x:f>
        <x:v>1</x:v>
      </x:c>
      <x:c r="H478" s="46" t="n">
        <x:f>IF('Controls'!$D$7="Reference",1,IF(OR(AND(D478&gt;=14,D478&lt;=16),AND(D478&gt;=34,D478&lt;=35),AND(D478&gt;=61,D478&lt;=63)),'Paths'!$V$12,1))</x:f>
        <x:v>0.55</x:v>
      </x:c>
      <x:c r="I478" s="46" t="n">
        <x:f>'Paths'!$W$12</x:f>
        <x:v>0.88</x:v>
      </x:c>
      <x:c r="J478" s="47" t="n">
        <x:f>IF(D478&lt;E478,0,MIN(F478*G478*H478*I478,IF('Paths'!$T$12&gt;0,MAX(0,'Paths'!$T$12-K477),1000000000)))</x:f>
        <x:v>14520</x:v>
      </x:c>
      <x:c r="K478" s="47" t="n">
        <x:f>K477+J478</x:f>
        <x:v>271128</x:v>
      </x:c>
      <x:c r="L478" s="46" t="n">
        <x:f>IF(C478="P0",1,IF(D478&lt;=3,0.8,IF(D478&lt;=14,0.65,IF(D478&lt;=45,0.5,0.3))))</x:f>
        <x:v>0.5</x:v>
      </x:c>
      <x:c r="M478" s="47" t="n">
        <x:f>J478*L478</x:f>
        <x:v>7260</x:v>
      </x:c>
      <x:c r="N478" s="47" t="n">
        <x:f>N477+M478</x:f>
        <x:v>174781.2</x:v>
      </x:c>
      <x:c r="O478" s="46" t="n">
        <x:f>IF(C478="P0",0,IF(D478&lt;=3,0.15,IF(D478&lt;=14,0.25,IF(D478&lt;=45,0.35,0.5))))</x:f>
        <x:v>0.35</x:v>
      </x:c>
      <x:c r="P478" s="47" t="n">
        <x:f>J478*O478</x:f>
        <x:v>5082</x:v>
      </x:c>
      <x:c r="Q478" s="46" t="n">
        <x:f>IF(C478="P0",0,IF(D478&lt;=3,0.05,IF(D478&lt;=14,0.1,IF(D478&lt;=45,0.15,0.2))))</x:f>
        <x:v>0.15</x:v>
      </x:c>
      <x:c r="R478" s="47" t="n">
        <x:f>J478*Q478</x:f>
        <x:v>2178</x:v>
      </x:c>
      <x:c r="S478" s="20" t="str">
        <x:f>IF(D478&lt;E478,"closed",IF(D478&lt;'Paths'!$N$12,"initial","expanded"))</x:f>
        <x:v>expanded</x:v>
      </x:c>
      <x:c r="T478" s="72"/>
    </x:row>
    <x:row r="479">
      <x:c r="C479" s="20" t="str">
        <x:v>P5</x:v>
      </x:c>
      <x:c r="D479" s="20" t="n">
        <x:v>17</x:v>
      </x:c>
      <x:c r="E479" s="45" t="n">
        <x:f>IF('Controls'!$D$7="Reference",'Paths'!$J$12,'Paths'!$K$12)</x:f>
        <x:v>3</x:v>
      </x:c>
      <x:c r="F479" s="47" t="n">
        <x:f>IF(D479&lt;'Paths'!$N$12,IF('Controls'!$D$7="Reference",'Paths'!$L$12,'Paths'!$M$12),IF('Controls'!$D$7="Reference",'Paths'!$O$12,'Paths'!$P$12))</x:f>
        <x:v>30000</x:v>
      </x:c>
      <x:c r="G479" s="46" t="n">
        <x:f>IF('Controls'!$D$7="Reference",1,IF(OR(D479=6,D479=7,D479=21,D479=46),'Paths'!$U$12,1))</x:f>
        <x:v>1</x:v>
      </x:c>
      <x:c r="H479" s="46" t="n">
        <x:f>IF('Controls'!$D$7="Reference",1,IF(OR(AND(D479&gt;=14,D479&lt;=16),AND(D479&gt;=34,D479&lt;=35),AND(D479&gt;=61,D479&lt;=63)),'Paths'!$V$12,1))</x:f>
        <x:v>1</x:v>
      </x:c>
      <x:c r="I479" s="46" t="n">
        <x:f>'Paths'!$W$12</x:f>
        <x:v>0.88</x:v>
      </x:c>
      <x:c r="J479" s="47" t="n">
        <x:f>IF(D479&lt;E479,0,MIN(F479*G479*H479*I479,IF('Paths'!$T$12&gt;0,MAX(0,'Paths'!$T$12-K478),1000000000)))</x:f>
        <x:v>26400</x:v>
      </x:c>
      <x:c r="K479" s="47" t="n">
        <x:f>K478+J479</x:f>
        <x:v>297528</x:v>
      </x:c>
      <x:c r="L479" s="46" t="n">
        <x:f>IF(C479="P0",1,IF(D479&lt;=3,0.8,IF(D479&lt;=14,0.65,IF(D479&lt;=45,0.5,0.3))))</x:f>
        <x:v>0.5</x:v>
      </x:c>
      <x:c r="M479" s="47" t="n">
        <x:f>J479*L479</x:f>
        <x:v>13200</x:v>
      </x:c>
      <x:c r="N479" s="47" t="n">
        <x:f>N478+M479</x:f>
        <x:v>187981.2</x:v>
      </x:c>
      <x:c r="O479" s="46" t="n">
        <x:f>IF(C479="P0",0,IF(D479&lt;=3,0.15,IF(D479&lt;=14,0.25,IF(D479&lt;=45,0.35,0.5))))</x:f>
        <x:v>0.35</x:v>
      </x:c>
      <x:c r="P479" s="47" t="n">
        <x:f>J479*O479</x:f>
        <x:v>9240</x:v>
      </x:c>
      <x:c r="Q479" s="46" t="n">
        <x:f>IF(C479="P0",0,IF(D479&lt;=3,0.05,IF(D479&lt;=14,0.1,IF(D479&lt;=45,0.15,0.2))))</x:f>
        <x:v>0.15</x:v>
      </x:c>
      <x:c r="R479" s="47" t="n">
        <x:f>J479*Q479</x:f>
        <x:v>3960</x:v>
      </x:c>
      <x:c r="S479" s="20" t="str">
        <x:f>IF(D479&lt;E479,"closed",IF(D479&lt;'Paths'!$N$12,"initial","expanded"))</x:f>
        <x:v>expanded</x:v>
      </x:c>
      <x:c r="T479" s="72"/>
    </x:row>
    <x:row r="480">
      <x:c r="C480" s="20" t="str">
        <x:v>P5</x:v>
      </x:c>
      <x:c r="D480" s="20" t="n">
        <x:v>18</x:v>
      </x:c>
      <x:c r="E480" s="45" t="n">
        <x:f>IF('Controls'!$D$7="Reference",'Paths'!$J$12,'Paths'!$K$12)</x:f>
        <x:v>3</x:v>
      </x:c>
      <x:c r="F480" s="47" t="n">
        <x:f>IF(D480&lt;'Paths'!$N$12,IF('Controls'!$D$7="Reference",'Paths'!$L$12,'Paths'!$M$12),IF('Controls'!$D$7="Reference",'Paths'!$O$12,'Paths'!$P$12))</x:f>
        <x:v>30000</x:v>
      </x:c>
      <x:c r="G480" s="46" t="n">
        <x:f>IF('Controls'!$D$7="Reference",1,IF(OR(D480=6,D480=7,D480=21,D480=46),'Paths'!$U$12,1))</x:f>
        <x:v>1</x:v>
      </x:c>
      <x:c r="H480" s="46" t="n">
        <x:f>IF('Controls'!$D$7="Reference",1,IF(OR(AND(D480&gt;=14,D480&lt;=16),AND(D480&gt;=34,D480&lt;=35),AND(D480&gt;=61,D480&lt;=63)),'Paths'!$V$12,1))</x:f>
        <x:v>1</x:v>
      </x:c>
      <x:c r="I480" s="46" t="n">
        <x:f>'Paths'!$W$12</x:f>
        <x:v>0.88</x:v>
      </x:c>
      <x:c r="J480" s="47" t="n">
        <x:f>IF(D480&lt;E480,0,MIN(F480*G480*H480*I480,IF('Paths'!$T$12&gt;0,MAX(0,'Paths'!$T$12-K479),1000000000)))</x:f>
        <x:v>26400</x:v>
      </x:c>
      <x:c r="K480" s="47" t="n">
        <x:f>K479+J480</x:f>
        <x:v>323928</x:v>
      </x:c>
      <x:c r="L480" s="46" t="n">
        <x:f>IF(C480="P0",1,IF(D480&lt;=3,0.8,IF(D480&lt;=14,0.65,IF(D480&lt;=45,0.5,0.3))))</x:f>
        <x:v>0.5</x:v>
      </x:c>
      <x:c r="M480" s="47" t="n">
        <x:f>J480*L480</x:f>
        <x:v>13200</x:v>
      </x:c>
      <x:c r="N480" s="47" t="n">
        <x:f>N479+M480</x:f>
        <x:v>201181.2</x:v>
      </x:c>
      <x:c r="O480" s="46" t="n">
        <x:f>IF(C480="P0",0,IF(D480&lt;=3,0.15,IF(D480&lt;=14,0.25,IF(D480&lt;=45,0.35,0.5))))</x:f>
        <x:v>0.35</x:v>
      </x:c>
      <x:c r="P480" s="47" t="n">
        <x:f>J480*O480</x:f>
        <x:v>9240</x:v>
      </x:c>
      <x:c r="Q480" s="46" t="n">
        <x:f>IF(C480="P0",0,IF(D480&lt;=3,0.05,IF(D480&lt;=14,0.1,IF(D480&lt;=45,0.15,0.2))))</x:f>
        <x:v>0.15</x:v>
      </x:c>
      <x:c r="R480" s="47" t="n">
        <x:f>J480*Q480</x:f>
        <x:v>3960</x:v>
      </x:c>
      <x:c r="S480" s="20" t="str">
        <x:f>IF(D480&lt;E480,"closed",IF(D480&lt;'Paths'!$N$12,"initial","expanded"))</x:f>
        <x:v>expanded</x:v>
      </x:c>
      <x:c r="T480" s="72"/>
    </x:row>
    <x:row r="481">
      <x:c r="C481" s="20" t="str">
        <x:v>P5</x:v>
      </x:c>
      <x:c r="D481" s="20" t="n">
        <x:v>19</x:v>
      </x:c>
      <x:c r="E481" s="45" t="n">
        <x:f>IF('Controls'!$D$7="Reference",'Paths'!$J$12,'Paths'!$K$12)</x:f>
        <x:v>3</x:v>
      </x:c>
      <x:c r="F481" s="47" t="n">
        <x:f>IF(D481&lt;'Paths'!$N$12,IF('Controls'!$D$7="Reference",'Paths'!$L$12,'Paths'!$M$12),IF('Controls'!$D$7="Reference",'Paths'!$O$12,'Paths'!$P$12))</x:f>
        <x:v>30000</x:v>
      </x:c>
      <x:c r="G481" s="46" t="n">
        <x:f>IF('Controls'!$D$7="Reference",1,IF(OR(D481=6,D481=7,D481=21,D481=46),'Paths'!$U$12,1))</x:f>
        <x:v>1</x:v>
      </x:c>
      <x:c r="H481" s="46" t="n">
        <x:f>IF('Controls'!$D$7="Reference",1,IF(OR(AND(D481&gt;=14,D481&lt;=16),AND(D481&gt;=34,D481&lt;=35),AND(D481&gt;=61,D481&lt;=63)),'Paths'!$V$12,1))</x:f>
        <x:v>1</x:v>
      </x:c>
      <x:c r="I481" s="46" t="n">
        <x:f>'Paths'!$W$12</x:f>
        <x:v>0.88</x:v>
      </x:c>
      <x:c r="J481" s="47" t="n">
        <x:f>IF(D481&lt;E481,0,MIN(F481*G481*H481*I481,IF('Paths'!$T$12&gt;0,MAX(0,'Paths'!$T$12-K480),1000000000)))</x:f>
        <x:v>26400</x:v>
      </x:c>
      <x:c r="K481" s="47" t="n">
        <x:f>K480+J481</x:f>
        <x:v>350328</x:v>
      </x:c>
      <x:c r="L481" s="46" t="n">
        <x:f>IF(C481="P0",1,IF(D481&lt;=3,0.8,IF(D481&lt;=14,0.65,IF(D481&lt;=45,0.5,0.3))))</x:f>
        <x:v>0.5</x:v>
      </x:c>
      <x:c r="M481" s="47" t="n">
        <x:f>J481*L481</x:f>
        <x:v>13200</x:v>
      </x:c>
      <x:c r="N481" s="47" t="n">
        <x:f>N480+M481</x:f>
        <x:v>214381.2</x:v>
      </x:c>
      <x:c r="O481" s="46" t="n">
        <x:f>IF(C481="P0",0,IF(D481&lt;=3,0.15,IF(D481&lt;=14,0.25,IF(D481&lt;=45,0.35,0.5))))</x:f>
        <x:v>0.35</x:v>
      </x:c>
      <x:c r="P481" s="47" t="n">
        <x:f>J481*O481</x:f>
        <x:v>9240</x:v>
      </x:c>
      <x:c r="Q481" s="46" t="n">
        <x:f>IF(C481="P0",0,IF(D481&lt;=3,0.05,IF(D481&lt;=14,0.1,IF(D481&lt;=45,0.15,0.2))))</x:f>
        <x:v>0.15</x:v>
      </x:c>
      <x:c r="R481" s="47" t="n">
        <x:f>J481*Q481</x:f>
        <x:v>3960</x:v>
      </x:c>
      <x:c r="S481" s="20" t="str">
        <x:f>IF(D481&lt;E481,"closed",IF(D481&lt;'Paths'!$N$12,"initial","expanded"))</x:f>
        <x:v>expanded</x:v>
      </x:c>
      <x:c r="T481" s="72"/>
    </x:row>
    <x:row r="482">
      <x:c r="C482" s="20" t="str">
        <x:v>P5</x:v>
      </x:c>
      <x:c r="D482" s="20" t="n">
        <x:v>20</x:v>
      </x:c>
      <x:c r="E482" s="45" t="n">
        <x:f>IF('Controls'!$D$7="Reference",'Paths'!$J$12,'Paths'!$K$12)</x:f>
        <x:v>3</x:v>
      </x:c>
      <x:c r="F482" s="47" t="n">
        <x:f>IF(D482&lt;'Paths'!$N$12,IF('Controls'!$D$7="Reference",'Paths'!$L$12,'Paths'!$M$12),IF('Controls'!$D$7="Reference",'Paths'!$O$12,'Paths'!$P$12))</x:f>
        <x:v>30000</x:v>
      </x:c>
      <x:c r="G482" s="46" t="n">
        <x:f>IF('Controls'!$D$7="Reference",1,IF(OR(D482=6,D482=7,D482=21,D482=46),'Paths'!$U$12,1))</x:f>
        <x:v>1</x:v>
      </x:c>
      <x:c r="H482" s="46" t="n">
        <x:f>IF('Controls'!$D$7="Reference",1,IF(OR(AND(D482&gt;=14,D482&lt;=16),AND(D482&gt;=34,D482&lt;=35),AND(D482&gt;=61,D482&lt;=63)),'Paths'!$V$12,1))</x:f>
        <x:v>1</x:v>
      </x:c>
      <x:c r="I482" s="46" t="n">
        <x:f>'Paths'!$W$12</x:f>
        <x:v>0.88</x:v>
      </x:c>
      <x:c r="J482" s="47" t="n">
        <x:f>IF(D482&lt;E482,0,MIN(F482*G482*H482*I482,IF('Paths'!$T$12&gt;0,MAX(0,'Paths'!$T$12-K481),1000000000)))</x:f>
        <x:v>26400</x:v>
      </x:c>
      <x:c r="K482" s="47" t="n">
        <x:f>K481+J482</x:f>
        <x:v>376728</x:v>
      </x:c>
      <x:c r="L482" s="46" t="n">
        <x:f>IF(C482="P0",1,IF(D482&lt;=3,0.8,IF(D482&lt;=14,0.65,IF(D482&lt;=45,0.5,0.3))))</x:f>
        <x:v>0.5</x:v>
      </x:c>
      <x:c r="M482" s="47" t="n">
        <x:f>J482*L482</x:f>
        <x:v>13200</x:v>
      </x:c>
      <x:c r="N482" s="47" t="n">
        <x:f>N481+M482</x:f>
        <x:v>227581.2</x:v>
      </x:c>
      <x:c r="O482" s="46" t="n">
        <x:f>IF(C482="P0",0,IF(D482&lt;=3,0.15,IF(D482&lt;=14,0.25,IF(D482&lt;=45,0.35,0.5))))</x:f>
        <x:v>0.35</x:v>
      </x:c>
      <x:c r="P482" s="47" t="n">
        <x:f>J482*O482</x:f>
        <x:v>9240</x:v>
      </x:c>
      <x:c r="Q482" s="46" t="n">
        <x:f>IF(C482="P0",0,IF(D482&lt;=3,0.05,IF(D482&lt;=14,0.1,IF(D482&lt;=45,0.15,0.2))))</x:f>
        <x:v>0.15</x:v>
      </x:c>
      <x:c r="R482" s="47" t="n">
        <x:f>J482*Q482</x:f>
        <x:v>3960</x:v>
      </x:c>
      <x:c r="S482" s="20" t="str">
        <x:f>IF(D482&lt;E482,"closed",IF(D482&lt;'Paths'!$N$12,"initial","expanded"))</x:f>
        <x:v>expanded</x:v>
      </x:c>
      <x:c r="T482" s="72"/>
    </x:row>
    <x:row r="483">
      <x:c r="C483" s="20" t="str">
        <x:v>P5</x:v>
      </x:c>
      <x:c r="D483" s="20" t="n">
        <x:v>21</x:v>
      </x:c>
      <x:c r="E483" s="45" t="n">
        <x:f>IF('Controls'!$D$7="Reference",'Paths'!$J$12,'Paths'!$K$12)</x:f>
        <x:v>3</x:v>
      </x:c>
      <x:c r="F483" s="47" t="n">
        <x:f>IF(D483&lt;'Paths'!$N$12,IF('Controls'!$D$7="Reference",'Paths'!$L$12,'Paths'!$M$12),IF('Controls'!$D$7="Reference",'Paths'!$O$12,'Paths'!$P$12))</x:f>
        <x:v>30000</x:v>
      </x:c>
      <x:c r="G483" s="46" t="n">
        <x:f>IF('Controls'!$D$7="Reference",1,IF(OR(D483=6,D483=7,D483=21,D483=46),'Paths'!$U$12,1))</x:f>
        <x:v>0.65</x:v>
      </x:c>
      <x:c r="H483" s="46" t="n">
        <x:f>IF('Controls'!$D$7="Reference",1,IF(OR(AND(D483&gt;=14,D483&lt;=16),AND(D483&gt;=34,D483&lt;=35),AND(D483&gt;=61,D483&lt;=63)),'Paths'!$V$12,1))</x:f>
        <x:v>1</x:v>
      </x:c>
      <x:c r="I483" s="46" t="n">
        <x:f>'Paths'!$W$12</x:f>
        <x:v>0.88</x:v>
      </x:c>
      <x:c r="J483" s="47" t="n">
        <x:f>IF(D483&lt;E483,0,MIN(F483*G483*H483*I483,IF('Paths'!$T$12&gt;0,MAX(0,'Paths'!$T$12-K482),1000000000)))</x:f>
        <x:v>17160</x:v>
      </x:c>
      <x:c r="K483" s="47" t="n">
        <x:f>K482+J483</x:f>
        <x:v>393888</x:v>
      </x:c>
      <x:c r="L483" s="46" t="n">
        <x:f>IF(C483="P0",1,IF(D483&lt;=3,0.8,IF(D483&lt;=14,0.65,IF(D483&lt;=45,0.5,0.3))))</x:f>
        <x:v>0.5</x:v>
      </x:c>
      <x:c r="M483" s="47" t="n">
        <x:f>J483*L483</x:f>
        <x:v>8580</x:v>
      </x:c>
      <x:c r="N483" s="47" t="n">
        <x:f>N482+M483</x:f>
        <x:v>236161.2</x:v>
      </x:c>
      <x:c r="O483" s="46" t="n">
        <x:f>IF(C483="P0",0,IF(D483&lt;=3,0.15,IF(D483&lt;=14,0.25,IF(D483&lt;=45,0.35,0.5))))</x:f>
        <x:v>0.35</x:v>
      </x:c>
      <x:c r="P483" s="47" t="n">
        <x:f>J483*O483</x:f>
        <x:v>6006</x:v>
      </x:c>
      <x:c r="Q483" s="46" t="n">
        <x:f>IF(C483="P0",0,IF(D483&lt;=3,0.05,IF(D483&lt;=14,0.1,IF(D483&lt;=45,0.15,0.2))))</x:f>
        <x:v>0.15</x:v>
      </x:c>
      <x:c r="R483" s="47" t="n">
        <x:f>J483*Q483</x:f>
        <x:v>2574</x:v>
      </x:c>
      <x:c r="S483" s="20" t="str">
        <x:f>IF(D483&lt;E483,"closed",IF(D483&lt;'Paths'!$N$12,"initial","expanded"))</x:f>
        <x:v>expanded</x:v>
      </x:c>
      <x:c r="T483" s="72"/>
    </x:row>
    <x:row r="484">
      <x:c r="C484" s="20" t="str">
        <x:v>P5</x:v>
      </x:c>
      <x:c r="D484" s="20" t="n">
        <x:v>22</x:v>
      </x:c>
      <x:c r="E484" s="45" t="n">
        <x:f>IF('Controls'!$D$7="Reference",'Paths'!$J$12,'Paths'!$K$12)</x:f>
        <x:v>3</x:v>
      </x:c>
      <x:c r="F484" s="47" t="n">
        <x:f>IF(D484&lt;'Paths'!$N$12,IF('Controls'!$D$7="Reference",'Paths'!$L$12,'Paths'!$M$12),IF('Controls'!$D$7="Reference",'Paths'!$O$12,'Paths'!$P$12))</x:f>
        <x:v>30000</x:v>
      </x:c>
      <x:c r="G484" s="46" t="n">
        <x:f>IF('Controls'!$D$7="Reference",1,IF(OR(D484=6,D484=7,D484=21,D484=46),'Paths'!$U$12,1))</x:f>
        <x:v>1</x:v>
      </x:c>
      <x:c r="H484" s="46" t="n">
        <x:f>IF('Controls'!$D$7="Reference",1,IF(OR(AND(D484&gt;=14,D484&lt;=16),AND(D484&gt;=34,D484&lt;=35),AND(D484&gt;=61,D484&lt;=63)),'Paths'!$V$12,1))</x:f>
        <x:v>1</x:v>
      </x:c>
      <x:c r="I484" s="46" t="n">
        <x:f>'Paths'!$W$12</x:f>
        <x:v>0.88</x:v>
      </x:c>
      <x:c r="J484" s="47" t="n">
        <x:f>IF(D484&lt;E484,0,MIN(F484*G484*H484*I484,IF('Paths'!$T$12&gt;0,MAX(0,'Paths'!$T$12-K483),1000000000)))</x:f>
        <x:v>26400</x:v>
      </x:c>
      <x:c r="K484" s="47" t="n">
        <x:f>K483+J484</x:f>
        <x:v>420288</x:v>
      </x:c>
      <x:c r="L484" s="46" t="n">
        <x:f>IF(C484="P0",1,IF(D484&lt;=3,0.8,IF(D484&lt;=14,0.65,IF(D484&lt;=45,0.5,0.3))))</x:f>
        <x:v>0.5</x:v>
      </x:c>
      <x:c r="M484" s="47" t="n">
        <x:f>J484*L484</x:f>
        <x:v>13200</x:v>
      </x:c>
      <x:c r="N484" s="47" t="n">
        <x:f>N483+M484</x:f>
        <x:v>249361.2</x:v>
      </x:c>
      <x:c r="O484" s="46" t="n">
        <x:f>IF(C484="P0",0,IF(D484&lt;=3,0.15,IF(D484&lt;=14,0.25,IF(D484&lt;=45,0.35,0.5))))</x:f>
        <x:v>0.35</x:v>
      </x:c>
      <x:c r="P484" s="47" t="n">
        <x:f>J484*O484</x:f>
        <x:v>9240</x:v>
      </x:c>
      <x:c r="Q484" s="46" t="n">
        <x:f>IF(C484="P0",0,IF(D484&lt;=3,0.05,IF(D484&lt;=14,0.1,IF(D484&lt;=45,0.15,0.2))))</x:f>
        <x:v>0.15</x:v>
      </x:c>
      <x:c r="R484" s="47" t="n">
        <x:f>J484*Q484</x:f>
        <x:v>3960</x:v>
      </x:c>
      <x:c r="S484" s="20" t="str">
        <x:f>IF(D484&lt;E484,"closed",IF(D484&lt;'Paths'!$N$12,"initial","expanded"))</x:f>
        <x:v>expanded</x:v>
      </x:c>
      <x:c r="T484" s="72"/>
    </x:row>
    <x:row r="485">
      <x:c r="C485" s="20" t="str">
        <x:v>P5</x:v>
      </x:c>
      <x:c r="D485" s="20" t="n">
        <x:v>23</x:v>
      </x:c>
      <x:c r="E485" s="45" t="n">
        <x:f>IF('Controls'!$D$7="Reference",'Paths'!$J$12,'Paths'!$K$12)</x:f>
        <x:v>3</x:v>
      </x:c>
      <x:c r="F485" s="47" t="n">
        <x:f>IF(D485&lt;'Paths'!$N$12,IF('Controls'!$D$7="Reference",'Paths'!$L$12,'Paths'!$M$12),IF('Controls'!$D$7="Reference",'Paths'!$O$12,'Paths'!$P$12))</x:f>
        <x:v>30000</x:v>
      </x:c>
      <x:c r="G485" s="46" t="n">
        <x:f>IF('Controls'!$D$7="Reference",1,IF(OR(D485=6,D485=7,D485=21,D485=46),'Paths'!$U$12,1))</x:f>
        <x:v>1</x:v>
      </x:c>
      <x:c r="H485" s="46" t="n">
        <x:f>IF('Controls'!$D$7="Reference",1,IF(OR(AND(D485&gt;=14,D485&lt;=16),AND(D485&gt;=34,D485&lt;=35),AND(D485&gt;=61,D485&lt;=63)),'Paths'!$V$12,1))</x:f>
        <x:v>1</x:v>
      </x:c>
      <x:c r="I485" s="46" t="n">
        <x:f>'Paths'!$W$12</x:f>
        <x:v>0.88</x:v>
      </x:c>
      <x:c r="J485" s="47" t="n">
        <x:f>IF(D485&lt;E485,0,MIN(F485*G485*H485*I485,IF('Paths'!$T$12&gt;0,MAX(0,'Paths'!$T$12-K484),1000000000)))</x:f>
        <x:v>26400</x:v>
      </x:c>
      <x:c r="K485" s="47" t="n">
        <x:f>K484+J485</x:f>
        <x:v>446688</x:v>
      </x:c>
      <x:c r="L485" s="46" t="n">
        <x:f>IF(C485="P0",1,IF(D485&lt;=3,0.8,IF(D485&lt;=14,0.65,IF(D485&lt;=45,0.5,0.3))))</x:f>
        <x:v>0.5</x:v>
      </x:c>
      <x:c r="M485" s="47" t="n">
        <x:f>J485*L485</x:f>
        <x:v>13200</x:v>
      </x:c>
      <x:c r="N485" s="47" t="n">
        <x:f>N484+M485</x:f>
        <x:v>262561.2</x:v>
      </x:c>
      <x:c r="O485" s="46" t="n">
        <x:f>IF(C485="P0",0,IF(D485&lt;=3,0.15,IF(D485&lt;=14,0.25,IF(D485&lt;=45,0.35,0.5))))</x:f>
        <x:v>0.35</x:v>
      </x:c>
      <x:c r="P485" s="47" t="n">
        <x:f>J485*O485</x:f>
        <x:v>9240</x:v>
      </x:c>
      <x:c r="Q485" s="46" t="n">
        <x:f>IF(C485="P0",0,IF(D485&lt;=3,0.05,IF(D485&lt;=14,0.1,IF(D485&lt;=45,0.15,0.2))))</x:f>
        <x:v>0.15</x:v>
      </x:c>
      <x:c r="R485" s="47" t="n">
        <x:f>J485*Q485</x:f>
        <x:v>3960</x:v>
      </x:c>
      <x:c r="S485" s="20" t="str">
        <x:f>IF(D485&lt;E485,"closed",IF(D485&lt;'Paths'!$N$12,"initial","expanded"))</x:f>
        <x:v>expanded</x:v>
      </x:c>
      <x:c r="T485" s="72"/>
    </x:row>
    <x:row r="486">
      <x:c r="C486" s="20" t="str">
        <x:v>P5</x:v>
      </x:c>
      <x:c r="D486" s="20" t="n">
        <x:v>24</x:v>
      </x:c>
      <x:c r="E486" s="45" t="n">
        <x:f>IF('Controls'!$D$7="Reference",'Paths'!$J$12,'Paths'!$K$12)</x:f>
        <x:v>3</x:v>
      </x:c>
      <x:c r="F486" s="47" t="n">
        <x:f>IF(D486&lt;'Paths'!$N$12,IF('Controls'!$D$7="Reference",'Paths'!$L$12,'Paths'!$M$12),IF('Controls'!$D$7="Reference",'Paths'!$O$12,'Paths'!$P$12))</x:f>
        <x:v>30000</x:v>
      </x:c>
      <x:c r="G486" s="46" t="n">
        <x:f>IF('Controls'!$D$7="Reference",1,IF(OR(D486=6,D486=7,D486=21,D486=46),'Paths'!$U$12,1))</x:f>
        <x:v>1</x:v>
      </x:c>
      <x:c r="H486" s="46" t="n">
        <x:f>IF('Controls'!$D$7="Reference",1,IF(OR(AND(D486&gt;=14,D486&lt;=16),AND(D486&gt;=34,D486&lt;=35),AND(D486&gt;=61,D486&lt;=63)),'Paths'!$V$12,1))</x:f>
        <x:v>1</x:v>
      </x:c>
      <x:c r="I486" s="46" t="n">
        <x:f>'Paths'!$W$12</x:f>
        <x:v>0.88</x:v>
      </x:c>
      <x:c r="J486" s="47" t="n">
        <x:f>IF(D486&lt;E486,0,MIN(F486*G486*H486*I486,IF('Paths'!$T$12&gt;0,MAX(0,'Paths'!$T$12-K485),1000000000)))</x:f>
        <x:v>26400</x:v>
      </x:c>
      <x:c r="K486" s="47" t="n">
        <x:f>K485+J486</x:f>
        <x:v>473088</x:v>
      </x:c>
      <x:c r="L486" s="46" t="n">
        <x:f>IF(C486="P0",1,IF(D486&lt;=3,0.8,IF(D486&lt;=14,0.65,IF(D486&lt;=45,0.5,0.3))))</x:f>
        <x:v>0.5</x:v>
      </x:c>
      <x:c r="M486" s="47" t="n">
        <x:f>J486*L486</x:f>
        <x:v>13200</x:v>
      </x:c>
      <x:c r="N486" s="47" t="n">
        <x:f>N485+M486</x:f>
        <x:v>275761.2</x:v>
      </x:c>
      <x:c r="O486" s="46" t="n">
        <x:f>IF(C486="P0",0,IF(D486&lt;=3,0.15,IF(D486&lt;=14,0.25,IF(D486&lt;=45,0.35,0.5))))</x:f>
        <x:v>0.35</x:v>
      </x:c>
      <x:c r="P486" s="47" t="n">
        <x:f>J486*O486</x:f>
        <x:v>9240</x:v>
      </x:c>
      <x:c r="Q486" s="46" t="n">
        <x:f>IF(C486="P0",0,IF(D486&lt;=3,0.05,IF(D486&lt;=14,0.1,IF(D486&lt;=45,0.15,0.2))))</x:f>
        <x:v>0.15</x:v>
      </x:c>
      <x:c r="R486" s="47" t="n">
        <x:f>J486*Q486</x:f>
        <x:v>3960</x:v>
      </x:c>
      <x:c r="S486" s="20" t="str">
        <x:f>IF(D486&lt;E486,"closed",IF(D486&lt;'Paths'!$N$12,"initial","expanded"))</x:f>
        <x:v>expanded</x:v>
      </x:c>
      <x:c r="T486" s="72"/>
    </x:row>
    <x:row r="487">
      <x:c r="C487" s="20" t="str">
        <x:v>P5</x:v>
      </x:c>
      <x:c r="D487" s="20" t="n">
        <x:v>25</x:v>
      </x:c>
      <x:c r="E487" s="45" t="n">
        <x:f>IF('Controls'!$D$7="Reference",'Paths'!$J$12,'Paths'!$K$12)</x:f>
        <x:v>3</x:v>
      </x:c>
      <x:c r="F487" s="47" t="n">
        <x:f>IF(D487&lt;'Paths'!$N$12,IF('Controls'!$D$7="Reference",'Paths'!$L$12,'Paths'!$M$12),IF('Controls'!$D$7="Reference",'Paths'!$O$12,'Paths'!$P$12))</x:f>
        <x:v>30000</x:v>
      </x:c>
      <x:c r="G487" s="46" t="n">
        <x:f>IF('Controls'!$D$7="Reference",1,IF(OR(D487=6,D487=7,D487=21,D487=46),'Paths'!$U$12,1))</x:f>
        <x:v>1</x:v>
      </x:c>
      <x:c r="H487" s="46" t="n">
        <x:f>IF('Controls'!$D$7="Reference",1,IF(OR(AND(D487&gt;=14,D487&lt;=16),AND(D487&gt;=34,D487&lt;=35),AND(D487&gt;=61,D487&lt;=63)),'Paths'!$V$12,1))</x:f>
        <x:v>1</x:v>
      </x:c>
      <x:c r="I487" s="46" t="n">
        <x:f>'Paths'!$W$12</x:f>
        <x:v>0.88</x:v>
      </x:c>
      <x:c r="J487" s="47" t="n">
        <x:f>IF(D487&lt;E487,0,MIN(F487*G487*H487*I487,IF('Paths'!$T$12&gt;0,MAX(0,'Paths'!$T$12-K486),1000000000)))</x:f>
        <x:v>26400</x:v>
      </x:c>
      <x:c r="K487" s="47" t="n">
        <x:f>K486+J487</x:f>
        <x:v>499488</x:v>
      </x:c>
      <x:c r="L487" s="46" t="n">
        <x:f>IF(C487="P0",1,IF(D487&lt;=3,0.8,IF(D487&lt;=14,0.65,IF(D487&lt;=45,0.5,0.3))))</x:f>
        <x:v>0.5</x:v>
      </x:c>
      <x:c r="M487" s="47" t="n">
        <x:f>J487*L487</x:f>
        <x:v>13200</x:v>
      </x:c>
      <x:c r="N487" s="47" t="n">
        <x:f>N486+M487</x:f>
        <x:v>288961.2</x:v>
      </x:c>
      <x:c r="O487" s="46" t="n">
        <x:f>IF(C487="P0",0,IF(D487&lt;=3,0.15,IF(D487&lt;=14,0.25,IF(D487&lt;=45,0.35,0.5))))</x:f>
        <x:v>0.35</x:v>
      </x:c>
      <x:c r="P487" s="47" t="n">
        <x:f>J487*O487</x:f>
        <x:v>9240</x:v>
      </x:c>
      <x:c r="Q487" s="46" t="n">
        <x:f>IF(C487="P0",0,IF(D487&lt;=3,0.05,IF(D487&lt;=14,0.1,IF(D487&lt;=45,0.15,0.2))))</x:f>
        <x:v>0.15</x:v>
      </x:c>
      <x:c r="R487" s="47" t="n">
        <x:f>J487*Q487</x:f>
        <x:v>3960</x:v>
      </x:c>
      <x:c r="S487" s="20" t="str">
        <x:f>IF(D487&lt;E487,"closed",IF(D487&lt;'Paths'!$N$12,"initial","expanded"))</x:f>
        <x:v>expanded</x:v>
      </x:c>
      <x:c r="T487" s="72"/>
    </x:row>
    <x:row r="488">
      <x:c r="C488" s="20" t="str">
        <x:v>P5</x:v>
      </x:c>
      <x:c r="D488" s="20" t="n">
        <x:v>26</x:v>
      </x:c>
      <x:c r="E488" s="45" t="n">
        <x:f>IF('Controls'!$D$7="Reference",'Paths'!$J$12,'Paths'!$K$12)</x:f>
        <x:v>3</x:v>
      </x:c>
      <x:c r="F488" s="47" t="n">
        <x:f>IF(D488&lt;'Paths'!$N$12,IF('Controls'!$D$7="Reference",'Paths'!$L$12,'Paths'!$M$12),IF('Controls'!$D$7="Reference",'Paths'!$O$12,'Paths'!$P$12))</x:f>
        <x:v>30000</x:v>
      </x:c>
      <x:c r="G488" s="46" t="n">
        <x:f>IF('Controls'!$D$7="Reference",1,IF(OR(D488=6,D488=7,D488=21,D488=46),'Paths'!$U$12,1))</x:f>
        <x:v>1</x:v>
      </x:c>
      <x:c r="H488" s="46" t="n">
        <x:f>IF('Controls'!$D$7="Reference",1,IF(OR(AND(D488&gt;=14,D488&lt;=16),AND(D488&gt;=34,D488&lt;=35),AND(D488&gt;=61,D488&lt;=63)),'Paths'!$V$12,1))</x:f>
        <x:v>1</x:v>
      </x:c>
      <x:c r="I488" s="46" t="n">
        <x:f>'Paths'!$W$12</x:f>
        <x:v>0.88</x:v>
      </x:c>
      <x:c r="J488" s="47" t="n">
        <x:f>IF(D488&lt;E488,0,MIN(F488*G488*H488*I488,IF('Paths'!$T$12&gt;0,MAX(0,'Paths'!$T$12-K487),1000000000)))</x:f>
        <x:v>26400</x:v>
      </x:c>
      <x:c r="K488" s="47" t="n">
        <x:f>K487+J488</x:f>
        <x:v>525888</x:v>
      </x:c>
      <x:c r="L488" s="46" t="n">
        <x:f>IF(C488="P0",1,IF(D488&lt;=3,0.8,IF(D488&lt;=14,0.65,IF(D488&lt;=45,0.5,0.3))))</x:f>
        <x:v>0.5</x:v>
      </x:c>
      <x:c r="M488" s="47" t="n">
        <x:f>J488*L488</x:f>
        <x:v>13200</x:v>
      </x:c>
      <x:c r="N488" s="47" t="n">
        <x:f>N487+M488</x:f>
        <x:v>302161.2</x:v>
      </x:c>
      <x:c r="O488" s="46" t="n">
        <x:f>IF(C488="P0",0,IF(D488&lt;=3,0.15,IF(D488&lt;=14,0.25,IF(D488&lt;=45,0.35,0.5))))</x:f>
        <x:v>0.35</x:v>
      </x:c>
      <x:c r="P488" s="47" t="n">
        <x:f>J488*O488</x:f>
        <x:v>9240</x:v>
      </x:c>
      <x:c r="Q488" s="46" t="n">
        <x:f>IF(C488="P0",0,IF(D488&lt;=3,0.05,IF(D488&lt;=14,0.1,IF(D488&lt;=45,0.15,0.2))))</x:f>
        <x:v>0.15</x:v>
      </x:c>
      <x:c r="R488" s="47" t="n">
        <x:f>J488*Q488</x:f>
        <x:v>3960</x:v>
      </x:c>
      <x:c r="S488" s="20" t="str">
        <x:f>IF(D488&lt;E488,"closed",IF(D488&lt;'Paths'!$N$12,"initial","expanded"))</x:f>
        <x:v>expanded</x:v>
      </x:c>
      <x:c r="T488" s="72"/>
    </x:row>
    <x:row r="489">
      <x:c r="C489" s="20" t="str">
        <x:v>P5</x:v>
      </x:c>
      <x:c r="D489" s="20" t="n">
        <x:v>27</x:v>
      </x:c>
      <x:c r="E489" s="45" t="n">
        <x:f>IF('Controls'!$D$7="Reference",'Paths'!$J$12,'Paths'!$K$12)</x:f>
        <x:v>3</x:v>
      </x:c>
      <x:c r="F489" s="47" t="n">
        <x:f>IF(D489&lt;'Paths'!$N$12,IF('Controls'!$D$7="Reference",'Paths'!$L$12,'Paths'!$M$12),IF('Controls'!$D$7="Reference",'Paths'!$O$12,'Paths'!$P$12))</x:f>
        <x:v>30000</x:v>
      </x:c>
      <x:c r="G489" s="46" t="n">
        <x:f>IF('Controls'!$D$7="Reference",1,IF(OR(D489=6,D489=7,D489=21,D489=46),'Paths'!$U$12,1))</x:f>
        <x:v>1</x:v>
      </x:c>
      <x:c r="H489" s="46" t="n">
        <x:f>IF('Controls'!$D$7="Reference",1,IF(OR(AND(D489&gt;=14,D489&lt;=16),AND(D489&gt;=34,D489&lt;=35),AND(D489&gt;=61,D489&lt;=63)),'Paths'!$V$12,1))</x:f>
        <x:v>1</x:v>
      </x:c>
      <x:c r="I489" s="46" t="n">
        <x:f>'Paths'!$W$12</x:f>
        <x:v>0.88</x:v>
      </x:c>
      <x:c r="J489" s="47" t="n">
        <x:f>IF(D489&lt;E489,0,MIN(F489*G489*H489*I489,IF('Paths'!$T$12&gt;0,MAX(0,'Paths'!$T$12-K488),1000000000)))</x:f>
        <x:v>26400</x:v>
      </x:c>
      <x:c r="K489" s="47" t="n">
        <x:f>K488+J489</x:f>
        <x:v>552288</x:v>
      </x:c>
      <x:c r="L489" s="46" t="n">
        <x:f>IF(C489="P0",1,IF(D489&lt;=3,0.8,IF(D489&lt;=14,0.65,IF(D489&lt;=45,0.5,0.3))))</x:f>
        <x:v>0.5</x:v>
      </x:c>
      <x:c r="M489" s="47" t="n">
        <x:f>J489*L489</x:f>
        <x:v>13200</x:v>
      </x:c>
      <x:c r="N489" s="47" t="n">
        <x:f>N488+M489</x:f>
        <x:v>315361.2</x:v>
      </x:c>
      <x:c r="O489" s="46" t="n">
        <x:f>IF(C489="P0",0,IF(D489&lt;=3,0.15,IF(D489&lt;=14,0.25,IF(D489&lt;=45,0.35,0.5))))</x:f>
        <x:v>0.35</x:v>
      </x:c>
      <x:c r="P489" s="47" t="n">
        <x:f>J489*O489</x:f>
        <x:v>9240</x:v>
      </x:c>
      <x:c r="Q489" s="46" t="n">
        <x:f>IF(C489="P0",0,IF(D489&lt;=3,0.05,IF(D489&lt;=14,0.1,IF(D489&lt;=45,0.15,0.2))))</x:f>
        <x:v>0.15</x:v>
      </x:c>
      <x:c r="R489" s="47" t="n">
        <x:f>J489*Q489</x:f>
        <x:v>3960</x:v>
      </x:c>
      <x:c r="S489" s="20" t="str">
        <x:f>IF(D489&lt;E489,"closed",IF(D489&lt;'Paths'!$N$12,"initial","expanded"))</x:f>
        <x:v>expanded</x:v>
      </x:c>
      <x:c r="T489" s="72"/>
    </x:row>
    <x:row r="490">
      <x:c r="C490" s="20" t="str">
        <x:v>P5</x:v>
      </x:c>
      <x:c r="D490" s="20" t="n">
        <x:v>28</x:v>
      </x:c>
      <x:c r="E490" s="45" t="n">
        <x:f>IF('Controls'!$D$7="Reference",'Paths'!$J$12,'Paths'!$K$12)</x:f>
        <x:v>3</x:v>
      </x:c>
      <x:c r="F490" s="47" t="n">
        <x:f>IF(D490&lt;'Paths'!$N$12,IF('Controls'!$D$7="Reference",'Paths'!$L$12,'Paths'!$M$12),IF('Controls'!$D$7="Reference",'Paths'!$O$12,'Paths'!$P$12))</x:f>
        <x:v>30000</x:v>
      </x:c>
      <x:c r="G490" s="46" t="n">
        <x:f>IF('Controls'!$D$7="Reference",1,IF(OR(D490=6,D490=7,D490=21,D490=46),'Paths'!$U$12,1))</x:f>
        <x:v>1</x:v>
      </x:c>
      <x:c r="H490" s="46" t="n">
        <x:f>IF('Controls'!$D$7="Reference",1,IF(OR(AND(D490&gt;=14,D490&lt;=16),AND(D490&gt;=34,D490&lt;=35),AND(D490&gt;=61,D490&lt;=63)),'Paths'!$V$12,1))</x:f>
        <x:v>1</x:v>
      </x:c>
      <x:c r="I490" s="46" t="n">
        <x:f>'Paths'!$W$12</x:f>
        <x:v>0.88</x:v>
      </x:c>
      <x:c r="J490" s="47" t="n">
        <x:f>IF(D490&lt;E490,0,MIN(F490*G490*H490*I490,IF('Paths'!$T$12&gt;0,MAX(0,'Paths'!$T$12-K489),1000000000)))</x:f>
        <x:v>26400</x:v>
      </x:c>
      <x:c r="K490" s="47" t="n">
        <x:f>K489+J490</x:f>
        <x:v>578688</x:v>
      </x:c>
      <x:c r="L490" s="46" t="n">
        <x:f>IF(C490="P0",1,IF(D490&lt;=3,0.8,IF(D490&lt;=14,0.65,IF(D490&lt;=45,0.5,0.3))))</x:f>
        <x:v>0.5</x:v>
      </x:c>
      <x:c r="M490" s="47" t="n">
        <x:f>J490*L490</x:f>
        <x:v>13200</x:v>
      </x:c>
      <x:c r="N490" s="47" t="n">
        <x:f>N489+M490</x:f>
        <x:v>328561.2</x:v>
      </x:c>
      <x:c r="O490" s="46" t="n">
        <x:f>IF(C490="P0",0,IF(D490&lt;=3,0.15,IF(D490&lt;=14,0.25,IF(D490&lt;=45,0.35,0.5))))</x:f>
        <x:v>0.35</x:v>
      </x:c>
      <x:c r="P490" s="47" t="n">
        <x:f>J490*O490</x:f>
        <x:v>9240</x:v>
      </x:c>
      <x:c r="Q490" s="46" t="n">
        <x:f>IF(C490="P0",0,IF(D490&lt;=3,0.05,IF(D490&lt;=14,0.1,IF(D490&lt;=45,0.15,0.2))))</x:f>
        <x:v>0.15</x:v>
      </x:c>
      <x:c r="R490" s="47" t="n">
        <x:f>J490*Q490</x:f>
        <x:v>3960</x:v>
      </x:c>
      <x:c r="S490" s="20" t="str">
        <x:f>IF(D490&lt;E490,"closed",IF(D490&lt;'Paths'!$N$12,"initial","expanded"))</x:f>
        <x:v>expanded</x:v>
      </x:c>
      <x:c r="T490" s="72"/>
    </x:row>
    <x:row r="491">
      <x:c r="C491" s="20" t="str">
        <x:v>P5</x:v>
      </x:c>
      <x:c r="D491" s="20" t="n">
        <x:v>29</x:v>
      </x:c>
      <x:c r="E491" s="45" t="n">
        <x:f>IF('Controls'!$D$7="Reference",'Paths'!$J$12,'Paths'!$K$12)</x:f>
        <x:v>3</x:v>
      </x:c>
      <x:c r="F491" s="47" t="n">
        <x:f>IF(D491&lt;'Paths'!$N$12,IF('Controls'!$D$7="Reference",'Paths'!$L$12,'Paths'!$M$12),IF('Controls'!$D$7="Reference",'Paths'!$O$12,'Paths'!$P$12))</x:f>
        <x:v>30000</x:v>
      </x:c>
      <x:c r="G491" s="46" t="n">
        <x:f>IF('Controls'!$D$7="Reference",1,IF(OR(D491=6,D491=7,D491=21,D491=46),'Paths'!$U$12,1))</x:f>
        <x:v>1</x:v>
      </x:c>
      <x:c r="H491" s="46" t="n">
        <x:f>IF('Controls'!$D$7="Reference",1,IF(OR(AND(D491&gt;=14,D491&lt;=16),AND(D491&gt;=34,D491&lt;=35),AND(D491&gt;=61,D491&lt;=63)),'Paths'!$V$12,1))</x:f>
        <x:v>1</x:v>
      </x:c>
      <x:c r="I491" s="46" t="n">
        <x:f>'Paths'!$W$12</x:f>
        <x:v>0.88</x:v>
      </x:c>
      <x:c r="J491" s="47" t="n">
        <x:f>IF(D491&lt;E491,0,MIN(F491*G491*H491*I491,IF('Paths'!$T$12&gt;0,MAX(0,'Paths'!$T$12-K490),1000000000)))</x:f>
        <x:v>26400</x:v>
      </x:c>
      <x:c r="K491" s="47" t="n">
        <x:f>K490+J491</x:f>
        <x:v>605088</x:v>
      </x:c>
      <x:c r="L491" s="46" t="n">
        <x:f>IF(C491="P0",1,IF(D491&lt;=3,0.8,IF(D491&lt;=14,0.65,IF(D491&lt;=45,0.5,0.3))))</x:f>
        <x:v>0.5</x:v>
      </x:c>
      <x:c r="M491" s="47" t="n">
        <x:f>J491*L491</x:f>
        <x:v>13200</x:v>
      </x:c>
      <x:c r="N491" s="47" t="n">
        <x:f>N490+M491</x:f>
        <x:v>341761.2</x:v>
      </x:c>
      <x:c r="O491" s="46" t="n">
        <x:f>IF(C491="P0",0,IF(D491&lt;=3,0.15,IF(D491&lt;=14,0.25,IF(D491&lt;=45,0.35,0.5))))</x:f>
        <x:v>0.35</x:v>
      </x:c>
      <x:c r="P491" s="47" t="n">
        <x:f>J491*O491</x:f>
        <x:v>9240</x:v>
      </x:c>
      <x:c r="Q491" s="46" t="n">
        <x:f>IF(C491="P0",0,IF(D491&lt;=3,0.05,IF(D491&lt;=14,0.1,IF(D491&lt;=45,0.15,0.2))))</x:f>
        <x:v>0.15</x:v>
      </x:c>
      <x:c r="R491" s="47" t="n">
        <x:f>J491*Q491</x:f>
        <x:v>3960</x:v>
      </x:c>
      <x:c r="S491" s="20" t="str">
        <x:f>IF(D491&lt;E491,"closed",IF(D491&lt;'Paths'!$N$12,"initial","expanded"))</x:f>
        <x:v>expanded</x:v>
      </x:c>
      <x:c r="T491" s="72"/>
    </x:row>
    <x:row r="492">
      <x:c r="C492" s="20" t="str">
        <x:v>P5</x:v>
      </x:c>
      <x:c r="D492" s="20" t="n">
        <x:v>30</x:v>
      </x:c>
      <x:c r="E492" s="45" t="n">
        <x:f>IF('Controls'!$D$7="Reference",'Paths'!$J$12,'Paths'!$K$12)</x:f>
        <x:v>3</x:v>
      </x:c>
      <x:c r="F492" s="47" t="n">
        <x:f>IF(D492&lt;'Paths'!$N$12,IF('Controls'!$D$7="Reference",'Paths'!$L$12,'Paths'!$M$12),IF('Controls'!$D$7="Reference",'Paths'!$O$12,'Paths'!$P$12))</x:f>
        <x:v>30000</x:v>
      </x:c>
      <x:c r="G492" s="46" t="n">
        <x:f>IF('Controls'!$D$7="Reference",1,IF(OR(D492=6,D492=7,D492=21,D492=46),'Paths'!$U$12,1))</x:f>
        <x:v>1</x:v>
      </x:c>
      <x:c r="H492" s="46" t="n">
        <x:f>IF('Controls'!$D$7="Reference",1,IF(OR(AND(D492&gt;=14,D492&lt;=16),AND(D492&gt;=34,D492&lt;=35),AND(D492&gt;=61,D492&lt;=63)),'Paths'!$V$12,1))</x:f>
        <x:v>1</x:v>
      </x:c>
      <x:c r="I492" s="46" t="n">
        <x:f>'Paths'!$W$12</x:f>
        <x:v>0.88</x:v>
      </x:c>
      <x:c r="J492" s="47" t="n">
        <x:f>IF(D492&lt;E492,0,MIN(F492*G492*H492*I492,IF('Paths'!$T$12&gt;0,MAX(0,'Paths'!$T$12-K491),1000000000)))</x:f>
        <x:v>26400</x:v>
      </x:c>
      <x:c r="K492" s="47" t="n">
        <x:f>K491+J492</x:f>
        <x:v>631488</x:v>
      </x:c>
      <x:c r="L492" s="46" t="n">
        <x:f>IF(C492="P0",1,IF(D492&lt;=3,0.8,IF(D492&lt;=14,0.65,IF(D492&lt;=45,0.5,0.3))))</x:f>
        <x:v>0.5</x:v>
      </x:c>
      <x:c r="M492" s="47" t="n">
        <x:f>J492*L492</x:f>
        <x:v>13200</x:v>
      </x:c>
      <x:c r="N492" s="47" t="n">
        <x:f>N491+M492</x:f>
        <x:v>354961.2</x:v>
      </x:c>
      <x:c r="O492" s="46" t="n">
        <x:f>IF(C492="P0",0,IF(D492&lt;=3,0.15,IF(D492&lt;=14,0.25,IF(D492&lt;=45,0.35,0.5))))</x:f>
        <x:v>0.35</x:v>
      </x:c>
      <x:c r="P492" s="47" t="n">
        <x:f>J492*O492</x:f>
        <x:v>9240</x:v>
      </x:c>
      <x:c r="Q492" s="46" t="n">
        <x:f>IF(C492="P0",0,IF(D492&lt;=3,0.05,IF(D492&lt;=14,0.1,IF(D492&lt;=45,0.15,0.2))))</x:f>
        <x:v>0.15</x:v>
      </x:c>
      <x:c r="R492" s="47" t="n">
        <x:f>J492*Q492</x:f>
        <x:v>3960</x:v>
      </x:c>
      <x:c r="S492" s="20" t="str">
        <x:f>IF(D492&lt;E492,"closed",IF(D492&lt;'Paths'!$N$12,"initial","expanded"))</x:f>
        <x:v>expanded</x:v>
      </x:c>
      <x:c r="T492" s="72"/>
    </x:row>
    <x:row r="493">
      <x:c r="C493" s="20" t="str">
        <x:v>P5</x:v>
      </x:c>
      <x:c r="D493" s="20" t="n">
        <x:v>31</x:v>
      </x:c>
      <x:c r="E493" s="45" t="n">
        <x:f>IF('Controls'!$D$7="Reference",'Paths'!$J$12,'Paths'!$K$12)</x:f>
        <x:v>3</x:v>
      </x:c>
      <x:c r="F493" s="47" t="n">
        <x:f>IF(D493&lt;'Paths'!$N$12,IF('Controls'!$D$7="Reference",'Paths'!$L$12,'Paths'!$M$12),IF('Controls'!$D$7="Reference",'Paths'!$O$12,'Paths'!$P$12))</x:f>
        <x:v>30000</x:v>
      </x:c>
      <x:c r="G493" s="46" t="n">
        <x:f>IF('Controls'!$D$7="Reference",1,IF(OR(D493=6,D493=7,D493=21,D493=46),'Paths'!$U$12,1))</x:f>
        <x:v>1</x:v>
      </x:c>
      <x:c r="H493" s="46" t="n">
        <x:f>IF('Controls'!$D$7="Reference",1,IF(OR(AND(D493&gt;=14,D493&lt;=16),AND(D493&gt;=34,D493&lt;=35),AND(D493&gt;=61,D493&lt;=63)),'Paths'!$V$12,1))</x:f>
        <x:v>1</x:v>
      </x:c>
      <x:c r="I493" s="46" t="n">
        <x:f>'Paths'!$W$12</x:f>
        <x:v>0.88</x:v>
      </x:c>
      <x:c r="J493" s="47" t="n">
        <x:f>IF(D493&lt;E493,0,MIN(F493*G493*H493*I493,IF('Paths'!$T$12&gt;0,MAX(0,'Paths'!$T$12-K492),1000000000)))</x:f>
        <x:v>26400</x:v>
      </x:c>
      <x:c r="K493" s="47" t="n">
        <x:f>K492+J493</x:f>
        <x:v>657888</x:v>
      </x:c>
      <x:c r="L493" s="46" t="n">
        <x:f>IF(C493="P0",1,IF(D493&lt;=3,0.8,IF(D493&lt;=14,0.65,IF(D493&lt;=45,0.5,0.3))))</x:f>
        <x:v>0.5</x:v>
      </x:c>
      <x:c r="M493" s="47" t="n">
        <x:f>J493*L493</x:f>
        <x:v>13200</x:v>
      </x:c>
      <x:c r="N493" s="47" t="n">
        <x:f>N492+M493</x:f>
        <x:v>368161.2</x:v>
      </x:c>
      <x:c r="O493" s="46" t="n">
        <x:f>IF(C493="P0",0,IF(D493&lt;=3,0.15,IF(D493&lt;=14,0.25,IF(D493&lt;=45,0.35,0.5))))</x:f>
        <x:v>0.35</x:v>
      </x:c>
      <x:c r="P493" s="47" t="n">
        <x:f>J493*O493</x:f>
        <x:v>9240</x:v>
      </x:c>
      <x:c r="Q493" s="46" t="n">
        <x:f>IF(C493="P0",0,IF(D493&lt;=3,0.05,IF(D493&lt;=14,0.1,IF(D493&lt;=45,0.15,0.2))))</x:f>
        <x:v>0.15</x:v>
      </x:c>
      <x:c r="R493" s="47" t="n">
        <x:f>J493*Q493</x:f>
        <x:v>3960</x:v>
      </x:c>
      <x:c r="S493" s="20" t="str">
        <x:f>IF(D493&lt;E493,"closed",IF(D493&lt;'Paths'!$N$12,"initial","expanded"))</x:f>
        <x:v>expanded</x:v>
      </x:c>
      <x:c r="T493" s="72"/>
    </x:row>
    <x:row r="494">
      <x:c r="C494" s="20" t="str">
        <x:v>P5</x:v>
      </x:c>
      <x:c r="D494" s="20" t="n">
        <x:v>32</x:v>
      </x:c>
      <x:c r="E494" s="45" t="n">
        <x:f>IF('Controls'!$D$7="Reference",'Paths'!$J$12,'Paths'!$K$12)</x:f>
        <x:v>3</x:v>
      </x:c>
      <x:c r="F494" s="47" t="n">
        <x:f>IF(D494&lt;'Paths'!$N$12,IF('Controls'!$D$7="Reference",'Paths'!$L$12,'Paths'!$M$12),IF('Controls'!$D$7="Reference",'Paths'!$O$12,'Paths'!$P$12))</x:f>
        <x:v>30000</x:v>
      </x:c>
      <x:c r="G494" s="46" t="n">
        <x:f>IF('Controls'!$D$7="Reference",1,IF(OR(D494=6,D494=7,D494=21,D494=46),'Paths'!$U$12,1))</x:f>
        <x:v>1</x:v>
      </x:c>
      <x:c r="H494" s="46" t="n">
        <x:f>IF('Controls'!$D$7="Reference",1,IF(OR(AND(D494&gt;=14,D494&lt;=16),AND(D494&gt;=34,D494&lt;=35),AND(D494&gt;=61,D494&lt;=63)),'Paths'!$V$12,1))</x:f>
        <x:v>1</x:v>
      </x:c>
      <x:c r="I494" s="46" t="n">
        <x:f>'Paths'!$W$12</x:f>
        <x:v>0.88</x:v>
      </x:c>
      <x:c r="J494" s="47" t="n">
        <x:f>IF(D494&lt;E494,0,MIN(F494*G494*H494*I494,IF('Paths'!$T$12&gt;0,MAX(0,'Paths'!$T$12-K493),1000000000)))</x:f>
        <x:v>26400</x:v>
      </x:c>
      <x:c r="K494" s="47" t="n">
        <x:f>K493+J494</x:f>
        <x:v>684288</x:v>
      </x:c>
      <x:c r="L494" s="46" t="n">
        <x:f>IF(C494="P0",1,IF(D494&lt;=3,0.8,IF(D494&lt;=14,0.65,IF(D494&lt;=45,0.5,0.3))))</x:f>
        <x:v>0.5</x:v>
      </x:c>
      <x:c r="M494" s="47" t="n">
        <x:f>J494*L494</x:f>
        <x:v>13200</x:v>
      </x:c>
      <x:c r="N494" s="47" t="n">
        <x:f>N493+M494</x:f>
        <x:v>381361.2</x:v>
      </x:c>
      <x:c r="O494" s="46" t="n">
        <x:f>IF(C494="P0",0,IF(D494&lt;=3,0.15,IF(D494&lt;=14,0.25,IF(D494&lt;=45,0.35,0.5))))</x:f>
        <x:v>0.35</x:v>
      </x:c>
      <x:c r="P494" s="47" t="n">
        <x:f>J494*O494</x:f>
        <x:v>9240</x:v>
      </x:c>
      <x:c r="Q494" s="46" t="n">
        <x:f>IF(C494="P0",0,IF(D494&lt;=3,0.05,IF(D494&lt;=14,0.1,IF(D494&lt;=45,0.15,0.2))))</x:f>
        <x:v>0.15</x:v>
      </x:c>
      <x:c r="R494" s="47" t="n">
        <x:f>J494*Q494</x:f>
        <x:v>3960</x:v>
      </x:c>
      <x:c r="S494" s="20" t="str">
        <x:f>IF(D494&lt;E494,"closed",IF(D494&lt;'Paths'!$N$12,"initial","expanded"))</x:f>
        <x:v>expanded</x:v>
      </x:c>
      <x:c r="T494" s="72"/>
    </x:row>
    <x:row r="495">
      <x:c r="C495" s="20" t="str">
        <x:v>P5</x:v>
      </x:c>
      <x:c r="D495" s="20" t="n">
        <x:v>33</x:v>
      </x:c>
      <x:c r="E495" s="45" t="n">
        <x:f>IF('Controls'!$D$7="Reference",'Paths'!$J$12,'Paths'!$K$12)</x:f>
        <x:v>3</x:v>
      </x:c>
      <x:c r="F495" s="47" t="n">
        <x:f>IF(D495&lt;'Paths'!$N$12,IF('Controls'!$D$7="Reference",'Paths'!$L$12,'Paths'!$M$12),IF('Controls'!$D$7="Reference",'Paths'!$O$12,'Paths'!$P$12))</x:f>
        <x:v>30000</x:v>
      </x:c>
      <x:c r="G495" s="46" t="n">
        <x:f>IF('Controls'!$D$7="Reference",1,IF(OR(D495=6,D495=7,D495=21,D495=46),'Paths'!$U$12,1))</x:f>
        <x:v>1</x:v>
      </x:c>
      <x:c r="H495" s="46" t="n">
        <x:f>IF('Controls'!$D$7="Reference",1,IF(OR(AND(D495&gt;=14,D495&lt;=16),AND(D495&gt;=34,D495&lt;=35),AND(D495&gt;=61,D495&lt;=63)),'Paths'!$V$12,1))</x:f>
        <x:v>1</x:v>
      </x:c>
      <x:c r="I495" s="46" t="n">
        <x:f>'Paths'!$W$12</x:f>
        <x:v>0.88</x:v>
      </x:c>
      <x:c r="J495" s="47" t="n">
        <x:f>IF(D495&lt;E495,0,MIN(F495*G495*H495*I495,IF('Paths'!$T$12&gt;0,MAX(0,'Paths'!$T$12-K494),1000000000)))</x:f>
        <x:v>26400</x:v>
      </x:c>
      <x:c r="K495" s="47" t="n">
        <x:f>K494+J495</x:f>
        <x:v>710688</x:v>
      </x:c>
      <x:c r="L495" s="46" t="n">
        <x:f>IF(C495="P0",1,IF(D495&lt;=3,0.8,IF(D495&lt;=14,0.65,IF(D495&lt;=45,0.5,0.3))))</x:f>
        <x:v>0.5</x:v>
      </x:c>
      <x:c r="M495" s="47" t="n">
        <x:f>J495*L495</x:f>
        <x:v>13200</x:v>
      </x:c>
      <x:c r="N495" s="47" t="n">
        <x:f>N494+M495</x:f>
        <x:v>394561.2</x:v>
      </x:c>
      <x:c r="O495" s="46" t="n">
        <x:f>IF(C495="P0",0,IF(D495&lt;=3,0.15,IF(D495&lt;=14,0.25,IF(D495&lt;=45,0.35,0.5))))</x:f>
        <x:v>0.35</x:v>
      </x:c>
      <x:c r="P495" s="47" t="n">
        <x:f>J495*O495</x:f>
        <x:v>9240</x:v>
      </x:c>
      <x:c r="Q495" s="46" t="n">
        <x:f>IF(C495="P0",0,IF(D495&lt;=3,0.05,IF(D495&lt;=14,0.1,IF(D495&lt;=45,0.15,0.2))))</x:f>
        <x:v>0.15</x:v>
      </x:c>
      <x:c r="R495" s="47" t="n">
        <x:f>J495*Q495</x:f>
        <x:v>3960</x:v>
      </x:c>
      <x:c r="S495" s="20" t="str">
        <x:f>IF(D495&lt;E495,"closed",IF(D495&lt;'Paths'!$N$12,"initial","expanded"))</x:f>
        <x:v>expanded</x:v>
      </x:c>
      <x:c r="T495" s="72"/>
    </x:row>
    <x:row r="496">
      <x:c r="C496" s="20" t="str">
        <x:v>P5</x:v>
      </x:c>
      <x:c r="D496" s="20" t="n">
        <x:v>34</x:v>
      </x:c>
      <x:c r="E496" s="45" t="n">
        <x:f>IF('Controls'!$D$7="Reference",'Paths'!$J$12,'Paths'!$K$12)</x:f>
        <x:v>3</x:v>
      </x:c>
      <x:c r="F496" s="47" t="n">
        <x:f>IF(D496&lt;'Paths'!$N$12,IF('Controls'!$D$7="Reference",'Paths'!$L$12,'Paths'!$M$12),IF('Controls'!$D$7="Reference",'Paths'!$O$12,'Paths'!$P$12))</x:f>
        <x:v>30000</x:v>
      </x:c>
      <x:c r="G496" s="46" t="n">
        <x:f>IF('Controls'!$D$7="Reference",1,IF(OR(D496=6,D496=7,D496=21,D496=46),'Paths'!$U$12,1))</x:f>
        <x:v>1</x:v>
      </x:c>
      <x:c r="H496" s="46" t="n">
        <x:f>IF('Controls'!$D$7="Reference",1,IF(OR(AND(D496&gt;=14,D496&lt;=16),AND(D496&gt;=34,D496&lt;=35),AND(D496&gt;=61,D496&lt;=63)),'Paths'!$V$12,1))</x:f>
        <x:v>0.55</x:v>
      </x:c>
      <x:c r="I496" s="46" t="n">
        <x:f>'Paths'!$W$12</x:f>
        <x:v>0.88</x:v>
      </x:c>
      <x:c r="J496" s="47" t="n">
        <x:f>IF(D496&lt;E496,0,MIN(F496*G496*H496*I496,IF('Paths'!$T$12&gt;0,MAX(0,'Paths'!$T$12-K495),1000000000)))</x:f>
        <x:v>14520</x:v>
      </x:c>
      <x:c r="K496" s="47" t="n">
        <x:f>K495+J496</x:f>
        <x:v>725208</x:v>
      </x:c>
      <x:c r="L496" s="46" t="n">
        <x:f>IF(C496="P0",1,IF(D496&lt;=3,0.8,IF(D496&lt;=14,0.65,IF(D496&lt;=45,0.5,0.3))))</x:f>
        <x:v>0.5</x:v>
      </x:c>
      <x:c r="M496" s="47" t="n">
        <x:f>J496*L496</x:f>
        <x:v>7260</x:v>
      </x:c>
      <x:c r="N496" s="47" t="n">
        <x:f>N495+M496</x:f>
        <x:v>401821.2</x:v>
      </x:c>
      <x:c r="O496" s="46" t="n">
        <x:f>IF(C496="P0",0,IF(D496&lt;=3,0.15,IF(D496&lt;=14,0.25,IF(D496&lt;=45,0.35,0.5))))</x:f>
        <x:v>0.35</x:v>
      </x:c>
      <x:c r="P496" s="47" t="n">
        <x:f>J496*O496</x:f>
        <x:v>5082</x:v>
      </x:c>
      <x:c r="Q496" s="46" t="n">
        <x:f>IF(C496="P0",0,IF(D496&lt;=3,0.05,IF(D496&lt;=14,0.1,IF(D496&lt;=45,0.15,0.2))))</x:f>
        <x:v>0.15</x:v>
      </x:c>
      <x:c r="R496" s="47" t="n">
        <x:f>J496*Q496</x:f>
        <x:v>2178</x:v>
      </x:c>
      <x:c r="S496" s="20" t="str">
        <x:f>IF(D496&lt;E496,"closed",IF(D496&lt;'Paths'!$N$12,"initial","expanded"))</x:f>
        <x:v>expanded</x:v>
      </x:c>
      <x:c r="T496" s="72"/>
    </x:row>
    <x:row r="497">
      <x:c r="C497" s="20" t="str">
        <x:v>P5</x:v>
      </x:c>
      <x:c r="D497" s="20" t="n">
        <x:v>35</x:v>
      </x:c>
      <x:c r="E497" s="45" t="n">
        <x:f>IF('Controls'!$D$7="Reference",'Paths'!$J$12,'Paths'!$K$12)</x:f>
        <x:v>3</x:v>
      </x:c>
      <x:c r="F497" s="47" t="n">
        <x:f>IF(D497&lt;'Paths'!$N$12,IF('Controls'!$D$7="Reference",'Paths'!$L$12,'Paths'!$M$12),IF('Controls'!$D$7="Reference",'Paths'!$O$12,'Paths'!$P$12))</x:f>
        <x:v>30000</x:v>
      </x:c>
      <x:c r="G497" s="46" t="n">
        <x:f>IF('Controls'!$D$7="Reference",1,IF(OR(D497=6,D497=7,D497=21,D497=46),'Paths'!$U$12,1))</x:f>
        <x:v>1</x:v>
      </x:c>
      <x:c r="H497" s="46" t="n">
        <x:f>IF('Controls'!$D$7="Reference",1,IF(OR(AND(D497&gt;=14,D497&lt;=16),AND(D497&gt;=34,D497&lt;=35),AND(D497&gt;=61,D497&lt;=63)),'Paths'!$V$12,1))</x:f>
        <x:v>0.55</x:v>
      </x:c>
      <x:c r="I497" s="46" t="n">
        <x:f>'Paths'!$W$12</x:f>
        <x:v>0.88</x:v>
      </x:c>
      <x:c r="J497" s="47" t="n">
        <x:f>IF(D497&lt;E497,0,MIN(F497*G497*H497*I497,IF('Paths'!$T$12&gt;0,MAX(0,'Paths'!$T$12-K496),1000000000)))</x:f>
        <x:v>14520</x:v>
      </x:c>
      <x:c r="K497" s="47" t="n">
        <x:f>K496+J497</x:f>
        <x:v>739728</x:v>
      </x:c>
      <x:c r="L497" s="46" t="n">
        <x:f>IF(C497="P0",1,IF(D497&lt;=3,0.8,IF(D497&lt;=14,0.65,IF(D497&lt;=45,0.5,0.3))))</x:f>
        <x:v>0.5</x:v>
      </x:c>
      <x:c r="M497" s="47" t="n">
        <x:f>J497*L497</x:f>
        <x:v>7260</x:v>
      </x:c>
      <x:c r="N497" s="47" t="n">
        <x:f>N496+M497</x:f>
        <x:v>409081.2</x:v>
      </x:c>
      <x:c r="O497" s="46" t="n">
        <x:f>IF(C497="P0",0,IF(D497&lt;=3,0.15,IF(D497&lt;=14,0.25,IF(D497&lt;=45,0.35,0.5))))</x:f>
        <x:v>0.35</x:v>
      </x:c>
      <x:c r="P497" s="47" t="n">
        <x:f>J497*O497</x:f>
        <x:v>5082</x:v>
      </x:c>
      <x:c r="Q497" s="46" t="n">
        <x:f>IF(C497="P0",0,IF(D497&lt;=3,0.05,IF(D497&lt;=14,0.1,IF(D497&lt;=45,0.15,0.2))))</x:f>
        <x:v>0.15</x:v>
      </x:c>
      <x:c r="R497" s="47" t="n">
        <x:f>J497*Q497</x:f>
        <x:v>2178</x:v>
      </x:c>
      <x:c r="S497" s="20" t="str">
        <x:f>IF(D497&lt;E497,"closed",IF(D497&lt;'Paths'!$N$12,"initial","expanded"))</x:f>
        <x:v>expanded</x:v>
      </x:c>
      <x:c r="T497" s="72"/>
    </x:row>
    <x:row r="498">
      <x:c r="C498" s="20" t="str">
        <x:v>P5</x:v>
      </x:c>
      <x:c r="D498" s="20" t="n">
        <x:v>36</x:v>
      </x:c>
      <x:c r="E498" s="45" t="n">
        <x:f>IF('Controls'!$D$7="Reference",'Paths'!$J$12,'Paths'!$K$12)</x:f>
        <x:v>3</x:v>
      </x:c>
      <x:c r="F498" s="47" t="n">
        <x:f>IF(D498&lt;'Paths'!$N$12,IF('Controls'!$D$7="Reference",'Paths'!$L$12,'Paths'!$M$12),IF('Controls'!$D$7="Reference",'Paths'!$O$12,'Paths'!$P$12))</x:f>
        <x:v>30000</x:v>
      </x:c>
      <x:c r="G498" s="46" t="n">
        <x:f>IF('Controls'!$D$7="Reference",1,IF(OR(D498=6,D498=7,D498=21,D498=46),'Paths'!$U$12,1))</x:f>
        <x:v>1</x:v>
      </x:c>
      <x:c r="H498" s="46" t="n">
        <x:f>IF('Controls'!$D$7="Reference",1,IF(OR(AND(D498&gt;=14,D498&lt;=16),AND(D498&gt;=34,D498&lt;=35),AND(D498&gt;=61,D498&lt;=63)),'Paths'!$V$12,1))</x:f>
        <x:v>1</x:v>
      </x:c>
      <x:c r="I498" s="46" t="n">
        <x:f>'Paths'!$W$12</x:f>
        <x:v>0.88</x:v>
      </x:c>
      <x:c r="J498" s="47" t="n">
        <x:f>IF(D498&lt;E498,0,MIN(F498*G498*H498*I498,IF('Paths'!$T$12&gt;0,MAX(0,'Paths'!$T$12-K497),1000000000)))</x:f>
        <x:v>26400</x:v>
      </x:c>
      <x:c r="K498" s="47" t="n">
        <x:f>K497+J498</x:f>
        <x:v>766128</x:v>
      </x:c>
      <x:c r="L498" s="46" t="n">
        <x:f>IF(C498="P0",1,IF(D498&lt;=3,0.8,IF(D498&lt;=14,0.65,IF(D498&lt;=45,0.5,0.3))))</x:f>
        <x:v>0.5</x:v>
      </x:c>
      <x:c r="M498" s="47" t="n">
        <x:f>J498*L498</x:f>
        <x:v>13200</x:v>
      </x:c>
      <x:c r="N498" s="47" t="n">
        <x:f>N497+M498</x:f>
        <x:v>422281.2</x:v>
      </x:c>
      <x:c r="O498" s="46" t="n">
        <x:f>IF(C498="P0",0,IF(D498&lt;=3,0.15,IF(D498&lt;=14,0.25,IF(D498&lt;=45,0.35,0.5))))</x:f>
        <x:v>0.35</x:v>
      </x:c>
      <x:c r="P498" s="47" t="n">
        <x:f>J498*O498</x:f>
        <x:v>9240</x:v>
      </x:c>
      <x:c r="Q498" s="46" t="n">
        <x:f>IF(C498="P0",0,IF(D498&lt;=3,0.05,IF(D498&lt;=14,0.1,IF(D498&lt;=45,0.15,0.2))))</x:f>
        <x:v>0.15</x:v>
      </x:c>
      <x:c r="R498" s="47" t="n">
        <x:f>J498*Q498</x:f>
        <x:v>3960</x:v>
      </x:c>
      <x:c r="S498" s="20" t="str">
        <x:f>IF(D498&lt;E498,"closed",IF(D498&lt;'Paths'!$N$12,"initial","expanded"))</x:f>
        <x:v>expanded</x:v>
      </x:c>
      <x:c r="T498" s="72"/>
    </x:row>
    <x:row r="499">
      <x:c r="C499" s="20" t="str">
        <x:v>P5</x:v>
      </x:c>
      <x:c r="D499" s="20" t="n">
        <x:v>37</x:v>
      </x:c>
      <x:c r="E499" s="45" t="n">
        <x:f>IF('Controls'!$D$7="Reference",'Paths'!$J$12,'Paths'!$K$12)</x:f>
        <x:v>3</x:v>
      </x:c>
      <x:c r="F499" s="47" t="n">
        <x:f>IF(D499&lt;'Paths'!$N$12,IF('Controls'!$D$7="Reference",'Paths'!$L$12,'Paths'!$M$12),IF('Controls'!$D$7="Reference",'Paths'!$O$12,'Paths'!$P$12))</x:f>
        <x:v>30000</x:v>
      </x:c>
      <x:c r="G499" s="46" t="n">
        <x:f>IF('Controls'!$D$7="Reference",1,IF(OR(D499=6,D499=7,D499=21,D499=46),'Paths'!$U$12,1))</x:f>
        <x:v>1</x:v>
      </x:c>
      <x:c r="H499" s="46" t="n">
        <x:f>IF('Controls'!$D$7="Reference",1,IF(OR(AND(D499&gt;=14,D499&lt;=16),AND(D499&gt;=34,D499&lt;=35),AND(D499&gt;=61,D499&lt;=63)),'Paths'!$V$12,1))</x:f>
        <x:v>1</x:v>
      </x:c>
      <x:c r="I499" s="46" t="n">
        <x:f>'Paths'!$W$12</x:f>
        <x:v>0.88</x:v>
      </x:c>
      <x:c r="J499" s="47" t="n">
        <x:f>IF(D499&lt;E499,0,MIN(F499*G499*H499*I499,IF('Paths'!$T$12&gt;0,MAX(0,'Paths'!$T$12-K498),1000000000)))</x:f>
        <x:v>26400</x:v>
      </x:c>
      <x:c r="K499" s="47" t="n">
        <x:f>K498+J499</x:f>
        <x:v>792528</x:v>
      </x:c>
      <x:c r="L499" s="46" t="n">
        <x:f>IF(C499="P0",1,IF(D499&lt;=3,0.8,IF(D499&lt;=14,0.65,IF(D499&lt;=45,0.5,0.3))))</x:f>
        <x:v>0.5</x:v>
      </x:c>
      <x:c r="M499" s="47" t="n">
        <x:f>J499*L499</x:f>
        <x:v>13200</x:v>
      </x:c>
      <x:c r="N499" s="47" t="n">
        <x:f>N498+M499</x:f>
        <x:v>435481.2</x:v>
      </x:c>
      <x:c r="O499" s="46" t="n">
        <x:f>IF(C499="P0",0,IF(D499&lt;=3,0.15,IF(D499&lt;=14,0.25,IF(D499&lt;=45,0.35,0.5))))</x:f>
        <x:v>0.35</x:v>
      </x:c>
      <x:c r="P499" s="47" t="n">
        <x:f>J499*O499</x:f>
        <x:v>9240</x:v>
      </x:c>
      <x:c r="Q499" s="46" t="n">
        <x:f>IF(C499="P0",0,IF(D499&lt;=3,0.05,IF(D499&lt;=14,0.1,IF(D499&lt;=45,0.15,0.2))))</x:f>
        <x:v>0.15</x:v>
      </x:c>
      <x:c r="R499" s="47" t="n">
        <x:f>J499*Q499</x:f>
        <x:v>3960</x:v>
      </x:c>
      <x:c r="S499" s="20" t="str">
        <x:f>IF(D499&lt;E499,"closed",IF(D499&lt;'Paths'!$N$12,"initial","expanded"))</x:f>
        <x:v>expanded</x:v>
      </x:c>
      <x:c r="T499" s="72"/>
    </x:row>
    <x:row r="500">
      <x:c r="C500" s="20" t="str">
        <x:v>P5</x:v>
      </x:c>
      <x:c r="D500" s="20" t="n">
        <x:v>38</x:v>
      </x:c>
      <x:c r="E500" s="45" t="n">
        <x:f>IF('Controls'!$D$7="Reference",'Paths'!$J$12,'Paths'!$K$12)</x:f>
        <x:v>3</x:v>
      </x:c>
      <x:c r="F500" s="47" t="n">
        <x:f>IF(D500&lt;'Paths'!$N$12,IF('Controls'!$D$7="Reference",'Paths'!$L$12,'Paths'!$M$12),IF('Controls'!$D$7="Reference",'Paths'!$O$12,'Paths'!$P$12))</x:f>
        <x:v>30000</x:v>
      </x:c>
      <x:c r="G500" s="46" t="n">
        <x:f>IF('Controls'!$D$7="Reference",1,IF(OR(D500=6,D500=7,D500=21,D500=46),'Paths'!$U$12,1))</x:f>
        <x:v>1</x:v>
      </x:c>
      <x:c r="H500" s="46" t="n">
        <x:f>IF('Controls'!$D$7="Reference",1,IF(OR(AND(D500&gt;=14,D500&lt;=16),AND(D500&gt;=34,D500&lt;=35),AND(D500&gt;=61,D500&lt;=63)),'Paths'!$V$12,1))</x:f>
        <x:v>1</x:v>
      </x:c>
      <x:c r="I500" s="46" t="n">
        <x:f>'Paths'!$W$12</x:f>
        <x:v>0.88</x:v>
      </x:c>
      <x:c r="J500" s="47" t="n">
        <x:f>IF(D500&lt;E500,0,MIN(F500*G500*H500*I500,IF('Paths'!$T$12&gt;0,MAX(0,'Paths'!$T$12-K499),1000000000)))</x:f>
        <x:v>26400</x:v>
      </x:c>
      <x:c r="K500" s="47" t="n">
        <x:f>K499+J500</x:f>
        <x:v>818928</x:v>
      </x:c>
      <x:c r="L500" s="46" t="n">
        <x:f>IF(C500="P0",1,IF(D500&lt;=3,0.8,IF(D500&lt;=14,0.65,IF(D500&lt;=45,0.5,0.3))))</x:f>
        <x:v>0.5</x:v>
      </x:c>
      <x:c r="M500" s="47" t="n">
        <x:f>J500*L500</x:f>
        <x:v>13200</x:v>
      </x:c>
      <x:c r="N500" s="47" t="n">
        <x:f>N499+M500</x:f>
        <x:v>448681.2</x:v>
      </x:c>
      <x:c r="O500" s="46" t="n">
        <x:f>IF(C500="P0",0,IF(D500&lt;=3,0.15,IF(D500&lt;=14,0.25,IF(D500&lt;=45,0.35,0.5))))</x:f>
        <x:v>0.35</x:v>
      </x:c>
      <x:c r="P500" s="47" t="n">
        <x:f>J500*O500</x:f>
        <x:v>9240</x:v>
      </x:c>
      <x:c r="Q500" s="46" t="n">
        <x:f>IF(C500="P0",0,IF(D500&lt;=3,0.05,IF(D500&lt;=14,0.1,IF(D500&lt;=45,0.15,0.2))))</x:f>
        <x:v>0.15</x:v>
      </x:c>
      <x:c r="R500" s="47" t="n">
        <x:f>J500*Q500</x:f>
        <x:v>3960</x:v>
      </x:c>
      <x:c r="S500" s="20" t="str">
        <x:f>IF(D500&lt;E500,"closed",IF(D500&lt;'Paths'!$N$12,"initial","expanded"))</x:f>
        <x:v>expanded</x:v>
      </x:c>
      <x:c r="T500" s="72"/>
    </x:row>
    <x:row r="501">
      <x:c r="C501" s="20" t="str">
        <x:v>P5</x:v>
      </x:c>
      <x:c r="D501" s="20" t="n">
        <x:v>39</x:v>
      </x:c>
      <x:c r="E501" s="45" t="n">
        <x:f>IF('Controls'!$D$7="Reference",'Paths'!$J$12,'Paths'!$K$12)</x:f>
        <x:v>3</x:v>
      </x:c>
      <x:c r="F501" s="47" t="n">
        <x:f>IF(D501&lt;'Paths'!$N$12,IF('Controls'!$D$7="Reference",'Paths'!$L$12,'Paths'!$M$12),IF('Controls'!$D$7="Reference",'Paths'!$O$12,'Paths'!$P$12))</x:f>
        <x:v>30000</x:v>
      </x:c>
      <x:c r="G501" s="46" t="n">
        <x:f>IF('Controls'!$D$7="Reference",1,IF(OR(D501=6,D501=7,D501=21,D501=46),'Paths'!$U$12,1))</x:f>
        <x:v>1</x:v>
      </x:c>
      <x:c r="H501" s="46" t="n">
        <x:f>IF('Controls'!$D$7="Reference",1,IF(OR(AND(D501&gt;=14,D501&lt;=16),AND(D501&gt;=34,D501&lt;=35),AND(D501&gt;=61,D501&lt;=63)),'Paths'!$V$12,1))</x:f>
        <x:v>1</x:v>
      </x:c>
      <x:c r="I501" s="46" t="n">
        <x:f>'Paths'!$W$12</x:f>
        <x:v>0.88</x:v>
      </x:c>
      <x:c r="J501" s="47" t="n">
        <x:f>IF(D501&lt;E501,0,MIN(F501*G501*H501*I501,IF('Paths'!$T$12&gt;0,MAX(0,'Paths'!$T$12-K500),1000000000)))</x:f>
        <x:v>26400</x:v>
      </x:c>
      <x:c r="K501" s="47" t="n">
        <x:f>K500+J501</x:f>
        <x:v>845328</x:v>
      </x:c>
      <x:c r="L501" s="46" t="n">
        <x:f>IF(C501="P0",1,IF(D501&lt;=3,0.8,IF(D501&lt;=14,0.65,IF(D501&lt;=45,0.5,0.3))))</x:f>
        <x:v>0.5</x:v>
      </x:c>
      <x:c r="M501" s="47" t="n">
        <x:f>J501*L501</x:f>
        <x:v>13200</x:v>
      </x:c>
      <x:c r="N501" s="47" t="n">
        <x:f>N500+M501</x:f>
        <x:v>461881.2</x:v>
      </x:c>
      <x:c r="O501" s="46" t="n">
        <x:f>IF(C501="P0",0,IF(D501&lt;=3,0.15,IF(D501&lt;=14,0.25,IF(D501&lt;=45,0.35,0.5))))</x:f>
        <x:v>0.35</x:v>
      </x:c>
      <x:c r="P501" s="47" t="n">
        <x:f>J501*O501</x:f>
        <x:v>9240</x:v>
      </x:c>
      <x:c r="Q501" s="46" t="n">
        <x:f>IF(C501="P0",0,IF(D501&lt;=3,0.05,IF(D501&lt;=14,0.1,IF(D501&lt;=45,0.15,0.2))))</x:f>
        <x:v>0.15</x:v>
      </x:c>
      <x:c r="R501" s="47" t="n">
        <x:f>J501*Q501</x:f>
        <x:v>3960</x:v>
      </x:c>
      <x:c r="S501" s="20" t="str">
        <x:f>IF(D501&lt;E501,"closed",IF(D501&lt;'Paths'!$N$12,"initial","expanded"))</x:f>
        <x:v>expanded</x:v>
      </x:c>
      <x:c r="T501" s="72"/>
    </x:row>
    <x:row r="502">
      <x:c r="C502" s="20" t="str">
        <x:v>P5</x:v>
      </x:c>
      <x:c r="D502" s="20" t="n">
        <x:v>40</x:v>
      </x:c>
      <x:c r="E502" s="45" t="n">
        <x:f>IF('Controls'!$D$7="Reference",'Paths'!$J$12,'Paths'!$K$12)</x:f>
        <x:v>3</x:v>
      </x:c>
      <x:c r="F502" s="47" t="n">
        <x:f>IF(D502&lt;'Paths'!$N$12,IF('Controls'!$D$7="Reference",'Paths'!$L$12,'Paths'!$M$12),IF('Controls'!$D$7="Reference",'Paths'!$O$12,'Paths'!$P$12))</x:f>
        <x:v>30000</x:v>
      </x:c>
      <x:c r="G502" s="46" t="n">
        <x:f>IF('Controls'!$D$7="Reference",1,IF(OR(D502=6,D502=7,D502=21,D502=46),'Paths'!$U$12,1))</x:f>
        <x:v>1</x:v>
      </x:c>
      <x:c r="H502" s="46" t="n">
        <x:f>IF('Controls'!$D$7="Reference",1,IF(OR(AND(D502&gt;=14,D502&lt;=16),AND(D502&gt;=34,D502&lt;=35),AND(D502&gt;=61,D502&lt;=63)),'Paths'!$V$12,1))</x:f>
        <x:v>1</x:v>
      </x:c>
      <x:c r="I502" s="46" t="n">
        <x:f>'Paths'!$W$12</x:f>
        <x:v>0.88</x:v>
      </x:c>
      <x:c r="J502" s="47" t="n">
        <x:f>IF(D502&lt;E502,0,MIN(F502*G502*H502*I502,IF('Paths'!$T$12&gt;0,MAX(0,'Paths'!$T$12-K501),1000000000)))</x:f>
        <x:v>26400</x:v>
      </x:c>
      <x:c r="K502" s="47" t="n">
        <x:f>K501+J502</x:f>
        <x:v>871728</x:v>
      </x:c>
      <x:c r="L502" s="46" t="n">
        <x:f>IF(C502="P0",1,IF(D502&lt;=3,0.8,IF(D502&lt;=14,0.65,IF(D502&lt;=45,0.5,0.3))))</x:f>
        <x:v>0.5</x:v>
      </x:c>
      <x:c r="M502" s="47" t="n">
        <x:f>J502*L502</x:f>
        <x:v>13200</x:v>
      </x:c>
      <x:c r="N502" s="47" t="n">
        <x:f>N501+M502</x:f>
        <x:v>475081.2</x:v>
      </x:c>
      <x:c r="O502" s="46" t="n">
        <x:f>IF(C502="P0",0,IF(D502&lt;=3,0.15,IF(D502&lt;=14,0.25,IF(D502&lt;=45,0.35,0.5))))</x:f>
        <x:v>0.35</x:v>
      </x:c>
      <x:c r="P502" s="47" t="n">
        <x:f>J502*O502</x:f>
        <x:v>9240</x:v>
      </x:c>
      <x:c r="Q502" s="46" t="n">
        <x:f>IF(C502="P0",0,IF(D502&lt;=3,0.05,IF(D502&lt;=14,0.1,IF(D502&lt;=45,0.15,0.2))))</x:f>
        <x:v>0.15</x:v>
      </x:c>
      <x:c r="R502" s="47" t="n">
        <x:f>J502*Q502</x:f>
        <x:v>3960</x:v>
      </x:c>
      <x:c r="S502" s="20" t="str">
        <x:f>IF(D502&lt;E502,"closed",IF(D502&lt;'Paths'!$N$12,"initial","expanded"))</x:f>
        <x:v>expanded</x:v>
      </x:c>
      <x:c r="T502" s="72"/>
    </x:row>
    <x:row r="503">
      <x:c r="C503" s="20" t="str">
        <x:v>P5</x:v>
      </x:c>
      <x:c r="D503" s="20" t="n">
        <x:v>41</x:v>
      </x:c>
      <x:c r="E503" s="45" t="n">
        <x:f>IF('Controls'!$D$7="Reference",'Paths'!$J$12,'Paths'!$K$12)</x:f>
        <x:v>3</x:v>
      </x:c>
      <x:c r="F503" s="47" t="n">
        <x:f>IF(D503&lt;'Paths'!$N$12,IF('Controls'!$D$7="Reference",'Paths'!$L$12,'Paths'!$M$12),IF('Controls'!$D$7="Reference",'Paths'!$O$12,'Paths'!$P$12))</x:f>
        <x:v>30000</x:v>
      </x:c>
      <x:c r="G503" s="46" t="n">
        <x:f>IF('Controls'!$D$7="Reference",1,IF(OR(D503=6,D503=7,D503=21,D503=46),'Paths'!$U$12,1))</x:f>
        <x:v>1</x:v>
      </x:c>
      <x:c r="H503" s="46" t="n">
        <x:f>IF('Controls'!$D$7="Reference",1,IF(OR(AND(D503&gt;=14,D503&lt;=16),AND(D503&gt;=34,D503&lt;=35),AND(D503&gt;=61,D503&lt;=63)),'Paths'!$V$12,1))</x:f>
        <x:v>1</x:v>
      </x:c>
      <x:c r="I503" s="46" t="n">
        <x:f>'Paths'!$W$12</x:f>
        <x:v>0.88</x:v>
      </x:c>
      <x:c r="J503" s="47" t="n">
        <x:f>IF(D503&lt;E503,0,MIN(F503*G503*H503*I503,IF('Paths'!$T$12&gt;0,MAX(0,'Paths'!$T$12-K502),1000000000)))</x:f>
        <x:v>26400</x:v>
      </x:c>
      <x:c r="K503" s="47" t="n">
        <x:f>K502+J503</x:f>
        <x:v>898128</x:v>
      </x:c>
      <x:c r="L503" s="46" t="n">
        <x:f>IF(C503="P0",1,IF(D503&lt;=3,0.8,IF(D503&lt;=14,0.65,IF(D503&lt;=45,0.5,0.3))))</x:f>
        <x:v>0.5</x:v>
      </x:c>
      <x:c r="M503" s="47" t="n">
        <x:f>J503*L503</x:f>
        <x:v>13200</x:v>
      </x:c>
      <x:c r="N503" s="47" t="n">
        <x:f>N502+M503</x:f>
        <x:v>488281.2</x:v>
      </x:c>
      <x:c r="O503" s="46" t="n">
        <x:f>IF(C503="P0",0,IF(D503&lt;=3,0.15,IF(D503&lt;=14,0.25,IF(D503&lt;=45,0.35,0.5))))</x:f>
        <x:v>0.35</x:v>
      </x:c>
      <x:c r="P503" s="47" t="n">
        <x:f>J503*O503</x:f>
        <x:v>9240</x:v>
      </x:c>
      <x:c r="Q503" s="46" t="n">
        <x:f>IF(C503="P0",0,IF(D503&lt;=3,0.05,IF(D503&lt;=14,0.1,IF(D503&lt;=45,0.15,0.2))))</x:f>
        <x:v>0.15</x:v>
      </x:c>
      <x:c r="R503" s="47" t="n">
        <x:f>J503*Q503</x:f>
        <x:v>3960</x:v>
      </x:c>
      <x:c r="S503" s="20" t="str">
        <x:f>IF(D503&lt;E503,"closed",IF(D503&lt;'Paths'!$N$12,"initial","expanded"))</x:f>
        <x:v>expanded</x:v>
      </x:c>
      <x:c r="T503" s="72"/>
    </x:row>
    <x:row r="504">
      <x:c r="C504" s="20" t="str">
        <x:v>P5</x:v>
      </x:c>
      <x:c r="D504" s="20" t="n">
        <x:v>42</x:v>
      </x:c>
      <x:c r="E504" s="45" t="n">
        <x:f>IF('Controls'!$D$7="Reference",'Paths'!$J$12,'Paths'!$K$12)</x:f>
        <x:v>3</x:v>
      </x:c>
      <x:c r="F504" s="47" t="n">
        <x:f>IF(D504&lt;'Paths'!$N$12,IF('Controls'!$D$7="Reference",'Paths'!$L$12,'Paths'!$M$12),IF('Controls'!$D$7="Reference",'Paths'!$O$12,'Paths'!$P$12))</x:f>
        <x:v>30000</x:v>
      </x:c>
      <x:c r="G504" s="46" t="n">
        <x:f>IF('Controls'!$D$7="Reference",1,IF(OR(D504=6,D504=7,D504=21,D504=46),'Paths'!$U$12,1))</x:f>
        <x:v>1</x:v>
      </x:c>
      <x:c r="H504" s="46" t="n">
        <x:f>IF('Controls'!$D$7="Reference",1,IF(OR(AND(D504&gt;=14,D504&lt;=16),AND(D504&gt;=34,D504&lt;=35),AND(D504&gt;=61,D504&lt;=63)),'Paths'!$V$12,1))</x:f>
        <x:v>1</x:v>
      </x:c>
      <x:c r="I504" s="46" t="n">
        <x:f>'Paths'!$W$12</x:f>
        <x:v>0.88</x:v>
      </x:c>
      <x:c r="J504" s="47" t="n">
        <x:f>IF(D504&lt;E504,0,MIN(F504*G504*H504*I504,IF('Paths'!$T$12&gt;0,MAX(0,'Paths'!$T$12-K503),1000000000)))</x:f>
        <x:v>26400</x:v>
      </x:c>
      <x:c r="K504" s="47" t="n">
        <x:f>K503+J504</x:f>
        <x:v>924528</x:v>
      </x:c>
      <x:c r="L504" s="46" t="n">
        <x:f>IF(C504="P0",1,IF(D504&lt;=3,0.8,IF(D504&lt;=14,0.65,IF(D504&lt;=45,0.5,0.3))))</x:f>
        <x:v>0.5</x:v>
      </x:c>
      <x:c r="M504" s="47" t="n">
        <x:f>J504*L504</x:f>
        <x:v>13200</x:v>
      </x:c>
      <x:c r="N504" s="47" t="n">
        <x:f>N503+M504</x:f>
        <x:v>501481.2</x:v>
      </x:c>
      <x:c r="O504" s="46" t="n">
        <x:f>IF(C504="P0",0,IF(D504&lt;=3,0.15,IF(D504&lt;=14,0.25,IF(D504&lt;=45,0.35,0.5))))</x:f>
        <x:v>0.35</x:v>
      </x:c>
      <x:c r="P504" s="47" t="n">
        <x:f>J504*O504</x:f>
        <x:v>9240</x:v>
      </x:c>
      <x:c r="Q504" s="46" t="n">
        <x:f>IF(C504="P0",0,IF(D504&lt;=3,0.05,IF(D504&lt;=14,0.1,IF(D504&lt;=45,0.15,0.2))))</x:f>
        <x:v>0.15</x:v>
      </x:c>
      <x:c r="R504" s="47" t="n">
        <x:f>J504*Q504</x:f>
        <x:v>3960</x:v>
      </x:c>
      <x:c r="S504" s="20" t="str">
        <x:f>IF(D504&lt;E504,"closed",IF(D504&lt;'Paths'!$N$12,"initial","expanded"))</x:f>
        <x:v>expanded</x:v>
      </x:c>
      <x:c r="T504" s="72"/>
    </x:row>
    <x:row r="505">
      <x:c r="C505" s="20" t="str">
        <x:v>P5</x:v>
      </x:c>
      <x:c r="D505" s="20" t="n">
        <x:v>43</x:v>
      </x:c>
      <x:c r="E505" s="45" t="n">
        <x:f>IF('Controls'!$D$7="Reference",'Paths'!$J$12,'Paths'!$K$12)</x:f>
        <x:v>3</x:v>
      </x:c>
      <x:c r="F505" s="47" t="n">
        <x:f>IF(D505&lt;'Paths'!$N$12,IF('Controls'!$D$7="Reference",'Paths'!$L$12,'Paths'!$M$12),IF('Controls'!$D$7="Reference",'Paths'!$O$12,'Paths'!$P$12))</x:f>
        <x:v>30000</x:v>
      </x:c>
      <x:c r="G505" s="46" t="n">
        <x:f>IF('Controls'!$D$7="Reference",1,IF(OR(D505=6,D505=7,D505=21,D505=46),'Paths'!$U$12,1))</x:f>
        <x:v>1</x:v>
      </x:c>
      <x:c r="H505" s="46" t="n">
        <x:f>IF('Controls'!$D$7="Reference",1,IF(OR(AND(D505&gt;=14,D505&lt;=16),AND(D505&gt;=34,D505&lt;=35),AND(D505&gt;=61,D505&lt;=63)),'Paths'!$V$12,1))</x:f>
        <x:v>1</x:v>
      </x:c>
      <x:c r="I505" s="46" t="n">
        <x:f>'Paths'!$W$12</x:f>
        <x:v>0.88</x:v>
      </x:c>
      <x:c r="J505" s="47" t="n">
        <x:f>IF(D505&lt;E505,0,MIN(F505*G505*H505*I505,IF('Paths'!$T$12&gt;0,MAX(0,'Paths'!$T$12-K504),1000000000)))</x:f>
        <x:v>26400</x:v>
      </x:c>
      <x:c r="K505" s="47" t="n">
        <x:f>K504+J505</x:f>
        <x:v>950928</x:v>
      </x:c>
      <x:c r="L505" s="46" t="n">
        <x:f>IF(C505="P0",1,IF(D505&lt;=3,0.8,IF(D505&lt;=14,0.65,IF(D505&lt;=45,0.5,0.3))))</x:f>
        <x:v>0.5</x:v>
      </x:c>
      <x:c r="M505" s="47" t="n">
        <x:f>J505*L505</x:f>
        <x:v>13200</x:v>
      </x:c>
      <x:c r="N505" s="47" t="n">
        <x:f>N504+M505</x:f>
        <x:v>514681.2</x:v>
      </x:c>
      <x:c r="O505" s="46" t="n">
        <x:f>IF(C505="P0",0,IF(D505&lt;=3,0.15,IF(D505&lt;=14,0.25,IF(D505&lt;=45,0.35,0.5))))</x:f>
        <x:v>0.35</x:v>
      </x:c>
      <x:c r="P505" s="47" t="n">
        <x:f>J505*O505</x:f>
        <x:v>9240</x:v>
      </x:c>
      <x:c r="Q505" s="46" t="n">
        <x:f>IF(C505="P0",0,IF(D505&lt;=3,0.05,IF(D505&lt;=14,0.1,IF(D505&lt;=45,0.15,0.2))))</x:f>
        <x:v>0.15</x:v>
      </x:c>
      <x:c r="R505" s="47" t="n">
        <x:f>J505*Q505</x:f>
        <x:v>3960</x:v>
      </x:c>
      <x:c r="S505" s="20" t="str">
        <x:f>IF(D505&lt;E505,"closed",IF(D505&lt;'Paths'!$N$12,"initial","expanded"))</x:f>
        <x:v>expanded</x:v>
      </x:c>
      <x:c r="T505" s="72"/>
    </x:row>
    <x:row r="506">
      <x:c r="C506" s="20" t="str">
        <x:v>P5</x:v>
      </x:c>
      <x:c r="D506" s="20" t="n">
        <x:v>44</x:v>
      </x:c>
      <x:c r="E506" s="45" t="n">
        <x:f>IF('Controls'!$D$7="Reference",'Paths'!$J$12,'Paths'!$K$12)</x:f>
        <x:v>3</x:v>
      </x:c>
      <x:c r="F506" s="47" t="n">
        <x:f>IF(D506&lt;'Paths'!$N$12,IF('Controls'!$D$7="Reference",'Paths'!$L$12,'Paths'!$M$12),IF('Controls'!$D$7="Reference",'Paths'!$O$12,'Paths'!$P$12))</x:f>
        <x:v>30000</x:v>
      </x:c>
      <x:c r="G506" s="46" t="n">
        <x:f>IF('Controls'!$D$7="Reference",1,IF(OR(D506=6,D506=7,D506=21,D506=46),'Paths'!$U$12,1))</x:f>
        <x:v>1</x:v>
      </x:c>
      <x:c r="H506" s="46" t="n">
        <x:f>IF('Controls'!$D$7="Reference",1,IF(OR(AND(D506&gt;=14,D506&lt;=16),AND(D506&gt;=34,D506&lt;=35),AND(D506&gt;=61,D506&lt;=63)),'Paths'!$V$12,1))</x:f>
        <x:v>1</x:v>
      </x:c>
      <x:c r="I506" s="46" t="n">
        <x:f>'Paths'!$W$12</x:f>
        <x:v>0.88</x:v>
      </x:c>
      <x:c r="J506" s="47" t="n">
        <x:f>IF(D506&lt;E506,0,MIN(F506*G506*H506*I506,IF('Paths'!$T$12&gt;0,MAX(0,'Paths'!$T$12-K505),1000000000)))</x:f>
        <x:v>26400</x:v>
      </x:c>
      <x:c r="K506" s="47" t="n">
        <x:f>K505+J506</x:f>
        <x:v>977328</x:v>
      </x:c>
      <x:c r="L506" s="46" t="n">
        <x:f>IF(C506="P0",1,IF(D506&lt;=3,0.8,IF(D506&lt;=14,0.65,IF(D506&lt;=45,0.5,0.3))))</x:f>
        <x:v>0.5</x:v>
      </x:c>
      <x:c r="M506" s="47" t="n">
        <x:f>J506*L506</x:f>
        <x:v>13200</x:v>
      </x:c>
      <x:c r="N506" s="47" t="n">
        <x:f>N505+M506</x:f>
        <x:v>527881.2</x:v>
      </x:c>
      <x:c r="O506" s="46" t="n">
        <x:f>IF(C506="P0",0,IF(D506&lt;=3,0.15,IF(D506&lt;=14,0.25,IF(D506&lt;=45,0.35,0.5))))</x:f>
        <x:v>0.35</x:v>
      </x:c>
      <x:c r="P506" s="47" t="n">
        <x:f>J506*O506</x:f>
        <x:v>9240</x:v>
      </x:c>
      <x:c r="Q506" s="46" t="n">
        <x:f>IF(C506="P0",0,IF(D506&lt;=3,0.05,IF(D506&lt;=14,0.1,IF(D506&lt;=45,0.15,0.2))))</x:f>
        <x:v>0.15</x:v>
      </x:c>
      <x:c r="R506" s="47" t="n">
        <x:f>J506*Q506</x:f>
        <x:v>3960</x:v>
      </x:c>
      <x:c r="S506" s="20" t="str">
        <x:f>IF(D506&lt;E506,"closed",IF(D506&lt;'Paths'!$N$12,"initial","expanded"))</x:f>
        <x:v>expanded</x:v>
      </x:c>
      <x:c r="T506" s="72"/>
    </x:row>
    <x:row r="507">
      <x:c r="C507" s="20" t="str">
        <x:v>P5</x:v>
      </x:c>
      <x:c r="D507" s="20" t="n">
        <x:v>45</x:v>
      </x:c>
      <x:c r="E507" s="45" t="n">
        <x:f>IF('Controls'!$D$7="Reference",'Paths'!$J$12,'Paths'!$K$12)</x:f>
        <x:v>3</x:v>
      </x:c>
      <x:c r="F507" s="47" t="n">
        <x:f>IF(D507&lt;'Paths'!$N$12,IF('Controls'!$D$7="Reference",'Paths'!$L$12,'Paths'!$M$12),IF('Controls'!$D$7="Reference",'Paths'!$O$12,'Paths'!$P$12))</x:f>
        <x:v>30000</x:v>
      </x:c>
      <x:c r="G507" s="46" t="n">
        <x:f>IF('Controls'!$D$7="Reference",1,IF(OR(D507=6,D507=7,D507=21,D507=46),'Paths'!$U$12,1))</x:f>
        <x:v>1</x:v>
      </x:c>
      <x:c r="H507" s="46" t="n">
        <x:f>IF('Controls'!$D$7="Reference",1,IF(OR(AND(D507&gt;=14,D507&lt;=16),AND(D507&gt;=34,D507&lt;=35),AND(D507&gt;=61,D507&lt;=63)),'Paths'!$V$12,1))</x:f>
        <x:v>1</x:v>
      </x:c>
      <x:c r="I507" s="46" t="n">
        <x:f>'Paths'!$W$12</x:f>
        <x:v>0.88</x:v>
      </x:c>
      <x:c r="J507" s="47" t="n">
        <x:f>IF(D507&lt;E507,0,MIN(F507*G507*H507*I507,IF('Paths'!$T$12&gt;0,MAX(0,'Paths'!$T$12-K506),1000000000)))</x:f>
        <x:v>26400</x:v>
      </x:c>
      <x:c r="K507" s="47" t="n">
        <x:f>K506+J507</x:f>
        <x:v>1003728</x:v>
      </x:c>
      <x:c r="L507" s="46" t="n">
        <x:f>IF(C507="P0",1,IF(D507&lt;=3,0.8,IF(D507&lt;=14,0.65,IF(D507&lt;=45,0.5,0.3))))</x:f>
        <x:v>0.5</x:v>
      </x:c>
      <x:c r="M507" s="47" t="n">
        <x:f>J507*L507</x:f>
        <x:v>13200</x:v>
      </x:c>
      <x:c r="N507" s="47" t="n">
        <x:f>N506+M507</x:f>
        <x:v>541081.2</x:v>
      </x:c>
      <x:c r="O507" s="46" t="n">
        <x:f>IF(C507="P0",0,IF(D507&lt;=3,0.15,IF(D507&lt;=14,0.25,IF(D507&lt;=45,0.35,0.5))))</x:f>
        <x:v>0.35</x:v>
      </x:c>
      <x:c r="P507" s="47" t="n">
        <x:f>J507*O507</x:f>
        <x:v>9240</x:v>
      </x:c>
      <x:c r="Q507" s="46" t="n">
        <x:f>IF(C507="P0",0,IF(D507&lt;=3,0.05,IF(D507&lt;=14,0.1,IF(D507&lt;=45,0.15,0.2))))</x:f>
        <x:v>0.15</x:v>
      </x:c>
      <x:c r="R507" s="47" t="n">
        <x:f>J507*Q507</x:f>
        <x:v>3960</x:v>
      </x:c>
      <x:c r="S507" s="20" t="str">
        <x:f>IF(D507&lt;E507,"closed",IF(D507&lt;'Paths'!$N$12,"initial","expanded"))</x:f>
        <x:v>expanded</x:v>
      </x:c>
      <x:c r="T507" s="72"/>
    </x:row>
    <x:row r="508">
      <x:c r="C508" s="20" t="str">
        <x:v>P5</x:v>
      </x:c>
      <x:c r="D508" s="20" t="n">
        <x:v>46</x:v>
      </x:c>
      <x:c r="E508" s="45" t="n">
        <x:f>IF('Controls'!$D$7="Reference",'Paths'!$J$12,'Paths'!$K$12)</x:f>
        <x:v>3</x:v>
      </x:c>
      <x:c r="F508" s="47" t="n">
        <x:f>IF(D508&lt;'Paths'!$N$12,IF('Controls'!$D$7="Reference",'Paths'!$L$12,'Paths'!$M$12),IF('Controls'!$D$7="Reference",'Paths'!$O$12,'Paths'!$P$12))</x:f>
        <x:v>30000</x:v>
      </x:c>
      <x:c r="G508" s="46" t="n">
        <x:f>IF('Controls'!$D$7="Reference",1,IF(OR(D508=6,D508=7,D508=21,D508=46),'Paths'!$U$12,1))</x:f>
        <x:v>0.65</x:v>
      </x:c>
      <x:c r="H508" s="46" t="n">
        <x:f>IF('Controls'!$D$7="Reference",1,IF(OR(AND(D508&gt;=14,D508&lt;=16),AND(D508&gt;=34,D508&lt;=35),AND(D508&gt;=61,D508&lt;=63)),'Paths'!$V$12,1))</x:f>
        <x:v>1</x:v>
      </x:c>
      <x:c r="I508" s="46" t="n">
        <x:f>'Paths'!$W$12</x:f>
        <x:v>0.88</x:v>
      </x:c>
      <x:c r="J508" s="47" t="n">
        <x:f>IF(D508&lt;E508,0,MIN(F508*G508*H508*I508,IF('Paths'!$T$12&gt;0,MAX(0,'Paths'!$T$12-K507),1000000000)))</x:f>
        <x:v>17160</x:v>
      </x:c>
      <x:c r="K508" s="47" t="n">
        <x:f>K507+J508</x:f>
        <x:v>1020888</x:v>
      </x:c>
      <x:c r="L508" s="46" t="n">
        <x:f>IF(C508="P0",1,IF(D508&lt;=3,0.8,IF(D508&lt;=14,0.65,IF(D508&lt;=45,0.5,0.3))))</x:f>
        <x:v>0.3</x:v>
      </x:c>
      <x:c r="M508" s="47" t="n">
        <x:f>J508*L508</x:f>
        <x:v>5148</x:v>
      </x:c>
      <x:c r="N508" s="47" t="n">
        <x:f>N507+M508</x:f>
        <x:v>546229.2</x:v>
      </x:c>
      <x:c r="O508" s="46" t="n">
        <x:f>IF(C508="P0",0,IF(D508&lt;=3,0.15,IF(D508&lt;=14,0.25,IF(D508&lt;=45,0.35,0.5))))</x:f>
        <x:v>0.5</x:v>
      </x:c>
      <x:c r="P508" s="47" t="n">
        <x:f>J508*O508</x:f>
        <x:v>8580</x:v>
      </x:c>
      <x:c r="Q508" s="46" t="n">
        <x:f>IF(C508="P0",0,IF(D508&lt;=3,0.05,IF(D508&lt;=14,0.1,IF(D508&lt;=45,0.15,0.2))))</x:f>
        <x:v>0.2</x:v>
      </x:c>
      <x:c r="R508" s="47" t="n">
        <x:f>J508*Q508</x:f>
        <x:v>3432</x:v>
      </x:c>
      <x:c r="S508" s="20" t="str">
        <x:f>IF(D508&lt;E508,"closed",IF(D508&lt;'Paths'!$N$12,"initial","expanded"))</x:f>
        <x:v>expanded</x:v>
      </x:c>
      <x:c r="T508" s="72"/>
    </x:row>
    <x:row r="509">
      <x:c r="C509" s="20" t="str">
        <x:v>P5</x:v>
      </x:c>
      <x:c r="D509" s="20" t="n">
        <x:v>47</x:v>
      </x:c>
      <x:c r="E509" s="45" t="n">
        <x:f>IF('Controls'!$D$7="Reference",'Paths'!$J$12,'Paths'!$K$12)</x:f>
        <x:v>3</x:v>
      </x:c>
      <x:c r="F509" s="47" t="n">
        <x:f>IF(D509&lt;'Paths'!$N$12,IF('Controls'!$D$7="Reference",'Paths'!$L$12,'Paths'!$M$12),IF('Controls'!$D$7="Reference",'Paths'!$O$12,'Paths'!$P$12))</x:f>
        <x:v>30000</x:v>
      </x:c>
      <x:c r="G509" s="46" t="n">
        <x:f>IF('Controls'!$D$7="Reference",1,IF(OR(D509=6,D509=7,D509=21,D509=46),'Paths'!$U$12,1))</x:f>
        <x:v>1</x:v>
      </x:c>
      <x:c r="H509" s="46" t="n">
        <x:f>IF('Controls'!$D$7="Reference",1,IF(OR(AND(D509&gt;=14,D509&lt;=16),AND(D509&gt;=34,D509&lt;=35),AND(D509&gt;=61,D509&lt;=63)),'Paths'!$V$12,1))</x:f>
        <x:v>1</x:v>
      </x:c>
      <x:c r="I509" s="46" t="n">
        <x:f>'Paths'!$W$12</x:f>
        <x:v>0.88</x:v>
      </x:c>
      <x:c r="J509" s="47" t="n">
        <x:f>IF(D509&lt;E509,0,MIN(F509*G509*H509*I509,IF('Paths'!$T$12&gt;0,MAX(0,'Paths'!$T$12-K508),1000000000)))</x:f>
        <x:v>26400</x:v>
      </x:c>
      <x:c r="K509" s="47" t="n">
        <x:f>K508+J509</x:f>
        <x:v>1047288</x:v>
      </x:c>
      <x:c r="L509" s="46" t="n">
        <x:f>IF(C509="P0",1,IF(D509&lt;=3,0.8,IF(D509&lt;=14,0.65,IF(D509&lt;=45,0.5,0.3))))</x:f>
        <x:v>0.3</x:v>
      </x:c>
      <x:c r="M509" s="47" t="n">
        <x:f>J509*L509</x:f>
        <x:v>7920</x:v>
      </x:c>
      <x:c r="N509" s="47" t="n">
        <x:f>N508+M509</x:f>
        <x:v>554149.2</x:v>
      </x:c>
      <x:c r="O509" s="46" t="n">
        <x:f>IF(C509="P0",0,IF(D509&lt;=3,0.15,IF(D509&lt;=14,0.25,IF(D509&lt;=45,0.35,0.5))))</x:f>
        <x:v>0.5</x:v>
      </x:c>
      <x:c r="P509" s="47" t="n">
        <x:f>J509*O509</x:f>
        <x:v>13200</x:v>
      </x:c>
      <x:c r="Q509" s="46" t="n">
        <x:f>IF(C509="P0",0,IF(D509&lt;=3,0.05,IF(D509&lt;=14,0.1,IF(D509&lt;=45,0.15,0.2))))</x:f>
        <x:v>0.2</x:v>
      </x:c>
      <x:c r="R509" s="47" t="n">
        <x:f>J509*Q509</x:f>
        <x:v>5280</x:v>
      </x:c>
      <x:c r="S509" s="20" t="str">
        <x:f>IF(D509&lt;E509,"closed",IF(D509&lt;'Paths'!$N$12,"initial","expanded"))</x:f>
        <x:v>expanded</x:v>
      </x:c>
      <x:c r="T509" s="72"/>
    </x:row>
    <x:row r="510">
      <x:c r="C510" s="20" t="str">
        <x:v>P5</x:v>
      </x:c>
      <x:c r="D510" s="20" t="n">
        <x:v>48</x:v>
      </x:c>
      <x:c r="E510" s="45" t="n">
        <x:f>IF('Controls'!$D$7="Reference",'Paths'!$J$12,'Paths'!$K$12)</x:f>
        <x:v>3</x:v>
      </x:c>
      <x:c r="F510" s="47" t="n">
        <x:f>IF(D510&lt;'Paths'!$N$12,IF('Controls'!$D$7="Reference",'Paths'!$L$12,'Paths'!$M$12),IF('Controls'!$D$7="Reference",'Paths'!$O$12,'Paths'!$P$12))</x:f>
        <x:v>30000</x:v>
      </x:c>
      <x:c r="G510" s="46" t="n">
        <x:f>IF('Controls'!$D$7="Reference",1,IF(OR(D510=6,D510=7,D510=21,D510=46),'Paths'!$U$12,1))</x:f>
        <x:v>1</x:v>
      </x:c>
      <x:c r="H510" s="46" t="n">
        <x:f>IF('Controls'!$D$7="Reference",1,IF(OR(AND(D510&gt;=14,D510&lt;=16),AND(D510&gt;=34,D510&lt;=35),AND(D510&gt;=61,D510&lt;=63)),'Paths'!$V$12,1))</x:f>
        <x:v>1</x:v>
      </x:c>
      <x:c r="I510" s="46" t="n">
        <x:f>'Paths'!$W$12</x:f>
        <x:v>0.88</x:v>
      </x:c>
      <x:c r="J510" s="47" t="n">
        <x:f>IF(D510&lt;E510,0,MIN(F510*G510*H510*I510,IF('Paths'!$T$12&gt;0,MAX(0,'Paths'!$T$12-K509),1000000000)))</x:f>
        <x:v>26400</x:v>
      </x:c>
      <x:c r="K510" s="47" t="n">
        <x:f>K509+J510</x:f>
        <x:v>1073688</x:v>
      </x:c>
      <x:c r="L510" s="46" t="n">
        <x:f>IF(C510="P0",1,IF(D510&lt;=3,0.8,IF(D510&lt;=14,0.65,IF(D510&lt;=45,0.5,0.3))))</x:f>
        <x:v>0.3</x:v>
      </x:c>
      <x:c r="M510" s="47" t="n">
        <x:f>J510*L510</x:f>
        <x:v>7920</x:v>
      </x:c>
      <x:c r="N510" s="47" t="n">
        <x:f>N509+M510</x:f>
        <x:v>562069.2</x:v>
      </x:c>
      <x:c r="O510" s="46" t="n">
        <x:f>IF(C510="P0",0,IF(D510&lt;=3,0.15,IF(D510&lt;=14,0.25,IF(D510&lt;=45,0.35,0.5))))</x:f>
        <x:v>0.5</x:v>
      </x:c>
      <x:c r="P510" s="47" t="n">
        <x:f>J510*O510</x:f>
        <x:v>13200</x:v>
      </x:c>
      <x:c r="Q510" s="46" t="n">
        <x:f>IF(C510="P0",0,IF(D510&lt;=3,0.05,IF(D510&lt;=14,0.1,IF(D510&lt;=45,0.15,0.2))))</x:f>
        <x:v>0.2</x:v>
      </x:c>
      <x:c r="R510" s="47" t="n">
        <x:f>J510*Q510</x:f>
        <x:v>5280</x:v>
      </x:c>
      <x:c r="S510" s="20" t="str">
        <x:f>IF(D510&lt;E510,"closed",IF(D510&lt;'Paths'!$N$12,"initial","expanded"))</x:f>
        <x:v>expanded</x:v>
      </x:c>
      <x:c r="T510" s="72"/>
    </x:row>
    <x:row r="511">
      <x:c r="C511" s="20" t="str">
        <x:v>P5</x:v>
      </x:c>
      <x:c r="D511" s="20" t="n">
        <x:v>49</x:v>
      </x:c>
      <x:c r="E511" s="45" t="n">
        <x:f>IF('Controls'!$D$7="Reference",'Paths'!$J$12,'Paths'!$K$12)</x:f>
        <x:v>3</x:v>
      </x:c>
      <x:c r="F511" s="47" t="n">
        <x:f>IF(D511&lt;'Paths'!$N$12,IF('Controls'!$D$7="Reference",'Paths'!$L$12,'Paths'!$M$12),IF('Controls'!$D$7="Reference",'Paths'!$O$12,'Paths'!$P$12))</x:f>
        <x:v>30000</x:v>
      </x:c>
      <x:c r="G511" s="46" t="n">
        <x:f>IF('Controls'!$D$7="Reference",1,IF(OR(D511=6,D511=7,D511=21,D511=46),'Paths'!$U$12,1))</x:f>
        <x:v>1</x:v>
      </x:c>
      <x:c r="H511" s="46" t="n">
        <x:f>IF('Controls'!$D$7="Reference",1,IF(OR(AND(D511&gt;=14,D511&lt;=16),AND(D511&gt;=34,D511&lt;=35),AND(D511&gt;=61,D511&lt;=63)),'Paths'!$V$12,1))</x:f>
        <x:v>1</x:v>
      </x:c>
      <x:c r="I511" s="46" t="n">
        <x:f>'Paths'!$W$12</x:f>
        <x:v>0.88</x:v>
      </x:c>
      <x:c r="J511" s="47" t="n">
        <x:f>IF(D511&lt;E511,0,MIN(F511*G511*H511*I511,IF('Paths'!$T$12&gt;0,MAX(0,'Paths'!$T$12-K510),1000000000)))</x:f>
        <x:v>26400</x:v>
      </x:c>
      <x:c r="K511" s="47" t="n">
        <x:f>K510+J511</x:f>
        <x:v>1100088</x:v>
      </x:c>
      <x:c r="L511" s="46" t="n">
        <x:f>IF(C511="P0",1,IF(D511&lt;=3,0.8,IF(D511&lt;=14,0.65,IF(D511&lt;=45,0.5,0.3))))</x:f>
        <x:v>0.3</x:v>
      </x:c>
      <x:c r="M511" s="47" t="n">
        <x:f>J511*L511</x:f>
        <x:v>7920</x:v>
      </x:c>
      <x:c r="N511" s="47" t="n">
        <x:f>N510+M511</x:f>
        <x:v>569989.2</x:v>
      </x:c>
      <x:c r="O511" s="46" t="n">
        <x:f>IF(C511="P0",0,IF(D511&lt;=3,0.15,IF(D511&lt;=14,0.25,IF(D511&lt;=45,0.35,0.5))))</x:f>
        <x:v>0.5</x:v>
      </x:c>
      <x:c r="P511" s="47" t="n">
        <x:f>J511*O511</x:f>
        <x:v>13200</x:v>
      </x:c>
      <x:c r="Q511" s="46" t="n">
        <x:f>IF(C511="P0",0,IF(D511&lt;=3,0.05,IF(D511&lt;=14,0.1,IF(D511&lt;=45,0.15,0.2))))</x:f>
        <x:v>0.2</x:v>
      </x:c>
      <x:c r="R511" s="47" t="n">
        <x:f>J511*Q511</x:f>
        <x:v>5280</x:v>
      </x:c>
      <x:c r="S511" s="20" t="str">
        <x:f>IF(D511&lt;E511,"closed",IF(D511&lt;'Paths'!$N$12,"initial","expanded"))</x:f>
        <x:v>expanded</x:v>
      </x:c>
      <x:c r="T511" s="72"/>
    </x:row>
    <x:row r="512">
      <x:c r="C512" s="20" t="str">
        <x:v>P5</x:v>
      </x:c>
      <x:c r="D512" s="20" t="n">
        <x:v>50</x:v>
      </x:c>
      <x:c r="E512" s="45" t="n">
        <x:f>IF('Controls'!$D$7="Reference",'Paths'!$J$12,'Paths'!$K$12)</x:f>
        <x:v>3</x:v>
      </x:c>
      <x:c r="F512" s="47" t="n">
        <x:f>IF(D512&lt;'Paths'!$N$12,IF('Controls'!$D$7="Reference",'Paths'!$L$12,'Paths'!$M$12),IF('Controls'!$D$7="Reference",'Paths'!$O$12,'Paths'!$P$12))</x:f>
        <x:v>30000</x:v>
      </x:c>
      <x:c r="G512" s="46" t="n">
        <x:f>IF('Controls'!$D$7="Reference",1,IF(OR(D512=6,D512=7,D512=21,D512=46),'Paths'!$U$12,1))</x:f>
        <x:v>1</x:v>
      </x:c>
      <x:c r="H512" s="46" t="n">
        <x:f>IF('Controls'!$D$7="Reference",1,IF(OR(AND(D512&gt;=14,D512&lt;=16),AND(D512&gt;=34,D512&lt;=35),AND(D512&gt;=61,D512&lt;=63)),'Paths'!$V$12,1))</x:f>
        <x:v>1</x:v>
      </x:c>
      <x:c r="I512" s="46" t="n">
        <x:f>'Paths'!$W$12</x:f>
        <x:v>0.88</x:v>
      </x:c>
      <x:c r="J512" s="47" t="n">
        <x:f>IF(D512&lt;E512,0,MIN(F512*G512*H512*I512,IF('Paths'!$T$12&gt;0,MAX(0,'Paths'!$T$12-K511),1000000000)))</x:f>
        <x:v>26400</x:v>
      </x:c>
      <x:c r="K512" s="47" t="n">
        <x:f>K511+J512</x:f>
        <x:v>1126488</x:v>
      </x:c>
      <x:c r="L512" s="46" t="n">
        <x:f>IF(C512="P0",1,IF(D512&lt;=3,0.8,IF(D512&lt;=14,0.65,IF(D512&lt;=45,0.5,0.3))))</x:f>
        <x:v>0.3</x:v>
      </x:c>
      <x:c r="M512" s="47" t="n">
        <x:f>J512*L512</x:f>
        <x:v>7920</x:v>
      </x:c>
      <x:c r="N512" s="47" t="n">
        <x:f>N511+M512</x:f>
        <x:v>577909.2</x:v>
      </x:c>
      <x:c r="O512" s="46" t="n">
        <x:f>IF(C512="P0",0,IF(D512&lt;=3,0.15,IF(D512&lt;=14,0.25,IF(D512&lt;=45,0.35,0.5))))</x:f>
        <x:v>0.5</x:v>
      </x:c>
      <x:c r="P512" s="47" t="n">
        <x:f>J512*O512</x:f>
        <x:v>13200</x:v>
      </x:c>
      <x:c r="Q512" s="46" t="n">
        <x:f>IF(C512="P0",0,IF(D512&lt;=3,0.05,IF(D512&lt;=14,0.1,IF(D512&lt;=45,0.15,0.2))))</x:f>
        <x:v>0.2</x:v>
      </x:c>
      <x:c r="R512" s="47" t="n">
        <x:f>J512*Q512</x:f>
        <x:v>5280</x:v>
      </x:c>
      <x:c r="S512" s="20" t="str">
        <x:f>IF(D512&lt;E512,"closed",IF(D512&lt;'Paths'!$N$12,"initial","expanded"))</x:f>
        <x:v>expanded</x:v>
      </x:c>
      <x:c r="T512" s="72"/>
    </x:row>
    <x:row r="513">
      <x:c r="C513" s="20" t="str">
        <x:v>P5</x:v>
      </x:c>
      <x:c r="D513" s="20" t="n">
        <x:v>51</x:v>
      </x:c>
      <x:c r="E513" s="45" t="n">
        <x:f>IF('Controls'!$D$7="Reference",'Paths'!$J$12,'Paths'!$K$12)</x:f>
        <x:v>3</x:v>
      </x:c>
      <x:c r="F513" s="47" t="n">
        <x:f>IF(D513&lt;'Paths'!$N$12,IF('Controls'!$D$7="Reference",'Paths'!$L$12,'Paths'!$M$12),IF('Controls'!$D$7="Reference",'Paths'!$O$12,'Paths'!$P$12))</x:f>
        <x:v>30000</x:v>
      </x:c>
      <x:c r="G513" s="46" t="n">
        <x:f>IF('Controls'!$D$7="Reference",1,IF(OR(D513=6,D513=7,D513=21,D513=46),'Paths'!$U$12,1))</x:f>
        <x:v>1</x:v>
      </x:c>
      <x:c r="H513" s="46" t="n">
        <x:f>IF('Controls'!$D$7="Reference",1,IF(OR(AND(D513&gt;=14,D513&lt;=16),AND(D513&gt;=34,D513&lt;=35),AND(D513&gt;=61,D513&lt;=63)),'Paths'!$V$12,1))</x:f>
        <x:v>1</x:v>
      </x:c>
      <x:c r="I513" s="46" t="n">
        <x:f>'Paths'!$W$12</x:f>
        <x:v>0.88</x:v>
      </x:c>
      <x:c r="J513" s="47" t="n">
        <x:f>IF(D513&lt;E513,0,MIN(F513*G513*H513*I513,IF('Paths'!$T$12&gt;0,MAX(0,'Paths'!$T$12-K512),1000000000)))</x:f>
        <x:v>26400</x:v>
      </x:c>
      <x:c r="K513" s="47" t="n">
        <x:f>K512+J513</x:f>
        <x:v>1152888</x:v>
      </x:c>
      <x:c r="L513" s="46" t="n">
        <x:f>IF(C513="P0",1,IF(D513&lt;=3,0.8,IF(D513&lt;=14,0.65,IF(D513&lt;=45,0.5,0.3))))</x:f>
        <x:v>0.3</x:v>
      </x:c>
      <x:c r="M513" s="47" t="n">
        <x:f>J513*L513</x:f>
        <x:v>7920</x:v>
      </x:c>
      <x:c r="N513" s="47" t="n">
        <x:f>N512+M513</x:f>
        <x:v>585829.2</x:v>
      </x:c>
      <x:c r="O513" s="46" t="n">
        <x:f>IF(C513="P0",0,IF(D513&lt;=3,0.15,IF(D513&lt;=14,0.25,IF(D513&lt;=45,0.35,0.5))))</x:f>
        <x:v>0.5</x:v>
      </x:c>
      <x:c r="P513" s="47" t="n">
        <x:f>J513*O513</x:f>
        <x:v>13200</x:v>
      </x:c>
      <x:c r="Q513" s="46" t="n">
        <x:f>IF(C513="P0",0,IF(D513&lt;=3,0.05,IF(D513&lt;=14,0.1,IF(D513&lt;=45,0.15,0.2))))</x:f>
        <x:v>0.2</x:v>
      </x:c>
      <x:c r="R513" s="47" t="n">
        <x:f>J513*Q513</x:f>
        <x:v>5280</x:v>
      </x:c>
      <x:c r="S513" s="20" t="str">
        <x:f>IF(D513&lt;E513,"closed",IF(D513&lt;'Paths'!$N$12,"initial","expanded"))</x:f>
        <x:v>expanded</x:v>
      </x:c>
      <x:c r="T513" s="72"/>
    </x:row>
    <x:row r="514">
      <x:c r="C514" s="20" t="str">
        <x:v>P5</x:v>
      </x:c>
      <x:c r="D514" s="20" t="n">
        <x:v>52</x:v>
      </x:c>
      <x:c r="E514" s="45" t="n">
        <x:f>IF('Controls'!$D$7="Reference",'Paths'!$J$12,'Paths'!$K$12)</x:f>
        <x:v>3</x:v>
      </x:c>
      <x:c r="F514" s="47" t="n">
        <x:f>IF(D514&lt;'Paths'!$N$12,IF('Controls'!$D$7="Reference",'Paths'!$L$12,'Paths'!$M$12),IF('Controls'!$D$7="Reference",'Paths'!$O$12,'Paths'!$P$12))</x:f>
        <x:v>30000</x:v>
      </x:c>
      <x:c r="G514" s="46" t="n">
        <x:f>IF('Controls'!$D$7="Reference",1,IF(OR(D514=6,D514=7,D514=21,D514=46),'Paths'!$U$12,1))</x:f>
        <x:v>1</x:v>
      </x:c>
      <x:c r="H514" s="46" t="n">
        <x:f>IF('Controls'!$D$7="Reference",1,IF(OR(AND(D514&gt;=14,D514&lt;=16),AND(D514&gt;=34,D514&lt;=35),AND(D514&gt;=61,D514&lt;=63)),'Paths'!$V$12,1))</x:f>
        <x:v>1</x:v>
      </x:c>
      <x:c r="I514" s="46" t="n">
        <x:f>'Paths'!$W$12</x:f>
        <x:v>0.88</x:v>
      </x:c>
      <x:c r="J514" s="47" t="n">
        <x:f>IF(D514&lt;E514,0,MIN(F514*G514*H514*I514,IF('Paths'!$T$12&gt;0,MAX(0,'Paths'!$T$12-K513),1000000000)))</x:f>
        <x:v>26400</x:v>
      </x:c>
      <x:c r="K514" s="47" t="n">
        <x:f>K513+J514</x:f>
        <x:v>1179288</x:v>
      </x:c>
      <x:c r="L514" s="46" t="n">
        <x:f>IF(C514="P0",1,IF(D514&lt;=3,0.8,IF(D514&lt;=14,0.65,IF(D514&lt;=45,0.5,0.3))))</x:f>
        <x:v>0.3</x:v>
      </x:c>
      <x:c r="M514" s="47" t="n">
        <x:f>J514*L514</x:f>
        <x:v>7920</x:v>
      </x:c>
      <x:c r="N514" s="47" t="n">
        <x:f>N513+M514</x:f>
        <x:v>593749.2</x:v>
      </x:c>
      <x:c r="O514" s="46" t="n">
        <x:f>IF(C514="P0",0,IF(D514&lt;=3,0.15,IF(D514&lt;=14,0.25,IF(D514&lt;=45,0.35,0.5))))</x:f>
        <x:v>0.5</x:v>
      </x:c>
      <x:c r="P514" s="47" t="n">
        <x:f>J514*O514</x:f>
        <x:v>13200</x:v>
      </x:c>
      <x:c r="Q514" s="46" t="n">
        <x:f>IF(C514="P0",0,IF(D514&lt;=3,0.05,IF(D514&lt;=14,0.1,IF(D514&lt;=45,0.15,0.2))))</x:f>
        <x:v>0.2</x:v>
      </x:c>
      <x:c r="R514" s="47" t="n">
        <x:f>J514*Q514</x:f>
        <x:v>5280</x:v>
      </x:c>
      <x:c r="S514" s="20" t="str">
        <x:f>IF(D514&lt;E514,"closed",IF(D514&lt;'Paths'!$N$12,"initial","expanded"))</x:f>
        <x:v>expanded</x:v>
      </x:c>
      <x:c r="T514" s="72"/>
    </x:row>
    <x:row r="515">
      <x:c r="C515" s="20" t="str">
        <x:v>P5</x:v>
      </x:c>
      <x:c r="D515" s="20" t="n">
        <x:v>53</x:v>
      </x:c>
      <x:c r="E515" s="45" t="n">
        <x:f>IF('Controls'!$D$7="Reference",'Paths'!$J$12,'Paths'!$K$12)</x:f>
        <x:v>3</x:v>
      </x:c>
      <x:c r="F515" s="47" t="n">
        <x:f>IF(D515&lt;'Paths'!$N$12,IF('Controls'!$D$7="Reference",'Paths'!$L$12,'Paths'!$M$12),IF('Controls'!$D$7="Reference",'Paths'!$O$12,'Paths'!$P$12))</x:f>
        <x:v>30000</x:v>
      </x:c>
      <x:c r="G515" s="46" t="n">
        <x:f>IF('Controls'!$D$7="Reference",1,IF(OR(D515=6,D515=7,D515=21,D515=46),'Paths'!$U$12,1))</x:f>
        <x:v>1</x:v>
      </x:c>
      <x:c r="H515" s="46" t="n">
        <x:f>IF('Controls'!$D$7="Reference",1,IF(OR(AND(D515&gt;=14,D515&lt;=16),AND(D515&gt;=34,D515&lt;=35),AND(D515&gt;=61,D515&lt;=63)),'Paths'!$V$12,1))</x:f>
        <x:v>1</x:v>
      </x:c>
      <x:c r="I515" s="46" t="n">
        <x:f>'Paths'!$W$12</x:f>
        <x:v>0.88</x:v>
      </x:c>
      <x:c r="J515" s="47" t="n">
        <x:f>IF(D515&lt;E515,0,MIN(F515*G515*H515*I515,IF('Paths'!$T$12&gt;0,MAX(0,'Paths'!$T$12-K514),1000000000)))</x:f>
        <x:v>26400</x:v>
      </x:c>
      <x:c r="K515" s="47" t="n">
        <x:f>K514+J515</x:f>
        <x:v>1205688</x:v>
      </x:c>
      <x:c r="L515" s="46" t="n">
        <x:f>IF(C515="P0",1,IF(D515&lt;=3,0.8,IF(D515&lt;=14,0.65,IF(D515&lt;=45,0.5,0.3))))</x:f>
        <x:v>0.3</x:v>
      </x:c>
      <x:c r="M515" s="47" t="n">
        <x:f>J515*L515</x:f>
        <x:v>7920</x:v>
      </x:c>
      <x:c r="N515" s="47" t="n">
        <x:f>N514+M515</x:f>
        <x:v>601669.2</x:v>
      </x:c>
      <x:c r="O515" s="46" t="n">
        <x:f>IF(C515="P0",0,IF(D515&lt;=3,0.15,IF(D515&lt;=14,0.25,IF(D515&lt;=45,0.35,0.5))))</x:f>
        <x:v>0.5</x:v>
      </x:c>
      <x:c r="P515" s="47" t="n">
        <x:f>J515*O515</x:f>
        <x:v>13200</x:v>
      </x:c>
      <x:c r="Q515" s="46" t="n">
        <x:f>IF(C515="P0",0,IF(D515&lt;=3,0.05,IF(D515&lt;=14,0.1,IF(D515&lt;=45,0.15,0.2))))</x:f>
        <x:v>0.2</x:v>
      </x:c>
      <x:c r="R515" s="47" t="n">
        <x:f>J515*Q515</x:f>
        <x:v>5280</x:v>
      </x:c>
      <x:c r="S515" s="20" t="str">
        <x:f>IF(D515&lt;E515,"closed",IF(D515&lt;'Paths'!$N$12,"initial","expanded"))</x:f>
        <x:v>expanded</x:v>
      </x:c>
      <x:c r="T515" s="72"/>
    </x:row>
    <x:row r="516">
      <x:c r="C516" s="20" t="str">
        <x:v>P5</x:v>
      </x:c>
      <x:c r="D516" s="20" t="n">
        <x:v>54</x:v>
      </x:c>
      <x:c r="E516" s="45" t="n">
        <x:f>IF('Controls'!$D$7="Reference",'Paths'!$J$12,'Paths'!$K$12)</x:f>
        <x:v>3</x:v>
      </x:c>
      <x:c r="F516" s="47" t="n">
        <x:f>IF(D516&lt;'Paths'!$N$12,IF('Controls'!$D$7="Reference",'Paths'!$L$12,'Paths'!$M$12),IF('Controls'!$D$7="Reference",'Paths'!$O$12,'Paths'!$P$12))</x:f>
        <x:v>30000</x:v>
      </x:c>
      <x:c r="G516" s="46" t="n">
        <x:f>IF('Controls'!$D$7="Reference",1,IF(OR(D516=6,D516=7,D516=21,D516=46),'Paths'!$U$12,1))</x:f>
        <x:v>1</x:v>
      </x:c>
      <x:c r="H516" s="46" t="n">
        <x:f>IF('Controls'!$D$7="Reference",1,IF(OR(AND(D516&gt;=14,D516&lt;=16),AND(D516&gt;=34,D516&lt;=35),AND(D516&gt;=61,D516&lt;=63)),'Paths'!$V$12,1))</x:f>
        <x:v>1</x:v>
      </x:c>
      <x:c r="I516" s="46" t="n">
        <x:f>'Paths'!$W$12</x:f>
        <x:v>0.88</x:v>
      </x:c>
      <x:c r="J516" s="47" t="n">
        <x:f>IF(D516&lt;E516,0,MIN(F516*G516*H516*I516,IF('Paths'!$T$12&gt;0,MAX(0,'Paths'!$T$12-K515),1000000000)))</x:f>
        <x:v>26400</x:v>
      </x:c>
      <x:c r="K516" s="47" t="n">
        <x:f>K515+J516</x:f>
        <x:v>1232088</x:v>
      </x:c>
      <x:c r="L516" s="46" t="n">
        <x:f>IF(C516="P0",1,IF(D516&lt;=3,0.8,IF(D516&lt;=14,0.65,IF(D516&lt;=45,0.5,0.3))))</x:f>
        <x:v>0.3</x:v>
      </x:c>
      <x:c r="M516" s="47" t="n">
        <x:f>J516*L516</x:f>
        <x:v>7920</x:v>
      </x:c>
      <x:c r="N516" s="47" t="n">
        <x:f>N515+M516</x:f>
        <x:v>609589.2</x:v>
      </x:c>
      <x:c r="O516" s="46" t="n">
        <x:f>IF(C516="P0",0,IF(D516&lt;=3,0.15,IF(D516&lt;=14,0.25,IF(D516&lt;=45,0.35,0.5))))</x:f>
        <x:v>0.5</x:v>
      </x:c>
      <x:c r="P516" s="47" t="n">
        <x:f>J516*O516</x:f>
        <x:v>13200</x:v>
      </x:c>
      <x:c r="Q516" s="46" t="n">
        <x:f>IF(C516="P0",0,IF(D516&lt;=3,0.05,IF(D516&lt;=14,0.1,IF(D516&lt;=45,0.15,0.2))))</x:f>
        <x:v>0.2</x:v>
      </x:c>
      <x:c r="R516" s="47" t="n">
        <x:f>J516*Q516</x:f>
        <x:v>5280</x:v>
      </x:c>
      <x:c r="S516" s="20" t="str">
        <x:f>IF(D516&lt;E516,"closed",IF(D516&lt;'Paths'!$N$12,"initial","expanded"))</x:f>
        <x:v>expanded</x:v>
      </x:c>
      <x:c r="T516" s="72"/>
    </x:row>
    <x:row r="517">
      <x:c r="C517" s="20" t="str">
        <x:v>P5</x:v>
      </x:c>
      <x:c r="D517" s="20" t="n">
        <x:v>55</x:v>
      </x:c>
      <x:c r="E517" s="45" t="n">
        <x:f>IF('Controls'!$D$7="Reference",'Paths'!$J$12,'Paths'!$K$12)</x:f>
        <x:v>3</x:v>
      </x:c>
      <x:c r="F517" s="47" t="n">
        <x:f>IF(D517&lt;'Paths'!$N$12,IF('Controls'!$D$7="Reference",'Paths'!$L$12,'Paths'!$M$12),IF('Controls'!$D$7="Reference",'Paths'!$O$12,'Paths'!$P$12))</x:f>
        <x:v>30000</x:v>
      </x:c>
      <x:c r="G517" s="46" t="n">
        <x:f>IF('Controls'!$D$7="Reference",1,IF(OR(D517=6,D517=7,D517=21,D517=46),'Paths'!$U$12,1))</x:f>
        <x:v>1</x:v>
      </x:c>
      <x:c r="H517" s="46" t="n">
        <x:f>IF('Controls'!$D$7="Reference",1,IF(OR(AND(D517&gt;=14,D517&lt;=16),AND(D517&gt;=34,D517&lt;=35),AND(D517&gt;=61,D517&lt;=63)),'Paths'!$V$12,1))</x:f>
        <x:v>1</x:v>
      </x:c>
      <x:c r="I517" s="46" t="n">
        <x:f>'Paths'!$W$12</x:f>
        <x:v>0.88</x:v>
      </x:c>
      <x:c r="J517" s="47" t="n">
        <x:f>IF(D517&lt;E517,0,MIN(F517*G517*H517*I517,IF('Paths'!$T$12&gt;0,MAX(0,'Paths'!$T$12-K516),1000000000)))</x:f>
        <x:v>26400</x:v>
      </x:c>
      <x:c r="K517" s="47" t="n">
        <x:f>K516+J517</x:f>
        <x:v>1258488</x:v>
      </x:c>
      <x:c r="L517" s="46" t="n">
        <x:f>IF(C517="P0",1,IF(D517&lt;=3,0.8,IF(D517&lt;=14,0.65,IF(D517&lt;=45,0.5,0.3))))</x:f>
        <x:v>0.3</x:v>
      </x:c>
      <x:c r="M517" s="47" t="n">
        <x:f>J517*L517</x:f>
        <x:v>7920</x:v>
      </x:c>
      <x:c r="N517" s="47" t="n">
        <x:f>N516+M517</x:f>
        <x:v>617509.2</x:v>
      </x:c>
      <x:c r="O517" s="46" t="n">
        <x:f>IF(C517="P0",0,IF(D517&lt;=3,0.15,IF(D517&lt;=14,0.25,IF(D517&lt;=45,0.35,0.5))))</x:f>
        <x:v>0.5</x:v>
      </x:c>
      <x:c r="P517" s="47" t="n">
        <x:f>J517*O517</x:f>
        <x:v>13200</x:v>
      </x:c>
      <x:c r="Q517" s="46" t="n">
        <x:f>IF(C517="P0",0,IF(D517&lt;=3,0.05,IF(D517&lt;=14,0.1,IF(D517&lt;=45,0.15,0.2))))</x:f>
        <x:v>0.2</x:v>
      </x:c>
      <x:c r="R517" s="47" t="n">
        <x:f>J517*Q517</x:f>
        <x:v>5280</x:v>
      </x:c>
      <x:c r="S517" s="20" t="str">
        <x:f>IF(D517&lt;E517,"closed",IF(D517&lt;'Paths'!$N$12,"initial","expanded"))</x:f>
        <x:v>expanded</x:v>
      </x:c>
      <x:c r="T517" s="72"/>
    </x:row>
    <x:row r="518">
      <x:c r="C518" s="20" t="str">
        <x:v>P5</x:v>
      </x:c>
      <x:c r="D518" s="20" t="n">
        <x:v>56</x:v>
      </x:c>
      <x:c r="E518" s="45" t="n">
        <x:f>IF('Controls'!$D$7="Reference",'Paths'!$J$12,'Paths'!$K$12)</x:f>
        <x:v>3</x:v>
      </x:c>
      <x:c r="F518" s="47" t="n">
        <x:f>IF(D518&lt;'Paths'!$N$12,IF('Controls'!$D$7="Reference",'Paths'!$L$12,'Paths'!$M$12),IF('Controls'!$D$7="Reference",'Paths'!$O$12,'Paths'!$P$12))</x:f>
        <x:v>30000</x:v>
      </x:c>
      <x:c r="G518" s="46" t="n">
        <x:f>IF('Controls'!$D$7="Reference",1,IF(OR(D518=6,D518=7,D518=21,D518=46),'Paths'!$U$12,1))</x:f>
        <x:v>1</x:v>
      </x:c>
      <x:c r="H518" s="46" t="n">
        <x:f>IF('Controls'!$D$7="Reference",1,IF(OR(AND(D518&gt;=14,D518&lt;=16),AND(D518&gt;=34,D518&lt;=35),AND(D518&gt;=61,D518&lt;=63)),'Paths'!$V$12,1))</x:f>
        <x:v>1</x:v>
      </x:c>
      <x:c r="I518" s="46" t="n">
        <x:f>'Paths'!$W$12</x:f>
        <x:v>0.88</x:v>
      </x:c>
      <x:c r="J518" s="47" t="n">
        <x:f>IF(D518&lt;E518,0,MIN(F518*G518*H518*I518,IF('Paths'!$T$12&gt;0,MAX(0,'Paths'!$T$12-K517),1000000000)))</x:f>
        <x:v>26400</x:v>
      </x:c>
      <x:c r="K518" s="47" t="n">
        <x:f>K517+J518</x:f>
        <x:v>1284888</x:v>
      </x:c>
      <x:c r="L518" s="46" t="n">
        <x:f>IF(C518="P0",1,IF(D518&lt;=3,0.8,IF(D518&lt;=14,0.65,IF(D518&lt;=45,0.5,0.3))))</x:f>
        <x:v>0.3</x:v>
      </x:c>
      <x:c r="M518" s="47" t="n">
        <x:f>J518*L518</x:f>
        <x:v>7920</x:v>
      </x:c>
      <x:c r="N518" s="47" t="n">
        <x:f>N517+M518</x:f>
        <x:v>625429.2</x:v>
      </x:c>
      <x:c r="O518" s="46" t="n">
        <x:f>IF(C518="P0",0,IF(D518&lt;=3,0.15,IF(D518&lt;=14,0.25,IF(D518&lt;=45,0.35,0.5))))</x:f>
        <x:v>0.5</x:v>
      </x:c>
      <x:c r="P518" s="47" t="n">
        <x:f>J518*O518</x:f>
        <x:v>13200</x:v>
      </x:c>
      <x:c r="Q518" s="46" t="n">
        <x:f>IF(C518="P0",0,IF(D518&lt;=3,0.05,IF(D518&lt;=14,0.1,IF(D518&lt;=45,0.15,0.2))))</x:f>
        <x:v>0.2</x:v>
      </x:c>
      <x:c r="R518" s="47" t="n">
        <x:f>J518*Q518</x:f>
        <x:v>5280</x:v>
      </x:c>
      <x:c r="S518" s="20" t="str">
        <x:f>IF(D518&lt;E518,"closed",IF(D518&lt;'Paths'!$N$12,"initial","expanded"))</x:f>
        <x:v>expanded</x:v>
      </x:c>
      <x:c r="T518" s="72"/>
    </x:row>
    <x:row r="519">
      <x:c r="C519" s="20" t="str">
        <x:v>P5</x:v>
      </x:c>
      <x:c r="D519" s="20" t="n">
        <x:v>57</x:v>
      </x:c>
      <x:c r="E519" s="45" t="n">
        <x:f>IF('Controls'!$D$7="Reference",'Paths'!$J$12,'Paths'!$K$12)</x:f>
        <x:v>3</x:v>
      </x:c>
      <x:c r="F519" s="47" t="n">
        <x:f>IF(D519&lt;'Paths'!$N$12,IF('Controls'!$D$7="Reference",'Paths'!$L$12,'Paths'!$M$12),IF('Controls'!$D$7="Reference",'Paths'!$O$12,'Paths'!$P$12))</x:f>
        <x:v>30000</x:v>
      </x:c>
      <x:c r="G519" s="46" t="n">
        <x:f>IF('Controls'!$D$7="Reference",1,IF(OR(D519=6,D519=7,D519=21,D519=46),'Paths'!$U$12,1))</x:f>
        <x:v>1</x:v>
      </x:c>
      <x:c r="H519" s="46" t="n">
        <x:f>IF('Controls'!$D$7="Reference",1,IF(OR(AND(D519&gt;=14,D519&lt;=16),AND(D519&gt;=34,D519&lt;=35),AND(D519&gt;=61,D519&lt;=63)),'Paths'!$V$12,1))</x:f>
        <x:v>1</x:v>
      </x:c>
      <x:c r="I519" s="46" t="n">
        <x:f>'Paths'!$W$12</x:f>
        <x:v>0.88</x:v>
      </x:c>
      <x:c r="J519" s="47" t="n">
        <x:f>IF(D519&lt;E519,0,MIN(F519*G519*H519*I519,IF('Paths'!$T$12&gt;0,MAX(0,'Paths'!$T$12-K518),1000000000)))</x:f>
        <x:v>26400</x:v>
      </x:c>
      <x:c r="K519" s="47" t="n">
        <x:f>K518+J519</x:f>
        <x:v>1311288</x:v>
      </x:c>
      <x:c r="L519" s="46" t="n">
        <x:f>IF(C519="P0",1,IF(D519&lt;=3,0.8,IF(D519&lt;=14,0.65,IF(D519&lt;=45,0.5,0.3))))</x:f>
        <x:v>0.3</x:v>
      </x:c>
      <x:c r="M519" s="47" t="n">
        <x:f>J519*L519</x:f>
        <x:v>7920</x:v>
      </x:c>
      <x:c r="N519" s="47" t="n">
        <x:f>N518+M519</x:f>
        <x:v>633349.2</x:v>
      </x:c>
      <x:c r="O519" s="46" t="n">
        <x:f>IF(C519="P0",0,IF(D519&lt;=3,0.15,IF(D519&lt;=14,0.25,IF(D519&lt;=45,0.35,0.5))))</x:f>
        <x:v>0.5</x:v>
      </x:c>
      <x:c r="P519" s="47" t="n">
        <x:f>J519*O519</x:f>
        <x:v>13200</x:v>
      </x:c>
      <x:c r="Q519" s="46" t="n">
        <x:f>IF(C519="P0",0,IF(D519&lt;=3,0.05,IF(D519&lt;=14,0.1,IF(D519&lt;=45,0.15,0.2))))</x:f>
        <x:v>0.2</x:v>
      </x:c>
      <x:c r="R519" s="47" t="n">
        <x:f>J519*Q519</x:f>
        <x:v>5280</x:v>
      </x:c>
      <x:c r="S519" s="20" t="str">
        <x:f>IF(D519&lt;E519,"closed",IF(D519&lt;'Paths'!$N$12,"initial","expanded"))</x:f>
        <x:v>expanded</x:v>
      </x:c>
      <x:c r="T519" s="72"/>
    </x:row>
    <x:row r="520">
      <x:c r="C520" s="20" t="str">
        <x:v>P5</x:v>
      </x:c>
      <x:c r="D520" s="20" t="n">
        <x:v>58</x:v>
      </x:c>
      <x:c r="E520" s="45" t="n">
        <x:f>IF('Controls'!$D$7="Reference",'Paths'!$J$12,'Paths'!$K$12)</x:f>
        <x:v>3</x:v>
      </x:c>
      <x:c r="F520" s="47" t="n">
        <x:f>IF(D520&lt;'Paths'!$N$12,IF('Controls'!$D$7="Reference",'Paths'!$L$12,'Paths'!$M$12),IF('Controls'!$D$7="Reference",'Paths'!$O$12,'Paths'!$P$12))</x:f>
        <x:v>30000</x:v>
      </x:c>
      <x:c r="G520" s="46" t="n">
        <x:f>IF('Controls'!$D$7="Reference",1,IF(OR(D520=6,D520=7,D520=21,D520=46),'Paths'!$U$12,1))</x:f>
        <x:v>1</x:v>
      </x:c>
      <x:c r="H520" s="46" t="n">
        <x:f>IF('Controls'!$D$7="Reference",1,IF(OR(AND(D520&gt;=14,D520&lt;=16),AND(D520&gt;=34,D520&lt;=35),AND(D520&gt;=61,D520&lt;=63)),'Paths'!$V$12,1))</x:f>
        <x:v>1</x:v>
      </x:c>
      <x:c r="I520" s="46" t="n">
        <x:f>'Paths'!$W$12</x:f>
        <x:v>0.88</x:v>
      </x:c>
      <x:c r="J520" s="47" t="n">
        <x:f>IF(D520&lt;E520,0,MIN(F520*G520*H520*I520,IF('Paths'!$T$12&gt;0,MAX(0,'Paths'!$T$12-K519),1000000000)))</x:f>
        <x:v>26400</x:v>
      </x:c>
      <x:c r="K520" s="47" t="n">
        <x:f>K519+J520</x:f>
        <x:v>1337688</x:v>
      </x:c>
      <x:c r="L520" s="46" t="n">
        <x:f>IF(C520="P0",1,IF(D520&lt;=3,0.8,IF(D520&lt;=14,0.65,IF(D520&lt;=45,0.5,0.3))))</x:f>
        <x:v>0.3</x:v>
      </x:c>
      <x:c r="M520" s="47" t="n">
        <x:f>J520*L520</x:f>
        <x:v>7920</x:v>
      </x:c>
      <x:c r="N520" s="47" t="n">
        <x:f>N519+M520</x:f>
        <x:v>641269.2</x:v>
      </x:c>
      <x:c r="O520" s="46" t="n">
        <x:f>IF(C520="P0",0,IF(D520&lt;=3,0.15,IF(D520&lt;=14,0.25,IF(D520&lt;=45,0.35,0.5))))</x:f>
        <x:v>0.5</x:v>
      </x:c>
      <x:c r="P520" s="47" t="n">
        <x:f>J520*O520</x:f>
        <x:v>13200</x:v>
      </x:c>
      <x:c r="Q520" s="46" t="n">
        <x:f>IF(C520="P0",0,IF(D520&lt;=3,0.05,IF(D520&lt;=14,0.1,IF(D520&lt;=45,0.15,0.2))))</x:f>
        <x:v>0.2</x:v>
      </x:c>
      <x:c r="R520" s="47" t="n">
        <x:f>J520*Q520</x:f>
        <x:v>5280</x:v>
      </x:c>
      <x:c r="S520" s="20" t="str">
        <x:f>IF(D520&lt;E520,"closed",IF(D520&lt;'Paths'!$N$12,"initial","expanded"))</x:f>
        <x:v>expanded</x:v>
      </x:c>
      <x:c r="T520" s="72"/>
    </x:row>
    <x:row r="521">
      <x:c r="C521" s="20" t="str">
        <x:v>P5</x:v>
      </x:c>
      <x:c r="D521" s="20" t="n">
        <x:v>59</x:v>
      </x:c>
      <x:c r="E521" s="45" t="n">
        <x:f>IF('Controls'!$D$7="Reference",'Paths'!$J$12,'Paths'!$K$12)</x:f>
        <x:v>3</x:v>
      </x:c>
      <x:c r="F521" s="47" t="n">
        <x:f>IF(D521&lt;'Paths'!$N$12,IF('Controls'!$D$7="Reference",'Paths'!$L$12,'Paths'!$M$12),IF('Controls'!$D$7="Reference",'Paths'!$O$12,'Paths'!$P$12))</x:f>
        <x:v>30000</x:v>
      </x:c>
      <x:c r="G521" s="46" t="n">
        <x:f>IF('Controls'!$D$7="Reference",1,IF(OR(D521=6,D521=7,D521=21,D521=46),'Paths'!$U$12,1))</x:f>
        <x:v>1</x:v>
      </x:c>
      <x:c r="H521" s="46" t="n">
        <x:f>IF('Controls'!$D$7="Reference",1,IF(OR(AND(D521&gt;=14,D521&lt;=16),AND(D521&gt;=34,D521&lt;=35),AND(D521&gt;=61,D521&lt;=63)),'Paths'!$V$12,1))</x:f>
        <x:v>1</x:v>
      </x:c>
      <x:c r="I521" s="46" t="n">
        <x:f>'Paths'!$W$12</x:f>
        <x:v>0.88</x:v>
      </x:c>
      <x:c r="J521" s="47" t="n">
        <x:f>IF(D521&lt;E521,0,MIN(F521*G521*H521*I521,IF('Paths'!$T$12&gt;0,MAX(0,'Paths'!$T$12-K520),1000000000)))</x:f>
        <x:v>26400</x:v>
      </x:c>
      <x:c r="K521" s="47" t="n">
        <x:f>K520+J521</x:f>
        <x:v>1364088</x:v>
      </x:c>
      <x:c r="L521" s="46" t="n">
        <x:f>IF(C521="P0",1,IF(D521&lt;=3,0.8,IF(D521&lt;=14,0.65,IF(D521&lt;=45,0.5,0.3))))</x:f>
        <x:v>0.3</x:v>
      </x:c>
      <x:c r="M521" s="47" t="n">
        <x:f>J521*L521</x:f>
        <x:v>7920</x:v>
      </x:c>
      <x:c r="N521" s="47" t="n">
        <x:f>N520+M521</x:f>
        <x:v>649189.2</x:v>
      </x:c>
      <x:c r="O521" s="46" t="n">
        <x:f>IF(C521="P0",0,IF(D521&lt;=3,0.15,IF(D521&lt;=14,0.25,IF(D521&lt;=45,0.35,0.5))))</x:f>
        <x:v>0.5</x:v>
      </x:c>
      <x:c r="P521" s="47" t="n">
        <x:f>J521*O521</x:f>
        <x:v>13200</x:v>
      </x:c>
      <x:c r="Q521" s="46" t="n">
        <x:f>IF(C521="P0",0,IF(D521&lt;=3,0.05,IF(D521&lt;=14,0.1,IF(D521&lt;=45,0.15,0.2))))</x:f>
        <x:v>0.2</x:v>
      </x:c>
      <x:c r="R521" s="47" t="n">
        <x:f>J521*Q521</x:f>
        <x:v>5280</x:v>
      </x:c>
      <x:c r="S521" s="20" t="str">
        <x:f>IF(D521&lt;E521,"closed",IF(D521&lt;'Paths'!$N$12,"initial","expanded"))</x:f>
        <x:v>expanded</x:v>
      </x:c>
      <x:c r="T521" s="72"/>
    </x:row>
    <x:row r="522">
      <x:c r="C522" s="20" t="str">
        <x:v>P5</x:v>
      </x:c>
      <x:c r="D522" s="20" t="n">
        <x:v>60</x:v>
      </x:c>
      <x:c r="E522" s="45" t="n">
        <x:f>IF('Controls'!$D$7="Reference",'Paths'!$J$12,'Paths'!$K$12)</x:f>
        <x:v>3</x:v>
      </x:c>
      <x:c r="F522" s="47" t="n">
        <x:f>IF(D522&lt;'Paths'!$N$12,IF('Controls'!$D$7="Reference",'Paths'!$L$12,'Paths'!$M$12),IF('Controls'!$D$7="Reference",'Paths'!$O$12,'Paths'!$P$12))</x:f>
        <x:v>30000</x:v>
      </x:c>
      <x:c r="G522" s="46" t="n">
        <x:f>IF('Controls'!$D$7="Reference",1,IF(OR(D522=6,D522=7,D522=21,D522=46),'Paths'!$U$12,1))</x:f>
        <x:v>1</x:v>
      </x:c>
      <x:c r="H522" s="46" t="n">
        <x:f>IF('Controls'!$D$7="Reference",1,IF(OR(AND(D522&gt;=14,D522&lt;=16),AND(D522&gt;=34,D522&lt;=35),AND(D522&gt;=61,D522&lt;=63)),'Paths'!$V$12,1))</x:f>
        <x:v>1</x:v>
      </x:c>
      <x:c r="I522" s="46" t="n">
        <x:f>'Paths'!$W$12</x:f>
        <x:v>0.88</x:v>
      </x:c>
      <x:c r="J522" s="47" t="n">
        <x:f>IF(D522&lt;E522,0,MIN(F522*G522*H522*I522,IF('Paths'!$T$12&gt;0,MAX(0,'Paths'!$T$12-K521),1000000000)))</x:f>
        <x:v>26400</x:v>
      </x:c>
      <x:c r="K522" s="47" t="n">
        <x:f>K521+J522</x:f>
        <x:v>1390488</x:v>
      </x:c>
      <x:c r="L522" s="46" t="n">
        <x:f>IF(C522="P0",1,IF(D522&lt;=3,0.8,IF(D522&lt;=14,0.65,IF(D522&lt;=45,0.5,0.3))))</x:f>
        <x:v>0.3</x:v>
      </x:c>
      <x:c r="M522" s="47" t="n">
        <x:f>J522*L522</x:f>
        <x:v>7920</x:v>
      </x:c>
      <x:c r="N522" s="47" t="n">
        <x:f>N521+M522</x:f>
        <x:v>657109.2</x:v>
      </x:c>
      <x:c r="O522" s="46" t="n">
        <x:f>IF(C522="P0",0,IF(D522&lt;=3,0.15,IF(D522&lt;=14,0.25,IF(D522&lt;=45,0.35,0.5))))</x:f>
        <x:v>0.5</x:v>
      </x:c>
      <x:c r="P522" s="47" t="n">
        <x:f>J522*O522</x:f>
        <x:v>13200</x:v>
      </x:c>
      <x:c r="Q522" s="46" t="n">
        <x:f>IF(C522="P0",0,IF(D522&lt;=3,0.05,IF(D522&lt;=14,0.1,IF(D522&lt;=45,0.15,0.2))))</x:f>
        <x:v>0.2</x:v>
      </x:c>
      <x:c r="R522" s="47" t="n">
        <x:f>J522*Q522</x:f>
        <x:v>5280</x:v>
      </x:c>
      <x:c r="S522" s="20" t="str">
        <x:f>IF(D522&lt;E522,"closed",IF(D522&lt;'Paths'!$N$12,"initial","expanded"))</x:f>
        <x:v>expanded</x:v>
      </x:c>
      <x:c r="T522" s="72"/>
    </x:row>
    <x:row r="523">
      <x:c r="C523" s="20" t="str">
        <x:v>P5</x:v>
      </x:c>
      <x:c r="D523" s="20" t="n">
        <x:v>61</x:v>
      </x:c>
      <x:c r="E523" s="45" t="n">
        <x:f>IF('Controls'!$D$7="Reference",'Paths'!$J$12,'Paths'!$K$12)</x:f>
        <x:v>3</x:v>
      </x:c>
      <x:c r="F523" s="47" t="n">
        <x:f>IF(D523&lt;'Paths'!$N$12,IF('Controls'!$D$7="Reference",'Paths'!$L$12,'Paths'!$M$12),IF('Controls'!$D$7="Reference",'Paths'!$O$12,'Paths'!$P$12))</x:f>
        <x:v>30000</x:v>
      </x:c>
      <x:c r="G523" s="46" t="n">
        <x:f>IF('Controls'!$D$7="Reference",1,IF(OR(D523=6,D523=7,D523=21,D523=46),'Paths'!$U$12,1))</x:f>
        <x:v>1</x:v>
      </x:c>
      <x:c r="H523" s="46" t="n">
        <x:f>IF('Controls'!$D$7="Reference",1,IF(OR(AND(D523&gt;=14,D523&lt;=16),AND(D523&gt;=34,D523&lt;=35),AND(D523&gt;=61,D523&lt;=63)),'Paths'!$V$12,1))</x:f>
        <x:v>0.55</x:v>
      </x:c>
      <x:c r="I523" s="46" t="n">
        <x:f>'Paths'!$W$12</x:f>
        <x:v>0.88</x:v>
      </x:c>
      <x:c r="J523" s="47" t="n">
        <x:f>IF(D523&lt;E523,0,MIN(F523*G523*H523*I523,IF('Paths'!$T$12&gt;0,MAX(0,'Paths'!$T$12-K522),1000000000)))</x:f>
        <x:v>14520</x:v>
      </x:c>
      <x:c r="K523" s="47" t="n">
        <x:f>K522+J523</x:f>
        <x:v>1405008</x:v>
      </x:c>
      <x:c r="L523" s="46" t="n">
        <x:f>IF(C523="P0",1,IF(D523&lt;=3,0.8,IF(D523&lt;=14,0.65,IF(D523&lt;=45,0.5,0.3))))</x:f>
        <x:v>0.3</x:v>
      </x:c>
      <x:c r="M523" s="47" t="n">
        <x:f>J523*L523</x:f>
        <x:v>4356</x:v>
      </x:c>
      <x:c r="N523" s="47" t="n">
        <x:f>N522+M523</x:f>
        <x:v>661465.2</x:v>
      </x:c>
      <x:c r="O523" s="46" t="n">
        <x:f>IF(C523="P0",0,IF(D523&lt;=3,0.15,IF(D523&lt;=14,0.25,IF(D523&lt;=45,0.35,0.5))))</x:f>
        <x:v>0.5</x:v>
      </x:c>
      <x:c r="P523" s="47" t="n">
        <x:f>J523*O523</x:f>
        <x:v>7260</x:v>
      </x:c>
      <x:c r="Q523" s="46" t="n">
        <x:f>IF(C523="P0",0,IF(D523&lt;=3,0.05,IF(D523&lt;=14,0.1,IF(D523&lt;=45,0.15,0.2))))</x:f>
        <x:v>0.2</x:v>
      </x:c>
      <x:c r="R523" s="47" t="n">
        <x:f>J523*Q523</x:f>
        <x:v>2904</x:v>
      </x:c>
      <x:c r="S523" s="20" t="str">
        <x:f>IF(D523&lt;E523,"closed",IF(D523&lt;'Paths'!$N$12,"initial","expanded"))</x:f>
        <x:v>expanded</x:v>
      </x:c>
      <x:c r="T523" s="72"/>
    </x:row>
    <x:row r="524">
      <x:c r="C524" s="20" t="str">
        <x:v>P5</x:v>
      </x:c>
      <x:c r="D524" s="20" t="n">
        <x:v>62</x:v>
      </x:c>
      <x:c r="E524" s="45" t="n">
        <x:f>IF('Controls'!$D$7="Reference",'Paths'!$J$12,'Paths'!$K$12)</x:f>
        <x:v>3</x:v>
      </x:c>
      <x:c r="F524" s="47" t="n">
        <x:f>IF(D524&lt;'Paths'!$N$12,IF('Controls'!$D$7="Reference",'Paths'!$L$12,'Paths'!$M$12),IF('Controls'!$D$7="Reference",'Paths'!$O$12,'Paths'!$P$12))</x:f>
        <x:v>30000</x:v>
      </x:c>
      <x:c r="G524" s="46" t="n">
        <x:f>IF('Controls'!$D$7="Reference",1,IF(OR(D524=6,D524=7,D524=21,D524=46),'Paths'!$U$12,1))</x:f>
        <x:v>1</x:v>
      </x:c>
      <x:c r="H524" s="46" t="n">
        <x:f>IF('Controls'!$D$7="Reference",1,IF(OR(AND(D524&gt;=14,D524&lt;=16),AND(D524&gt;=34,D524&lt;=35),AND(D524&gt;=61,D524&lt;=63)),'Paths'!$V$12,1))</x:f>
        <x:v>0.55</x:v>
      </x:c>
      <x:c r="I524" s="46" t="n">
        <x:f>'Paths'!$W$12</x:f>
        <x:v>0.88</x:v>
      </x:c>
      <x:c r="J524" s="47" t="n">
        <x:f>IF(D524&lt;E524,0,MIN(F524*G524*H524*I524,IF('Paths'!$T$12&gt;0,MAX(0,'Paths'!$T$12-K523),1000000000)))</x:f>
        <x:v>14520</x:v>
      </x:c>
      <x:c r="K524" s="47" t="n">
        <x:f>K523+J524</x:f>
        <x:v>1419528</x:v>
      </x:c>
      <x:c r="L524" s="46" t="n">
        <x:f>IF(C524="P0",1,IF(D524&lt;=3,0.8,IF(D524&lt;=14,0.65,IF(D524&lt;=45,0.5,0.3))))</x:f>
        <x:v>0.3</x:v>
      </x:c>
      <x:c r="M524" s="47" t="n">
        <x:f>J524*L524</x:f>
        <x:v>4356</x:v>
      </x:c>
      <x:c r="N524" s="47" t="n">
        <x:f>N523+M524</x:f>
        <x:v>665821.2</x:v>
      </x:c>
      <x:c r="O524" s="46" t="n">
        <x:f>IF(C524="P0",0,IF(D524&lt;=3,0.15,IF(D524&lt;=14,0.25,IF(D524&lt;=45,0.35,0.5))))</x:f>
        <x:v>0.5</x:v>
      </x:c>
      <x:c r="P524" s="47" t="n">
        <x:f>J524*O524</x:f>
        <x:v>7260</x:v>
      </x:c>
      <x:c r="Q524" s="46" t="n">
        <x:f>IF(C524="P0",0,IF(D524&lt;=3,0.05,IF(D524&lt;=14,0.1,IF(D524&lt;=45,0.15,0.2))))</x:f>
        <x:v>0.2</x:v>
      </x:c>
      <x:c r="R524" s="47" t="n">
        <x:f>J524*Q524</x:f>
        <x:v>2904</x:v>
      </x:c>
      <x:c r="S524" s="20" t="str">
        <x:f>IF(D524&lt;E524,"closed",IF(D524&lt;'Paths'!$N$12,"initial","expanded"))</x:f>
        <x:v>expanded</x:v>
      </x:c>
      <x:c r="T524" s="72"/>
    </x:row>
    <x:row r="525">
      <x:c r="C525" s="20" t="str">
        <x:v>P5</x:v>
      </x:c>
      <x:c r="D525" s="20" t="n">
        <x:v>63</x:v>
      </x:c>
      <x:c r="E525" s="45" t="n">
        <x:f>IF('Controls'!$D$7="Reference",'Paths'!$J$12,'Paths'!$K$12)</x:f>
        <x:v>3</x:v>
      </x:c>
      <x:c r="F525" s="47" t="n">
        <x:f>IF(D525&lt;'Paths'!$N$12,IF('Controls'!$D$7="Reference",'Paths'!$L$12,'Paths'!$M$12),IF('Controls'!$D$7="Reference",'Paths'!$O$12,'Paths'!$P$12))</x:f>
        <x:v>30000</x:v>
      </x:c>
      <x:c r="G525" s="46" t="n">
        <x:f>IF('Controls'!$D$7="Reference",1,IF(OR(D525=6,D525=7,D525=21,D525=46),'Paths'!$U$12,1))</x:f>
        <x:v>1</x:v>
      </x:c>
      <x:c r="H525" s="46" t="n">
        <x:f>IF('Controls'!$D$7="Reference",1,IF(OR(AND(D525&gt;=14,D525&lt;=16),AND(D525&gt;=34,D525&lt;=35),AND(D525&gt;=61,D525&lt;=63)),'Paths'!$V$12,1))</x:f>
        <x:v>0.55</x:v>
      </x:c>
      <x:c r="I525" s="46" t="n">
        <x:f>'Paths'!$W$12</x:f>
        <x:v>0.88</x:v>
      </x:c>
      <x:c r="J525" s="47" t="n">
        <x:f>IF(D525&lt;E525,0,MIN(F525*G525*H525*I525,IF('Paths'!$T$12&gt;0,MAX(0,'Paths'!$T$12-K524),1000000000)))</x:f>
        <x:v>14520</x:v>
      </x:c>
      <x:c r="K525" s="47" t="n">
        <x:f>K524+J525</x:f>
        <x:v>1434048</x:v>
      </x:c>
      <x:c r="L525" s="46" t="n">
        <x:f>IF(C525="P0",1,IF(D525&lt;=3,0.8,IF(D525&lt;=14,0.65,IF(D525&lt;=45,0.5,0.3))))</x:f>
        <x:v>0.3</x:v>
      </x:c>
      <x:c r="M525" s="47" t="n">
        <x:f>J525*L525</x:f>
        <x:v>4356</x:v>
      </x:c>
      <x:c r="N525" s="47" t="n">
        <x:f>N524+M525</x:f>
        <x:v>670177.2</x:v>
      </x:c>
      <x:c r="O525" s="46" t="n">
        <x:f>IF(C525="P0",0,IF(D525&lt;=3,0.15,IF(D525&lt;=14,0.25,IF(D525&lt;=45,0.35,0.5))))</x:f>
        <x:v>0.5</x:v>
      </x:c>
      <x:c r="P525" s="47" t="n">
        <x:f>J525*O525</x:f>
        <x:v>7260</x:v>
      </x:c>
      <x:c r="Q525" s="46" t="n">
        <x:f>IF(C525="P0",0,IF(D525&lt;=3,0.05,IF(D525&lt;=14,0.1,IF(D525&lt;=45,0.15,0.2))))</x:f>
        <x:v>0.2</x:v>
      </x:c>
      <x:c r="R525" s="47" t="n">
        <x:f>J525*Q525</x:f>
        <x:v>2904</x:v>
      </x:c>
      <x:c r="S525" s="20" t="str">
        <x:f>IF(D525&lt;E525,"closed",IF(D525&lt;'Paths'!$N$12,"initial","expanded"))</x:f>
        <x:v>expanded</x:v>
      </x:c>
      <x:c r="T525" s="72"/>
    </x:row>
    <x:row r="526">
      <x:c r="C526" s="20" t="str">
        <x:v>P5</x:v>
      </x:c>
      <x:c r="D526" s="20" t="n">
        <x:v>64</x:v>
      </x:c>
      <x:c r="E526" s="45" t="n">
        <x:f>IF('Controls'!$D$7="Reference",'Paths'!$J$12,'Paths'!$K$12)</x:f>
        <x:v>3</x:v>
      </x:c>
      <x:c r="F526" s="47" t="n">
        <x:f>IF(D526&lt;'Paths'!$N$12,IF('Controls'!$D$7="Reference",'Paths'!$L$12,'Paths'!$M$12),IF('Controls'!$D$7="Reference",'Paths'!$O$12,'Paths'!$P$12))</x:f>
        <x:v>30000</x:v>
      </x:c>
      <x:c r="G526" s="46" t="n">
        <x:f>IF('Controls'!$D$7="Reference",1,IF(OR(D526=6,D526=7,D526=21,D526=46),'Paths'!$U$12,1))</x:f>
        <x:v>1</x:v>
      </x:c>
      <x:c r="H526" s="46" t="n">
        <x:f>IF('Controls'!$D$7="Reference",1,IF(OR(AND(D526&gt;=14,D526&lt;=16),AND(D526&gt;=34,D526&lt;=35),AND(D526&gt;=61,D526&lt;=63)),'Paths'!$V$12,1))</x:f>
        <x:v>1</x:v>
      </x:c>
      <x:c r="I526" s="46" t="n">
        <x:f>'Paths'!$W$12</x:f>
        <x:v>0.88</x:v>
      </x:c>
      <x:c r="J526" s="47" t="n">
        <x:f>IF(D526&lt;E526,0,MIN(F526*G526*H526*I526,IF('Paths'!$T$12&gt;0,MAX(0,'Paths'!$T$12-K525),1000000000)))</x:f>
        <x:v>26400</x:v>
      </x:c>
      <x:c r="K526" s="47" t="n">
        <x:f>K525+J526</x:f>
        <x:v>1460448</x:v>
      </x:c>
      <x:c r="L526" s="46" t="n">
        <x:f>IF(C526="P0",1,IF(D526&lt;=3,0.8,IF(D526&lt;=14,0.65,IF(D526&lt;=45,0.5,0.3))))</x:f>
        <x:v>0.3</x:v>
      </x:c>
      <x:c r="M526" s="47" t="n">
        <x:f>J526*L526</x:f>
        <x:v>7920</x:v>
      </x:c>
      <x:c r="N526" s="47" t="n">
        <x:f>N525+M526</x:f>
        <x:v>678097.2</x:v>
      </x:c>
      <x:c r="O526" s="46" t="n">
        <x:f>IF(C526="P0",0,IF(D526&lt;=3,0.15,IF(D526&lt;=14,0.25,IF(D526&lt;=45,0.35,0.5))))</x:f>
        <x:v>0.5</x:v>
      </x:c>
      <x:c r="P526" s="47" t="n">
        <x:f>J526*O526</x:f>
        <x:v>13200</x:v>
      </x:c>
      <x:c r="Q526" s="46" t="n">
        <x:f>IF(C526="P0",0,IF(D526&lt;=3,0.05,IF(D526&lt;=14,0.1,IF(D526&lt;=45,0.15,0.2))))</x:f>
        <x:v>0.2</x:v>
      </x:c>
      <x:c r="R526" s="47" t="n">
        <x:f>J526*Q526</x:f>
        <x:v>5280</x:v>
      </x:c>
      <x:c r="S526" s="20" t="str">
        <x:f>IF(D526&lt;E526,"closed",IF(D526&lt;'Paths'!$N$12,"initial","expanded"))</x:f>
        <x:v>expanded</x:v>
      </x:c>
      <x:c r="T526" s="72"/>
    </x:row>
    <x:row r="527">
      <x:c r="C527" s="20" t="str">
        <x:v>P5</x:v>
      </x:c>
      <x:c r="D527" s="20" t="n">
        <x:v>65</x:v>
      </x:c>
      <x:c r="E527" s="45" t="n">
        <x:f>IF('Controls'!$D$7="Reference",'Paths'!$J$12,'Paths'!$K$12)</x:f>
        <x:v>3</x:v>
      </x:c>
      <x:c r="F527" s="47" t="n">
        <x:f>IF(D527&lt;'Paths'!$N$12,IF('Controls'!$D$7="Reference",'Paths'!$L$12,'Paths'!$M$12),IF('Controls'!$D$7="Reference",'Paths'!$O$12,'Paths'!$P$12))</x:f>
        <x:v>30000</x:v>
      </x:c>
      <x:c r="G527" s="46" t="n">
        <x:f>IF('Controls'!$D$7="Reference",1,IF(OR(D527=6,D527=7,D527=21,D527=46),'Paths'!$U$12,1))</x:f>
        <x:v>1</x:v>
      </x:c>
      <x:c r="H527" s="46" t="n">
        <x:f>IF('Controls'!$D$7="Reference",1,IF(OR(AND(D527&gt;=14,D527&lt;=16),AND(D527&gt;=34,D527&lt;=35),AND(D527&gt;=61,D527&lt;=63)),'Paths'!$V$12,1))</x:f>
        <x:v>1</x:v>
      </x:c>
      <x:c r="I527" s="46" t="n">
        <x:f>'Paths'!$W$12</x:f>
        <x:v>0.88</x:v>
      </x:c>
      <x:c r="J527" s="47" t="n">
        <x:f>IF(D527&lt;E527,0,MIN(F527*G527*H527*I527,IF('Paths'!$T$12&gt;0,MAX(0,'Paths'!$T$12-K526),1000000000)))</x:f>
        <x:v>26400</x:v>
      </x:c>
      <x:c r="K527" s="47" t="n">
        <x:f>K526+J527</x:f>
        <x:v>1486848</x:v>
      </x:c>
      <x:c r="L527" s="46" t="n">
        <x:f>IF(C527="P0",1,IF(D527&lt;=3,0.8,IF(D527&lt;=14,0.65,IF(D527&lt;=45,0.5,0.3))))</x:f>
        <x:v>0.3</x:v>
      </x:c>
      <x:c r="M527" s="47" t="n">
        <x:f>J527*L527</x:f>
        <x:v>7920</x:v>
      </x:c>
      <x:c r="N527" s="47" t="n">
        <x:f>N526+M527</x:f>
        <x:v>686017.2</x:v>
      </x:c>
      <x:c r="O527" s="46" t="n">
        <x:f>IF(C527="P0",0,IF(D527&lt;=3,0.15,IF(D527&lt;=14,0.25,IF(D527&lt;=45,0.35,0.5))))</x:f>
        <x:v>0.5</x:v>
      </x:c>
      <x:c r="P527" s="47" t="n">
        <x:f>J527*O527</x:f>
        <x:v>13200</x:v>
      </x:c>
      <x:c r="Q527" s="46" t="n">
        <x:f>IF(C527="P0",0,IF(D527&lt;=3,0.05,IF(D527&lt;=14,0.1,IF(D527&lt;=45,0.15,0.2))))</x:f>
        <x:v>0.2</x:v>
      </x:c>
      <x:c r="R527" s="47" t="n">
        <x:f>J527*Q527</x:f>
        <x:v>5280</x:v>
      </x:c>
      <x:c r="S527" s="20" t="str">
        <x:f>IF(D527&lt;E527,"closed",IF(D527&lt;'Paths'!$N$12,"initial","expanded"))</x:f>
        <x:v>expanded</x:v>
      </x:c>
      <x:c r="T527" s="72"/>
    </x:row>
    <x:row r="528">
      <x:c r="C528" s="20" t="str">
        <x:v>P5</x:v>
      </x:c>
      <x:c r="D528" s="20" t="n">
        <x:v>66</x:v>
      </x:c>
      <x:c r="E528" s="45" t="n">
        <x:f>IF('Controls'!$D$7="Reference",'Paths'!$J$12,'Paths'!$K$12)</x:f>
        <x:v>3</x:v>
      </x:c>
      <x:c r="F528" s="47" t="n">
        <x:f>IF(D528&lt;'Paths'!$N$12,IF('Controls'!$D$7="Reference",'Paths'!$L$12,'Paths'!$M$12),IF('Controls'!$D$7="Reference",'Paths'!$O$12,'Paths'!$P$12))</x:f>
        <x:v>30000</x:v>
      </x:c>
      <x:c r="G528" s="46" t="n">
        <x:f>IF('Controls'!$D$7="Reference",1,IF(OR(D528=6,D528=7,D528=21,D528=46),'Paths'!$U$12,1))</x:f>
        <x:v>1</x:v>
      </x:c>
      <x:c r="H528" s="46" t="n">
        <x:f>IF('Controls'!$D$7="Reference",1,IF(OR(AND(D528&gt;=14,D528&lt;=16),AND(D528&gt;=34,D528&lt;=35),AND(D528&gt;=61,D528&lt;=63)),'Paths'!$V$12,1))</x:f>
        <x:v>1</x:v>
      </x:c>
      <x:c r="I528" s="46" t="n">
        <x:f>'Paths'!$W$12</x:f>
        <x:v>0.88</x:v>
      </x:c>
      <x:c r="J528" s="47" t="n">
        <x:f>IF(D528&lt;E528,0,MIN(F528*G528*H528*I528,IF('Paths'!$T$12&gt;0,MAX(0,'Paths'!$T$12-K527),1000000000)))</x:f>
        <x:v>26400</x:v>
      </x:c>
      <x:c r="K528" s="47" t="n">
        <x:f>K527+J528</x:f>
        <x:v>1513248</x:v>
      </x:c>
      <x:c r="L528" s="46" t="n">
        <x:f>IF(C528="P0",1,IF(D528&lt;=3,0.8,IF(D528&lt;=14,0.65,IF(D528&lt;=45,0.5,0.3))))</x:f>
        <x:v>0.3</x:v>
      </x:c>
      <x:c r="M528" s="47" t="n">
        <x:f>J528*L528</x:f>
        <x:v>7920</x:v>
      </x:c>
      <x:c r="N528" s="47" t="n">
        <x:f>N527+M528</x:f>
        <x:v>693937.2</x:v>
      </x:c>
      <x:c r="O528" s="46" t="n">
        <x:f>IF(C528="P0",0,IF(D528&lt;=3,0.15,IF(D528&lt;=14,0.25,IF(D528&lt;=45,0.35,0.5))))</x:f>
        <x:v>0.5</x:v>
      </x:c>
      <x:c r="P528" s="47" t="n">
        <x:f>J528*O528</x:f>
        <x:v>13200</x:v>
      </x:c>
      <x:c r="Q528" s="46" t="n">
        <x:f>IF(C528="P0",0,IF(D528&lt;=3,0.05,IF(D528&lt;=14,0.1,IF(D528&lt;=45,0.15,0.2))))</x:f>
        <x:v>0.2</x:v>
      </x:c>
      <x:c r="R528" s="47" t="n">
        <x:f>J528*Q528</x:f>
        <x:v>5280</x:v>
      </x:c>
      <x:c r="S528" s="20" t="str">
        <x:f>IF(D528&lt;E528,"closed",IF(D528&lt;'Paths'!$N$12,"initial","expanded"))</x:f>
        <x:v>expanded</x:v>
      </x:c>
      <x:c r="T528" s="72"/>
    </x:row>
    <x:row r="529">
      <x:c r="C529" s="20" t="str">
        <x:v>P5</x:v>
      </x:c>
      <x:c r="D529" s="20" t="n">
        <x:v>67</x:v>
      </x:c>
      <x:c r="E529" s="45" t="n">
        <x:f>IF('Controls'!$D$7="Reference",'Paths'!$J$12,'Paths'!$K$12)</x:f>
        <x:v>3</x:v>
      </x:c>
      <x:c r="F529" s="47" t="n">
        <x:f>IF(D529&lt;'Paths'!$N$12,IF('Controls'!$D$7="Reference",'Paths'!$L$12,'Paths'!$M$12),IF('Controls'!$D$7="Reference",'Paths'!$O$12,'Paths'!$P$12))</x:f>
        <x:v>30000</x:v>
      </x:c>
      <x:c r="G529" s="46" t="n">
        <x:f>IF('Controls'!$D$7="Reference",1,IF(OR(D529=6,D529=7,D529=21,D529=46),'Paths'!$U$12,1))</x:f>
        <x:v>1</x:v>
      </x:c>
      <x:c r="H529" s="46" t="n">
        <x:f>IF('Controls'!$D$7="Reference",1,IF(OR(AND(D529&gt;=14,D529&lt;=16),AND(D529&gt;=34,D529&lt;=35),AND(D529&gt;=61,D529&lt;=63)),'Paths'!$V$12,1))</x:f>
        <x:v>1</x:v>
      </x:c>
      <x:c r="I529" s="46" t="n">
        <x:f>'Paths'!$W$12</x:f>
        <x:v>0.88</x:v>
      </x:c>
      <x:c r="J529" s="47" t="n">
        <x:f>IF(D529&lt;E529,0,MIN(F529*G529*H529*I529,IF('Paths'!$T$12&gt;0,MAX(0,'Paths'!$T$12-K528),1000000000)))</x:f>
        <x:v>26400</x:v>
      </x:c>
      <x:c r="K529" s="47" t="n">
        <x:f>K528+J529</x:f>
        <x:v>1539648</x:v>
      </x:c>
      <x:c r="L529" s="46" t="n">
        <x:f>IF(C529="P0",1,IF(D529&lt;=3,0.8,IF(D529&lt;=14,0.65,IF(D529&lt;=45,0.5,0.3))))</x:f>
        <x:v>0.3</x:v>
      </x:c>
      <x:c r="M529" s="47" t="n">
        <x:f>J529*L529</x:f>
        <x:v>7920</x:v>
      </x:c>
      <x:c r="N529" s="47" t="n">
        <x:f>N528+M529</x:f>
        <x:v>701857.2</x:v>
      </x:c>
      <x:c r="O529" s="46" t="n">
        <x:f>IF(C529="P0",0,IF(D529&lt;=3,0.15,IF(D529&lt;=14,0.25,IF(D529&lt;=45,0.35,0.5))))</x:f>
        <x:v>0.5</x:v>
      </x:c>
      <x:c r="P529" s="47" t="n">
        <x:f>J529*O529</x:f>
        <x:v>13200</x:v>
      </x:c>
      <x:c r="Q529" s="46" t="n">
        <x:f>IF(C529="P0",0,IF(D529&lt;=3,0.05,IF(D529&lt;=14,0.1,IF(D529&lt;=45,0.15,0.2))))</x:f>
        <x:v>0.2</x:v>
      </x:c>
      <x:c r="R529" s="47" t="n">
        <x:f>J529*Q529</x:f>
        <x:v>5280</x:v>
      </x:c>
      <x:c r="S529" s="20" t="str">
        <x:f>IF(D529&lt;E529,"closed",IF(D529&lt;'Paths'!$N$12,"initial","expanded"))</x:f>
        <x:v>expanded</x:v>
      </x:c>
      <x:c r="T529" s="72"/>
    </x:row>
    <x:row r="530">
      <x:c r="C530" s="20" t="str">
        <x:v>P5</x:v>
      </x:c>
      <x:c r="D530" s="20" t="n">
        <x:v>68</x:v>
      </x:c>
      <x:c r="E530" s="45" t="n">
        <x:f>IF('Controls'!$D$7="Reference",'Paths'!$J$12,'Paths'!$K$12)</x:f>
        <x:v>3</x:v>
      </x:c>
      <x:c r="F530" s="47" t="n">
        <x:f>IF(D530&lt;'Paths'!$N$12,IF('Controls'!$D$7="Reference",'Paths'!$L$12,'Paths'!$M$12),IF('Controls'!$D$7="Reference",'Paths'!$O$12,'Paths'!$P$12))</x:f>
        <x:v>30000</x:v>
      </x:c>
      <x:c r="G530" s="46" t="n">
        <x:f>IF('Controls'!$D$7="Reference",1,IF(OR(D530=6,D530=7,D530=21,D530=46),'Paths'!$U$12,1))</x:f>
        <x:v>1</x:v>
      </x:c>
      <x:c r="H530" s="46" t="n">
        <x:f>IF('Controls'!$D$7="Reference",1,IF(OR(AND(D530&gt;=14,D530&lt;=16),AND(D530&gt;=34,D530&lt;=35),AND(D530&gt;=61,D530&lt;=63)),'Paths'!$V$12,1))</x:f>
        <x:v>1</x:v>
      </x:c>
      <x:c r="I530" s="46" t="n">
        <x:f>'Paths'!$W$12</x:f>
        <x:v>0.88</x:v>
      </x:c>
      <x:c r="J530" s="47" t="n">
        <x:f>IF(D530&lt;E530,0,MIN(F530*G530*H530*I530,IF('Paths'!$T$12&gt;0,MAX(0,'Paths'!$T$12-K529),1000000000)))</x:f>
        <x:v>26400</x:v>
      </x:c>
      <x:c r="K530" s="47" t="n">
        <x:f>K529+J530</x:f>
        <x:v>1566048</x:v>
      </x:c>
      <x:c r="L530" s="46" t="n">
        <x:f>IF(C530="P0",1,IF(D530&lt;=3,0.8,IF(D530&lt;=14,0.65,IF(D530&lt;=45,0.5,0.3))))</x:f>
        <x:v>0.3</x:v>
      </x:c>
      <x:c r="M530" s="47" t="n">
        <x:f>J530*L530</x:f>
        <x:v>7920</x:v>
      </x:c>
      <x:c r="N530" s="47" t="n">
        <x:f>N529+M530</x:f>
        <x:v>709777.2</x:v>
      </x:c>
      <x:c r="O530" s="46" t="n">
        <x:f>IF(C530="P0",0,IF(D530&lt;=3,0.15,IF(D530&lt;=14,0.25,IF(D530&lt;=45,0.35,0.5))))</x:f>
        <x:v>0.5</x:v>
      </x:c>
      <x:c r="P530" s="47" t="n">
        <x:f>J530*O530</x:f>
        <x:v>13200</x:v>
      </x:c>
      <x:c r="Q530" s="46" t="n">
        <x:f>IF(C530="P0",0,IF(D530&lt;=3,0.05,IF(D530&lt;=14,0.1,IF(D530&lt;=45,0.15,0.2))))</x:f>
        <x:v>0.2</x:v>
      </x:c>
      <x:c r="R530" s="47" t="n">
        <x:f>J530*Q530</x:f>
        <x:v>5280</x:v>
      </x:c>
      <x:c r="S530" s="20" t="str">
        <x:f>IF(D530&lt;E530,"closed",IF(D530&lt;'Paths'!$N$12,"initial","expanded"))</x:f>
        <x:v>expanded</x:v>
      </x:c>
      <x:c r="T530" s="72"/>
    </x:row>
    <x:row r="531">
      <x:c r="C531" s="20" t="str">
        <x:v>P5</x:v>
      </x:c>
      <x:c r="D531" s="20" t="n">
        <x:v>69</x:v>
      </x:c>
      <x:c r="E531" s="45" t="n">
        <x:f>IF('Controls'!$D$7="Reference",'Paths'!$J$12,'Paths'!$K$12)</x:f>
        <x:v>3</x:v>
      </x:c>
      <x:c r="F531" s="47" t="n">
        <x:f>IF(D531&lt;'Paths'!$N$12,IF('Controls'!$D$7="Reference",'Paths'!$L$12,'Paths'!$M$12),IF('Controls'!$D$7="Reference",'Paths'!$O$12,'Paths'!$P$12))</x:f>
        <x:v>30000</x:v>
      </x:c>
      <x:c r="G531" s="46" t="n">
        <x:f>IF('Controls'!$D$7="Reference",1,IF(OR(D531=6,D531=7,D531=21,D531=46),'Paths'!$U$12,1))</x:f>
        <x:v>1</x:v>
      </x:c>
      <x:c r="H531" s="46" t="n">
        <x:f>IF('Controls'!$D$7="Reference",1,IF(OR(AND(D531&gt;=14,D531&lt;=16),AND(D531&gt;=34,D531&lt;=35),AND(D531&gt;=61,D531&lt;=63)),'Paths'!$V$12,1))</x:f>
        <x:v>1</x:v>
      </x:c>
      <x:c r="I531" s="46" t="n">
        <x:f>'Paths'!$W$12</x:f>
        <x:v>0.88</x:v>
      </x:c>
      <x:c r="J531" s="47" t="n">
        <x:f>IF(D531&lt;E531,0,MIN(F531*G531*H531*I531,IF('Paths'!$T$12&gt;0,MAX(0,'Paths'!$T$12-K530),1000000000)))</x:f>
        <x:v>26400</x:v>
      </x:c>
      <x:c r="K531" s="47" t="n">
        <x:f>K530+J531</x:f>
        <x:v>1592448</x:v>
      </x:c>
      <x:c r="L531" s="46" t="n">
        <x:f>IF(C531="P0",1,IF(D531&lt;=3,0.8,IF(D531&lt;=14,0.65,IF(D531&lt;=45,0.5,0.3))))</x:f>
        <x:v>0.3</x:v>
      </x:c>
      <x:c r="M531" s="47" t="n">
        <x:f>J531*L531</x:f>
        <x:v>7920</x:v>
      </x:c>
      <x:c r="N531" s="47" t="n">
        <x:f>N530+M531</x:f>
        <x:v>717697.2</x:v>
      </x:c>
      <x:c r="O531" s="46" t="n">
        <x:f>IF(C531="P0",0,IF(D531&lt;=3,0.15,IF(D531&lt;=14,0.25,IF(D531&lt;=45,0.35,0.5))))</x:f>
        <x:v>0.5</x:v>
      </x:c>
      <x:c r="P531" s="47" t="n">
        <x:f>J531*O531</x:f>
        <x:v>13200</x:v>
      </x:c>
      <x:c r="Q531" s="46" t="n">
        <x:f>IF(C531="P0",0,IF(D531&lt;=3,0.05,IF(D531&lt;=14,0.1,IF(D531&lt;=45,0.15,0.2))))</x:f>
        <x:v>0.2</x:v>
      </x:c>
      <x:c r="R531" s="47" t="n">
        <x:f>J531*Q531</x:f>
        <x:v>5280</x:v>
      </x:c>
      <x:c r="S531" s="20" t="str">
        <x:f>IF(D531&lt;E531,"closed",IF(D531&lt;'Paths'!$N$12,"initial","expanded"))</x:f>
        <x:v>expanded</x:v>
      </x:c>
      <x:c r="T531" s="72"/>
    </x:row>
    <x:row r="532">
      <x:c r="C532" s="20" t="str">
        <x:v>P5</x:v>
      </x:c>
      <x:c r="D532" s="20" t="n">
        <x:v>70</x:v>
      </x:c>
      <x:c r="E532" s="45" t="n">
        <x:f>IF('Controls'!$D$7="Reference",'Paths'!$J$12,'Paths'!$K$12)</x:f>
        <x:v>3</x:v>
      </x:c>
      <x:c r="F532" s="47" t="n">
        <x:f>IF(D532&lt;'Paths'!$N$12,IF('Controls'!$D$7="Reference",'Paths'!$L$12,'Paths'!$M$12),IF('Controls'!$D$7="Reference",'Paths'!$O$12,'Paths'!$P$12))</x:f>
        <x:v>30000</x:v>
      </x:c>
      <x:c r="G532" s="46" t="n">
        <x:f>IF('Controls'!$D$7="Reference",1,IF(OR(D532=6,D532=7,D532=21,D532=46),'Paths'!$U$12,1))</x:f>
        <x:v>1</x:v>
      </x:c>
      <x:c r="H532" s="46" t="n">
        <x:f>IF('Controls'!$D$7="Reference",1,IF(OR(AND(D532&gt;=14,D532&lt;=16),AND(D532&gt;=34,D532&lt;=35),AND(D532&gt;=61,D532&lt;=63)),'Paths'!$V$12,1))</x:f>
        <x:v>1</x:v>
      </x:c>
      <x:c r="I532" s="46" t="n">
        <x:f>'Paths'!$W$12</x:f>
        <x:v>0.88</x:v>
      </x:c>
      <x:c r="J532" s="47" t="n">
        <x:f>IF(D532&lt;E532,0,MIN(F532*G532*H532*I532,IF('Paths'!$T$12&gt;0,MAX(0,'Paths'!$T$12-K531),1000000000)))</x:f>
        <x:v>26400</x:v>
      </x:c>
      <x:c r="K532" s="47" t="n">
        <x:f>K531+J532</x:f>
        <x:v>1618848</x:v>
      </x:c>
      <x:c r="L532" s="46" t="n">
        <x:f>IF(C532="P0",1,IF(D532&lt;=3,0.8,IF(D532&lt;=14,0.65,IF(D532&lt;=45,0.5,0.3))))</x:f>
        <x:v>0.3</x:v>
      </x:c>
      <x:c r="M532" s="47" t="n">
        <x:f>J532*L532</x:f>
        <x:v>7920</x:v>
      </x:c>
      <x:c r="N532" s="47" t="n">
        <x:f>N531+M532</x:f>
        <x:v>725617.2</x:v>
      </x:c>
      <x:c r="O532" s="46" t="n">
        <x:f>IF(C532="P0",0,IF(D532&lt;=3,0.15,IF(D532&lt;=14,0.25,IF(D532&lt;=45,0.35,0.5))))</x:f>
        <x:v>0.5</x:v>
      </x:c>
      <x:c r="P532" s="47" t="n">
        <x:f>J532*O532</x:f>
        <x:v>13200</x:v>
      </x:c>
      <x:c r="Q532" s="46" t="n">
        <x:f>IF(C532="P0",0,IF(D532&lt;=3,0.05,IF(D532&lt;=14,0.1,IF(D532&lt;=45,0.15,0.2))))</x:f>
        <x:v>0.2</x:v>
      </x:c>
      <x:c r="R532" s="47" t="n">
        <x:f>J532*Q532</x:f>
        <x:v>5280</x:v>
      </x:c>
      <x:c r="S532" s="20" t="str">
        <x:f>IF(D532&lt;E532,"closed",IF(D532&lt;'Paths'!$N$12,"initial","expanded"))</x:f>
        <x:v>expanded</x:v>
      </x:c>
      <x:c r="T532" s="72"/>
    </x:row>
    <x:row r="533">
      <x:c r="C533" s="20" t="str">
        <x:v>P5</x:v>
      </x:c>
      <x:c r="D533" s="20" t="n">
        <x:v>71</x:v>
      </x:c>
      <x:c r="E533" s="45" t="n">
        <x:f>IF('Controls'!$D$7="Reference",'Paths'!$J$12,'Paths'!$K$12)</x:f>
        <x:v>3</x:v>
      </x:c>
      <x:c r="F533" s="47" t="n">
        <x:f>IF(D533&lt;'Paths'!$N$12,IF('Controls'!$D$7="Reference",'Paths'!$L$12,'Paths'!$M$12),IF('Controls'!$D$7="Reference",'Paths'!$O$12,'Paths'!$P$12))</x:f>
        <x:v>30000</x:v>
      </x:c>
      <x:c r="G533" s="46" t="n">
        <x:f>IF('Controls'!$D$7="Reference",1,IF(OR(D533=6,D533=7,D533=21,D533=46),'Paths'!$U$12,1))</x:f>
        <x:v>1</x:v>
      </x:c>
      <x:c r="H533" s="46" t="n">
        <x:f>IF('Controls'!$D$7="Reference",1,IF(OR(AND(D533&gt;=14,D533&lt;=16),AND(D533&gt;=34,D533&lt;=35),AND(D533&gt;=61,D533&lt;=63)),'Paths'!$V$12,1))</x:f>
        <x:v>1</x:v>
      </x:c>
      <x:c r="I533" s="46" t="n">
        <x:f>'Paths'!$W$12</x:f>
        <x:v>0.88</x:v>
      </x:c>
      <x:c r="J533" s="47" t="n">
        <x:f>IF(D533&lt;E533,0,MIN(F533*G533*H533*I533,IF('Paths'!$T$12&gt;0,MAX(0,'Paths'!$T$12-K532),1000000000)))</x:f>
        <x:v>26400</x:v>
      </x:c>
      <x:c r="K533" s="47" t="n">
        <x:f>K532+J533</x:f>
        <x:v>1645248</x:v>
      </x:c>
      <x:c r="L533" s="46" t="n">
        <x:f>IF(C533="P0",1,IF(D533&lt;=3,0.8,IF(D533&lt;=14,0.65,IF(D533&lt;=45,0.5,0.3))))</x:f>
        <x:v>0.3</x:v>
      </x:c>
      <x:c r="M533" s="47" t="n">
        <x:f>J533*L533</x:f>
        <x:v>7920</x:v>
      </x:c>
      <x:c r="N533" s="47" t="n">
        <x:f>N532+M533</x:f>
        <x:v>733537.2</x:v>
      </x:c>
      <x:c r="O533" s="46" t="n">
        <x:f>IF(C533="P0",0,IF(D533&lt;=3,0.15,IF(D533&lt;=14,0.25,IF(D533&lt;=45,0.35,0.5))))</x:f>
        <x:v>0.5</x:v>
      </x:c>
      <x:c r="P533" s="47" t="n">
        <x:f>J533*O533</x:f>
        <x:v>13200</x:v>
      </x:c>
      <x:c r="Q533" s="46" t="n">
        <x:f>IF(C533="P0",0,IF(D533&lt;=3,0.05,IF(D533&lt;=14,0.1,IF(D533&lt;=45,0.15,0.2))))</x:f>
        <x:v>0.2</x:v>
      </x:c>
      <x:c r="R533" s="47" t="n">
        <x:f>J533*Q533</x:f>
        <x:v>5280</x:v>
      </x:c>
      <x:c r="S533" s="20" t="str">
        <x:f>IF(D533&lt;E533,"closed",IF(D533&lt;'Paths'!$N$12,"initial","expanded"))</x:f>
        <x:v>expanded</x:v>
      </x:c>
      <x:c r="T533" s="72"/>
    </x:row>
    <x:row r="534">
      <x:c r="C534" s="20" t="str">
        <x:v>P5</x:v>
      </x:c>
      <x:c r="D534" s="20" t="n">
        <x:v>72</x:v>
      </x:c>
      <x:c r="E534" s="45" t="n">
        <x:f>IF('Controls'!$D$7="Reference",'Paths'!$J$12,'Paths'!$K$12)</x:f>
        <x:v>3</x:v>
      </x:c>
      <x:c r="F534" s="47" t="n">
        <x:f>IF(D534&lt;'Paths'!$N$12,IF('Controls'!$D$7="Reference",'Paths'!$L$12,'Paths'!$M$12),IF('Controls'!$D$7="Reference",'Paths'!$O$12,'Paths'!$P$12))</x:f>
        <x:v>30000</x:v>
      </x:c>
      <x:c r="G534" s="46" t="n">
        <x:f>IF('Controls'!$D$7="Reference",1,IF(OR(D534=6,D534=7,D534=21,D534=46),'Paths'!$U$12,1))</x:f>
        <x:v>1</x:v>
      </x:c>
      <x:c r="H534" s="46" t="n">
        <x:f>IF('Controls'!$D$7="Reference",1,IF(OR(AND(D534&gt;=14,D534&lt;=16),AND(D534&gt;=34,D534&lt;=35),AND(D534&gt;=61,D534&lt;=63)),'Paths'!$V$12,1))</x:f>
        <x:v>1</x:v>
      </x:c>
      <x:c r="I534" s="46" t="n">
        <x:f>'Paths'!$W$12</x:f>
        <x:v>0.88</x:v>
      </x:c>
      <x:c r="J534" s="47" t="n">
        <x:f>IF(D534&lt;E534,0,MIN(F534*G534*H534*I534,IF('Paths'!$T$12&gt;0,MAX(0,'Paths'!$T$12-K533),1000000000)))</x:f>
        <x:v>26400</x:v>
      </x:c>
      <x:c r="K534" s="47" t="n">
        <x:f>K533+J534</x:f>
        <x:v>1671648</x:v>
      </x:c>
      <x:c r="L534" s="46" t="n">
        <x:f>IF(C534="P0",1,IF(D534&lt;=3,0.8,IF(D534&lt;=14,0.65,IF(D534&lt;=45,0.5,0.3))))</x:f>
        <x:v>0.3</x:v>
      </x:c>
      <x:c r="M534" s="47" t="n">
        <x:f>J534*L534</x:f>
        <x:v>7920</x:v>
      </x:c>
      <x:c r="N534" s="47" t="n">
        <x:f>N533+M534</x:f>
        <x:v>741457.2</x:v>
      </x:c>
      <x:c r="O534" s="46" t="n">
        <x:f>IF(C534="P0",0,IF(D534&lt;=3,0.15,IF(D534&lt;=14,0.25,IF(D534&lt;=45,0.35,0.5))))</x:f>
        <x:v>0.5</x:v>
      </x:c>
      <x:c r="P534" s="47" t="n">
        <x:f>J534*O534</x:f>
        <x:v>13200</x:v>
      </x:c>
      <x:c r="Q534" s="46" t="n">
        <x:f>IF(C534="P0",0,IF(D534&lt;=3,0.05,IF(D534&lt;=14,0.1,IF(D534&lt;=45,0.15,0.2))))</x:f>
        <x:v>0.2</x:v>
      </x:c>
      <x:c r="R534" s="47" t="n">
        <x:f>J534*Q534</x:f>
        <x:v>5280</x:v>
      </x:c>
      <x:c r="S534" s="20" t="str">
        <x:f>IF(D534&lt;E534,"closed",IF(D534&lt;'Paths'!$N$12,"initial","expanded"))</x:f>
        <x:v>expanded</x:v>
      </x:c>
      <x:c r="T534" s="72"/>
    </x:row>
    <x:row r="535">
      <x:c r="C535" s="20" t="str">
        <x:v>P5</x:v>
      </x:c>
      <x:c r="D535" s="20" t="n">
        <x:v>73</x:v>
      </x:c>
      <x:c r="E535" s="45" t="n">
        <x:f>IF('Controls'!$D$7="Reference",'Paths'!$J$12,'Paths'!$K$12)</x:f>
        <x:v>3</x:v>
      </x:c>
      <x:c r="F535" s="47" t="n">
        <x:f>IF(D535&lt;'Paths'!$N$12,IF('Controls'!$D$7="Reference",'Paths'!$L$12,'Paths'!$M$12),IF('Controls'!$D$7="Reference",'Paths'!$O$12,'Paths'!$P$12))</x:f>
        <x:v>30000</x:v>
      </x:c>
      <x:c r="G535" s="46" t="n">
        <x:f>IF('Controls'!$D$7="Reference",1,IF(OR(D535=6,D535=7,D535=21,D535=46),'Paths'!$U$12,1))</x:f>
        <x:v>1</x:v>
      </x:c>
      <x:c r="H535" s="46" t="n">
        <x:f>IF('Controls'!$D$7="Reference",1,IF(OR(AND(D535&gt;=14,D535&lt;=16),AND(D535&gt;=34,D535&lt;=35),AND(D535&gt;=61,D535&lt;=63)),'Paths'!$V$12,1))</x:f>
        <x:v>1</x:v>
      </x:c>
      <x:c r="I535" s="46" t="n">
        <x:f>'Paths'!$W$12</x:f>
        <x:v>0.88</x:v>
      </x:c>
      <x:c r="J535" s="47" t="n">
        <x:f>IF(D535&lt;E535,0,MIN(F535*G535*H535*I535,IF('Paths'!$T$12&gt;0,MAX(0,'Paths'!$T$12-K534),1000000000)))</x:f>
        <x:v>26400</x:v>
      </x:c>
      <x:c r="K535" s="47" t="n">
        <x:f>K534+J535</x:f>
        <x:v>1698048</x:v>
      </x:c>
      <x:c r="L535" s="46" t="n">
        <x:f>IF(C535="P0",1,IF(D535&lt;=3,0.8,IF(D535&lt;=14,0.65,IF(D535&lt;=45,0.5,0.3))))</x:f>
        <x:v>0.3</x:v>
      </x:c>
      <x:c r="M535" s="47" t="n">
        <x:f>J535*L535</x:f>
        <x:v>7920</x:v>
      </x:c>
      <x:c r="N535" s="47" t="n">
        <x:f>N534+M535</x:f>
        <x:v>749377.2</x:v>
      </x:c>
      <x:c r="O535" s="46" t="n">
        <x:f>IF(C535="P0",0,IF(D535&lt;=3,0.15,IF(D535&lt;=14,0.25,IF(D535&lt;=45,0.35,0.5))))</x:f>
        <x:v>0.5</x:v>
      </x:c>
      <x:c r="P535" s="47" t="n">
        <x:f>J535*O535</x:f>
        <x:v>13200</x:v>
      </x:c>
      <x:c r="Q535" s="46" t="n">
        <x:f>IF(C535="P0",0,IF(D535&lt;=3,0.05,IF(D535&lt;=14,0.1,IF(D535&lt;=45,0.15,0.2))))</x:f>
        <x:v>0.2</x:v>
      </x:c>
      <x:c r="R535" s="47" t="n">
        <x:f>J535*Q535</x:f>
        <x:v>5280</x:v>
      </x:c>
      <x:c r="S535" s="20" t="str">
        <x:f>IF(D535&lt;E535,"closed",IF(D535&lt;'Paths'!$N$12,"initial","expanded"))</x:f>
        <x:v>expanded</x:v>
      </x:c>
      <x:c r="T535" s="72"/>
    </x:row>
    <x:row r="536">
      <x:c r="C536" s="20" t="str">
        <x:v>P5</x:v>
      </x:c>
      <x:c r="D536" s="20" t="n">
        <x:v>74</x:v>
      </x:c>
      <x:c r="E536" s="45" t="n">
        <x:f>IF('Controls'!$D$7="Reference",'Paths'!$J$12,'Paths'!$K$12)</x:f>
        <x:v>3</x:v>
      </x:c>
      <x:c r="F536" s="47" t="n">
        <x:f>IF(D536&lt;'Paths'!$N$12,IF('Controls'!$D$7="Reference",'Paths'!$L$12,'Paths'!$M$12),IF('Controls'!$D$7="Reference",'Paths'!$O$12,'Paths'!$P$12))</x:f>
        <x:v>30000</x:v>
      </x:c>
      <x:c r="G536" s="46" t="n">
        <x:f>IF('Controls'!$D$7="Reference",1,IF(OR(D536=6,D536=7,D536=21,D536=46),'Paths'!$U$12,1))</x:f>
        <x:v>1</x:v>
      </x:c>
      <x:c r="H536" s="46" t="n">
        <x:f>IF('Controls'!$D$7="Reference",1,IF(OR(AND(D536&gt;=14,D536&lt;=16),AND(D536&gt;=34,D536&lt;=35),AND(D536&gt;=61,D536&lt;=63)),'Paths'!$V$12,1))</x:f>
        <x:v>1</x:v>
      </x:c>
      <x:c r="I536" s="46" t="n">
        <x:f>'Paths'!$W$12</x:f>
        <x:v>0.88</x:v>
      </x:c>
      <x:c r="J536" s="47" t="n">
        <x:f>IF(D536&lt;E536,0,MIN(F536*G536*H536*I536,IF('Paths'!$T$12&gt;0,MAX(0,'Paths'!$T$12-K535),1000000000)))</x:f>
        <x:v>26400</x:v>
      </x:c>
      <x:c r="K536" s="47" t="n">
        <x:f>K535+J536</x:f>
        <x:v>1724448</x:v>
      </x:c>
      <x:c r="L536" s="46" t="n">
        <x:f>IF(C536="P0",1,IF(D536&lt;=3,0.8,IF(D536&lt;=14,0.65,IF(D536&lt;=45,0.5,0.3))))</x:f>
        <x:v>0.3</x:v>
      </x:c>
      <x:c r="M536" s="47" t="n">
        <x:f>J536*L536</x:f>
        <x:v>7920</x:v>
      </x:c>
      <x:c r="N536" s="47" t="n">
        <x:f>N535+M536</x:f>
        <x:v>757297.2</x:v>
      </x:c>
      <x:c r="O536" s="46" t="n">
        <x:f>IF(C536="P0",0,IF(D536&lt;=3,0.15,IF(D536&lt;=14,0.25,IF(D536&lt;=45,0.35,0.5))))</x:f>
        <x:v>0.5</x:v>
      </x:c>
      <x:c r="P536" s="47" t="n">
        <x:f>J536*O536</x:f>
        <x:v>13200</x:v>
      </x:c>
      <x:c r="Q536" s="46" t="n">
        <x:f>IF(C536="P0",0,IF(D536&lt;=3,0.05,IF(D536&lt;=14,0.1,IF(D536&lt;=45,0.15,0.2))))</x:f>
        <x:v>0.2</x:v>
      </x:c>
      <x:c r="R536" s="47" t="n">
        <x:f>J536*Q536</x:f>
        <x:v>5280</x:v>
      </x:c>
      <x:c r="S536" s="20" t="str">
        <x:f>IF(D536&lt;E536,"closed",IF(D536&lt;'Paths'!$N$12,"initial","expanded"))</x:f>
        <x:v>expanded</x:v>
      </x:c>
      <x:c r="T536" s="72"/>
    </x:row>
    <x:row r="537">
      <x:c r="C537" s="20" t="str">
        <x:v>P5</x:v>
      </x:c>
      <x:c r="D537" s="20" t="n">
        <x:v>75</x:v>
      </x:c>
      <x:c r="E537" s="45" t="n">
        <x:f>IF('Controls'!$D$7="Reference",'Paths'!$J$12,'Paths'!$K$12)</x:f>
        <x:v>3</x:v>
      </x:c>
      <x:c r="F537" s="47" t="n">
        <x:f>IF(D537&lt;'Paths'!$N$12,IF('Controls'!$D$7="Reference",'Paths'!$L$12,'Paths'!$M$12),IF('Controls'!$D$7="Reference",'Paths'!$O$12,'Paths'!$P$12))</x:f>
        <x:v>30000</x:v>
      </x:c>
      <x:c r="G537" s="46" t="n">
        <x:f>IF('Controls'!$D$7="Reference",1,IF(OR(D537=6,D537=7,D537=21,D537=46),'Paths'!$U$12,1))</x:f>
        <x:v>1</x:v>
      </x:c>
      <x:c r="H537" s="46" t="n">
        <x:f>IF('Controls'!$D$7="Reference",1,IF(OR(AND(D537&gt;=14,D537&lt;=16),AND(D537&gt;=34,D537&lt;=35),AND(D537&gt;=61,D537&lt;=63)),'Paths'!$V$12,1))</x:f>
        <x:v>1</x:v>
      </x:c>
      <x:c r="I537" s="46" t="n">
        <x:f>'Paths'!$W$12</x:f>
        <x:v>0.88</x:v>
      </x:c>
      <x:c r="J537" s="47" t="n">
        <x:f>IF(D537&lt;E537,0,MIN(F537*G537*H537*I537,IF('Paths'!$T$12&gt;0,MAX(0,'Paths'!$T$12-K536),1000000000)))</x:f>
        <x:v>26400</x:v>
      </x:c>
      <x:c r="K537" s="47" t="n">
        <x:f>K536+J537</x:f>
        <x:v>1750848</x:v>
      </x:c>
      <x:c r="L537" s="46" t="n">
        <x:f>IF(C537="P0",1,IF(D537&lt;=3,0.8,IF(D537&lt;=14,0.65,IF(D537&lt;=45,0.5,0.3))))</x:f>
        <x:v>0.3</x:v>
      </x:c>
      <x:c r="M537" s="47" t="n">
        <x:f>J537*L537</x:f>
        <x:v>7920</x:v>
      </x:c>
      <x:c r="N537" s="47" t="n">
        <x:f>N536+M537</x:f>
        <x:v>765217.2</x:v>
      </x:c>
      <x:c r="O537" s="46" t="n">
        <x:f>IF(C537="P0",0,IF(D537&lt;=3,0.15,IF(D537&lt;=14,0.25,IF(D537&lt;=45,0.35,0.5))))</x:f>
        <x:v>0.5</x:v>
      </x:c>
      <x:c r="P537" s="47" t="n">
        <x:f>J537*O537</x:f>
        <x:v>13200</x:v>
      </x:c>
      <x:c r="Q537" s="46" t="n">
        <x:f>IF(C537="P0",0,IF(D537&lt;=3,0.05,IF(D537&lt;=14,0.1,IF(D537&lt;=45,0.15,0.2))))</x:f>
        <x:v>0.2</x:v>
      </x:c>
      <x:c r="R537" s="47" t="n">
        <x:f>J537*Q537</x:f>
        <x:v>5280</x:v>
      </x:c>
      <x:c r="S537" s="20" t="str">
        <x:f>IF(D537&lt;E537,"closed",IF(D537&lt;'Paths'!$N$12,"initial","expanded"))</x:f>
        <x:v>expanded</x:v>
      </x:c>
      <x:c r="T537" s="72"/>
    </x:row>
    <x:row r="538">
      <x:c r="C538" s="20" t="str">
        <x:v>P5</x:v>
      </x:c>
      <x:c r="D538" s="20" t="n">
        <x:v>76</x:v>
      </x:c>
      <x:c r="E538" s="45" t="n">
        <x:f>IF('Controls'!$D$7="Reference",'Paths'!$J$12,'Paths'!$K$12)</x:f>
        <x:v>3</x:v>
      </x:c>
      <x:c r="F538" s="47" t="n">
        <x:f>IF(D538&lt;'Paths'!$N$12,IF('Controls'!$D$7="Reference",'Paths'!$L$12,'Paths'!$M$12),IF('Controls'!$D$7="Reference",'Paths'!$O$12,'Paths'!$P$12))</x:f>
        <x:v>30000</x:v>
      </x:c>
      <x:c r="G538" s="46" t="n">
        <x:f>IF('Controls'!$D$7="Reference",1,IF(OR(D538=6,D538=7,D538=21,D538=46),'Paths'!$U$12,1))</x:f>
        <x:v>1</x:v>
      </x:c>
      <x:c r="H538" s="46" t="n">
        <x:f>IF('Controls'!$D$7="Reference",1,IF(OR(AND(D538&gt;=14,D538&lt;=16),AND(D538&gt;=34,D538&lt;=35),AND(D538&gt;=61,D538&lt;=63)),'Paths'!$V$12,1))</x:f>
        <x:v>1</x:v>
      </x:c>
      <x:c r="I538" s="46" t="n">
        <x:f>'Paths'!$W$12</x:f>
        <x:v>0.88</x:v>
      </x:c>
      <x:c r="J538" s="47" t="n">
        <x:f>IF(D538&lt;E538,0,MIN(F538*G538*H538*I538,IF('Paths'!$T$12&gt;0,MAX(0,'Paths'!$T$12-K537),1000000000)))</x:f>
        <x:v>26400</x:v>
      </x:c>
      <x:c r="K538" s="47" t="n">
        <x:f>K537+J538</x:f>
        <x:v>1777248</x:v>
      </x:c>
      <x:c r="L538" s="46" t="n">
        <x:f>IF(C538="P0",1,IF(D538&lt;=3,0.8,IF(D538&lt;=14,0.65,IF(D538&lt;=45,0.5,0.3))))</x:f>
        <x:v>0.3</x:v>
      </x:c>
      <x:c r="M538" s="47" t="n">
        <x:f>J538*L538</x:f>
        <x:v>7920</x:v>
      </x:c>
      <x:c r="N538" s="47" t="n">
        <x:f>N537+M538</x:f>
        <x:v>773137.2</x:v>
      </x:c>
      <x:c r="O538" s="46" t="n">
        <x:f>IF(C538="P0",0,IF(D538&lt;=3,0.15,IF(D538&lt;=14,0.25,IF(D538&lt;=45,0.35,0.5))))</x:f>
        <x:v>0.5</x:v>
      </x:c>
      <x:c r="P538" s="47" t="n">
        <x:f>J538*O538</x:f>
        <x:v>13200</x:v>
      </x:c>
      <x:c r="Q538" s="46" t="n">
        <x:f>IF(C538="P0",0,IF(D538&lt;=3,0.05,IF(D538&lt;=14,0.1,IF(D538&lt;=45,0.15,0.2))))</x:f>
        <x:v>0.2</x:v>
      </x:c>
      <x:c r="R538" s="47" t="n">
        <x:f>J538*Q538</x:f>
        <x:v>5280</x:v>
      </x:c>
      <x:c r="S538" s="20" t="str">
        <x:f>IF(D538&lt;E538,"closed",IF(D538&lt;'Paths'!$N$12,"initial","expanded"))</x:f>
        <x:v>expanded</x:v>
      </x:c>
      <x:c r="T538" s="72"/>
    </x:row>
    <x:row r="539">
      <x:c r="C539" s="20" t="str">
        <x:v>P5</x:v>
      </x:c>
      <x:c r="D539" s="20" t="n">
        <x:v>77</x:v>
      </x:c>
      <x:c r="E539" s="45" t="n">
        <x:f>IF('Controls'!$D$7="Reference",'Paths'!$J$12,'Paths'!$K$12)</x:f>
        <x:v>3</x:v>
      </x:c>
      <x:c r="F539" s="47" t="n">
        <x:f>IF(D539&lt;'Paths'!$N$12,IF('Controls'!$D$7="Reference",'Paths'!$L$12,'Paths'!$M$12),IF('Controls'!$D$7="Reference",'Paths'!$O$12,'Paths'!$P$12))</x:f>
        <x:v>30000</x:v>
      </x:c>
      <x:c r="G539" s="46" t="n">
        <x:f>IF('Controls'!$D$7="Reference",1,IF(OR(D539=6,D539=7,D539=21,D539=46),'Paths'!$U$12,1))</x:f>
        <x:v>1</x:v>
      </x:c>
      <x:c r="H539" s="46" t="n">
        <x:f>IF('Controls'!$D$7="Reference",1,IF(OR(AND(D539&gt;=14,D539&lt;=16),AND(D539&gt;=34,D539&lt;=35),AND(D539&gt;=61,D539&lt;=63)),'Paths'!$V$12,1))</x:f>
        <x:v>1</x:v>
      </x:c>
      <x:c r="I539" s="46" t="n">
        <x:f>'Paths'!$W$12</x:f>
        <x:v>0.88</x:v>
      </x:c>
      <x:c r="J539" s="47" t="n">
        <x:f>IF(D539&lt;E539,0,MIN(F539*G539*H539*I539,IF('Paths'!$T$12&gt;0,MAX(0,'Paths'!$T$12-K538),1000000000)))</x:f>
        <x:v>26400</x:v>
      </x:c>
      <x:c r="K539" s="47" t="n">
        <x:f>K538+J539</x:f>
        <x:v>1803648</x:v>
      </x:c>
      <x:c r="L539" s="46" t="n">
        <x:f>IF(C539="P0",1,IF(D539&lt;=3,0.8,IF(D539&lt;=14,0.65,IF(D539&lt;=45,0.5,0.3))))</x:f>
        <x:v>0.3</x:v>
      </x:c>
      <x:c r="M539" s="47" t="n">
        <x:f>J539*L539</x:f>
        <x:v>7920</x:v>
      </x:c>
      <x:c r="N539" s="47" t="n">
        <x:f>N538+M539</x:f>
        <x:v>781057.2</x:v>
      </x:c>
      <x:c r="O539" s="46" t="n">
        <x:f>IF(C539="P0",0,IF(D539&lt;=3,0.15,IF(D539&lt;=14,0.25,IF(D539&lt;=45,0.35,0.5))))</x:f>
        <x:v>0.5</x:v>
      </x:c>
      <x:c r="P539" s="47" t="n">
        <x:f>J539*O539</x:f>
        <x:v>13200</x:v>
      </x:c>
      <x:c r="Q539" s="46" t="n">
        <x:f>IF(C539="P0",0,IF(D539&lt;=3,0.05,IF(D539&lt;=14,0.1,IF(D539&lt;=45,0.15,0.2))))</x:f>
        <x:v>0.2</x:v>
      </x:c>
      <x:c r="R539" s="47" t="n">
        <x:f>J539*Q539</x:f>
        <x:v>5280</x:v>
      </x:c>
      <x:c r="S539" s="20" t="str">
        <x:f>IF(D539&lt;E539,"closed",IF(D539&lt;'Paths'!$N$12,"initial","expanded"))</x:f>
        <x:v>expanded</x:v>
      </x:c>
      <x:c r="T539" s="72"/>
    </x:row>
    <x:row r="540">
      <x:c r="C540" s="20" t="str">
        <x:v>P5</x:v>
      </x:c>
      <x:c r="D540" s="20" t="n">
        <x:v>78</x:v>
      </x:c>
      <x:c r="E540" s="45" t="n">
        <x:f>IF('Controls'!$D$7="Reference",'Paths'!$J$12,'Paths'!$K$12)</x:f>
        <x:v>3</x:v>
      </x:c>
      <x:c r="F540" s="47" t="n">
        <x:f>IF(D540&lt;'Paths'!$N$12,IF('Controls'!$D$7="Reference",'Paths'!$L$12,'Paths'!$M$12),IF('Controls'!$D$7="Reference",'Paths'!$O$12,'Paths'!$P$12))</x:f>
        <x:v>30000</x:v>
      </x:c>
      <x:c r="G540" s="46" t="n">
        <x:f>IF('Controls'!$D$7="Reference",1,IF(OR(D540=6,D540=7,D540=21,D540=46),'Paths'!$U$12,1))</x:f>
        <x:v>1</x:v>
      </x:c>
      <x:c r="H540" s="46" t="n">
        <x:f>IF('Controls'!$D$7="Reference",1,IF(OR(AND(D540&gt;=14,D540&lt;=16),AND(D540&gt;=34,D540&lt;=35),AND(D540&gt;=61,D540&lt;=63)),'Paths'!$V$12,1))</x:f>
        <x:v>1</x:v>
      </x:c>
      <x:c r="I540" s="46" t="n">
        <x:f>'Paths'!$W$12</x:f>
        <x:v>0.88</x:v>
      </x:c>
      <x:c r="J540" s="47" t="n">
        <x:f>IF(D540&lt;E540,0,MIN(F540*G540*H540*I540,IF('Paths'!$T$12&gt;0,MAX(0,'Paths'!$T$12-K539),1000000000)))</x:f>
        <x:v>26400</x:v>
      </x:c>
      <x:c r="K540" s="47" t="n">
        <x:f>K539+J540</x:f>
        <x:v>1830048</x:v>
      </x:c>
      <x:c r="L540" s="46" t="n">
        <x:f>IF(C540="P0",1,IF(D540&lt;=3,0.8,IF(D540&lt;=14,0.65,IF(D540&lt;=45,0.5,0.3))))</x:f>
        <x:v>0.3</x:v>
      </x:c>
      <x:c r="M540" s="47" t="n">
        <x:f>J540*L540</x:f>
        <x:v>7920</x:v>
      </x:c>
      <x:c r="N540" s="47" t="n">
        <x:f>N539+M540</x:f>
        <x:v>788977.2</x:v>
      </x:c>
      <x:c r="O540" s="46" t="n">
        <x:f>IF(C540="P0",0,IF(D540&lt;=3,0.15,IF(D540&lt;=14,0.25,IF(D540&lt;=45,0.35,0.5))))</x:f>
        <x:v>0.5</x:v>
      </x:c>
      <x:c r="P540" s="47" t="n">
        <x:f>J540*O540</x:f>
        <x:v>13200</x:v>
      </x:c>
      <x:c r="Q540" s="46" t="n">
        <x:f>IF(C540="P0",0,IF(D540&lt;=3,0.05,IF(D540&lt;=14,0.1,IF(D540&lt;=45,0.15,0.2))))</x:f>
        <x:v>0.2</x:v>
      </x:c>
      <x:c r="R540" s="47" t="n">
        <x:f>J540*Q540</x:f>
        <x:v>5280</x:v>
      </x:c>
      <x:c r="S540" s="20" t="str">
        <x:f>IF(D540&lt;E540,"closed",IF(D540&lt;'Paths'!$N$12,"initial","expanded"))</x:f>
        <x:v>expanded</x:v>
      </x:c>
      <x:c r="T540" s="72"/>
    </x:row>
    <x:row r="541">
      <x:c r="C541" s="20" t="str">
        <x:v>P5</x:v>
      </x:c>
      <x:c r="D541" s="20" t="n">
        <x:v>79</x:v>
      </x:c>
      <x:c r="E541" s="45" t="n">
        <x:f>IF('Controls'!$D$7="Reference",'Paths'!$J$12,'Paths'!$K$12)</x:f>
        <x:v>3</x:v>
      </x:c>
      <x:c r="F541" s="47" t="n">
        <x:f>IF(D541&lt;'Paths'!$N$12,IF('Controls'!$D$7="Reference",'Paths'!$L$12,'Paths'!$M$12),IF('Controls'!$D$7="Reference",'Paths'!$O$12,'Paths'!$P$12))</x:f>
        <x:v>30000</x:v>
      </x:c>
      <x:c r="G541" s="46" t="n">
        <x:f>IF('Controls'!$D$7="Reference",1,IF(OR(D541=6,D541=7,D541=21,D541=46),'Paths'!$U$12,1))</x:f>
        <x:v>1</x:v>
      </x:c>
      <x:c r="H541" s="46" t="n">
        <x:f>IF('Controls'!$D$7="Reference",1,IF(OR(AND(D541&gt;=14,D541&lt;=16),AND(D541&gt;=34,D541&lt;=35),AND(D541&gt;=61,D541&lt;=63)),'Paths'!$V$12,1))</x:f>
        <x:v>1</x:v>
      </x:c>
      <x:c r="I541" s="46" t="n">
        <x:f>'Paths'!$W$12</x:f>
        <x:v>0.88</x:v>
      </x:c>
      <x:c r="J541" s="47" t="n">
        <x:f>IF(D541&lt;E541,0,MIN(F541*G541*H541*I541,IF('Paths'!$T$12&gt;0,MAX(0,'Paths'!$T$12-K540),1000000000)))</x:f>
        <x:v>26400</x:v>
      </x:c>
      <x:c r="K541" s="47" t="n">
        <x:f>K540+J541</x:f>
        <x:v>1856448</x:v>
      </x:c>
      <x:c r="L541" s="46" t="n">
        <x:f>IF(C541="P0",1,IF(D541&lt;=3,0.8,IF(D541&lt;=14,0.65,IF(D541&lt;=45,0.5,0.3))))</x:f>
        <x:v>0.3</x:v>
      </x:c>
      <x:c r="M541" s="47" t="n">
        <x:f>J541*L541</x:f>
        <x:v>7920</x:v>
      </x:c>
      <x:c r="N541" s="47" t="n">
        <x:f>N540+M541</x:f>
        <x:v>796897.2</x:v>
      </x:c>
      <x:c r="O541" s="46" t="n">
        <x:f>IF(C541="P0",0,IF(D541&lt;=3,0.15,IF(D541&lt;=14,0.25,IF(D541&lt;=45,0.35,0.5))))</x:f>
        <x:v>0.5</x:v>
      </x:c>
      <x:c r="P541" s="47" t="n">
        <x:f>J541*O541</x:f>
        <x:v>13200</x:v>
      </x:c>
      <x:c r="Q541" s="46" t="n">
        <x:f>IF(C541="P0",0,IF(D541&lt;=3,0.05,IF(D541&lt;=14,0.1,IF(D541&lt;=45,0.15,0.2))))</x:f>
        <x:v>0.2</x:v>
      </x:c>
      <x:c r="R541" s="47" t="n">
        <x:f>J541*Q541</x:f>
        <x:v>5280</x:v>
      </x:c>
      <x:c r="S541" s="20" t="str">
        <x:f>IF(D541&lt;E541,"closed",IF(D541&lt;'Paths'!$N$12,"initial","expanded"))</x:f>
        <x:v>expanded</x:v>
      </x:c>
      <x:c r="T541" s="72"/>
    </x:row>
    <x:row r="542">
      <x:c r="C542" s="20" t="str">
        <x:v>P5</x:v>
      </x:c>
      <x:c r="D542" s="20" t="n">
        <x:v>80</x:v>
      </x:c>
      <x:c r="E542" s="45" t="n">
        <x:f>IF('Controls'!$D$7="Reference",'Paths'!$J$12,'Paths'!$K$12)</x:f>
        <x:v>3</x:v>
      </x:c>
      <x:c r="F542" s="47" t="n">
        <x:f>IF(D542&lt;'Paths'!$N$12,IF('Controls'!$D$7="Reference",'Paths'!$L$12,'Paths'!$M$12),IF('Controls'!$D$7="Reference",'Paths'!$O$12,'Paths'!$P$12))</x:f>
        <x:v>30000</x:v>
      </x:c>
      <x:c r="G542" s="46" t="n">
        <x:f>IF('Controls'!$D$7="Reference",1,IF(OR(D542=6,D542=7,D542=21,D542=46),'Paths'!$U$12,1))</x:f>
        <x:v>1</x:v>
      </x:c>
      <x:c r="H542" s="46" t="n">
        <x:f>IF('Controls'!$D$7="Reference",1,IF(OR(AND(D542&gt;=14,D542&lt;=16),AND(D542&gt;=34,D542&lt;=35),AND(D542&gt;=61,D542&lt;=63)),'Paths'!$V$12,1))</x:f>
        <x:v>1</x:v>
      </x:c>
      <x:c r="I542" s="46" t="n">
        <x:f>'Paths'!$W$12</x:f>
        <x:v>0.88</x:v>
      </x:c>
      <x:c r="J542" s="47" t="n">
        <x:f>IF(D542&lt;E542,0,MIN(F542*G542*H542*I542,IF('Paths'!$T$12&gt;0,MAX(0,'Paths'!$T$12-K541),1000000000)))</x:f>
        <x:v>26400</x:v>
      </x:c>
      <x:c r="K542" s="47" t="n">
        <x:f>K541+J542</x:f>
        <x:v>1882848</x:v>
      </x:c>
      <x:c r="L542" s="46" t="n">
        <x:f>IF(C542="P0",1,IF(D542&lt;=3,0.8,IF(D542&lt;=14,0.65,IF(D542&lt;=45,0.5,0.3))))</x:f>
        <x:v>0.3</x:v>
      </x:c>
      <x:c r="M542" s="47" t="n">
        <x:f>J542*L542</x:f>
        <x:v>7920</x:v>
      </x:c>
      <x:c r="N542" s="47" t="n">
        <x:f>N541+M542</x:f>
        <x:v>804817.2</x:v>
      </x:c>
      <x:c r="O542" s="46" t="n">
        <x:f>IF(C542="P0",0,IF(D542&lt;=3,0.15,IF(D542&lt;=14,0.25,IF(D542&lt;=45,0.35,0.5))))</x:f>
        <x:v>0.5</x:v>
      </x:c>
      <x:c r="P542" s="47" t="n">
        <x:f>J542*O542</x:f>
        <x:v>13200</x:v>
      </x:c>
      <x:c r="Q542" s="46" t="n">
        <x:f>IF(C542="P0",0,IF(D542&lt;=3,0.05,IF(D542&lt;=14,0.1,IF(D542&lt;=45,0.15,0.2))))</x:f>
        <x:v>0.2</x:v>
      </x:c>
      <x:c r="R542" s="47" t="n">
        <x:f>J542*Q542</x:f>
        <x:v>5280</x:v>
      </x:c>
      <x:c r="S542" s="20" t="str">
        <x:f>IF(D542&lt;E542,"closed",IF(D542&lt;'Paths'!$N$12,"initial","expanded"))</x:f>
        <x:v>expanded</x:v>
      </x:c>
      <x:c r="T542" s="72"/>
    </x:row>
    <x:row r="543">
      <x:c r="C543" s="20" t="str">
        <x:v>P5</x:v>
      </x:c>
      <x:c r="D543" s="20" t="n">
        <x:v>81</x:v>
      </x:c>
      <x:c r="E543" s="45" t="n">
        <x:f>IF('Controls'!$D$7="Reference",'Paths'!$J$12,'Paths'!$K$12)</x:f>
        <x:v>3</x:v>
      </x:c>
      <x:c r="F543" s="47" t="n">
        <x:f>IF(D543&lt;'Paths'!$N$12,IF('Controls'!$D$7="Reference",'Paths'!$L$12,'Paths'!$M$12),IF('Controls'!$D$7="Reference",'Paths'!$O$12,'Paths'!$P$12))</x:f>
        <x:v>30000</x:v>
      </x:c>
      <x:c r="G543" s="46" t="n">
        <x:f>IF('Controls'!$D$7="Reference",1,IF(OR(D543=6,D543=7,D543=21,D543=46),'Paths'!$U$12,1))</x:f>
        <x:v>1</x:v>
      </x:c>
      <x:c r="H543" s="46" t="n">
        <x:f>IF('Controls'!$D$7="Reference",1,IF(OR(AND(D543&gt;=14,D543&lt;=16),AND(D543&gt;=34,D543&lt;=35),AND(D543&gt;=61,D543&lt;=63)),'Paths'!$V$12,1))</x:f>
        <x:v>1</x:v>
      </x:c>
      <x:c r="I543" s="46" t="n">
        <x:f>'Paths'!$W$12</x:f>
        <x:v>0.88</x:v>
      </x:c>
      <x:c r="J543" s="47" t="n">
        <x:f>IF(D543&lt;E543,0,MIN(F543*G543*H543*I543,IF('Paths'!$T$12&gt;0,MAX(0,'Paths'!$T$12-K542),1000000000)))</x:f>
        <x:v>26400</x:v>
      </x:c>
      <x:c r="K543" s="47" t="n">
        <x:f>K542+J543</x:f>
        <x:v>1909248</x:v>
      </x:c>
      <x:c r="L543" s="46" t="n">
        <x:f>IF(C543="P0",1,IF(D543&lt;=3,0.8,IF(D543&lt;=14,0.65,IF(D543&lt;=45,0.5,0.3))))</x:f>
        <x:v>0.3</x:v>
      </x:c>
      <x:c r="M543" s="47" t="n">
        <x:f>J543*L543</x:f>
        <x:v>7920</x:v>
      </x:c>
      <x:c r="N543" s="47" t="n">
        <x:f>N542+M543</x:f>
        <x:v>812737.2</x:v>
      </x:c>
      <x:c r="O543" s="46" t="n">
        <x:f>IF(C543="P0",0,IF(D543&lt;=3,0.15,IF(D543&lt;=14,0.25,IF(D543&lt;=45,0.35,0.5))))</x:f>
        <x:v>0.5</x:v>
      </x:c>
      <x:c r="P543" s="47" t="n">
        <x:f>J543*O543</x:f>
        <x:v>13200</x:v>
      </x:c>
      <x:c r="Q543" s="46" t="n">
        <x:f>IF(C543="P0",0,IF(D543&lt;=3,0.05,IF(D543&lt;=14,0.1,IF(D543&lt;=45,0.15,0.2))))</x:f>
        <x:v>0.2</x:v>
      </x:c>
      <x:c r="R543" s="47" t="n">
        <x:f>J543*Q543</x:f>
        <x:v>5280</x:v>
      </x:c>
      <x:c r="S543" s="20" t="str">
        <x:f>IF(D543&lt;E543,"closed",IF(D543&lt;'Paths'!$N$12,"initial","expanded"))</x:f>
        <x:v>expanded</x:v>
      </x:c>
      <x:c r="T543" s="72"/>
    </x:row>
    <x:row r="544">
      <x:c r="C544" s="20" t="str">
        <x:v>P5</x:v>
      </x:c>
      <x:c r="D544" s="20" t="n">
        <x:v>82</x:v>
      </x:c>
      <x:c r="E544" s="45" t="n">
        <x:f>IF('Controls'!$D$7="Reference",'Paths'!$J$12,'Paths'!$K$12)</x:f>
        <x:v>3</x:v>
      </x:c>
      <x:c r="F544" s="47" t="n">
        <x:f>IF(D544&lt;'Paths'!$N$12,IF('Controls'!$D$7="Reference",'Paths'!$L$12,'Paths'!$M$12),IF('Controls'!$D$7="Reference",'Paths'!$O$12,'Paths'!$P$12))</x:f>
        <x:v>30000</x:v>
      </x:c>
      <x:c r="G544" s="46" t="n">
        <x:f>IF('Controls'!$D$7="Reference",1,IF(OR(D544=6,D544=7,D544=21,D544=46),'Paths'!$U$12,1))</x:f>
        <x:v>1</x:v>
      </x:c>
      <x:c r="H544" s="46" t="n">
        <x:f>IF('Controls'!$D$7="Reference",1,IF(OR(AND(D544&gt;=14,D544&lt;=16),AND(D544&gt;=34,D544&lt;=35),AND(D544&gt;=61,D544&lt;=63)),'Paths'!$V$12,1))</x:f>
        <x:v>1</x:v>
      </x:c>
      <x:c r="I544" s="46" t="n">
        <x:f>'Paths'!$W$12</x:f>
        <x:v>0.88</x:v>
      </x:c>
      <x:c r="J544" s="47" t="n">
        <x:f>IF(D544&lt;E544,0,MIN(F544*G544*H544*I544,IF('Paths'!$T$12&gt;0,MAX(0,'Paths'!$T$12-K543),1000000000)))</x:f>
        <x:v>26400</x:v>
      </x:c>
      <x:c r="K544" s="47" t="n">
        <x:f>K543+J544</x:f>
        <x:v>1935648</x:v>
      </x:c>
      <x:c r="L544" s="46" t="n">
        <x:f>IF(C544="P0",1,IF(D544&lt;=3,0.8,IF(D544&lt;=14,0.65,IF(D544&lt;=45,0.5,0.3))))</x:f>
        <x:v>0.3</x:v>
      </x:c>
      <x:c r="M544" s="47" t="n">
        <x:f>J544*L544</x:f>
        <x:v>7920</x:v>
      </x:c>
      <x:c r="N544" s="47" t="n">
        <x:f>N543+M544</x:f>
        <x:v>820657.2</x:v>
      </x:c>
      <x:c r="O544" s="46" t="n">
        <x:f>IF(C544="P0",0,IF(D544&lt;=3,0.15,IF(D544&lt;=14,0.25,IF(D544&lt;=45,0.35,0.5))))</x:f>
        <x:v>0.5</x:v>
      </x:c>
      <x:c r="P544" s="47" t="n">
        <x:f>J544*O544</x:f>
        <x:v>13200</x:v>
      </x:c>
      <x:c r="Q544" s="46" t="n">
        <x:f>IF(C544="P0",0,IF(D544&lt;=3,0.05,IF(D544&lt;=14,0.1,IF(D544&lt;=45,0.15,0.2))))</x:f>
        <x:v>0.2</x:v>
      </x:c>
      <x:c r="R544" s="47" t="n">
        <x:f>J544*Q544</x:f>
        <x:v>5280</x:v>
      </x:c>
      <x:c r="S544" s="20" t="str">
        <x:f>IF(D544&lt;E544,"closed",IF(D544&lt;'Paths'!$N$12,"initial","expanded"))</x:f>
        <x:v>expanded</x:v>
      </x:c>
      <x:c r="T544" s="72"/>
    </x:row>
    <x:row r="545">
      <x:c r="C545" s="20" t="str">
        <x:v>P5</x:v>
      </x:c>
      <x:c r="D545" s="20" t="n">
        <x:v>83</x:v>
      </x:c>
      <x:c r="E545" s="45" t="n">
        <x:f>IF('Controls'!$D$7="Reference",'Paths'!$J$12,'Paths'!$K$12)</x:f>
        <x:v>3</x:v>
      </x:c>
      <x:c r="F545" s="47" t="n">
        <x:f>IF(D545&lt;'Paths'!$N$12,IF('Controls'!$D$7="Reference",'Paths'!$L$12,'Paths'!$M$12),IF('Controls'!$D$7="Reference",'Paths'!$O$12,'Paths'!$P$12))</x:f>
        <x:v>30000</x:v>
      </x:c>
      <x:c r="G545" s="46" t="n">
        <x:f>IF('Controls'!$D$7="Reference",1,IF(OR(D545=6,D545=7,D545=21,D545=46),'Paths'!$U$12,1))</x:f>
        <x:v>1</x:v>
      </x:c>
      <x:c r="H545" s="46" t="n">
        <x:f>IF('Controls'!$D$7="Reference",1,IF(OR(AND(D545&gt;=14,D545&lt;=16),AND(D545&gt;=34,D545&lt;=35),AND(D545&gt;=61,D545&lt;=63)),'Paths'!$V$12,1))</x:f>
        <x:v>1</x:v>
      </x:c>
      <x:c r="I545" s="46" t="n">
        <x:f>'Paths'!$W$12</x:f>
        <x:v>0.88</x:v>
      </x:c>
      <x:c r="J545" s="47" t="n">
        <x:f>IF(D545&lt;E545,0,MIN(F545*G545*H545*I545,IF('Paths'!$T$12&gt;0,MAX(0,'Paths'!$T$12-K544),1000000000)))</x:f>
        <x:v>26400</x:v>
      </x:c>
      <x:c r="K545" s="47" t="n">
        <x:f>K544+J545</x:f>
        <x:v>1962048</x:v>
      </x:c>
      <x:c r="L545" s="46" t="n">
        <x:f>IF(C545="P0",1,IF(D545&lt;=3,0.8,IF(D545&lt;=14,0.65,IF(D545&lt;=45,0.5,0.3))))</x:f>
        <x:v>0.3</x:v>
      </x:c>
      <x:c r="M545" s="47" t="n">
        <x:f>J545*L545</x:f>
        <x:v>7920</x:v>
      </x:c>
      <x:c r="N545" s="47" t="n">
        <x:f>N544+M545</x:f>
        <x:v>828577.2</x:v>
      </x:c>
      <x:c r="O545" s="46" t="n">
        <x:f>IF(C545="P0",0,IF(D545&lt;=3,0.15,IF(D545&lt;=14,0.25,IF(D545&lt;=45,0.35,0.5))))</x:f>
        <x:v>0.5</x:v>
      </x:c>
      <x:c r="P545" s="47" t="n">
        <x:f>J545*O545</x:f>
        <x:v>13200</x:v>
      </x:c>
      <x:c r="Q545" s="46" t="n">
        <x:f>IF(C545="P0",0,IF(D545&lt;=3,0.05,IF(D545&lt;=14,0.1,IF(D545&lt;=45,0.15,0.2))))</x:f>
        <x:v>0.2</x:v>
      </x:c>
      <x:c r="R545" s="47" t="n">
        <x:f>J545*Q545</x:f>
        <x:v>5280</x:v>
      </x:c>
      <x:c r="S545" s="20" t="str">
        <x:f>IF(D545&lt;E545,"closed",IF(D545&lt;'Paths'!$N$12,"initial","expanded"))</x:f>
        <x:v>expanded</x:v>
      </x:c>
      <x:c r="T545" s="72"/>
    </x:row>
    <x:row r="546">
      <x:c r="C546" s="20" t="str">
        <x:v>P5</x:v>
      </x:c>
      <x:c r="D546" s="20" t="n">
        <x:v>84</x:v>
      </x:c>
      <x:c r="E546" s="45" t="n">
        <x:f>IF('Controls'!$D$7="Reference",'Paths'!$J$12,'Paths'!$K$12)</x:f>
        <x:v>3</x:v>
      </x:c>
      <x:c r="F546" s="47" t="n">
        <x:f>IF(D546&lt;'Paths'!$N$12,IF('Controls'!$D$7="Reference",'Paths'!$L$12,'Paths'!$M$12),IF('Controls'!$D$7="Reference",'Paths'!$O$12,'Paths'!$P$12))</x:f>
        <x:v>30000</x:v>
      </x:c>
      <x:c r="G546" s="46" t="n">
        <x:f>IF('Controls'!$D$7="Reference",1,IF(OR(D546=6,D546=7,D546=21,D546=46),'Paths'!$U$12,1))</x:f>
        <x:v>1</x:v>
      </x:c>
      <x:c r="H546" s="46" t="n">
        <x:f>IF('Controls'!$D$7="Reference",1,IF(OR(AND(D546&gt;=14,D546&lt;=16),AND(D546&gt;=34,D546&lt;=35),AND(D546&gt;=61,D546&lt;=63)),'Paths'!$V$12,1))</x:f>
        <x:v>1</x:v>
      </x:c>
      <x:c r="I546" s="46" t="n">
        <x:f>'Paths'!$W$12</x:f>
        <x:v>0.88</x:v>
      </x:c>
      <x:c r="J546" s="47" t="n">
        <x:f>IF(D546&lt;E546,0,MIN(F546*G546*H546*I546,IF('Paths'!$T$12&gt;0,MAX(0,'Paths'!$T$12-K545),1000000000)))</x:f>
        <x:v>26400</x:v>
      </x:c>
      <x:c r="K546" s="47" t="n">
        <x:f>K545+J546</x:f>
        <x:v>1988448</x:v>
      </x:c>
      <x:c r="L546" s="46" t="n">
        <x:f>IF(C546="P0",1,IF(D546&lt;=3,0.8,IF(D546&lt;=14,0.65,IF(D546&lt;=45,0.5,0.3))))</x:f>
        <x:v>0.3</x:v>
      </x:c>
      <x:c r="M546" s="47" t="n">
        <x:f>J546*L546</x:f>
        <x:v>7920</x:v>
      </x:c>
      <x:c r="N546" s="47" t="n">
        <x:f>N545+M546</x:f>
        <x:v>836497.2</x:v>
      </x:c>
      <x:c r="O546" s="46" t="n">
        <x:f>IF(C546="P0",0,IF(D546&lt;=3,0.15,IF(D546&lt;=14,0.25,IF(D546&lt;=45,0.35,0.5))))</x:f>
        <x:v>0.5</x:v>
      </x:c>
      <x:c r="P546" s="47" t="n">
        <x:f>J546*O546</x:f>
        <x:v>13200</x:v>
      </x:c>
      <x:c r="Q546" s="46" t="n">
        <x:f>IF(C546="P0",0,IF(D546&lt;=3,0.05,IF(D546&lt;=14,0.1,IF(D546&lt;=45,0.15,0.2))))</x:f>
        <x:v>0.2</x:v>
      </x:c>
      <x:c r="R546" s="47" t="n">
        <x:f>J546*Q546</x:f>
        <x:v>5280</x:v>
      </x:c>
      <x:c r="S546" s="20" t="str">
        <x:f>IF(D546&lt;E546,"closed",IF(D546&lt;'Paths'!$N$12,"initial","expanded"))</x:f>
        <x:v>expanded</x:v>
      </x:c>
      <x:c r="T546" s="72"/>
    </x:row>
    <x:row r="547">
      <x:c r="C547" s="20" t="str">
        <x:v>P5</x:v>
      </x:c>
      <x:c r="D547" s="20" t="n">
        <x:v>85</x:v>
      </x:c>
      <x:c r="E547" s="45" t="n">
        <x:f>IF('Controls'!$D$7="Reference",'Paths'!$J$12,'Paths'!$K$12)</x:f>
        <x:v>3</x:v>
      </x:c>
      <x:c r="F547" s="47" t="n">
        <x:f>IF(D547&lt;'Paths'!$N$12,IF('Controls'!$D$7="Reference",'Paths'!$L$12,'Paths'!$M$12),IF('Controls'!$D$7="Reference",'Paths'!$O$12,'Paths'!$P$12))</x:f>
        <x:v>30000</x:v>
      </x:c>
      <x:c r="G547" s="46" t="n">
        <x:f>IF('Controls'!$D$7="Reference",1,IF(OR(D547=6,D547=7,D547=21,D547=46),'Paths'!$U$12,1))</x:f>
        <x:v>1</x:v>
      </x:c>
      <x:c r="H547" s="46" t="n">
        <x:f>IF('Controls'!$D$7="Reference",1,IF(OR(AND(D547&gt;=14,D547&lt;=16),AND(D547&gt;=34,D547&lt;=35),AND(D547&gt;=61,D547&lt;=63)),'Paths'!$V$12,1))</x:f>
        <x:v>1</x:v>
      </x:c>
      <x:c r="I547" s="46" t="n">
        <x:f>'Paths'!$W$12</x:f>
        <x:v>0.88</x:v>
      </x:c>
      <x:c r="J547" s="47" t="n">
        <x:f>IF(D547&lt;E547,0,MIN(F547*G547*H547*I547,IF('Paths'!$T$12&gt;0,MAX(0,'Paths'!$T$12-K546),1000000000)))</x:f>
        <x:v>26400</x:v>
      </x:c>
      <x:c r="K547" s="47" t="n">
        <x:f>K546+J547</x:f>
        <x:v>2014848</x:v>
      </x:c>
      <x:c r="L547" s="46" t="n">
        <x:f>IF(C547="P0",1,IF(D547&lt;=3,0.8,IF(D547&lt;=14,0.65,IF(D547&lt;=45,0.5,0.3))))</x:f>
        <x:v>0.3</x:v>
      </x:c>
      <x:c r="M547" s="47" t="n">
        <x:f>J547*L547</x:f>
        <x:v>7920</x:v>
      </x:c>
      <x:c r="N547" s="47" t="n">
        <x:f>N546+M547</x:f>
        <x:v>844417.2</x:v>
      </x:c>
      <x:c r="O547" s="46" t="n">
        <x:f>IF(C547="P0",0,IF(D547&lt;=3,0.15,IF(D547&lt;=14,0.25,IF(D547&lt;=45,0.35,0.5))))</x:f>
        <x:v>0.5</x:v>
      </x:c>
      <x:c r="P547" s="47" t="n">
        <x:f>J547*O547</x:f>
        <x:v>13200</x:v>
      </x:c>
      <x:c r="Q547" s="46" t="n">
        <x:f>IF(C547="P0",0,IF(D547&lt;=3,0.05,IF(D547&lt;=14,0.1,IF(D547&lt;=45,0.15,0.2))))</x:f>
        <x:v>0.2</x:v>
      </x:c>
      <x:c r="R547" s="47" t="n">
        <x:f>J547*Q547</x:f>
        <x:v>5280</x:v>
      </x:c>
      <x:c r="S547" s="20" t="str">
        <x:f>IF(D547&lt;E547,"closed",IF(D547&lt;'Paths'!$N$12,"initial","expanded"))</x:f>
        <x:v>expanded</x:v>
      </x:c>
      <x:c r="T547" s="72"/>
    </x:row>
    <x:row r="548">
      <x:c r="C548" s="20" t="str">
        <x:v>P5</x:v>
      </x:c>
      <x:c r="D548" s="20" t="n">
        <x:v>86</x:v>
      </x:c>
      <x:c r="E548" s="45" t="n">
        <x:f>IF('Controls'!$D$7="Reference",'Paths'!$J$12,'Paths'!$K$12)</x:f>
        <x:v>3</x:v>
      </x:c>
      <x:c r="F548" s="47" t="n">
        <x:f>IF(D548&lt;'Paths'!$N$12,IF('Controls'!$D$7="Reference",'Paths'!$L$12,'Paths'!$M$12),IF('Controls'!$D$7="Reference",'Paths'!$O$12,'Paths'!$P$12))</x:f>
        <x:v>30000</x:v>
      </x:c>
      <x:c r="G548" s="46" t="n">
        <x:f>IF('Controls'!$D$7="Reference",1,IF(OR(D548=6,D548=7,D548=21,D548=46),'Paths'!$U$12,1))</x:f>
        <x:v>1</x:v>
      </x:c>
      <x:c r="H548" s="46" t="n">
        <x:f>IF('Controls'!$D$7="Reference",1,IF(OR(AND(D548&gt;=14,D548&lt;=16),AND(D548&gt;=34,D548&lt;=35),AND(D548&gt;=61,D548&lt;=63)),'Paths'!$V$12,1))</x:f>
        <x:v>1</x:v>
      </x:c>
      <x:c r="I548" s="46" t="n">
        <x:f>'Paths'!$W$12</x:f>
        <x:v>0.88</x:v>
      </x:c>
      <x:c r="J548" s="47" t="n">
        <x:f>IF(D548&lt;E548,0,MIN(F548*G548*H548*I548,IF('Paths'!$T$12&gt;0,MAX(0,'Paths'!$T$12-K547),1000000000)))</x:f>
        <x:v>26400</x:v>
      </x:c>
      <x:c r="K548" s="47" t="n">
        <x:f>K547+J548</x:f>
        <x:v>2041248</x:v>
      </x:c>
      <x:c r="L548" s="46" t="n">
        <x:f>IF(C548="P0",1,IF(D548&lt;=3,0.8,IF(D548&lt;=14,0.65,IF(D548&lt;=45,0.5,0.3))))</x:f>
        <x:v>0.3</x:v>
      </x:c>
      <x:c r="M548" s="47" t="n">
        <x:f>J548*L548</x:f>
        <x:v>7920</x:v>
      </x:c>
      <x:c r="N548" s="47" t="n">
        <x:f>N547+M548</x:f>
        <x:v>852337.2</x:v>
      </x:c>
      <x:c r="O548" s="46" t="n">
        <x:f>IF(C548="P0",0,IF(D548&lt;=3,0.15,IF(D548&lt;=14,0.25,IF(D548&lt;=45,0.35,0.5))))</x:f>
        <x:v>0.5</x:v>
      </x:c>
      <x:c r="P548" s="47" t="n">
        <x:f>J548*O548</x:f>
        <x:v>13200</x:v>
      </x:c>
      <x:c r="Q548" s="46" t="n">
        <x:f>IF(C548="P0",0,IF(D548&lt;=3,0.05,IF(D548&lt;=14,0.1,IF(D548&lt;=45,0.15,0.2))))</x:f>
        <x:v>0.2</x:v>
      </x:c>
      <x:c r="R548" s="47" t="n">
        <x:f>J548*Q548</x:f>
        <x:v>5280</x:v>
      </x:c>
      <x:c r="S548" s="20" t="str">
        <x:f>IF(D548&lt;E548,"closed",IF(D548&lt;'Paths'!$N$12,"initial","expanded"))</x:f>
        <x:v>expanded</x:v>
      </x:c>
      <x:c r="T548" s="72"/>
    </x:row>
    <x:row r="549">
      <x:c r="C549" s="20" t="str">
        <x:v>P5</x:v>
      </x:c>
      <x:c r="D549" s="20" t="n">
        <x:v>87</x:v>
      </x:c>
      <x:c r="E549" s="45" t="n">
        <x:f>IF('Controls'!$D$7="Reference",'Paths'!$J$12,'Paths'!$K$12)</x:f>
        <x:v>3</x:v>
      </x:c>
      <x:c r="F549" s="47" t="n">
        <x:f>IF(D549&lt;'Paths'!$N$12,IF('Controls'!$D$7="Reference",'Paths'!$L$12,'Paths'!$M$12),IF('Controls'!$D$7="Reference",'Paths'!$O$12,'Paths'!$P$12))</x:f>
        <x:v>30000</x:v>
      </x:c>
      <x:c r="G549" s="46" t="n">
        <x:f>IF('Controls'!$D$7="Reference",1,IF(OR(D549=6,D549=7,D549=21,D549=46),'Paths'!$U$12,1))</x:f>
        <x:v>1</x:v>
      </x:c>
      <x:c r="H549" s="46" t="n">
        <x:f>IF('Controls'!$D$7="Reference",1,IF(OR(AND(D549&gt;=14,D549&lt;=16),AND(D549&gt;=34,D549&lt;=35),AND(D549&gt;=61,D549&lt;=63)),'Paths'!$V$12,1))</x:f>
        <x:v>1</x:v>
      </x:c>
      <x:c r="I549" s="46" t="n">
        <x:f>'Paths'!$W$12</x:f>
        <x:v>0.88</x:v>
      </x:c>
      <x:c r="J549" s="47" t="n">
        <x:f>IF(D549&lt;E549,0,MIN(F549*G549*H549*I549,IF('Paths'!$T$12&gt;0,MAX(0,'Paths'!$T$12-K548),1000000000)))</x:f>
        <x:v>26400</x:v>
      </x:c>
      <x:c r="K549" s="47" t="n">
        <x:f>K548+J549</x:f>
        <x:v>2067648</x:v>
      </x:c>
      <x:c r="L549" s="46" t="n">
        <x:f>IF(C549="P0",1,IF(D549&lt;=3,0.8,IF(D549&lt;=14,0.65,IF(D549&lt;=45,0.5,0.3))))</x:f>
        <x:v>0.3</x:v>
      </x:c>
      <x:c r="M549" s="47" t="n">
        <x:f>J549*L549</x:f>
        <x:v>7920</x:v>
      </x:c>
      <x:c r="N549" s="47" t="n">
        <x:f>N548+M549</x:f>
        <x:v>860257.2</x:v>
      </x:c>
      <x:c r="O549" s="46" t="n">
        <x:f>IF(C549="P0",0,IF(D549&lt;=3,0.15,IF(D549&lt;=14,0.25,IF(D549&lt;=45,0.35,0.5))))</x:f>
        <x:v>0.5</x:v>
      </x:c>
      <x:c r="P549" s="47" t="n">
        <x:f>J549*O549</x:f>
        <x:v>13200</x:v>
      </x:c>
      <x:c r="Q549" s="46" t="n">
        <x:f>IF(C549="P0",0,IF(D549&lt;=3,0.05,IF(D549&lt;=14,0.1,IF(D549&lt;=45,0.15,0.2))))</x:f>
        <x:v>0.2</x:v>
      </x:c>
      <x:c r="R549" s="47" t="n">
        <x:f>J549*Q549</x:f>
        <x:v>5280</x:v>
      </x:c>
      <x:c r="S549" s="20" t="str">
        <x:f>IF(D549&lt;E549,"closed",IF(D549&lt;'Paths'!$N$12,"initial","expanded"))</x:f>
        <x:v>expanded</x:v>
      </x:c>
      <x:c r="T549" s="72"/>
    </x:row>
    <x:row r="550">
      <x:c r="C550" s="20" t="str">
        <x:v>P5</x:v>
      </x:c>
      <x:c r="D550" s="20" t="n">
        <x:v>88</x:v>
      </x:c>
      <x:c r="E550" s="45" t="n">
        <x:f>IF('Controls'!$D$7="Reference",'Paths'!$J$12,'Paths'!$K$12)</x:f>
        <x:v>3</x:v>
      </x:c>
      <x:c r="F550" s="47" t="n">
        <x:f>IF(D550&lt;'Paths'!$N$12,IF('Controls'!$D$7="Reference",'Paths'!$L$12,'Paths'!$M$12),IF('Controls'!$D$7="Reference",'Paths'!$O$12,'Paths'!$P$12))</x:f>
        <x:v>30000</x:v>
      </x:c>
      <x:c r="G550" s="46" t="n">
        <x:f>IF('Controls'!$D$7="Reference",1,IF(OR(D550=6,D550=7,D550=21,D550=46),'Paths'!$U$12,1))</x:f>
        <x:v>1</x:v>
      </x:c>
      <x:c r="H550" s="46" t="n">
        <x:f>IF('Controls'!$D$7="Reference",1,IF(OR(AND(D550&gt;=14,D550&lt;=16),AND(D550&gt;=34,D550&lt;=35),AND(D550&gt;=61,D550&lt;=63)),'Paths'!$V$12,1))</x:f>
        <x:v>1</x:v>
      </x:c>
      <x:c r="I550" s="46" t="n">
        <x:f>'Paths'!$W$12</x:f>
        <x:v>0.88</x:v>
      </x:c>
      <x:c r="J550" s="47" t="n">
        <x:f>IF(D550&lt;E550,0,MIN(F550*G550*H550*I550,IF('Paths'!$T$12&gt;0,MAX(0,'Paths'!$T$12-K549),1000000000)))</x:f>
        <x:v>26400</x:v>
      </x:c>
      <x:c r="K550" s="47" t="n">
        <x:f>K549+J550</x:f>
        <x:v>2094048</x:v>
      </x:c>
      <x:c r="L550" s="46" t="n">
        <x:f>IF(C550="P0",1,IF(D550&lt;=3,0.8,IF(D550&lt;=14,0.65,IF(D550&lt;=45,0.5,0.3))))</x:f>
        <x:v>0.3</x:v>
      </x:c>
      <x:c r="M550" s="47" t="n">
        <x:f>J550*L550</x:f>
        <x:v>7920</x:v>
      </x:c>
      <x:c r="N550" s="47" t="n">
        <x:f>N549+M550</x:f>
        <x:v>868177.2</x:v>
      </x:c>
      <x:c r="O550" s="46" t="n">
        <x:f>IF(C550="P0",0,IF(D550&lt;=3,0.15,IF(D550&lt;=14,0.25,IF(D550&lt;=45,0.35,0.5))))</x:f>
        <x:v>0.5</x:v>
      </x:c>
      <x:c r="P550" s="47" t="n">
        <x:f>J550*O550</x:f>
        <x:v>13200</x:v>
      </x:c>
      <x:c r="Q550" s="46" t="n">
        <x:f>IF(C550="P0",0,IF(D550&lt;=3,0.05,IF(D550&lt;=14,0.1,IF(D550&lt;=45,0.15,0.2))))</x:f>
        <x:v>0.2</x:v>
      </x:c>
      <x:c r="R550" s="47" t="n">
        <x:f>J550*Q550</x:f>
        <x:v>5280</x:v>
      </x:c>
      <x:c r="S550" s="20" t="str">
        <x:f>IF(D550&lt;E550,"closed",IF(D550&lt;'Paths'!$N$12,"initial","expanded"))</x:f>
        <x:v>expanded</x:v>
      </x:c>
      <x:c r="T550" s="72"/>
    </x:row>
    <x:row r="551">
      <x:c r="C551" s="20" t="str">
        <x:v>P5</x:v>
      </x:c>
      <x:c r="D551" s="20" t="n">
        <x:v>89</x:v>
      </x:c>
      <x:c r="E551" s="45" t="n">
        <x:f>IF('Controls'!$D$7="Reference",'Paths'!$J$12,'Paths'!$K$12)</x:f>
        <x:v>3</x:v>
      </x:c>
      <x:c r="F551" s="47" t="n">
        <x:f>IF(D551&lt;'Paths'!$N$12,IF('Controls'!$D$7="Reference",'Paths'!$L$12,'Paths'!$M$12),IF('Controls'!$D$7="Reference",'Paths'!$O$12,'Paths'!$P$12))</x:f>
        <x:v>30000</x:v>
      </x:c>
      <x:c r="G551" s="46" t="n">
        <x:f>IF('Controls'!$D$7="Reference",1,IF(OR(D551=6,D551=7,D551=21,D551=46),'Paths'!$U$12,1))</x:f>
        <x:v>1</x:v>
      </x:c>
      <x:c r="H551" s="46" t="n">
        <x:f>IF('Controls'!$D$7="Reference",1,IF(OR(AND(D551&gt;=14,D551&lt;=16),AND(D551&gt;=34,D551&lt;=35),AND(D551&gt;=61,D551&lt;=63)),'Paths'!$V$12,1))</x:f>
        <x:v>1</x:v>
      </x:c>
      <x:c r="I551" s="46" t="n">
        <x:f>'Paths'!$W$12</x:f>
        <x:v>0.88</x:v>
      </x:c>
      <x:c r="J551" s="47" t="n">
        <x:f>IF(D551&lt;E551,0,MIN(F551*G551*H551*I551,IF('Paths'!$T$12&gt;0,MAX(0,'Paths'!$T$12-K550),1000000000)))</x:f>
        <x:v>26400</x:v>
      </x:c>
      <x:c r="K551" s="47" t="n">
        <x:f>K550+J551</x:f>
        <x:v>2120448</x:v>
      </x:c>
      <x:c r="L551" s="46" t="n">
        <x:f>IF(C551="P0",1,IF(D551&lt;=3,0.8,IF(D551&lt;=14,0.65,IF(D551&lt;=45,0.5,0.3))))</x:f>
        <x:v>0.3</x:v>
      </x:c>
      <x:c r="M551" s="47" t="n">
        <x:f>J551*L551</x:f>
        <x:v>7920</x:v>
      </x:c>
      <x:c r="N551" s="47" t="n">
        <x:f>N550+M551</x:f>
        <x:v>876097.2</x:v>
      </x:c>
      <x:c r="O551" s="46" t="n">
        <x:f>IF(C551="P0",0,IF(D551&lt;=3,0.15,IF(D551&lt;=14,0.25,IF(D551&lt;=45,0.35,0.5))))</x:f>
        <x:v>0.5</x:v>
      </x:c>
      <x:c r="P551" s="47" t="n">
        <x:f>J551*O551</x:f>
        <x:v>13200</x:v>
      </x:c>
      <x:c r="Q551" s="46" t="n">
        <x:f>IF(C551="P0",0,IF(D551&lt;=3,0.05,IF(D551&lt;=14,0.1,IF(D551&lt;=45,0.15,0.2))))</x:f>
        <x:v>0.2</x:v>
      </x:c>
      <x:c r="R551" s="47" t="n">
        <x:f>J551*Q551</x:f>
        <x:v>5280</x:v>
      </x:c>
      <x:c r="S551" s="20" t="str">
        <x:f>IF(D551&lt;E551,"closed",IF(D551&lt;'Paths'!$N$12,"initial","expanded"))</x:f>
        <x:v>expanded</x:v>
      </x:c>
      <x:c r="T551" s="72"/>
    </x:row>
    <x:row r="552">
      <x:c r="C552" s="20" t="str">
        <x:v>P5</x:v>
      </x:c>
      <x:c r="D552" s="20" t="n">
        <x:v>90</x:v>
      </x:c>
      <x:c r="E552" s="45" t="n">
        <x:f>IF('Controls'!$D$7="Reference",'Paths'!$J$12,'Paths'!$K$12)</x:f>
        <x:v>3</x:v>
      </x:c>
      <x:c r="F552" s="47" t="n">
        <x:f>IF(D552&lt;'Paths'!$N$12,IF('Controls'!$D$7="Reference",'Paths'!$L$12,'Paths'!$M$12),IF('Controls'!$D$7="Reference",'Paths'!$O$12,'Paths'!$P$12))</x:f>
        <x:v>30000</x:v>
      </x:c>
      <x:c r="G552" s="46" t="n">
        <x:f>IF('Controls'!$D$7="Reference",1,IF(OR(D552=6,D552=7,D552=21,D552=46),'Paths'!$U$12,1))</x:f>
        <x:v>1</x:v>
      </x:c>
      <x:c r="H552" s="46" t="n">
        <x:f>IF('Controls'!$D$7="Reference",1,IF(OR(AND(D552&gt;=14,D552&lt;=16),AND(D552&gt;=34,D552&lt;=35),AND(D552&gt;=61,D552&lt;=63)),'Paths'!$V$12,1))</x:f>
        <x:v>1</x:v>
      </x:c>
      <x:c r="I552" s="46" t="n">
        <x:f>'Paths'!$W$12</x:f>
        <x:v>0.88</x:v>
      </x:c>
      <x:c r="J552" s="47" t="n">
        <x:f>IF(D552&lt;E552,0,MIN(F552*G552*H552*I552,IF('Paths'!$T$12&gt;0,MAX(0,'Paths'!$T$12-K551),1000000000)))</x:f>
        <x:v>26400</x:v>
      </x:c>
      <x:c r="K552" s="47" t="n">
        <x:f>K551+J552</x:f>
        <x:v>2146848</x:v>
      </x:c>
      <x:c r="L552" s="46" t="n">
        <x:f>IF(C552="P0",1,IF(D552&lt;=3,0.8,IF(D552&lt;=14,0.65,IF(D552&lt;=45,0.5,0.3))))</x:f>
        <x:v>0.3</x:v>
      </x:c>
      <x:c r="M552" s="47" t="n">
        <x:f>J552*L552</x:f>
        <x:v>7920</x:v>
      </x:c>
      <x:c r="N552" s="47" t="n">
        <x:f>N551+M552</x:f>
        <x:v>884017.2</x:v>
      </x:c>
      <x:c r="O552" s="46" t="n">
        <x:f>IF(C552="P0",0,IF(D552&lt;=3,0.15,IF(D552&lt;=14,0.25,IF(D552&lt;=45,0.35,0.5))))</x:f>
        <x:v>0.5</x:v>
      </x:c>
      <x:c r="P552" s="47" t="n">
        <x:f>J552*O552</x:f>
        <x:v>13200</x:v>
      </x:c>
      <x:c r="Q552" s="46" t="n">
        <x:f>IF(C552="P0",0,IF(D552&lt;=3,0.05,IF(D552&lt;=14,0.1,IF(D552&lt;=45,0.15,0.2))))</x:f>
        <x:v>0.2</x:v>
      </x:c>
      <x:c r="R552" s="47" t="n">
        <x:f>J552*Q552</x:f>
        <x:v>5280</x:v>
      </x:c>
      <x:c r="S552" s="20" t="str">
        <x:f>IF(D552&lt;E552,"closed",IF(D552&lt;'Paths'!$N$12,"initial","expanded"))</x:f>
        <x:v>expanded</x:v>
      </x:c>
      <x:c r="T552" s="72"/>
    </x:row>
    <x:row r="553">
      <x:c r="C553" s="20" t="str">
        <x:v>P6</x:v>
      </x:c>
      <x:c r="D553" s="20" t="n">
        <x:v>0</x:v>
      </x:c>
      <x:c r="E553" s="45" t="n">
        <x:f>IF('Controls'!$D$7="Reference",'Paths'!$J$13,'Paths'!$K$13)</x:f>
        <x:v>8</x:v>
      </x:c>
      <x:c r="F553" s="47" t="n">
        <x:f>IF(D553&lt;'Paths'!$N$13,IF('Controls'!$D$7="Reference",'Paths'!$L$13,'Paths'!$M$13),IF('Controls'!$D$7="Reference",'Paths'!$O$13,'Paths'!$P$13))</x:f>
        <x:v>20000</x:v>
      </x:c>
      <x:c r="G553" s="46" t="n">
        <x:f>IF('Controls'!$D$7="Reference",1,IF(OR(D553=6,D553=7,D553=21,D553=46),'Paths'!$U$13,1))</x:f>
        <x:v>1</x:v>
      </x:c>
      <x:c r="H553" s="46" t="n">
        <x:f>IF('Controls'!$D$7="Reference",1,IF(OR(AND(D553&gt;=14,D553&lt;=16),AND(D553&gt;=34,D553&lt;=35),AND(D553&gt;=61,D553&lt;=63)),'Paths'!$V$13,1))</x:f>
        <x:v>1</x:v>
      </x:c>
      <x:c r="I553" s="46" t="n">
        <x:f>'Paths'!$W$13</x:f>
        <x:v>0.82</x:v>
      </x:c>
      <x:c r="J553" s="47" t="n">
        <x:f>IF(D553&lt;E553,0,MIN(F553*G553*H553*I553,IF('Paths'!$T$13&gt;0,MAX(0,'Paths'!$T$13-0),1000000000)))</x:f>
        <x:v>0</x:v>
      </x:c>
      <x:c r="K553" s="47" t="n">
        <x:f>0+J553</x:f>
        <x:v>0</x:v>
      </x:c>
      <x:c r="L553" s="46" t="n">
        <x:f>IF(C553="P0",1,IF(D553&lt;=3,0.8,IF(D553&lt;=14,0.65,IF(D553&lt;=45,0.5,0.3))))</x:f>
        <x:v>0.8</x:v>
      </x:c>
      <x:c r="M553" s="47" t="n">
        <x:f>J553*L553</x:f>
        <x:v>0</x:v>
      </x:c>
      <x:c r="N553" s="47" t="n">
        <x:f>0+M553</x:f>
        <x:v>0</x:v>
      </x:c>
      <x:c r="O553" s="46" t="n">
        <x:f>IF(C553="P0",0,IF(D553&lt;=3,0.15,IF(D553&lt;=14,0.25,IF(D553&lt;=45,0.35,0.5))))</x:f>
        <x:v>0.15</x:v>
      </x:c>
      <x:c r="P553" s="47" t="n">
        <x:f>J553*O553</x:f>
        <x:v>0</x:v>
      </x:c>
      <x:c r="Q553" s="46" t="n">
        <x:f>IF(C553="P0",0,IF(D553&lt;=3,0.05,IF(D553&lt;=14,0.1,IF(D553&lt;=45,0.15,0.2))))</x:f>
        <x:v>0.05</x:v>
      </x:c>
      <x:c r="R553" s="47" t="n">
        <x:f>J553*Q553</x:f>
        <x:v>0</x:v>
      </x:c>
      <x:c r="S553" s="20" t="str">
        <x:f>IF(D553&lt;E553,"closed",IF(D553&lt;'Paths'!$N$13,"initial","expanded"))</x:f>
        <x:v>closed</x:v>
      </x:c>
      <x:c r="T553" s="72"/>
    </x:row>
    <x:row r="554">
      <x:c r="C554" s="20" t="str">
        <x:v>P6</x:v>
      </x:c>
      <x:c r="D554" s="20" t="n">
        <x:v>1</x:v>
      </x:c>
      <x:c r="E554" s="45" t="n">
        <x:f>IF('Controls'!$D$7="Reference",'Paths'!$J$13,'Paths'!$K$13)</x:f>
        <x:v>8</x:v>
      </x:c>
      <x:c r="F554" s="47" t="n">
        <x:f>IF(D554&lt;'Paths'!$N$13,IF('Controls'!$D$7="Reference",'Paths'!$L$13,'Paths'!$M$13),IF('Controls'!$D$7="Reference",'Paths'!$O$13,'Paths'!$P$13))</x:f>
        <x:v>20000</x:v>
      </x:c>
      <x:c r="G554" s="46" t="n">
        <x:f>IF('Controls'!$D$7="Reference",1,IF(OR(D554=6,D554=7,D554=21,D554=46),'Paths'!$U$13,1))</x:f>
        <x:v>1</x:v>
      </x:c>
      <x:c r="H554" s="46" t="n">
        <x:f>IF('Controls'!$D$7="Reference",1,IF(OR(AND(D554&gt;=14,D554&lt;=16),AND(D554&gt;=34,D554&lt;=35),AND(D554&gt;=61,D554&lt;=63)),'Paths'!$V$13,1))</x:f>
        <x:v>1</x:v>
      </x:c>
      <x:c r="I554" s="46" t="n">
        <x:f>'Paths'!$W$13</x:f>
        <x:v>0.82</x:v>
      </x:c>
      <x:c r="J554" s="47" t="n">
        <x:f>IF(D554&lt;E554,0,MIN(F554*G554*H554*I554,IF('Paths'!$T$13&gt;0,MAX(0,'Paths'!$T$13-K553),1000000000)))</x:f>
        <x:v>0</x:v>
      </x:c>
      <x:c r="K554" s="47" t="n">
        <x:f>K553+J554</x:f>
        <x:v>0</x:v>
      </x:c>
      <x:c r="L554" s="46" t="n">
        <x:f>IF(C554="P0",1,IF(D554&lt;=3,0.8,IF(D554&lt;=14,0.65,IF(D554&lt;=45,0.5,0.3))))</x:f>
        <x:v>0.8</x:v>
      </x:c>
      <x:c r="M554" s="47" t="n">
        <x:f>J554*L554</x:f>
        <x:v>0</x:v>
      </x:c>
      <x:c r="N554" s="47" t="n">
        <x:f>N553+M554</x:f>
        <x:v>0</x:v>
      </x:c>
      <x:c r="O554" s="46" t="n">
        <x:f>IF(C554="P0",0,IF(D554&lt;=3,0.15,IF(D554&lt;=14,0.25,IF(D554&lt;=45,0.35,0.5))))</x:f>
        <x:v>0.15</x:v>
      </x:c>
      <x:c r="P554" s="47" t="n">
        <x:f>J554*O554</x:f>
        <x:v>0</x:v>
      </x:c>
      <x:c r="Q554" s="46" t="n">
        <x:f>IF(C554="P0",0,IF(D554&lt;=3,0.05,IF(D554&lt;=14,0.1,IF(D554&lt;=45,0.15,0.2))))</x:f>
        <x:v>0.05</x:v>
      </x:c>
      <x:c r="R554" s="47" t="n">
        <x:f>J554*Q554</x:f>
        <x:v>0</x:v>
      </x:c>
      <x:c r="S554" s="20" t="str">
        <x:f>IF(D554&lt;E554,"closed",IF(D554&lt;'Paths'!$N$13,"initial","expanded"))</x:f>
        <x:v>closed</x:v>
      </x:c>
      <x:c r="T554" s="72"/>
    </x:row>
    <x:row r="555">
      <x:c r="C555" s="20" t="str">
        <x:v>P6</x:v>
      </x:c>
      <x:c r="D555" s="20" t="n">
        <x:v>2</x:v>
      </x:c>
      <x:c r="E555" s="45" t="n">
        <x:f>IF('Controls'!$D$7="Reference",'Paths'!$J$13,'Paths'!$K$13)</x:f>
        <x:v>8</x:v>
      </x:c>
      <x:c r="F555" s="47" t="n">
        <x:f>IF(D555&lt;'Paths'!$N$13,IF('Controls'!$D$7="Reference",'Paths'!$L$13,'Paths'!$M$13),IF('Controls'!$D$7="Reference",'Paths'!$O$13,'Paths'!$P$13))</x:f>
        <x:v>20000</x:v>
      </x:c>
      <x:c r="G555" s="46" t="n">
        <x:f>IF('Controls'!$D$7="Reference",1,IF(OR(D555=6,D555=7,D555=21,D555=46),'Paths'!$U$13,1))</x:f>
        <x:v>1</x:v>
      </x:c>
      <x:c r="H555" s="46" t="n">
        <x:f>IF('Controls'!$D$7="Reference",1,IF(OR(AND(D555&gt;=14,D555&lt;=16),AND(D555&gt;=34,D555&lt;=35),AND(D555&gt;=61,D555&lt;=63)),'Paths'!$V$13,1))</x:f>
        <x:v>1</x:v>
      </x:c>
      <x:c r="I555" s="46" t="n">
        <x:f>'Paths'!$W$13</x:f>
        <x:v>0.82</x:v>
      </x:c>
      <x:c r="J555" s="47" t="n">
        <x:f>IF(D555&lt;E555,0,MIN(F555*G555*H555*I555,IF('Paths'!$T$13&gt;0,MAX(0,'Paths'!$T$13-K554),1000000000)))</x:f>
        <x:v>0</x:v>
      </x:c>
      <x:c r="K555" s="47" t="n">
        <x:f>K554+J555</x:f>
        <x:v>0</x:v>
      </x:c>
      <x:c r="L555" s="46" t="n">
        <x:f>IF(C555="P0",1,IF(D555&lt;=3,0.8,IF(D555&lt;=14,0.65,IF(D555&lt;=45,0.5,0.3))))</x:f>
        <x:v>0.8</x:v>
      </x:c>
      <x:c r="M555" s="47" t="n">
        <x:f>J555*L555</x:f>
        <x:v>0</x:v>
      </x:c>
      <x:c r="N555" s="47" t="n">
        <x:f>N554+M555</x:f>
        <x:v>0</x:v>
      </x:c>
      <x:c r="O555" s="46" t="n">
        <x:f>IF(C555="P0",0,IF(D555&lt;=3,0.15,IF(D555&lt;=14,0.25,IF(D555&lt;=45,0.35,0.5))))</x:f>
        <x:v>0.15</x:v>
      </x:c>
      <x:c r="P555" s="47" t="n">
        <x:f>J555*O555</x:f>
        <x:v>0</x:v>
      </x:c>
      <x:c r="Q555" s="46" t="n">
        <x:f>IF(C555="P0",0,IF(D555&lt;=3,0.05,IF(D555&lt;=14,0.1,IF(D555&lt;=45,0.15,0.2))))</x:f>
        <x:v>0.05</x:v>
      </x:c>
      <x:c r="R555" s="47" t="n">
        <x:f>J555*Q555</x:f>
        <x:v>0</x:v>
      </x:c>
      <x:c r="S555" s="20" t="str">
        <x:f>IF(D555&lt;E555,"closed",IF(D555&lt;'Paths'!$N$13,"initial","expanded"))</x:f>
        <x:v>closed</x:v>
      </x:c>
      <x:c r="T555" s="72"/>
    </x:row>
    <x:row r="556">
      <x:c r="C556" s="20" t="str">
        <x:v>P6</x:v>
      </x:c>
      <x:c r="D556" s="20" t="n">
        <x:v>3</x:v>
      </x:c>
      <x:c r="E556" s="45" t="n">
        <x:f>IF('Controls'!$D$7="Reference",'Paths'!$J$13,'Paths'!$K$13)</x:f>
        <x:v>8</x:v>
      </x:c>
      <x:c r="F556" s="47" t="n">
        <x:f>IF(D556&lt;'Paths'!$N$13,IF('Controls'!$D$7="Reference",'Paths'!$L$13,'Paths'!$M$13),IF('Controls'!$D$7="Reference",'Paths'!$O$13,'Paths'!$P$13))</x:f>
        <x:v>20000</x:v>
      </x:c>
      <x:c r="G556" s="46" t="n">
        <x:f>IF('Controls'!$D$7="Reference",1,IF(OR(D556=6,D556=7,D556=21,D556=46),'Paths'!$U$13,1))</x:f>
        <x:v>1</x:v>
      </x:c>
      <x:c r="H556" s="46" t="n">
        <x:f>IF('Controls'!$D$7="Reference",1,IF(OR(AND(D556&gt;=14,D556&lt;=16),AND(D556&gt;=34,D556&lt;=35),AND(D556&gt;=61,D556&lt;=63)),'Paths'!$V$13,1))</x:f>
        <x:v>1</x:v>
      </x:c>
      <x:c r="I556" s="46" t="n">
        <x:f>'Paths'!$W$13</x:f>
        <x:v>0.82</x:v>
      </x:c>
      <x:c r="J556" s="47" t="n">
        <x:f>IF(D556&lt;E556,0,MIN(F556*G556*H556*I556,IF('Paths'!$T$13&gt;0,MAX(0,'Paths'!$T$13-K555),1000000000)))</x:f>
        <x:v>0</x:v>
      </x:c>
      <x:c r="K556" s="47" t="n">
        <x:f>K555+J556</x:f>
        <x:v>0</x:v>
      </x:c>
      <x:c r="L556" s="46" t="n">
        <x:f>IF(C556="P0",1,IF(D556&lt;=3,0.8,IF(D556&lt;=14,0.65,IF(D556&lt;=45,0.5,0.3))))</x:f>
        <x:v>0.8</x:v>
      </x:c>
      <x:c r="M556" s="47" t="n">
        <x:f>J556*L556</x:f>
        <x:v>0</x:v>
      </x:c>
      <x:c r="N556" s="47" t="n">
        <x:f>N555+M556</x:f>
        <x:v>0</x:v>
      </x:c>
      <x:c r="O556" s="46" t="n">
        <x:f>IF(C556="P0",0,IF(D556&lt;=3,0.15,IF(D556&lt;=14,0.25,IF(D556&lt;=45,0.35,0.5))))</x:f>
        <x:v>0.15</x:v>
      </x:c>
      <x:c r="P556" s="47" t="n">
        <x:f>J556*O556</x:f>
        <x:v>0</x:v>
      </x:c>
      <x:c r="Q556" s="46" t="n">
        <x:f>IF(C556="P0",0,IF(D556&lt;=3,0.05,IF(D556&lt;=14,0.1,IF(D556&lt;=45,0.15,0.2))))</x:f>
        <x:v>0.05</x:v>
      </x:c>
      <x:c r="R556" s="47" t="n">
        <x:f>J556*Q556</x:f>
        <x:v>0</x:v>
      </x:c>
      <x:c r="S556" s="20" t="str">
        <x:f>IF(D556&lt;E556,"closed",IF(D556&lt;'Paths'!$N$13,"initial","expanded"))</x:f>
        <x:v>closed</x:v>
      </x:c>
      <x:c r="T556" s="72"/>
    </x:row>
    <x:row r="557">
      <x:c r="C557" s="20" t="str">
        <x:v>P6</x:v>
      </x:c>
      <x:c r="D557" s="20" t="n">
        <x:v>4</x:v>
      </x:c>
      <x:c r="E557" s="45" t="n">
        <x:f>IF('Controls'!$D$7="Reference",'Paths'!$J$13,'Paths'!$K$13)</x:f>
        <x:v>8</x:v>
      </x:c>
      <x:c r="F557" s="47" t="n">
        <x:f>IF(D557&lt;'Paths'!$N$13,IF('Controls'!$D$7="Reference",'Paths'!$L$13,'Paths'!$M$13),IF('Controls'!$D$7="Reference",'Paths'!$O$13,'Paths'!$P$13))</x:f>
        <x:v>20000</x:v>
      </x:c>
      <x:c r="G557" s="46" t="n">
        <x:f>IF('Controls'!$D$7="Reference",1,IF(OR(D557=6,D557=7,D557=21,D557=46),'Paths'!$U$13,1))</x:f>
        <x:v>1</x:v>
      </x:c>
      <x:c r="H557" s="46" t="n">
        <x:f>IF('Controls'!$D$7="Reference",1,IF(OR(AND(D557&gt;=14,D557&lt;=16),AND(D557&gt;=34,D557&lt;=35),AND(D557&gt;=61,D557&lt;=63)),'Paths'!$V$13,1))</x:f>
        <x:v>1</x:v>
      </x:c>
      <x:c r="I557" s="46" t="n">
        <x:f>'Paths'!$W$13</x:f>
        <x:v>0.82</x:v>
      </x:c>
      <x:c r="J557" s="47" t="n">
        <x:f>IF(D557&lt;E557,0,MIN(F557*G557*H557*I557,IF('Paths'!$T$13&gt;0,MAX(0,'Paths'!$T$13-K556),1000000000)))</x:f>
        <x:v>0</x:v>
      </x:c>
      <x:c r="K557" s="47" t="n">
        <x:f>K556+J557</x:f>
        <x:v>0</x:v>
      </x:c>
      <x:c r="L557" s="46" t="n">
        <x:f>IF(C557="P0",1,IF(D557&lt;=3,0.8,IF(D557&lt;=14,0.65,IF(D557&lt;=45,0.5,0.3))))</x:f>
        <x:v>0.65</x:v>
      </x:c>
      <x:c r="M557" s="47" t="n">
        <x:f>J557*L557</x:f>
        <x:v>0</x:v>
      </x:c>
      <x:c r="N557" s="47" t="n">
        <x:f>N556+M557</x:f>
        <x:v>0</x:v>
      </x:c>
      <x:c r="O557" s="46" t="n">
        <x:f>IF(C557="P0",0,IF(D557&lt;=3,0.15,IF(D557&lt;=14,0.25,IF(D557&lt;=45,0.35,0.5))))</x:f>
        <x:v>0.25</x:v>
      </x:c>
      <x:c r="P557" s="47" t="n">
        <x:f>J557*O557</x:f>
        <x:v>0</x:v>
      </x:c>
      <x:c r="Q557" s="46" t="n">
        <x:f>IF(C557="P0",0,IF(D557&lt;=3,0.05,IF(D557&lt;=14,0.1,IF(D557&lt;=45,0.15,0.2))))</x:f>
        <x:v>0.1</x:v>
      </x:c>
      <x:c r="R557" s="47" t="n">
        <x:f>J557*Q557</x:f>
        <x:v>0</x:v>
      </x:c>
      <x:c r="S557" s="20" t="str">
        <x:f>IF(D557&lt;E557,"closed",IF(D557&lt;'Paths'!$N$13,"initial","expanded"))</x:f>
        <x:v>closed</x:v>
      </x:c>
      <x:c r="T557" s="72"/>
    </x:row>
    <x:row r="558">
      <x:c r="C558" s="20" t="str">
        <x:v>P6</x:v>
      </x:c>
      <x:c r="D558" s="20" t="n">
        <x:v>5</x:v>
      </x:c>
      <x:c r="E558" s="45" t="n">
        <x:f>IF('Controls'!$D$7="Reference",'Paths'!$J$13,'Paths'!$K$13)</x:f>
        <x:v>8</x:v>
      </x:c>
      <x:c r="F558" s="47" t="n">
        <x:f>IF(D558&lt;'Paths'!$N$13,IF('Controls'!$D$7="Reference",'Paths'!$L$13,'Paths'!$M$13),IF('Controls'!$D$7="Reference",'Paths'!$O$13,'Paths'!$P$13))</x:f>
        <x:v>20000</x:v>
      </x:c>
      <x:c r="G558" s="46" t="n">
        <x:f>IF('Controls'!$D$7="Reference",1,IF(OR(D558=6,D558=7,D558=21,D558=46),'Paths'!$U$13,1))</x:f>
        <x:v>1</x:v>
      </x:c>
      <x:c r="H558" s="46" t="n">
        <x:f>IF('Controls'!$D$7="Reference",1,IF(OR(AND(D558&gt;=14,D558&lt;=16),AND(D558&gt;=34,D558&lt;=35),AND(D558&gt;=61,D558&lt;=63)),'Paths'!$V$13,1))</x:f>
        <x:v>1</x:v>
      </x:c>
      <x:c r="I558" s="46" t="n">
        <x:f>'Paths'!$W$13</x:f>
        <x:v>0.82</x:v>
      </x:c>
      <x:c r="J558" s="47" t="n">
        <x:f>IF(D558&lt;E558,0,MIN(F558*G558*H558*I558,IF('Paths'!$T$13&gt;0,MAX(0,'Paths'!$T$13-K557),1000000000)))</x:f>
        <x:v>0</x:v>
      </x:c>
      <x:c r="K558" s="47" t="n">
        <x:f>K557+J558</x:f>
        <x:v>0</x:v>
      </x:c>
      <x:c r="L558" s="46" t="n">
        <x:f>IF(C558="P0",1,IF(D558&lt;=3,0.8,IF(D558&lt;=14,0.65,IF(D558&lt;=45,0.5,0.3))))</x:f>
        <x:v>0.65</x:v>
      </x:c>
      <x:c r="M558" s="47" t="n">
        <x:f>J558*L558</x:f>
        <x:v>0</x:v>
      </x:c>
      <x:c r="N558" s="47" t="n">
        <x:f>N557+M558</x:f>
        <x:v>0</x:v>
      </x:c>
      <x:c r="O558" s="46" t="n">
        <x:f>IF(C558="P0",0,IF(D558&lt;=3,0.15,IF(D558&lt;=14,0.25,IF(D558&lt;=45,0.35,0.5))))</x:f>
        <x:v>0.25</x:v>
      </x:c>
      <x:c r="P558" s="47" t="n">
        <x:f>J558*O558</x:f>
        <x:v>0</x:v>
      </x:c>
      <x:c r="Q558" s="46" t="n">
        <x:f>IF(C558="P0",0,IF(D558&lt;=3,0.05,IF(D558&lt;=14,0.1,IF(D558&lt;=45,0.15,0.2))))</x:f>
        <x:v>0.1</x:v>
      </x:c>
      <x:c r="R558" s="47" t="n">
        <x:f>J558*Q558</x:f>
        <x:v>0</x:v>
      </x:c>
      <x:c r="S558" s="20" t="str">
        <x:f>IF(D558&lt;E558,"closed",IF(D558&lt;'Paths'!$N$13,"initial","expanded"))</x:f>
        <x:v>closed</x:v>
      </x:c>
      <x:c r="T558" s="72"/>
    </x:row>
    <x:row r="559">
      <x:c r="C559" s="20" t="str">
        <x:v>P6</x:v>
      </x:c>
      <x:c r="D559" s="20" t="n">
        <x:v>6</x:v>
      </x:c>
      <x:c r="E559" s="45" t="n">
        <x:f>IF('Controls'!$D$7="Reference",'Paths'!$J$13,'Paths'!$K$13)</x:f>
        <x:v>8</x:v>
      </x:c>
      <x:c r="F559" s="47" t="n">
        <x:f>IF(D559&lt;'Paths'!$N$13,IF('Controls'!$D$7="Reference",'Paths'!$L$13,'Paths'!$M$13),IF('Controls'!$D$7="Reference",'Paths'!$O$13,'Paths'!$P$13))</x:f>
        <x:v>20000</x:v>
      </x:c>
      <x:c r="G559" s="46" t="n">
        <x:f>IF('Controls'!$D$7="Reference",1,IF(OR(D559=6,D559=7,D559=21,D559=46),'Paths'!$U$13,1))</x:f>
        <x:v>0.35</x:v>
      </x:c>
      <x:c r="H559" s="46" t="n">
        <x:f>IF('Controls'!$D$7="Reference",1,IF(OR(AND(D559&gt;=14,D559&lt;=16),AND(D559&gt;=34,D559&lt;=35),AND(D559&gt;=61,D559&lt;=63)),'Paths'!$V$13,1))</x:f>
        <x:v>1</x:v>
      </x:c>
      <x:c r="I559" s="46" t="n">
        <x:f>'Paths'!$W$13</x:f>
        <x:v>0.82</x:v>
      </x:c>
      <x:c r="J559" s="47" t="n">
        <x:f>IF(D559&lt;E559,0,MIN(F559*G559*H559*I559,IF('Paths'!$T$13&gt;0,MAX(0,'Paths'!$T$13-K558),1000000000)))</x:f>
        <x:v>0</x:v>
      </x:c>
      <x:c r="K559" s="47" t="n">
        <x:f>K558+J559</x:f>
        <x:v>0</x:v>
      </x:c>
      <x:c r="L559" s="46" t="n">
        <x:f>IF(C559="P0",1,IF(D559&lt;=3,0.8,IF(D559&lt;=14,0.65,IF(D559&lt;=45,0.5,0.3))))</x:f>
        <x:v>0.65</x:v>
      </x:c>
      <x:c r="M559" s="47" t="n">
        <x:f>J559*L559</x:f>
        <x:v>0</x:v>
      </x:c>
      <x:c r="N559" s="47" t="n">
        <x:f>N558+M559</x:f>
        <x:v>0</x:v>
      </x:c>
      <x:c r="O559" s="46" t="n">
        <x:f>IF(C559="P0",0,IF(D559&lt;=3,0.15,IF(D559&lt;=14,0.25,IF(D559&lt;=45,0.35,0.5))))</x:f>
        <x:v>0.25</x:v>
      </x:c>
      <x:c r="P559" s="47" t="n">
        <x:f>J559*O559</x:f>
        <x:v>0</x:v>
      </x:c>
      <x:c r="Q559" s="46" t="n">
        <x:f>IF(C559="P0",0,IF(D559&lt;=3,0.05,IF(D559&lt;=14,0.1,IF(D559&lt;=45,0.15,0.2))))</x:f>
        <x:v>0.1</x:v>
      </x:c>
      <x:c r="R559" s="47" t="n">
        <x:f>J559*Q559</x:f>
        <x:v>0</x:v>
      </x:c>
      <x:c r="S559" s="20" t="str">
        <x:f>IF(D559&lt;E559,"closed",IF(D559&lt;'Paths'!$N$13,"initial","expanded"))</x:f>
        <x:v>closed</x:v>
      </x:c>
      <x:c r="T559" s="72"/>
    </x:row>
    <x:row r="560">
      <x:c r="C560" s="20" t="str">
        <x:v>P6</x:v>
      </x:c>
      <x:c r="D560" s="20" t="n">
        <x:v>7</x:v>
      </x:c>
      <x:c r="E560" s="45" t="n">
        <x:f>IF('Controls'!$D$7="Reference",'Paths'!$J$13,'Paths'!$K$13)</x:f>
        <x:v>8</x:v>
      </x:c>
      <x:c r="F560" s="47" t="n">
        <x:f>IF(D560&lt;'Paths'!$N$13,IF('Controls'!$D$7="Reference",'Paths'!$L$13,'Paths'!$M$13),IF('Controls'!$D$7="Reference",'Paths'!$O$13,'Paths'!$P$13))</x:f>
        <x:v>20000</x:v>
      </x:c>
      <x:c r="G560" s="46" t="n">
        <x:f>IF('Controls'!$D$7="Reference",1,IF(OR(D560=6,D560=7,D560=21,D560=46),'Paths'!$U$13,1))</x:f>
        <x:v>0.35</x:v>
      </x:c>
      <x:c r="H560" s="46" t="n">
        <x:f>IF('Controls'!$D$7="Reference",1,IF(OR(AND(D560&gt;=14,D560&lt;=16),AND(D560&gt;=34,D560&lt;=35),AND(D560&gt;=61,D560&lt;=63)),'Paths'!$V$13,1))</x:f>
        <x:v>1</x:v>
      </x:c>
      <x:c r="I560" s="46" t="n">
        <x:f>'Paths'!$W$13</x:f>
        <x:v>0.82</x:v>
      </x:c>
      <x:c r="J560" s="47" t="n">
        <x:f>IF(D560&lt;E560,0,MIN(F560*G560*H560*I560,IF('Paths'!$T$13&gt;0,MAX(0,'Paths'!$T$13-K559),1000000000)))</x:f>
        <x:v>0</x:v>
      </x:c>
      <x:c r="K560" s="47" t="n">
        <x:f>K559+J560</x:f>
        <x:v>0</x:v>
      </x:c>
      <x:c r="L560" s="46" t="n">
        <x:f>IF(C560="P0",1,IF(D560&lt;=3,0.8,IF(D560&lt;=14,0.65,IF(D560&lt;=45,0.5,0.3))))</x:f>
        <x:v>0.65</x:v>
      </x:c>
      <x:c r="M560" s="47" t="n">
        <x:f>J560*L560</x:f>
        <x:v>0</x:v>
      </x:c>
      <x:c r="N560" s="47" t="n">
        <x:f>N559+M560</x:f>
        <x:v>0</x:v>
      </x:c>
      <x:c r="O560" s="46" t="n">
        <x:f>IF(C560="P0",0,IF(D560&lt;=3,0.15,IF(D560&lt;=14,0.25,IF(D560&lt;=45,0.35,0.5))))</x:f>
        <x:v>0.25</x:v>
      </x:c>
      <x:c r="P560" s="47" t="n">
        <x:f>J560*O560</x:f>
        <x:v>0</x:v>
      </x:c>
      <x:c r="Q560" s="46" t="n">
        <x:f>IF(C560="P0",0,IF(D560&lt;=3,0.05,IF(D560&lt;=14,0.1,IF(D560&lt;=45,0.15,0.2))))</x:f>
        <x:v>0.1</x:v>
      </x:c>
      <x:c r="R560" s="47" t="n">
        <x:f>J560*Q560</x:f>
        <x:v>0</x:v>
      </x:c>
      <x:c r="S560" s="20" t="str">
        <x:f>IF(D560&lt;E560,"closed",IF(D560&lt;'Paths'!$N$13,"initial","expanded"))</x:f>
        <x:v>closed</x:v>
      </x:c>
      <x:c r="T560" s="72"/>
    </x:row>
    <x:row r="561">
      <x:c r="C561" s="20" t="str">
        <x:v>P6</x:v>
      </x:c>
      <x:c r="D561" s="20" t="n">
        <x:v>8</x:v>
      </x:c>
      <x:c r="E561" s="45" t="n">
        <x:f>IF('Controls'!$D$7="Reference",'Paths'!$J$13,'Paths'!$K$13)</x:f>
        <x:v>8</x:v>
      </x:c>
      <x:c r="F561" s="47" t="n">
        <x:f>IF(D561&lt;'Paths'!$N$13,IF('Controls'!$D$7="Reference",'Paths'!$L$13,'Paths'!$M$13),IF('Controls'!$D$7="Reference",'Paths'!$O$13,'Paths'!$P$13))</x:f>
        <x:v>20000</x:v>
      </x:c>
      <x:c r="G561" s="46" t="n">
        <x:f>IF('Controls'!$D$7="Reference",1,IF(OR(D561=6,D561=7,D561=21,D561=46),'Paths'!$U$13,1))</x:f>
        <x:v>1</x:v>
      </x:c>
      <x:c r="H561" s="46" t="n">
        <x:f>IF('Controls'!$D$7="Reference",1,IF(OR(AND(D561&gt;=14,D561&lt;=16),AND(D561&gt;=34,D561&lt;=35),AND(D561&gt;=61,D561&lt;=63)),'Paths'!$V$13,1))</x:f>
        <x:v>1</x:v>
      </x:c>
      <x:c r="I561" s="46" t="n">
        <x:f>'Paths'!$W$13</x:f>
        <x:v>0.82</x:v>
      </x:c>
      <x:c r="J561" s="47" t="n">
        <x:f>IF(D561&lt;E561,0,MIN(F561*G561*H561*I561,IF('Paths'!$T$13&gt;0,MAX(0,'Paths'!$T$13-K560),1000000000)))</x:f>
        <x:v>16400</x:v>
      </x:c>
      <x:c r="K561" s="47" t="n">
        <x:f>K560+J561</x:f>
        <x:v>16400</x:v>
      </x:c>
      <x:c r="L561" s="46" t="n">
        <x:f>IF(C561="P0",1,IF(D561&lt;=3,0.8,IF(D561&lt;=14,0.65,IF(D561&lt;=45,0.5,0.3))))</x:f>
        <x:v>0.65</x:v>
      </x:c>
      <x:c r="M561" s="47" t="n">
        <x:f>J561*L561</x:f>
        <x:v>10660</x:v>
      </x:c>
      <x:c r="N561" s="47" t="n">
        <x:f>N560+M561</x:f>
        <x:v>10660</x:v>
      </x:c>
      <x:c r="O561" s="46" t="n">
        <x:f>IF(C561="P0",0,IF(D561&lt;=3,0.15,IF(D561&lt;=14,0.25,IF(D561&lt;=45,0.35,0.5))))</x:f>
        <x:v>0.25</x:v>
      </x:c>
      <x:c r="P561" s="47" t="n">
        <x:f>J561*O561</x:f>
        <x:v>4100</x:v>
      </x:c>
      <x:c r="Q561" s="46" t="n">
        <x:f>IF(C561="P0",0,IF(D561&lt;=3,0.05,IF(D561&lt;=14,0.1,IF(D561&lt;=45,0.15,0.2))))</x:f>
        <x:v>0.1</x:v>
      </x:c>
      <x:c r="R561" s="47" t="n">
        <x:f>J561*Q561</x:f>
        <x:v>1640</x:v>
      </x:c>
      <x:c r="S561" s="20" t="str">
        <x:f>IF(D561&lt;E561,"closed",IF(D561&lt;'Paths'!$N$13,"initial","expanded"))</x:f>
        <x:v>initial</x:v>
      </x:c>
      <x:c r="T561" s="72"/>
    </x:row>
    <x:row r="562">
      <x:c r="C562" s="20" t="str">
        <x:v>P6</x:v>
      </x:c>
      <x:c r="D562" s="20" t="n">
        <x:v>9</x:v>
      </x:c>
      <x:c r="E562" s="45" t="n">
        <x:f>IF('Controls'!$D$7="Reference",'Paths'!$J$13,'Paths'!$K$13)</x:f>
        <x:v>8</x:v>
      </x:c>
      <x:c r="F562" s="47" t="n">
        <x:f>IF(D562&lt;'Paths'!$N$13,IF('Controls'!$D$7="Reference",'Paths'!$L$13,'Paths'!$M$13),IF('Controls'!$D$7="Reference",'Paths'!$O$13,'Paths'!$P$13))</x:f>
        <x:v>20000</x:v>
      </x:c>
      <x:c r="G562" s="46" t="n">
        <x:f>IF('Controls'!$D$7="Reference",1,IF(OR(D562=6,D562=7,D562=21,D562=46),'Paths'!$U$13,1))</x:f>
        <x:v>1</x:v>
      </x:c>
      <x:c r="H562" s="46" t="n">
        <x:f>IF('Controls'!$D$7="Reference",1,IF(OR(AND(D562&gt;=14,D562&lt;=16),AND(D562&gt;=34,D562&lt;=35),AND(D562&gt;=61,D562&lt;=63)),'Paths'!$V$13,1))</x:f>
        <x:v>1</x:v>
      </x:c>
      <x:c r="I562" s="46" t="n">
        <x:f>'Paths'!$W$13</x:f>
        <x:v>0.82</x:v>
      </x:c>
      <x:c r="J562" s="47" t="n">
        <x:f>IF(D562&lt;E562,0,MIN(F562*G562*H562*I562,IF('Paths'!$T$13&gt;0,MAX(0,'Paths'!$T$13-K561),1000000000)))</x:f>
        <x:v>16400</x:v>
      </x:c>
      <x:c r="K562" s="47" t="n">
        <x:f>K561+J562</x:f>
        <x:v>32800</x:v>
      </x:c>
      <x:c r="L562" s="46" t="n">
        <x:f>IF(C562="P0",1,IF(D562&lt;=3,0.8,IF(D562&lt;=14,0.65,IF(D562&lt;=45,0.5,0.3))))</x:f>
        <x:v>0.65</x:v>
      </x:c>
      <x:c r="M562" s="47" t="n">
        <x:f>J562*L562</x:f>
        <x:v>10660</x:v>
      </x:c>
      <x:c r="N562" s="47" t="n">
        <x:f>N561+M562</x:f>
        <x:v>21320</x:v>
      </x:c>
      <x:c r="O562" s="46" t="n">
        <x:f>IF(C562="P0",0,IF(D562&lt;=3,0.15,IF(D562&lt;=14,0.25,IF(D562&lt;=45,0.35,0.5))))</x:f>
        <x:v>0.25</x:v>
      </x:c>
      <x:c r="P562" s="47" t="n">
        <x:f>J562*O562</x:f>
        <x:v>4100</x:v>
      </x:c>
      <x:c r="Q562" s="46" t="n">
        <x:f>IF(C562="P0",0,IF(D562&lt;=3,0.05,IF(D562&lt;=14,0.1,IF(D562&lt;=45,0.15,0.2))))</x:f>
        <x:v>0.1</x:v>
      </x:c>
      <x:c r="R562" s="47" t="n">
        <x:f>J562*Q562</x:f>
        <x:v>1640</x:v>
      </x:c>
      <x:c r="S562" s="20" t="str">
        <x:f>IF(D562&lt;E562,"closed",IF(D562&lt;'Paths'!$N$13,"initial","expanded"))</x:f>
        <x:v>initial</x:v>
      </x:c>
      <x:c r="T562" s="72"/>
    </x:row>
    <x:row r="563">
      <x:c r="C563" s="20" t="str">
        <x:v>P6</x:v>
      </x:c>
      <x:c r="D563" s="20" t="n">
        <x:v>10</x:v>
      </x:c>
      <x:c r="E563" s="45" t="n">
        <x:f>IF('Controls'!$D$7="Reference",'Paths'!$J$13,'Paths'!$K$13)</x:f>
        <x:v>8</x:v>
      </x:c>
      <x:c r="F563" s="47" t="n">
        <x:f>IF(D563&lt;'Paths'!$N$13,IF('Controls'!$D$7="Reference",'Paths'!$L$13,'Paths'!$M$13),IF('Controls'!$D$7="Reference",'Paths'!$O$13,'Paths'!$P$13))</x:f>
        <x:v>20000</x:v>
      </x:c>
      <x:c r="G563" s="46" t="n">
        <x:f>IF('Controls'!$D$7="Reference",1,IF(OR(D563=6,D563=7,D563=21,D563=46),'Paths'!$U$13,1))</x:f>
        <x:v>1</x:v>
      </x:c>
      <x:c r="H563" s="46" t="n">
        <x:f>IF('Controls'!$D$7="Reference",1,IF(OR(AND(D563&gt;=14,D563&lt;=16),AND(D563&gt;=34,D563&lt;=35),AND(D563&gt;=61,D563&lt;=63)),'Paths'!$V$13,1))</x:f>
        <x:v>1</x:v>
      </x:c>
      <x:c r="I563" s="46" t="n">
        <x:f>'Paths'!$W$13</x:f>
        <x:v>0.82</x:v>
      </x:c>
      <x:c r="J563" s="47" t="n">
        <x:f>IF(D563&lt;E563,0,MIN(F563*G563*H563*I563,IF('Paths'!$T$13&gt;0,MAX(0,'Paths'!$T$13-K562),1000000000)))</x:f>
        <x:v>16400</x:v>
      </x:c>
      <x:c r="K563" s="47" t="n">
        <x:f>K562+J563</x:f>
        <x:v>49200</x:v>
      </x:c>
      <x:c r="L563" s="46" t="n">
        <x:f>IF(C563="P0",1,IF(D563&lt;=3,0.8,IF(D563&lt;=14,0.65,IF(D563&lt;=45,0.5,0.3))))</x:f>
        <x:v>0.65</x:v>
      </x:c>
      <x:c r="M563" s="47" t="n">
        <x:f>J563*L563</x:f>
        <x:v>10660</x:v>
      </x:c>
      <x:c r="N563" s="47" t="n">
        <x:f>N562+M563</x:f>
        <x:v>31980</x:v>
      </x:c>
      <x:c r="O563" s="46" t="n">
        <x:f>IF(C563="P0",0,IF(D563&lt;=3,0.15,IF(D563&lt;=14,0.25,IF(D563&lt;=45,0.35,0.5))))</x:f>
        <x:v>0.25</x:v>
      </x:c>
      <x:c r="P563" s="47" t="n">
        <x:f>J563*O563</x:f>
        <x:v>4100</x:v>
      </x:c>
      <x:c r="Q563" s="46" t="n">
        <x:f>IF(C563="P0",0,IF(D563&lt;=3,0.05,IF(D563&lt;=14,0.1,IF(D563&lt;=45,0.15,0.2))))</x:f>
        <x:v>0.1</x:v>
      </x:c>
      <x:c r="R563" s="47" t="n">
        <x:f>J563*Q563</x:f>
        <x:v>1640</x:v>
      </x:c>
      <x:c r="S563" s="20" t="str">
        <x:f>IF(D563&lt;E563,"closed",IF(D563&lt;'Paths'!$N$13,"initial","expanded"))</x:f>
        <x:v>initial</x:v>
      </x:c>
      <x:c r="T563" s="72"/>
    </x:row>
    <x:row r="564">
      <x:c r="C564" s="20" t="str">
        <x:v>P6</x:v>
      </x:c>
      <x:c r="D564" s="20" t="n">
        <x:v>11</x:v>
      </x:c>
      <x:c r="E564" s="45" t="n">
        <x:f>IF('Controls'!$D$7="Reference",'Paths'!$J$13,'Paths'!$K$13)</x:f>
        <x:v>8</x:v>
      </x:c>
      <x:c r="F564" s="47" t="n">
        <x:f>IF(D564&lt;'Paths'!$N$13,IF('Controls'!$D$7="Reference",'Paths'!$L$13,'Paths'!$M$13),IF('Controls'!$D$7="Reference",'Paths'!$O$13,'Paths'!$P$13))</x:f>
        <x:v>20000</x:v>
      </x:c>
      <x:c r="G564" s="46" t="n">
        <x:f>IF('Controls'!$D$7="Reference",1,IF(OR(D564=6,D564=7,D564=21,D564=46),'Paths'!$U$13,1))</x:f>
        <x:v>1</x:v>
      </x:c>
      <x:c r="H564" s="46" t="n">
        <x:f>IF('Controls'!$D$7="Reference",1,IF(OR(AND(D564&gt;=14,D564&lt;=16),AND(D564&gt;=34,D564&lt;=35),AND(D564&gt;=61,D564&lt;=63)),'Paths'!$V$13,1))</x:f>
        <x:v>1</x:v>
      </x:c>
      <x:c r="I564" s="46" t="n">
        <x:f>'Paths'!$W$13</x:f>
        <x:v>0.82</x:v>
      </x:c>
      <x:c r="J564" s="47" t="n">
        <x:f>IF(D564&lt;E564,0,MIN(F564*G564*H564*I564,IF('Paths'!$T$13&gt;0,MAX(0,'Paths'!$T$13-K563),1000000000)))</x:f>
        <x:v>16400</x:v>
      </x:c>
      <x:c r="K564" s="47" t="n">
        <x:f>K563+J564</x:f>
        <x:v>65600</x:v>
      </x:c>
      <x:c r="L564" s="46" t="n">
        <x:f>IF(C564="P0",1,IF(D564&lt;=3,0.8,IF(D564&lt;=14,0.65,IF(D564&lt;=45,0.5,0.3))))</x:f>
        <x:v>0.65</x:v>
      </x:c>
      <x:c r="M564" s="47" t="n">
        <x:f>J564*L564</x:f>
        <x:v>10660</x:v>
      </x:c>
      <x:c r="N564" s="47" t="n">
        <x:f>N563+M564</x:f>
        <x:v>42640</x:v>
      </x:c>
      <x:c r="O564" s="46" t="n">
        <x:f>IF(C564="P0",0,IF(D564&lt;=3,0.15,IF(D564&lt;=14,0.25,IF(D564&lt;=45,0.35,0.5))))</x:f>
        <x:v>0.25</x:v>
      </x:c>
      <x:c r="P564" s="47" t="n">
        <x:f>J564*O564</x:f>
        <x:v>4100</x:v>
      </x:c>
      <x:c r="Q564" s="46" t="n">
        <x:f>IF(C564="P0",0,IF(D564&lt;=3,0.05,IF(D564&lt;=14,0.1,IF(D564&lt;=45,0.15,0.2))))</x:f>
        <x:v>0.1</x:v>
      </x:c>
      <x:c r="R564" s="47" t="n">
        <x:f>J564*Q564</x:f>
        <x:v>1640</x:v>
      </x:c>
      <x:c r="S564" s="20" t="str">
        <x:f>IF(D564&lt;E564,"closed",IF(D564&lt;'Paths'!$N$13,"initial","expanded"))</x:f>
        <x:v>initial</x:v>
      </x:c>
      <x:c r="T564" s="72"/>
    </x:row>
    <x:row r="565">
      <x:c r="C565" s="20" t="str">
        <x:v>P6</x:v>
      </x:c>
      <x:c r="D565" s="20" t="n">
        <x:v>12</x:v>
      </x:c>
      <x:c r="E565" s="45" t="n">
        <x:f>IF('Controls'!$D$7="Reference",'Paths'!$J$13,'Paths'!$K$13)</x:f>
        <x:v>8</x:v>
      </x:c>
      <x:c r="F565" s="47" t="n">
        <x:f>IF(D565&lt;'Paths'!$N$13,IF('Controls'!$D$7="Reference",'Paths'!$L$13,'Paths'!$M$13),IF('Controls'!$D$7="Reference",'Paths'!$O$13,'Paths'!$P$13))</x:f>
        <x:v>20000</x:v>
      </x:c>
      <x:c r="G565" s="46" t="n">
        <x:f>IF('Controls'!$D$7="Reference",1,IF(OR(D565=6,D565=7,D565=21,D565=46),'Paths'!$U$13,1))</x:f>
        <x:v>1</x:v>
      </x:c>
      <x:c r="H565" s="46" t="n">
        <x:f>IF('Controls'!$D$7="Reference",1,IF(OR(AND(D565&gt;=14,D565&lt;=16),AND(D565&gt;=34,D565&lt;=35),AND(D565&gt;=61,D565&lt;=63)),'Paths'!$V$13,1))</x:f>
        <x:v>1</x:v>
      </x:c>
      <x:c r="I565" s="46" t="n">
        <x:f>'Paths'!$W$13</x:f>
        <x:v>0.82</x:v>
      </x:c>
      <x:c r="J565" s="47" t="n">
        <x:f>IF(D565&lt;E565,0,MIN(F565*G565*H565*I565,IF('Paths'!$T$13&gt;0,MAX(0,'Paths'!$T$13-K564),1000000000)))</x:f>
        <x:v>16400</x:v>
      </x:c>
      <x:c r="K565" s="47" t="n">
        <x:f>K564+J565</x:f>
        <x:v>82000</x:v>
      </x:c>
      <x:c r="L565" s="46" t="n">
        <x:f>IF(C565="P0",1,IF(D565&lt;=3,0.8,IF(D565&lt;=14,0.65,IF(D565&lt;=45,0.5,0.3))))</x:f>
        <x:v>0.65</x:v>
      </x:c>
      <x:c r="M565" s="47" t="n">
        <x:f>J565*L565</x:f>
        <x:v>10660</x:v>
      </x:c>
      <x:c r="N565" s="47" t="n">
        <x:f>N564+M565</x:f>
        <x:v>53300</x:v>
      </x:c>
      <x:c r="O565" s="46" t="n">
        <x:f>IF(C565="P0",0,IF(D565&lt;=3,0.15,IF(D565&lt;=14,0.25,IF(D565&lt;=45,0.35,0.5))))</x:f>
        <x:v>0.25</x:v>
      </x:c>
      <x:c r="P565" s="47" t="n">
        <x:f>J565*O565</x:f>
        <x:v>4100</x:v>
      </x:c>
      <x:c r="Q565" s="46" t="n">
        <x:f>IF(C565="P0",0,IF(D565&lt;=3,0.05,IF(D565&lt;=14,0.1,IF(D565&lt;=45,0.15,0.2))))</x:f>
        <x:v>0.1</x:v>
      </x:c>
      <x:c r="R565" s="47" t="n">
        <x:f>J565*Q565</x:f>
        <x:v>1640</x:v>
      </x:c>
      <x:c r="S565" s="20" t="str">
        <x:f>IF(D565&lt;E565,"closed",IF(D565&lt;'Paths'!$N$13,"initial","expanded"))</x:f>
        <x:v>initial</x:v>
      </x:c>
      <x:c r="T565" s="72"/>
    </x:row>
    <x:row r="566">
      <x:c r="C566" s="20" t="str">
        <x:v>P6</x:v>
      </x:c>
      <x:c r="D566" s="20" t="n">
        <x:v>13</x:v>
      </x:c>
      <x:c r="E566" s="45" t="n">
        <x:f>IF('Controls'!$D$7="Reference",'Paths'!$J$13,'Paths'!$K$13)</x:f>
        <x:v>8</x:v>
      </x:c>
      <x:c r="F566" s="47" t="n">
        <x:f>IF(D566&lt;'Paths'!$N$13,IF('Controls'!$D$7="Reference",'Paths'!$L$13,'Paths'!$M$13),IF('Controls'!$D$7="Reference",'Paths'!$O$13,'Paths'!$P$13))</x:f>
        <x:v>20000</x:v>
      </x:c>
      <x:c r="G566" s="46" t="n">
        <x:f>IF('Controls'!$D$7="Reference",1,IF(OR(D566=6,D566=7,D566=21,D566=46),'Paths'!$U$13,1))</x:f>
        <x:v>1</x:v>
      </x:c>
      <x:c r="H566" s="46" t="n">
        <x:f>IF('Controls'!$D$7="Reference",1,IF(OR(AND(D566&gt;=14,D566&lt;=16),AND(D566&gt;=34,D566&lt;=35),AND(D566&gt;=61,D566&lt;=63)),'Paths'!$V$13,1))</x:f>
        <x:v>1</x:v>
      </x:c>
      <x:c r="I566" s="46" t="n">
        <x:f>'Paths'!$W$13</x:f>
        <x:v>0.82</x:v>
      </x:c>
      <x:c r="J566" s="47" t="n">
        <x:f>IF(D566&lt;E566,0,MIN(F566*G566*H566*I566,IF('Paths'!$T$13&gt;0,MAX(0,'Paths'!$T$13-K565),1000000000)))</x:f>
        <x:v>16400</x:v>
      </x:c>
      <x:c r="K566" s="47" t="n">
        <x:f>K565+J566</x:f>
        <x:v>98400</x:v>
      </x:c>
      <x:c r="L566" s="46" t="n">
        <x:f>IF(C566="P0",1,IF(D566&lt;=3,0.8,IF(D566&lt;=14,0.65,IF(D566&lt;=45,0.5,0.3))))</x:f>
        <x:v>0.65</x:v>
      </x:c>
      <x:c r="M566" s="47" t="n">
        <x:f>J566*L566</x:f>
        <x:v>10660</x:v>
      </x:c>
      <x:c r="N566" s="47" t="n">
        <x:f>N565+M566</x:f>
        <x:v>63960</x:v>
      </x:c>
      <x:c r="O566" s="46" t="n">
        <x:f>IF(C566="P0",0,IF(D566&lt;=3,0.15,IF(D566&lt;=14,0.25,IF(D566&lt;=45,0.35,0.5))))</x:f>
        <x:v>0.25</x:v>
      </x:c>
      <x:c r="P566" s="47" t="n">
        <x:f>J566*O566</x:f>
        <x:v>4100</x:v>
      </x:c>
      <x:c r="Q566" s="46" t="n">
        <x:f>IF(C566="P0",0,IF(D566&lt;=3,0.05,IF(D566&lt;=14,0.1,IF(D566&lt;=45,0.15,0.2))))</x:f>
        <x:v>0.1</x:v>
      </x:c>
      <x:c r="R566" s="47" t="n">
        <x:f>J566*Q566</x:f>
        <x:v>1640</x:v>
      </x:c>
      <x:c r="S566" s="20" t="str">
        <x:f>IF(D566&lt;E566,"closed",IF(D566&lt;'Paths'!$N$13,"initial","expanded"))</x:f>
        <x:v>initial</x:v>
      </x:c>
      <x:c r="T566" s="72"/>
    </x:row>
    <x:row r="567">
      <x:c r="C567" s="20" t="str">
        <x:v>P6</x:v>
      </x:c>
      <x:c r="D567" s="20" t="n">
        <x:v>14</x:v>
      </x:c>
      <x:c r="E567" s="45" t="n">
        <x:f>IF('Controls'!$D$7="Reference",'Paths'!$J$13,'Paths'!$K$13)</x:f>
        <x:v>8</x:v>
      </x:c>
      <x:c r="F567" s="47" t="n">
        <x:f>IF(D567&lt;'Paths'!$N$13,IF('Controls'!$D$7="Reference",'Paths'!$L$13,'Paths'!$M$13),IF('Controls'!$D$7="Reference",'Paths'!$O$13,'Paths'!$P$13))</x:f>
        <x:v>20000</x:v>
      </x:c>
      <x:c r="G567" s="46" t="n">
        <x:f>IF('Controls'!$D$7="Reference",1,IF(OR(D567=6,D567=7,D567=21,D567=46),'Paths'!$U$13,1))</x:f>
        <x:v>1</x:v>
      </x:c>
      <x:c r="H567" s="46" t="n">
        <x:f>IF('Controls'!$D$7="Reference",1,IF(OR(AND(D567&gt;=14,D567&lt;=16),AND(D567&gt;=34,D567&lt;=35),AND(D567&gt;=61,D567&lt;=63)),'Paths'!$V$13,1))</x:f>
        <x:v>0.65</x:v>
      </x:c>
      <x:c r="I567" s="46" t="n">
        <x:f>'Paths'!$W$13</x:f>
        <x:v>0.82</x:v>
      </x:c>
      <x:c r="J567" s="47" t="n">
        <x:f>IF(D567&lt;E567,0,MIN(F567*G567*H567*I567,IF('Paths'!$T$13&gt;0,MAX(0,'Paths'!$T$13-K566),1000000000)))</x:f>
        <x:v>10660</x:v>
      </x:c>
      <x:c r="K567" s="47" t="n">
        <x:f>K566+J567</x:f>
        <x:v>109060</x:v>
      </x:c>
      <x:c r="L567" s="46" t="n">
        <x:f>IF(C567="P0",1,IF(D567&lt;=3,0.8,IF(D567&lt;=14,0.65,IF(D567&lt;=45,0.5,0.3))))</x:f>
        <x:v>0.65</x:v>
      </x:c>
      <x:c r="M567" s="47" t="n">
        <x:f>J567*L567</x:f>
        <x:v>6929</x:v>
      </x:c>
      <x:c r="N567" s="47" t="n">
        <x:f>N566+M567</x:f>
        <x:v>70889</x:v>
      </x:c>
      <x:c r="O567" s="46" t="n">
        <x:f>IF(C567="P0",0,IF(D567&lt;=3,0.15,IF(D567&lt;=14,0.25,IF(D567&lt;=45,0.35,0.5))))</x:f>
        <x:v>0.25</x:v>
      </x:c>
      <x:c r="P567" s="47" t="n">
        <x:f>J567*O567</x:f>
        <x:v>2665</x:v>
      </x:c>
      <x:c r="Q567" s="46" t="n">
        <x:f>IF(C567="P0",0,IF(D567&lt;=3,0.05,IF(D567&lt;=14,0.1,IF(D567&lt;=45,0.15,0.2))))</x:f>
        <x:v>0.1</x:v>
      </x:c>
      <x:c r="R567" s="47" t="n">
        <x:f>J567*Q567</x:f>
        <x:v>1066</x:v>
      </x:c>
      <x:c r="S567" s="20" t="str">
        <x:f>IF(D567&lt;E567,"closed",IF(D567&lt;'Paths'!$N$13,"initial","expanded"))</x:f>
        <x:v>initial</x:v>
      </x:c>
      <x:c r="T567" s="72"/>
    </x:row>
    <x:row r="568">
      <x:c r="C568" s="20" t="str">
        <x:v>P6</x:v>
      </x:c>
      <x:c r="D568" s="20" t="n">
        <x:v>15</x:v>
      </x:c>
      <x:c r="E568" s="45" t="n">
        <x:f>IF('Controls'!$D$7="Reference",'Paths'!$J$13,'Paths'!$K$13)</x:f>
        <x:v>8</x:v>
      </x:c>
      <x:c r="F568" s="47" t="n">
        <x:f>IF(D568&lt;'Paths'!$N$13,IF('Controls'!$D$7="Reference",'Paths'!$L$13,'Paths'!$M$13),IF('Controls'!$D$7="Reference",'Paths'!$O$13,'Paths'!$P$13))</x:f>
        <x:v>20000</x:v>
      </x:c>
      <x:c r="G568" s="46" t="n">
        <x:f>IF('Controls'!$D$7="Reference",1,IF(OR(D568=6,D568=7,D568=21,D568=46),'Paths'!$U$13,1))</x:f>
        <x:v>1</x:v>
      </x:c>
      <x:c r="H568" s="46" t="n">
        <x:f>IF('Controls'!$D$7="Reference",1,IF(OR(AND(D568&gt;=14,D568&lt;=16),AND(D568&gt;=34,D568&lt;=35),AND(D568&gt;=61,D568&lt;=63)),'Paths'!$V$13,1))</x:f>
        <x:v>0.65</x:v>
      </x:c>
      <x:c r="I568" s="46" t="n">
        <x:f>'Paths'!$W$13</x:f>
        <x:v>0.82</x:v>
      </x:c>
      <x:c r="J568" s="47" t="n">
        <x:f>IF(D568&lt;E568,0,MIN(F568*G568*H568*I568,IF('Paths'!$T$13&gt;0,MAX(0,'Paths'!$T$13-K567),1000000000)))</x:f>
        <x:v>10660</x:v>
      </x:c>
      <x:c r="K568" s="47" t="n">
        <x:f>K567+J568</x:f>
        <x:v>119720</x:v>
      </x:c>
      <x:c r="L568" s="46" t="n">
        <x:f>IF(C568="P0",1,IF(D568&lt;=3,0.8,IF(D568&lt;=14,0.65,IF(D568&lt;=45,0.5,0.3))))</x:f>
        <x:v>0.5</x:v>
      </x:c>
      <x:c r="M568" s="47" t="n">
        <x:f>J568*L568</x:f>
        <x:v>5330</x:v>
      </x:c>
      <x:c r="N568" s="47" t="n">
        <x:f>N567+M568</x:f>
        <x:v>76219</x:v>
      </x:c>
      <x:c r="O568" s="46" t="n">
        <x:f>IF(C568="P0",0,IF(D568&lt;=3,0.15,IF(D568&lt;=14,0.25,IF(D568&lt;=45,0.35,0.5))))</x:f>
        <x:v>0.35</x:v>
      </x:c>
      <x:c r="P568" s="47" t="n">
        <x:f>J568*O568</x:f>
        <x:v>3730.9999999999995</x:v>
      </x:c>
      <x:c r="Q568" s="46" t="n">
        <x:f>IF(C568="P0",0,IF(D568&lt;=3,0.05,IF(D568&lt;=14,0.1,IF(D568&lt;=45,0.15,0.2))))</x:f>
        <x:v>0.15</x:v>
      </x:c>
      <x:c r="R568" s="47" t="n">
        <x:f>J568*Q568</x:f>
        <x:v>1599</x:v>
      </x:c>
      <x:c r="S568" s="20" t="str">
        <x:f>IF(D568&lt;E568,"closed",IF(D568&lt;'Paths'!$N$13,"initial","expanded"))</x:f>
        <x:v>initial</x:v>
      </x:c>
      <x:c r="T568" s="72"/>
    </x:row>
    <x:row r="569">
      <x:c r="C569" s="20" t="str">
        <x:v>P6</x:v>
      </x:c>
      <x:c r="D569" s="20" t="n">
        <x:v>16</x:v>
      </x:c>
      <x:c r="E569" s="45" t="n">
        <x:f>IF('Controls'!$D$7="Reference",'Paths'!$J$13,'Paths'!$K$13)</x:f>
        <x:v>8</x:v>
      </x:c>
      <x:c r="F569" s="47" t="n">
        <x:f>IF(D569&lt;'Paths'!$N$13,IF('Controls'!$D$7="Reference",'Paths'!$L$13,'Paths'!$M$13),IF('Controls'!$D$7="Reference",'Paths'!$O$13,'Paths'!$P$13))</x:f>
        <x:v>20000</x:v>
      </x:c>
      <x:c r="G569" s="46" t="n">
        <x:f>IF('Controls'!$D$7="Reference",1,IF(OR(D569=6,D569=7,D569=21,D569=46),'Paths'!$U$13,1))</x:f>
        <x:v>1</x:v>
      </x:c>
      <x:c r="H569" s="46" t="n">
        <x:f>IF('Controls'!$D$7="Reference",1,IF(OR(AND(D569&gt;=14,D569&lt;=16),AND(D569&gt;=34,D569&lt;=35),AND(D569&gt;=61,D569&lt;=63)),'Paths'!$V$13,1))</x:f>
        <x:v>0.65</x:v>
      </x:c>
      <x:c r="I569" s="46" t="n">
        <x:f>'Paths'!$W$13</x:f>
        <x:v>0.82</x:v>
      </x:c>
      <x:c r="J569" s="47" t="n">
        <x:f>IF(D569&lt;E569,0,MIN(F569*G569*H569*I569,IF('Paths'!$T$13&gt;0,MAX(0,'Paths'!$T$13-K568),1000000000)))</x:f>
        <x:v>10660</x:v>
      </x:c>
      <x:c r="K569" s="47" t="n">
        <x:f>K568+J569</x:f>
        <x:v>130380</x:v>
      </x:c>
      <x:c r="L569" s="46" t="n">
        <x:f>IF(C569="P0",1,IF(D569&lt;=3,0.8,IF(D569&lt;=14,0.65,IF(D569&lt;=45,0.5,0.3))))</x:f>
        <x:v>0.5</x:v>
      </x:c>
      <x:c r="M569" s="47" t="n">
        <x:f>J569*L569</x:f>
        <x:v>5330</x:v>
      </x:c>
      <x:c r="N569" s="47" t="n">
        <x:f>N568+M569</x:f>
        <x:v>81549</x:v>
      </x:c>
      <x:c r="O569" s="46" t="n">
        <x:f>IF(C569="P0",0,IF(D569&lt;=3,0.15,IF(D569&lt;=14,0.25,IF(D569&lt;=45,0.35,0.5))))</x:f>
        <x:v>0.35</x:v>
      </x:c>
      <x:c r="P569" s="47" t="n">
        <x:f>J569*O569</x:f>
        <x:v>3730.9999999999995</x:v>
      </x:c>
      <x:c r="Q569" s="46" t="n">
        <x:f>IF(C569="P0",0,IF(D569&lt;=3,0.05,IF(D569&lt;=14,0.1,IF(D569&lt;=45,0.15,0.2))))</x:f>
        <x:v>0.15</x:v>
      </x:c>
      <x:c r="R569" s="47" t="n">
        <x:f>J569*Q569</x:f>
        <x:v>1599</x:v>
      </x:c>
      <x:c r="S569" s="20" t="str">
        <x:f>IF(D569&lt;E569,"closed",IF(D569&lt;'Paths'!$N$13,"initial","expanded"))</x:f>
        <x:v>initial</x:v>
      </x:c>
      <x:c r="T569" s="72"/>
    </x:row>
    <x:row r="570">
      <x:c r="C570" s="20" t="str">
        <x:v>P6</x:v>
      </x:c>
      <x:c r="D570" s="20" t="n">
        <x:v>17</x:v>
      </x:c>
      <x:c r="E570" s="45" t="n">
        <x:f>IF('Controls'!$D$7="Reference",'Paths'!$J$13,'Paths'!$K$13)</x:f>
        <x:v>8</x:v>
      </x:c>
      <x:c r="F570" s="47" t="n">
        <x:f>IF(D570&lt;'Paths'!$N$13,IF('Controls'!$D$7="Reference",'Paths'!$L$13,'Paths'!$M$13),IF('Controls'!$D$7="Reference",'Paths'!$O$13,'Paths'!$P$13))</x:f>
        <x:v>20000</x:v>
      </x:c>
      <x:c r="G570" s="46" t="n">
        <x:f>IF('Controls'!$D$7="Reference",1,IF(OR(D570=6,D570=7,D570=21,D570=46),'Paths'!$U$13,1))</x:f>
        <x:v>1</x:v>
      </x:c>
      <x:c r="H570" s="46" t="n">
        <x:f>IF('Controls'!$D$7="Reference",1,IF(OR(AND(D570&gt;=14,D570&lt;=16),AND(D570&gt;=34,D570&lt;=35),AND(D570&gt;=61,D570&lt;=63)),'Paths'!$V$13,1))</x:f>
        <x:v>1</x:v>
      </x:c>
      <x:c r="I570" s="46" t="n">
        <x:f>'Paths'!$W$13</x:f>
        <x:v>0.82</x:v>
      </x:c>
      <x:c r="J570" s="47" t="n">
        <x:f>IF(D570&lt;E570,0,MIN(F570*G570*H570*I570,IF('Paths'!$T$13&gt;0,MAX(0,'Paths'!$T$13-K569),1000000000)))</x:f>
        <x:v>16400</x:v>
      </x:c>
      <x:c r="K570" s="47" t="n">
        <x:f>K569+J570</x:f>
        <x:v>146780</x:v>
      </x:c>
      <x:c r="L570" s="46" t="n">
        <x:f>IF(C570="P0",1,IF(D570&lt;=3,0.8,IF(D570&lt;=14,0.65,IF(D570&lt;=45,0.5,0.3))))</x:f>
        <x:v>0.5</x:v>
      </x:c>
      <x:c r="M570" s="47" t="n">
        <x:f>J570*L570</x:f>
        <x:v>8200</x:v>
      </x:c>
      <x:c r="N570" s="47" t="n">
        <x:f>N569+M570</x:f>
        <x:v>89749</x:v>
      </x:c>
      <x:c r="O570" s="46" t="n">
        <x:f>IF(C570="P0",0,IF(D570&lt;=3,0.15,IF(D570&lt;=14,0.25,IF(D570&lt;=45,0.35,0.5))))</x:f>
        <x:v>0.35</x:v>
      </x:c>
      <x:c r="P570" s="47" t="n">
        <x:f>J570*O570</x:f>
        <x:v>5740</x:v>
      </x:c>
      <x:c r="Q570" s="46" t="n">
        <x:f>IF(C570="P0",0,IF(D570&lt;=3,0.05,IF(D570&lt;=14,0.1,IF(D570&lt;=45,0.15,0.2))))</x:f>
        <x:v>0.15</x:v>
      </x:c>
      <x:c r="R570" s="47" t="n">
        <x:f>J570*Q570</x:f>
        <x:v>2460</x:v>
      </x:c>
      <x:c r="S570" s="20" t="str">
        <x:f>IF(D570&lt;E570,"closed",IF(D570&lt;'Paths'!$N$13,"initial","expanded"))</x:f>
        <x:v>initial</x:v>
      </x:c>
      <x:c r="T570" s="72"/>
    </x:row>
    <x:row r="571">
      <x:c r="C571" s="20" t="str">
        <x:v>P6</x:v>
      </x:c>
      <x:c r="D571" s="20" t="n">
        <x:v>18</x:v>
      </x:c>
      <x:c r="E571" s="45" t="n">
        <x:f>IF('Controls'!$D$7="Reference",'Paths'!$J$13,'Paths'!$K$13)</x:f>
        <x:v>8</x:v>
      </x:c>
      <x:c r="F571" s="47" t="n">
        <x:f>IF(D571&lt;'Paths'!$N$13,IF('Controls'!$D$7="Reference",'Paths'!$L$13,'Paths'!$M$13),IF('Controls'!$D$7="Reference",'Paths'!$O$13,'Paths'!$P$13))</x:f>
        <x:v>20000</x:v>
      </x:c>
      <x:c r="G571" s="46" t="n">
        <x:f>IF('Controls'!$D$7="Reference",1,IF(OR(D571=6,D571=7,D571=21,D571=46),'Paths'!$U$13,1))</x:f>
        <x:v>1</x:v>
      </x:c>
      <x:c r="H571" s="46" t="n">
        <x:f>IF('Controls'!$D$7="Reference",1,IF(OR(AND(D571&gt;=14,D571&lt;=16),AND(D571&gt;=34,D571&lt;=35),AND(D571&gt;=61,D571&lt;=63)),'Paths'!$V$13,1))</x:f>
        <x:v>1</x:v>
      </x:c>
      <x:c r="I571" s="46" t="n">
        <x:f>'Paths'!$W$13</x:f>
        <x:v>0.82</x:v>
      </x:c>
      <x:c r="J571" s="47" t="n">
        <x:f>IF(D571&lt;E571,0,MIN(F571*G571*H571*I571,IF('Paths'!$T$13&gt;0,MAX(0,'Paths'!$T$13-K570),1000000000)))</x:f>
        <x:v>16400</x:v>
      </x:c>
      <x:c r="K571" s="47" t="n">
        <x:f>K570+J571</x:f>
        <x:v>163180</x:v>
      </x:c>
      <x:c r="L571" s="46" t="n">
        <x:f>IF(C571="P0",1,IF(D571&lt;=3,0.8,IF(D571&lt;=14,0.65,IF(D571&lt;=45,0.5,0.3))))</x:f>
        <x:v>0.5</x:v>
      </x:c>
      <x:c r="M571" s="47" t="n">
        <x:f>J571*L571</x:f>
        <x:v>8200</x:v>
      </x:c>
      <x:c r="N571" s="47" t="n">
        <x:f>N570+M571</x:f>
        <x:v>97949</x:v>
      </x:c>
      <x:c r="O571" s="46" t="n">
        <x:f>IF(C571="P0",0,IF(D571&lt;=3,0.15,IF(D571&lt;=14,0.25,IF(D571&lt;=45,0.35,0.5))))</x:f>
        <x:v>0.35</x:v>
      </x:c>
      <x:c r="P571" s="47" t="n">
        <x:f>J571*O571</x:f>
        <x:v>5740</x:v>
      </x:c>
      <x:c r="Q571" s="46" t="n">
        <x:f>IF(C571="P0",0,IF(D571&lt;=3,0.05,IF(D571&lt;=14,0.1,IF(D571&lt;=45,0.15,0.2))))</x:f>
        <x:v>0.15</x:v>
      </x:c>
      <x:c r="R571" s="47" t="n">
        <x:f>J571*Q571</x:f>
        <x:v>2460</x:v>
      </x:c>
      <x:c r="S571" s="20" t="str">
        <x:f>IF(D571&lt;E571,"closed",IF(D571&lt;'Paths'!$N$13,"initial","expanded"))</x:f>
        <x:v>initial</x:v>
      </x:c>
      <x:c r="T571" s="72"/>
    </x:row>
    <x:row r="572">
      <x:c r="C572" s="20" t="str">
        <x:v>P6</x:v>
      </x:c>
      <x:c r="D572" s="20" t="n">
        <x:v>19</x:v>
      </x:c>
      <x:c r="E572" s="45" t="n">
        <x:f>IF('Controls'!$D$7="Reference",'Paths'!$J$13,'Paths'!$K$13)</x:f>
        <x:v>8</x:v>
      </x:c>
      <x:c r="F572" s="47" t="n">
        <x:f>IF(D572&lt;'Paths'!$N$13,IF('Controls'!$D$7="Reference",'Paths'!$L$13,'Paths'!$M$13),IF('Controls'!$D$7="Reference",'Paths'!$O$13,'Paths'!$P$13))</x:f>
        <x:v>20000</x:v>
      </x:c>
      <x:c r="G572" s="46" t="n">
        <x:f>IF('Controls'!$D$7="Reference",1,IF(OR(D572=6,D572=7,D572=21,D572=46),'Paths'!$U$13,1))</x:f>
        <x:v>1</x:v>
      </x:c>
      <x:c r="H572" s="46" t="n">
        <x:f>IF('Controls'!$D$7="Reference",1,IF(OR(AND(D572&gt;=14,D572&lt;=16),AND(D572&gt;=34,D572&lt;=35),AND(D572&gt;=61,D572&lt;=63)),'Paths'!$V$13,1))</x:f>
        <x:v>1</x:v>
      </x:c>
      <x:c r="I572" s="46" t="n">
        <x:f>'Paths'!$W$13</x:f>
        <x:v>0.82</x:v>
      </x:c>
      <x:c r="J572" s="47" t="n">
        <x:f>IF(D572&lt;E572,0,MIN(F572*G572*H572*I572,IF('Paths'!$T$13&gt;0,MAX(0,'Paths'!$T$13-K571),1000000000)))</x:f>
        <x:v>16400</x:v>
      </x:c>
      <x:c r="K572" s="47" t="n">
        <x:f>K571+J572</x:f>
        <x:v>179580</x:v>
      </x:c>
      <x:c r="L572" s="46" t="n">
        <x:f>IF(C572="P0",1,IF(D572&lt;=3,0.8,IF(D572&lt;=14,0.65,IF(D572&lt;=45,0.5,0.3))))</x:f>
        <x:v>0.5</x:v>
      </x:c>
      <x:c r="M572" s="47" t="n">
        <x:f>J572*L572</x:f>
        <x:v>8200</x:v>
      </x:c>
      <x:c r="N572" s="47" t="n">
        <x:f>N571+M572</x:f>
        <x:v>106149</x:v>
      </x:c>
      <x:c r="O572" s="46" t="n">
        <x:f>IF(C572="P0",0,IF(D572&lt;=3,0.15,IF(D572&lt;=14,0.25,IF(D572&lt;=45,0.35,0.5))))</x:f>
        <x:v>0.35</x:v>
      </x:c>
      <x:c r="P572" s="47" t="n">
        <x:f>J572*O572</x:f>
        <x:v>5740</x:v>
      </x:c>
      <x:c r="Q572" s="46" t="n">
        <x:f>IF(C572="P0",0,IF(D572&lt;=3,0.05,IF(D572&lt;=14,0.1,IF(D572&lt;=45,0.15,0.2))))</x:f>
        <x:v>0.15</x:v>
      </x:c>
      <x:c r="R572" s="47" t="n">
        <x:f>J572*Q572</x:f>
        <x:v>2460</x:v>
      </x:c>
      <x:c r="S572" s="20" t="str">
        <x:f>IF(D572&lt;E572,"closed",IF(D572&lt;'Paths'!$N$13,"initial","expanded"))</x:f>
        <x:v>initial</x:v>
      </x:c>
      <x:c r="T572" s="72"/>
    </x:row>
    <x:row r="573">
      <x:c r="C573" s="20" t="str">
        <x:v>P6</x:v>
      </x:c>
      <x:c r="D573" s="20" t="n">
        <x:v>20</x:v>
      </x:c>
      <x:c r="E573" s="45" t="n">
        <x:f>IF('Controls'!$D$7="Reference",'Paths'!$J$13,'Paths'!$K$13)</x:f>
        <x:v>8</x:v>
      </x:c>
      <x:c r="F573" s="47" t="n">
        <x:f>IF(D573&lt;'Paths'!$N$13,IF('Controls'!$D$7="Reference",'Paths'!$L$13,'Paths'!$M$13),IF('Controls'!$D$7="Reference",'Paths'!$O$13,'Paths'!$P$13))</x:f>
        <x:v>40000</x:v>
      </x:c>
      <x:c r="G573" s="46" t="n">
        <x:f>IF('Controls'!$D$7="Reference",1,IF(OR(D573=6,D573=7,D573=21,D573=46),'Paths'!$U$13,1))</x:f>
        <x:v>1</x:v>
      </x:c>
      <x:c r="H573" s="46" t="n">
        <x:f>IF('Controls'!$D$7="Reference",1,IF(OR(AND(D573&gt;=14,D573&lt;=16),AND(D573&gt;=34,D573&lt;=35),AND(D573&gt;=61,D573&lt;=63)),'Paths'!$V$13,1))</x:f>
        <x:v>1</x:v>
      </x:c>
      <x:c r="I573" s="46" t="n">
        <x:f>'Paths'!$W$13</x:f>
        <x:v>0.82</x:v>
      </x:c>
      <x:c r="J573" s="47" t="n">
        <x:f>IF(D573&lt;E573,0,MIN(F573*G573*H573*I573,IF('Paths'!$T$13&gt;0,MAX(0,'Paths'!$T$13-K572),1000000000)))</x:f>
        <x:v>32800</x:v>
      </x:c>
      <x:c r="K573" s="47" t="n">
        <x:f>K572+J573</x:f>
        <x:v>212380</x:v>
      </x:c>
      <x:c r="L573" s="46" t="n">
        <x:f>IF(C573="P0",1,IF(D573&lt;=3,0.8,IF(D573&lt;=14,0.65,IF(D573&lt;=45,0.5,0.3))))</x:f>
        <x:v>0.5</x:v>
      </x:c>
      <x:c r="M573" s="47" t="n">
        <x:f>J573*L573</x:f>
        <x:v>16400</x:v>
      </x:c>
      <x:c r="N573" s="47" t="n">
        <x:f>N572+M573</x:f>
        <x:v>122549</x:v>
      </x:c>
      <x:c r="O573" s="46" t="n">
        <x:f>IF(C573="P0",0,IF(D573&lt;=3,0.15,IF(D573&lt;=14,0.25,IF(D573&lt;=45,0.35,0.5))))</x:f>
        <x:v>0.35</x:v>
      </x:c>
      <x:c r="P573" s="47" t="n">
        <x:f>J573*O573</x:f>
        <x:v>11480</x:v>
      </x:c>
      <x:c r="Q573" s="46" t="n">
        <x:f>IF(C573="P0",0,IF(D573&lt;=3,0.05,IF(D573&lt;=14,0.1,IF(D573&lt;=45,0.15,0.2))))</x:f>
        <x:v>0.15</x:v>
      </x:c>
      <x:c r="R573" s="47" t="n">
        <x:f>J573*Q573</x:f>
        <x:v>4920</x:v>
      </x:c>
      <x:c r="S573" s="20" t="str">
        <x:f>IF(D573&lt;E573,"closed",IF(D573&lt;'Paths'!$N$13,"initial","expanded"))</x:f>
        <x:v>expanded</x:v>
      </x:c>
      <x:c r="T573" s="72"/>
    </x:row>
    <x:row r="574">
      <x:c r="C574" s="20" t="str">
        <x:v>P6</x:v>
      </x:c>
      <x:c r="D574" s="20" t="n">
        <x:v>21</x:v>
      </x:c>
      <x:c r="E574" s="45" t="n">
        <x:f>IF('Controls'!$D$7="Reference",'Paths'!$J$13,'Paths'!$K$13)</x:f>
        <x:v>8</x:v>
      </x:c>
      <x:c r="F574" s="47" t="n">
        <x:f>IF(D574&lt;'Paths'!$N$13,IF('Controls'!$D$7="Reference",'Paths'!$L$13,'Paths'!$M$13),IF('Controls'!$D$7="Reference",'Paths'!$O$13,'Paths'!$P$13))</x:f>
        <x:v>40000</x:v>
      </x:c>
      <x:c r="G574" s="46" t="n">
        <x:f>IF('Controls'!$D$7="Reference",1,IF(OR(D574=6,D574=7,D574=21,D574=46),'Paths'!$U$13,1))</x:f>
        <x:v>0.35</x:v>
      </x:c>
      <x:c r="H574" s="46" t="n">
        <x:f>IF('Controls'!$D$7="Reference",1,IF(OR(AND(D574&gt;=14,D574&lt;=16),AND(D574&gt;=34,D574&lt;=35),AND(D574&gt;=61,D574&lt;=63)),'Paths'!$V$13,1))</x:f>
        <x:v>1</x:v>
      </x:c>
      <x:c r="I574" s="46" t="n">
        <x:f>'Paths'!$W$13</x:f>
        <x:v>0.82</x:v>
      </x:c>
      <x:c r="J574" s="47" t="n">
        <x:f>IF(D574&lt;E574,0,MIN(F574*G574*H574*I574,IF('Paths'!$T$13&gt;0,MAX(0,'Paths'!$T$13-K573),1000000000)))</x:f>
        <x:v>11480</x:v>
      </x:c>
      <x:c r="K574" s="47" t="n">
        <x:f>K573+J574</x:f>
        <x:v>223860</x:v>
      </x:c>
      <x:c r="L574" s="46" t="n">
        <x:f>IF(C574="P0",1,IF(D574&lt;=3,0.8,IF(D574&lt;=14,0.65,IF(D574&lt;=45,0.5,0.3))))</x:f>
        <x:v>0.5</x:v>
      </x:c>
      <x:c r="M574" s="47" t="n">
        <x:f>J574*L574</x:f>
        <x:v>5740</x:v>
      </x:c>
      <x:c r="N574" s="47" t="n">
        <x:f>N573+M574</x:f>
        <x:v>128289</x:v>
      </x:c>
      <x:c r="O574" s="46" t="n">
        <x:f>IF(C574="P0",0,IF(D574&lt;=3,0.15,IF(D574&lt;=14,0.25,IF(D574&lt;=45,0.35,0.5))))</x:f>
        <x:v>0.35</x:v>
      </x:c>
      <x:c r="P574" s="47" t="n">
        <x:f>J574*O574</x:f>
        <x:v>4017.9999999999995</x:v>
      </x:c>
      <x:c r="Q574" s="46" t="n">
        <x:f>IF(C574="P0",0,IF(D574&lt;=3,0.05,IF(D574&lt;=14,0.1,IF(D574&lt;=45,0.15,0.2))))</x:f>
        <x:v>0.15</x:v>
      </x:c>
      <x:c r="R574" s="47" t="n">
        <x:f>J574*Q574</x:f>
        <x:v>1722</x:v>
      </x:c>
      <x:c r="S574" s="20" t="str">
        <x:f>IF(D574&lt;E574,"closed",IF(D574&lt;'Paths'!$N$13,"initial","expanded"))</x:f>
        <x:v>expanded</x:v>
      </x:c>
      <x:c r="T574" s="72"/>
    </x:row>
    <x:row r="575">
      <x:c r="C575" s="20" t="str">
        <x:v>P6</x:v>
      </x:c>
      <x:c r="D575" s="20" t="n">
        <x:v>22</x:v>
      </x:c>
      <x:c r="E575" s="45" t="n">
        <x:f>IF('Controls'!$D$7="Reference",'Paths'!$J$13,'Paths'!$K$13)</x:f>
        <x:v>8</x:v>
      </x:c>
      <x:c r="F575" s="47" t="n">
        <x:f>IF(D575&lt;'Paths'!$N$13,IF('Controls'!$D$7="Reference",'Paths'!$L$13,'Paths'!$M$13),IF('Controls'!$D$7="Reference",'Paths'!$O$13,'Paths'!$P$13))</x:f>
        <x:v>40000</x:v>
      </x:c>
      <x:c r="G575" s="46" t="n">
        <x:f>IF('Controls'!$D$7="Reference",1,IF(OR(D575=6,D575=7,D575=21,D575=46),'Paths'!$U$13,1))</x:f>
        <x:v>1</x:v>
      </x:c>
      <x:c r="H575" s="46" t="n">
        <x:f>IF('Controls'!$D$7="Reference",1,IF(OR(AND(D575&gt;=14,D575&lt;=16),AND(D575&gt;=34,D575&lt;=35),AND(D575&gt;=61,D575&lt;=63)),'Paths'!$V$13,1))</x:f>
        <x:v>1</x:v>
      </x:c>
      <x:c r="I575" s="46" t="n">
        <x:f>'Paths'!$W$13</x:f>
        <x:v>0.82</x:v>
      </x:c>
      <x:c r="J575" s="47" t="n">
        <x:f>IF(D575&lt;E575,0,MIN(F575*G575*H575*I575,IF('Paths'!$T$13&gt;0,MAX(0,'Paths'!$T$13-K574),1000000000)))</x:f>
        <x:v>32800</x:v>
      </x:c>
      <x:c r="K575" s="47" t="n">
        <x:f>K574+J575</x:f>
        <x:v>256660</x:v>
      </x:c>
      <x:c r="L575" s="46" t="n">
        <x:f>IF(C575="P0",1,IF(D575&lt;=3,0.8,IF(D575&lt;=14,0.65,IF(D575&lt;=45,0.5,0.3))))</x:f>
        <x:v>0.5</x:v>
      </x:c>
      <x:c r="M575" s="47" t="n">
        <x:f>J575*L575</x:f>
        <x:v>16400</x:v>
      </x:c>
      <x:c r="N575" s="47" t="n">
        <x:f>N574+M575</x:f>
        <x:v>144689</x:v>
      </x:c>
      <x:c r="O575" s="46" t="n">
        <x:f>IF(C575="P0",0,IF(D575&lt;=3,0.15,IF(D575&lt;=14,0.25,IF(D575&lt;=45,0.35,0.5))))</x:f>
        <x:v>0.35</x:v>
      </x:c>
      <x:c r="P575" s="47" t="n">
        <x:f>J575*O575</x:f>
        <x:v>11480</x:v>
      </x:c>
      <x:c r="Q575" s="46" t="n">
        <x:f>IF(C575="P0",0,IF(D575&lt;=3,0.05,IF(D575&lt;=14,0.1,IF(D575&lt;=45,0.15,0.2))))</x:f>
        <x:v>0.15</x:v>
      </x:c>
      <x:c r="R575" s="47" t="n">
        <x:f>J575*Q575</x:f>
        <x:v>4920</x:v>
      </x:c>
      <x:c r="S575" s="20" t="str">
        <x:f>IF(D575&lt;E575,"closed",IF(D575&lt;'Paths'!$N$13,"initial","expanded"))</x:f>
        <x:v>expanded</x:v>
      </x:c>
      <x:c r="T575" s="72"/>
    </x:row>
    <x:row r="576">
      <x:c r="C576" s="20" t="str">
        <x:v>P6</x:v>
      </x:c>
      <x:c r="D576" s="20" t="n">
        <x:v>23</x:v>
      </x:c>
      <x:c r="E576" s="45" t="n">
        <x:f>IF('Controls'!$D$7="Reference",'Paths'!$J$13,'Paths'!$K$13)</x:f>
        <x:v>8</x:v>
      </x:c>
      <x:c r="F576" s="47" t="n">
        <x:f>IF(D576&lt;'Paths'!$N$13,IF('Controls'!$D$7="Reference",'Paths'!$L$13,'Paths'!$M$13),IF('Controls'!$D$7="Reference",'Paths'!$O$13,'Paths'!$P$13))</x:f>
        <x:v>40000</x:v>
      </x:c>
      <x:c r="G576" s="46" t="n">
        <x:f>IF('Controls'!$D$7="Reference",1,IF(OR(D576=6,D576=7,D576=21,D576=46),'Paths'!$U$13,1))</x:f>
        <x:v>1</x:v>
      </x:c>
      <x:c r="H576" s="46" t="n">
        <x:f>IF('Controls'!$D$7="Reference",1,IF(OR(AND(D576&gt;=14,D576&lt;=16),AND(D576&gt;=34,D576&lt;=35),AND(D576&gt;=61,D576&lt;=63)),'Paths'!$V$13,1))</x:f>
        <x:v>1</x:v>
      </x:c>
      <x:c r="I576" s="46" t="n">
        <x:f>'Paths'!$W$13</x:f>
        <x:v>0.82</x:v>
      </x:c>
      <x:c r="J576" s="47" t="n">
        <x:f>IF(D576&lt;E576,0,MIN(F576*G576*H576*I576,IF('Paths'!$T$13&gt;0,MAX(0,'Paths'!$T$13-K575),1000000000)))</x:f>
        <x:v>32800</x:v>
      </x:c>
      <x:c r="K576" s="47" t="n">
        <x:f>K575+J576</x:f>
        <x:v>289460</x:v>
      </x:c>
      <x:c r="L576" s="46" t="n">
        <x:f>IF(C576="P0",1,IF(D576&lt;=3,0.8,IF(D576&lt;=14,0.65,IF(D576&lt;=45,0.5,0.3))))</x:f>
        <x:v>0.5</x:v>
      </x:c>
      <x:c r="M576" s="47" t="n">
        <x:f>J576*L576</x:f>
        <x:v>16400</x:v>
      </x:c>
      <x:c r="N576" s="47" t="n">
        <x:f>N575+M576</x:f>
        <x:v>161089</x:v>
      </x:c>
      <x:c r="O576" s="46" t="n">
        <x:f>IF(C576="P0",0,IF(D576&lt;=3,0.15,IF(D576&lt;=14,0.25,IF(D576&lt;=45,0.35,0.5))))</x:f>
        <x:v>0.35</x:v>
      </x:c>
      <x:c r="P576" s="47" t="n">
        <x:f>J576*O576</x:f>
        <x:v>11480</x:v>
      </x:c>
      <x:c r="Q576" s="46" t="n">
        <x:f>IF(C576="P0",0,IF(D576&lt;=3,0.05,IF(D576&lt;=14,0.1,IF(D576&lt;=45,0.15,0.2))))</x:f>
        <x:v>0.15</x:v>
      </x:c>
      <x:c r="R576" s="47" t="n">
        <x:f>J576*Q576</x:f>
        <x:v>4920</x:v>
      </x:c>
      <x:c r="S576" s="20" t="str">
        <x:f>IF(D576&lt;E576,"closed",IF(D576&lt;'Paths'!$N$13,"initial","expanded"))</x:f>
        <x:v>expanded</x:v>
      </x:c>
      <x:c r="T576" s="72"/>
    </x:row>
    <x:row r="577">
      <x:c r="C577" s="20" t="str">
        <x:v>P6</x:v>
      </x:c>
      <x:c r="D577" s="20" t="n">
        <x:v>24</x:v>
      </x:c>
      <x:c r="E577" s="45" t="n">
        <x:f>IF('Controls'!$D$7="Reference",'Paths'!$J$13,'Paths'!$K$13)</x:f>
        <x:v>8</x:v>
      </x:c>
      <x:c r="F577" s="47" t="n">
        <x:f>IF(D577&lt;'Paths'!$N$13,IF('Controls'!$D$7="Reference",'Paths'!$L$13,'Paths'!$M$13),IF('Controls'!$D$7="Reference",'Paths'!$O$13,'Paths'!$P$13))</x:f>
        <x:v>40000</x:v>
      </x:c>
      <x:c r="G577" s="46" t="n">
        <x:f>IF('Controls'!$D$7="Reference",1,IF(OR(D577=6,D577=7,D577=21,D577=46),'Paths'!$U$13,1))</x:f>
        <x:v>1</x:v>
      </x:c>
      <x:c r="H577" s="46" t="n">
        <x:f>IF('Controls'!$D$7="Reference",1,IF(OR(AND(D577&gt;=14,D577&lt;=16),AND(D577&gt;=34,D577&lt;=35),AND(D577&gt;=61,D577&lt;=63)),'Paths'!$V$13,1))</x:f>
        <x:v>1</x:v>
      </x:c>
      <x:c r="I577" s="46" t="n">
        <x:f>'Paths'!$W$13</x:f>
        <x:v>0.82</x:v>
      </x:c>
      <x:c r="J577" s="47" t="n">
        <x:f>IF(D577&lt;E577,0,MIN(F577*G577*H577*I577,IF('Paths'!$T$13&gt;0,MAX(0,'Paths'!$T$13-K576),1000000000)))</x:f>
        <x:v>32800</x:v>
      </x:c>
      <x:c r="K577" s="47" t="n">
        <x:f>K576+J577</x:f>
        <x:v>322260</x:v>
      </x:c>
      <x:c r="L577" s="46" t="n">
        <x:f>IF(C577="P0",1,IF(D577&lt;=3,0.8,IF(D577&lt;=14,0.65,IF(D577&lt;=45,0.5,0.3))))</x:f>
        <x:v>0.5</x:v>
      </x:c>
      <x:c r="M577" s="47" t="n">
        <x:f>J577*L577</x:f>
        <x:v>16400</x:v>
      </x:c>
      <x:c r="N577" s="47" t="n">
        <x:f>N576+M577</x:f>
        <x:v>177489</x:v>
      </x:c>
      <x:c r="O577" s="46" t="n">
        <x:f>IF(C577="P0",0,IF(D577&lt;=3,0.15,IF(D577&lt;=14,0.25,IF(D577&lt;=45,0.35,0.5))))</x:f>
        <x:v>0.35</x:v>
      </x:c>
      <x:c r="P577" s="47" t="n">
        <x:f>J577*O577</x:f>
        <x:v>11480</x:v>
      </x:c>
      <x:c r="Q577" s="46" t="n">
        <x:f>IF(C577="P0",0,IF(D577&lt;=3,0.05,IF(D577&lt;=14,0.1,IF(D577&lt;=45,0.15,0.2))))</x:f>
        <x:v>0.15</x:v>
      </x:c>
      <x:c r="R577" s="47" t="n">
        <x:f>J577*Q577</x:f>
        <x:v>4920</x:v>
      </x:c>
      <x:c r="S577" s="20" t="str">
        <x:f>IF(D577&lt;E577,"closed",IF(D577&lt;'Paths'!$N$13,"initial","expanded"))</x:f>
        <x:v>expanded</x:v>
      </x:c>
      <x:c r="T577" s="72"/>
    </x:row>
    <x:row r="578">
      <x:c r="C578" s="20" t="str">
        <x:v>P6</x:v>
      </x:c>
      <x:c r="D578" s="20" t="n">
        <x:v>25</x:v>
      </x:c>
      <x:c r="E578" s="45" t="n">
        <x:f>IF('Controls'!$D$7="Reference",'Paths'!$J$13,'Paths'!$K$13)</x:f>
        <x:v>8</x:v>
      </x:c>
      <x:c r="F578" s="47" t="n">
        <x:f>IF(D578&lt;'Paths'!$N$13,IF('Controls'!$D$7="Reference",'Paths'!$L$13,'Paths'!$M$13),IF('Controls'!$D$7="Reference",'Paths'!$O$13,'Paths'!$P$13))</x:f>
        <x:v>40000</x:v>
      </x:c>
      <x:c r="G578" s="46" t="n">
        <x:f>IF('Controls'!$D$7="Reference",1,IF(OR(D578=6,D578=7,D578=21,D578=46),'Paths'!$U$13,1))</x:f>
        <x:v>1</x:v>
      </x:c>
      <x:c r="H578" s="46" t="n">
        <x:f>IF('Controls'!$D$7="Reference",1,IF(OR(AND(D578&gt;=14,D578&lt;=16),AND(D578&gt;=34,D578&lt;=35),AND(D578&gt;=61,D578&lt;=63)),'Paths'!$V$13,1))</x:f>
        <x:v>1</x:v>
      </x:c>
      <x:c r="I578" s="46" t="n">
        <x:f>'Paths'!$W$13</x:f>
        <x:v>0.82</x:v>
      </x:c>
      <x:c r="J578" s="47" t="n">
        <x:f>IF(D578&lt;E578,0,MIN(F578*G578*H578*I578,IF('Paths'!$T$13&gt;0,MAX(0,'Paths'!$T$13-K577),1000000000)))</x:f>
        <x:v>32800</x:v>
      </x:c>
      <x:c r="K578" s="47" t="n">
        <x:f>K577+J578</x:f>
        <x:v>355060</x:v>
      </x:c>
      <x:c r="L578" s="46" t="n">
        <x:f>IF(C578="P0",1,IF(D578&lt;=3,0.8,IF(D578&lt;=14,0.65,IF(D578&lt;=45,0.5,0.3))))</x:f>
        <x:v>0.5</x:v>
      </x:c>
      <x:c r="M578" s="47" t="n">
        <x:f>J578*L578</x:f>
        <x:v>16400</x:v>
      </x:c>
      <x:c r="N578" s="47" t="n">
        <x:f>N577+M578</x:f>
        <x:v>193889</x:v>
      </x:c>
      <x:c r="O578" s="46" t="n">
        <x:f>IF(C578="P0",0,IF(D578&lt;=3,0.15,IF(D578&lt;=14,0.25,IF(D578&lt;=45,0.35,0.5))))</x:f>
        <x:v>0.35</x:v>
      </x:c>
      <x:c r="P578" s="47" t="n">
        <x:f>J578*O578</x:f>
        <x:v>11480</x:v>
      </x:c>
      <x:c r="Q578" s="46" t="n">
        <x:f>IF(C578="P0",0,IF(D578&lt;=3,0.05,IF(D578&lt;=14,0.1,IF(D578&lt;=45,0.15,0.2))))</x:f>
        <x:v>0.15</x:v>
      </x:c>
      <x:c r="R578" s="47" t="n">
        <x:f>J578*Q578</x:f>
        <x:v>4920</x:v>
      </x:c>
      <x:c r="S578" s="20" t="str">
        <x:f>IF(D578&lt;E578,"closed",IF(D578&lt;'Paths'!$N$13,"initial","expanded"))</x:f>
        <x:v>expanded</x:v>
      </x:c>
      <x:c r="T578" s="72"/>
    </x:row>
    <x:row r="579">
      <x:c r="C579" s="20" t="str">
        <x:v>P6</x:v>
      </x:c>
      <x:c r="D579" s="20" t="n">
        <x:v>26</x:v>
      </x:c>
      <x:c r="E579" s="45" t="n">
        <x:f>IF('Controls'!$D$7="Reference",'Paths'!$J$13,'Paths'!$K$13)</x:f>
        <x:v>8</x:v>
      </x:c>
      <x:c r="F579" s="47" t="n">
        <x:f>IF(D579&lt;'Paths'!$N$13,IF('Controls'!$D$7="Reference",'Paths'!$L$13,'Paths'!$M$13),IF('Controls'!$D$7="Reference",'Paths'!$O$13,'Paths'!$P$13))</x:f>
        <x:v>40000</x:v>
      </x:c>
      <x:c r="G579" s="46" t="n">
        <x:f>IF('Controls'!$D$7="Reference",1,IF(OR(D579=6,D579=7,D579=21,D579=46),'Paths'!$U$13,1))</x:f>
        <x:v>1</x:v>
      </x:c>
      <x:c r="H579" s="46" t="n">
        <x:f>IF('Controls'!$D$7="Reference",1,IF(OR(AND(D579&gt;=14,D579&lt;=16),AND(D579&gt;=34,D579&lt;=35),AND(D579&gt;=61,D579&lt;=63)),'Paths'!$V$13,1))</x:f>
        <x:v>1</x:v>
      </x:c>
      <x:c r="I579" s="46" t="n">
        <x:f>'Paths'!$W$13</x:f>
        <x:v>0.82</x:v>
      </x:c>
      <x:c r="J579" s="47" t="n">
        <x:f>IF(D579&lt;E579,0,MIN(F579*G579*H579*I579,IF('Paths'!$T$13&gt;0,MAX(0,'Paths'!$T$13-K578),1000000000)))</x:f>
        <x:v>32800</x:v>
      </x:c>
      <x:c r="K579" s="47" t="n">
        <x:f>K578+J579</x:f>
        <x:v>387860</x:v>
      </x:c>
      <x:c r="L579" s="46" t="n">
        <x:f>IF(C579="P0",1,IF(D579&lt;=3,0.8,IF(D579&lt;=14,0.65,IF(D579&lt;=45,0.5,0.3))))</x:f>
        <x:v>0.5</x:v>
      </x:c>
      <x:c r="M579" s="47" t="n">
        <x:f>J579*L579</x:f>
        <x:v>16400</x:v>
      </x:c>
      <x:c r="N579" s="47" t="n">
        <x:f>N578+M579</x:f>
        <x:v>210289</x:v>
      </x:c>
      <x:c r="O579" s="46" t="n">
        <x:f>IF(C579="P0",0,IF(D579&lt;=3,0.15,IF(D579&lt;=14,0.25,IF(D579&lt;=45,0.35,0.5))))</x:f>
        <x:v>0.35</x:v>
      </x:c>
      <x:c r="P579" s="47" t="n">
        <x:f>J579*O579</x:f>
        <x:v>11480</x:v>
      </x:c>
      <x:c r="Q579" s="46" t="n">
        <x:f>IF(C579="P0",0,IF(D579&lt;=3,0.05,IF(D579&lt;=14,0.1,IF(D579&lt;=45,0.15,0.2))))</x:f>
        <x:v>0.15</x:v>
      </x:c>
      <x:c r="R579" s="47" t="n">
        <x:f>J579*Q579</x:f>
        <x:v>4920</x:v>
      </x:c>
      <x:c r="S579" s="20" t="str">
        <x:f>IF(D579&lt;E579,"closed",IF(D579&lt;'Paths'!$N$13,"initial","expanded"))</x:f>
        <x:v>expanded</x:v>
      </x:c>
      <x:c r="T579" s="72"/>
    </x:row>
    <x:row r="580">
      <x:c r="C580" s="20" t="str">
        <x:v>P6</x:v>
      </x:c>
      <x:c r="D580" s="20" t="n">
        <x:v>27</x:v>
      </x:c>
      <x:c r="E580" s="45" t="n">
        <x:f>IF('Controls'!$D$7="Reference",'Paths'!$J$13,'Paths'!$K$13)</x:f>
        <x:v>8</x:v>
      </x:c>
      <x:c r="F580" s="47" t="n">
        <x:f>IF(D580&lt;'Paths'!$N$13,IF('Controls'!$D$7="Reference",'Paths'!$L$13,'Paths'!$M$13),IF('Controls'!$D$7="Reference",'Paths'!$O$13,'Paths'!$P$13))</x:f>
        <x:v>40000</x:v>
      </x:c>
      <x:c r="G580" s="46" t="n">
        <x:f>IF('Controls'!$D$7="Reference",1,IF(OR(D580=6,D580=7,D580=21,D580=46),'Paths'!$U$13,1))</x:f>
        <x:v>1</x:v>
      </x:c>
      <x:c r="H580" s="46" t="n">
        <x:f>IF('Controls'!$D$7="Reference",1,IF(OR(AND(D580&gt;=14,D580&lt;=16),AND(D580&gt;=34,D580&lt;=35),AND(D580&gt;=61,D580&lt;=63)),'Paths'!$V$13,1))</x:f>
        <x:v>1</x:v>
      </x:c>
      <x:c r="I580" s="46" t="n">
        <x:f>'Paths'!$W$13</x:f>
        <x:v>0.82</x:v>
      </x:c>
      <x:c r="J580" s="47" t="n">
        <x:f>IF(D580&lt;E580,0,MIN(F580*G580*H580*I580,IF('Paths'!$T$13&gt;0,MAX(0,'Paths'!$T$13-K579),1000000000)))</x:f>
        <x:v>32800</x:v>
      </x:c>
      <x:c r="K580" s="47" t="n">
        <x:f>K579+J580</x:f>
        <x:v>420660</x:v>
      </x:c>
      <x:c r="L580" s="46" t="n">
        <x:f>IF(C580="P0",1,IF(D580&lt;=3,0.8,IF(D580&lt;=14,0.65,IF(D580&lt;=45,0.5,0.3))))</x:f>
        <x:v>0.5</x:v>
      </x:c>
      <x:c r="M580" s="47" t="n">
        <x:f>J580*L580</x:f>
        <x:v>16400</x:v>
      </x:c>
      <x:c r="N580" s="47" t="n">
        <x:f>N579+M580</x:f>
        <x:v>226689</x:v>
      </x:c>
      <x:c r="O580" s="46" t="n">
        <x:f>IF(C580="P0",0,IF(D580&lt;=3,0.15,IF(D580&lt;=14,0.25,IF(D580&lt;=45,0.35,0.5))))</x:f>
        <x:v>0.35</x:v>
      </x:c>
      <x:c r="P580" s="47" t="n">
        <x:f>J580*O580</x:f>
        <x:v>11480</x:v>
      </x:c>
      <x:c r="Q580" s="46" t="n">
        <x:f>IF(C580="P0",0,IF(D580&lt;=3,0.05,IF(D580&lt;=14,0.1,IF(D580&lt;=45,0.15,0.2))))</x:f>
        <x:v>0.15</x:v>
      </x:c>
      <x:c r="R580" s="47" t="n">
        <x:f>J580*Q580</x:f>
        <x:v>4920</x:v>
      </x:c>
      <x:c r="S580" s="20" t="str">
        <x:f>IF(D580&lt;E580,"closed",IF(D580&lt;'Paths'!$N$13,"initial","expanded"))</x:f>
        <x:v>expanded</x:v>
      </x:c>
      <x:c r="T580" s="72"/>
    </x:row>
    <x:row r="581">
      <x:c r="C581" s="20" t="str">
        <x:v>P6</x:v>
      </x:c>
      <x:c r="D581" s="20" t="n">
        <x:v>28</x:v>
      </x:c>
      <x:c r="E581" s="45" t="n">
        <x:f>IF('Controls'!$D$7="Reference",'Paths'!$J$13,'Paths'!$K$13)</x:f>
        <x:v>8</x:v>
      </x:c>
      <x:c r="F581" s="47" t="n">
        <x:f>IF(D581&lt;'Paths'!$N$13,IF('Controls'!$D$7="Reference",'Paths'!$L$13,'Paths'!$M$13),IF('Controls'!$D$7="Reference",'Paths'!$O$13,'Paths'!$P$13))</x:f>
        <x:v>40000</x:v>
      </x:c>
      <x:c r="G581" s="46" t="n">
        <x:f>IF('Controls'!$D$7="Reference",1,IF(OR(D581=6,D581=7,D581=21,D581=46),'Paths'!$U$13,1))</x:f>
        <x:v>1</x:v>
      </x:c>
      <x:c r="H581" s="46" t="n">
        <x:f>IF('Controls'!$D$7="Reference",1,IF(OR(AND(D581&gt;=14,D581&lt;=16),AND(D581&gt;=34,D581&lt;=35),AND(D581&gt;=61,D581&lt;=63)),'Paths'!$V$13,1))</x:f>
        <x:v>1</x:v>
      </x:c>
      <x:c r="I581" s="46" t="n">
        <x:f>'Paths'!$W$13</x:f>
        <x:v>0.82</x:v>
      </x:c>
      <x:c r="J581" s="47" t="n">
        <x:f>IF(D581&lt;E581,0,MIN(F581*G581*H581*I581,IF('Paths'!$T$13&gt;0,MAX(0,'Paths'!$T$13-K580),1000000000)))</x:f>
        <x:v>32800</x:v>
      </x:c>
      <x:c r="K581" s="47" t="n">
        <x:f>K580+J581</x:f>
        <x:v>453460</x:v>
      </x:c>
      <x:c r="L581" s="46" t="n">
        <x:f>IF(C581="P0",1,IF(D581&lt;=3,0.8,IF(D581&lt;=14,0.65,IF(D581&lt;=45,0.5,0.3))))</x:f>
        <x:v>0.5</x:v>
      </x:c>
      <x:c r="M581" s="47" t="n">
        <x:f>J581*L581</x:f>
        <x:v>16400</x:v>
      </x:c>
      <x:c r="N581" s="47" t="n">
        <x:f>N580+M581</x:f>
        <x:v>243089</x:v>
      </x:c>
      <x:c r="O581" s="46" t="n">
        <x:f>IF(C581="P0",0,IF(D581&lt;=3,0.15,IF(D581&lt;=14,0.25,IF(D581&lt;=45,0.35,0.5))))</x:f>
        <x:v>0.35</x:v>
      </x:c>
      <x:c r="P581" s="47" t="n">
        <x:f>J581*O581</x:f>
        <x:v>11480</x:v>
      </x:c>
      <x:c r="Q581" s="46" t="n">
        <x:f>IF(C581="P0",0,IF(D581&lt;=3,0.05,IF(D581&lt;=14,0.1,IF(D581&lt;=45,0.15,0.2))))</x:f>
        <x:v>0.15</x:v>
      </x:c>
      <x:c r="R581" s="47" t="n">
        <x:f>J581*Q581</x:f>
        <x:v>4920</x:v>
      </x:c>
      <x:c r="S581" s="20" t="str">
        <x:f>IF(D581&lt;E581,"closed",IF(D581&lt;'Paths'!$N$13,"initial","expanded"))</x:f>
        <x:v>expanded</x:v>
      </x:c>
      <x:c r="T581" s="72"/>
    </x:row>
    <x:row r="582">
      <x:c r="C582" s="20" t="str">
        <x:v>P6</x:v>
      </x:c>
      <x:c r="D582" s="20" t="n">
        <x:v>29</x:v>
      </x:c>
      <x:c r="E582" s="45" t="n">
        <x:f>IF('Controls'!$D$7="Reference",'Paths'!$J$13,'Paths'!$K$13)</x:f>
        <x:v>8</x:v>
      </x:c>
      <x:c r="F582" s="47" t="n">
        <x:f>IF(D582&lt;'Paths'!$N$13,IF('Controls'!$D$7="Reference",'Paths'!$L$13,'Paths'!$M$13),IF('Controls'!$D$7="Reference",'Paths'!$O$13,'Paths'!$P$13))</x:f>
        <x:v>40000</x:v>
      </x:c>
      <x:c r="G582" s="46" t="n">
        <x:f>IF('Controls'!$D$7="Reference",1,IF(OR(D582=6,D582=7,D582=21,D582=46),'Paths'!$U$13,1))</x:f>
        <x:v>1</x:v>
      </x:c>
      <x:c r="H582" s="46" t="n">
        <x:f>IF('Controls'!$D$7="Reference",1,IF(OR(AND(D582&gt;=14,D582&lt;=16),AND(D582&gt;=34,D582&lt;=35),AND(D582&gt;=61,D582&lt;=63)),'Paths'!$V$13,1))</x:f>
        <x:v>1</x:v>
      </x:c>
      <x:c r="I582" s="46" t="n">
        <x:f>'Paths'!$W$13</x:f>
        <x:v>0.82</x:v>
      </x:c>
      <x:c r="J582" s="47" t="n">
        <x:f>IF(D582&lt;E582,0,MIN(F582*G582*H582*I582,IF('Paths'!$T$13&gt;0,MAX(0,'Paths'!$T$13-K581),1000000000)))</x:f>
        <x:v>32800</x:v>
      </x:c>
      <x:c r="K582" s="47" t="n">
        <x:f>K581+J582</x:f>
        <x:v>486260</x:v>
      </x:c>
      <x:c r="L582" s="46" t="n">
        <x:f>IF(C582="P0",1,IF(D582&lt;=3,0.8,IF(D582&lt;=14,0.65,IF(D582&lt;=45,0.5,0.3))))</x:f>
        <x:v>0.5</x:v>
      </x:c>
      <x:c r="M582" s="47" t="n">
        <x:f>J582*L582</x:f>
        <x:v>16400</x:v>
      </x:c>
      <x:c r="N582" s="47" t="n">
        <x:f>N581+M582</x:f>
        <x:v>259489</x:v>
      </x:c>
      <x:c r="O582" s="46" t="n">
        <x:f>IF(C582="P0",0,IF(D582&lt;=3,0.15,IF(D582&lt;=14,0.25,IF(D582&lt;=45,0.35,0.5))))</x:f>
        <x:v>0.35</x:v>
      </x:c>
      <x:c r="P582" s="47" t="n">
        <x:f>J582*O582</x:f>
        <x:v>11480</x:v>
      </x:c>
      <x:c r="Q582" s="46" t="n">
        <x:f>IF(C582="P0",0,IF(D582&lt;=3,0.05,IF(D582&lt;=14,0.1,IF(D582&lt;=45,0.15,0.2))))</x:f>
        <x:v>0.15</x:v>
      </x:c>
      <x:c r="R582" s="47" t="n">
        <x:f>J582*Q582</x:f>
        <x:v>4920</x:v>
      </x:c>
      <x:c r="S582" s="20" t="str">
        <x:f>IF(D582&lt;E582,"closed",IF(D582&lt;'Paths'!$N$13,"initial","expanded"))</x:f>
        <x:v>expanded</x:v>
      </x:c>
      <x:c r="T582" s="72"/>
    </x:row>
    <x:row r="583">
      <x:c r="C583" s="20" t="str">
        <x:v>P6</x:v>
      </x:c>
      <x:c r="D583" s="20" t="n">
        <x:v>30</x:v>
      </x:c>
      <x:c r="E583" s="45" t="n">
        <x:f>IF('Controls'!$D$7="Reference",'Paths'!$J$13,'Paths'!$K$13)</x:f>
        <x:v>8</x:v>
      </x:c>
      <x:c r="F583" s="47" t="n">
        <x:f>IF(D583&lt;'Paths'!$N$13,IF('Controls'!$D$7="Reference",'Paths'!$L$13,'Paths'!$M$13),IF('Controls'!$D$7="Reference",'Paths'!$O$13,'Paths'!$P$13))</x:f>
        <x:v>40000</x:v>
      </x:c>
      <x:c r="G583" s="46" t="n">
        <x:f>IF('Controls'!$D$7="Reference",1,IF(OR(D583=6,D583=7,D583=21,D583=46),'Paths'!$U$13,1))</x:f>
        <x:v>1</x:v>
      </x:c>
      <x:c r="H583" s="46" t="n">
        <x:f>IF('Controls'!$D$7="Reference",1,IF(OR(AND(D583&gt;=14,D583&lt;=16),AND(D583&gt;=34,D583&lt;=35),AND(D583&gt;=61,D583&lt;=63)),'Paths'!$V$13,1))</x:f>
        <x:v>1</x:v>
      </x:c>
      <x:c r="I583" s="46" t="n">
        <x:f>'Paths'!$W$13</x:f>
        <x:v>0.82</x:v>
      </x:c>
      <x:c r="J583" s="47" t="n">
        <x:f>IF(D583&lt;E583,0,MIN(F583*G583*H583*I583,IF('Paths'!$T$13&gt;0,MAX(0,'Paths'!$T$13-K582),1000000000)))</x:f>
        <x:v>32800</x:v>
      </x:c>
      <x:c r="K583" s="47" t="n">
        <x:f>K582+J583</x:f>
        <x:v>519060</x:v>
      </x:c>
      <x:c r="L583" s="46" t="n">
        <x:f>IF(C583="P0",1,IF(D583&lt;=3,0.8,IF(D583&lt;=14,0.65,IF(D583&lt;=45,0.5,0.3))))</x:f>
        <x:v>0.5</x:v>
      </x:c>
      <x:c r="M583" s="47" t="n">
        <x:f>J583*L583</x:f>
        <x:v>16400</x:v>
      </x:c>
      <x:c r="N583" s="47" t="n">
        <x:f>N582+M583</x:f>
        <x:v>275889</x:v>
      </x:c>
      <x:c r="O583" s="46" t="n">
        <x:f>IF(C583="P0",0,IF(D583&lt;=3,0.15,IF(D583&lt;=14,0.25,IF(D583&lt;=45,0.35,0.5))))</x:f>
        <x:v>0.35</x:v>
      </x:c>
      <x:c r="P583" s="47" t="n">
        <x:f>J583*O583</x:f>
        <x:v>11480</x:v>
      </x:c>
      <x:c r="Q583" s="46" t="n">
        <x:f>IF(C583="P0",0,IF(D583&lt;=3,0.05,IF(D583&lt;=14,0.1,IF(D583&lt;=45,0.15,0.2))))</x:f>
        <x:v>0.15</x:v>
      </x:c>
      <x:c r="R583" s="47" t="n">
        <x:f>J583*Q583</x:f>
        <x:v>4920</x:v>
      </x:c>
      <x:c r="S583" s="20" t="str">
        <x:f>IF(D583&lt;E583,"closed",IF(D583&lt;'Paths'!$N$13,"initial","expanded"))</x:f>
        <x:v>expanded</x:v>
      </x:c>
      <x:c r="T583" s="72"/>
    </x:row>
    <x:row r="584">
      <x:c r="C584" s="20" t="str">
        <x:v>P6</x:v>
      </x:c>
      <x:c r="D584" s="20" t="n">
        <x:v>31</x:v>
      </x:c>
      <x:c r="E584" s="45" t="n">
        <x:f>IF('Controls'!$D$7="Reference",'Paths'!$J$13,'Paths'!$K$13)</x:f>
        <x:v>8</x:v>
      </x:c>
      <x:c r="F584" s="47" t="n">
        <x:f>IF(D584&lt;'Paths'!$N$13,IF('Controls'!$D$7="Reference",'Paths'!$L$13,'Paths'!$M$13),IF('Controls'!$D$7="Reference",'Paths'!$O$13,'Paths'!$P$13))</x:f>
        <x:v>40000</x:v>
      </x:c>
      <x:c r="G584" s="46" t="n">
        <x:f>IF('Controls'!$D$7="Reference",1,IF(OR(D584=6,D584=7,D584=21,D584=46),'Paths'!$U$13,1))</x:f>
        <x:v>1</x:v>
      </x:c>
      <x:c r="H584" s="46" t="n">
        <x:f>IF('Controls'!$D$7="Reference",1,IF(OR(AND(D584&gt;=14,D584&lt;=16),AND(D584&gt;=34,D584&lt;=35),AND(D584&gt;=61,D584&lt;=63)),'Paths'!$V$13,1))</x:f>
        <x:v>1</x:v>
      </x:c>
      <x:c r="I584" s="46" t="n">
        <x:f>'Paths'!$W$13</x:f>
        <x:v>0.82</x:v>
      </x:c>
      <x:c r="J584" s="47" t="n">
        <x:f>IF(D584&lt;E584,0,MIN(F584*G584*H584*I584,IF('Paths'!$T$13&gt;0,MAX(0,'Paths'!$T$13-K583),1000000000)))</x:f>
        <x:v>32800</x:v>
      </x:c>
      <x:c r="K584" s="47" t="n">
        <x:f>K583+J584</x:f>
        <x:v>551860</x:v>
      </x:c>
      <x:c r="L584" s="46" t="n">
        <x:f>IF(C584="P0",1,IF(D584&lt;=3,0.8,IF(D584&lt;=14,0.65,IF(D584&lt;=45,0.5,0.3))))</x:f>
        <x:v>0.5</x:v>
      </x:c>
      <x:c r="M584" s="47" t="n">
        <x:f>J584*L584</x:f>
        <x:v>16400</x:v>
      </x:c>
      <x:c r="N584" s="47" t="n">
        <x:f>N583+M584</x:f>
        <x:v>292289</x:v>
      </x:c>
      <x:c r="O584" s="46" t="n">
        <x:f>IF(C584="P0",0,IF(D584&lt;=3,0.15,IF(D584&lt;=14,0.25,IF(D584&lt;=45,0.35,0.5))))</x:f>
        <x:v>0.35</x:v>
      </x:c>
      <x:c r="P584" s="47" t="n">
        <x:f>J584*O584</x:f>
        <x:v>11480</x:v>
      </x:c>
      <x:c r="Q584" s="46" t="n">
        <x:f>IF(C584="P0",0,IF(D584&lt;=3,0.05,IF(D584&lt;=14,0.1,IF(D584&lt;=45,0.15,0.2))))</x:f>
        <x:v>0.15</x:v>
      </x:c>
      <x:c r="R584" s="47" t="n">
        <x:f>J584*Q584</x:f>
        <x:v>4920</x:v>
      </x:c>
      <x:c r="S584" s="20" t="str">
        <x:f>IF(D584&lt;E584,"closed",IF(D584&lt;'Paths'!$N$13,"initial","expanded"))</x:f>
        <x:v>expanded</x:v>
      </x:c>
      <x:c r="T584" s="72"/>
    </x:row>
    <x:row r="585">
      <x:c r="C585" s="20" t="str">
        <x:v>P6</x:v>
      </x:c>
      <x:c r="D585" s="20" t="n">
        <x:v>32</x:v>
      </x:c>
      <x:c r="E585" s="45" t="n">
        <x:f>IF('Controls'!$D$7="Reference",'Paths'!$J$13,'Paths'!$K$13)</x:f>
        <x:v>8</x:v>
      </x:c>
      <x:c r="F585" s="47" t="n">
        <x:f>IF(D585&lt;'Paths'!$N$13,IF('Controls'!$D$7="Reference",'Paths'!$L$13,'Paths'!$M$13),IF('Controls'!$D$7="Reference",'Paths'!$O$13,'Paths'!$P$13))</x:f>
        <x:v>40000</x:v>
      </x:c>
      <x:c r="G585" s="46" t="n">
        <x:f>IF('Controls'!$D$7="Reference",1,IF(OR(D585=6,D585=7,D585=21,D585=46),'Paths'!$U$13,1))</x:f>
        <x:v>1</x:v>
      </x:c>
      <x:c r="H585" s="46" t="n">
        <x:f>IF('Controls'!$D$7="Reference",1,IF(OR(AND(D585&gt;=14,D585&lt;=16),AND(D585&gt;=34,D585&lt;=35),AND(D585&gt;=61,D585&lt;=63)),'Paths'!$V$13,1))</x:f>
        <x:v>1</x:v>
      </x:c>
      <x:c r="I585" s="46" t="n">
        <x:f>'Paths'!$W$13</x:f>
        <x:v>0.82</x:v>
      </x:c>
      <x:c r="J585" s="47" t="n">
        <x:f>IF(D585&lt;E585,0,MIN(F585*G585*H585*I585,IF('Paths'!$T$13&gt;0,MAX(0,'Paths'!$T$13-K584),1000000000)))</x:f>
        <x:v>32800</x:v>
      </x:c>
      <x:c r="K585" s="47" t="n">
        <x:f>K584+J585</x:f>
        <x:v>584660</x:v>
      </x:c>
      <x:c r="L585" s="46" t="n">
        <x:f>IF(C585="P0",1,IF(D585&lt;=3,0.8,IF(D585&lt;=14,0.65,IF(D585&lt;=45,0.5,0.3))))</x:f>
        <x:v>0.5</x:v>
      </x:c>
      <x:c r="M585" s="47" t="n">
        <x:f>J585*L585</x:f>
        <x:v>16400</x:v>
      </x:c>
      <x:c r="N585" s="47" t="n">
        <x:f>N584+M585</x:f>
        <x:v>308689</x:v>
      </x:c>
      <x:c r="O585" s="46" t="n">
        <x:f>IF(C585="P0",0,IF(D585&lt;=3,0.15,IF(D585&lt;=14,0.25,IF(D585&lt;=45,0.35,0.5))))</x:f>
        <x:v>0.35</x:v>
      </x:c>
      <x:c r="P585" s="47" t="n">
        <x:f>J585*O585</x:f>
        <x:v>11480</x:v>
      </x:c>
      <x:c r="Q585" s="46" t="n">
        <x:f>IF(C585="P0",0,IF(D585&lt;=3,0.05,IF(D585&lt;=14,0.1,IF(D585&lt;=45,0.15,0.2))))</x:f>
        <x:v>0.15</x:v>
      </x:c>
      <x:c r="R585" s="47" t="n">
        <x:f>J585*Q585</x:f>
        <x:v>4920</x:v>
      </x:c>
      <x:c r="S585" s="20" t="str">
        <x:f>IF(D585&lt;E585,"closed",IF(D585&lt;'Paths'!$N$13,"initial","expanded"))</x:f>
        <x:v>expanded</x:v>
      </x:c>
      <x:c r="T585" s="72"/>
    </x:row>
    <x:row r="586">
      <x:c r="C586" s="20" t="str">
        <x:v>P6</x:v>
      </x:c>
      <x:c r="D586" s="20" t="n">
        <x:v>33</x:v>
      </x:c>
      <x:c r="E586" s="45" t="n">
        <x:f>IF('Controls'!$D$7="Reference",'Paths'!$J$13,'Paths'!$K$13)</x:f>
        <x:v>8</x:v>
      </x:c>
      <x:c r="F586" s="47" t="n">
        <x:f>IF(D586&lt;'Paths'!$N$13,IF('Controls'!$D$7="Reference",'Paths'!$L$13,'Paths'!$M$13),IF('Controls'!$D$7="Reference",'Paths'!$O$13,'Paths'!$P$13))</x:f>
        <x:v>40000</x:v>
      </x:c>
      <x:c r="G586" s="46" t="n">
        <x:f>IF('Controls'!$D$7="Reference",1,IF(OR(D586=6,D586=7,D586=21,D586=46),'Paths'!$U$13,1))</x:f>
        <x:v>1</x:v>
      </x:c>
      <x:c r="H586" s="46" t="n">
        <x:f>IF('Controls'!$D$7="Reference",1,IF(OR(AND(D586&gt;=14,D586&lt;=16),AND(D586&gt;=34,D586&lt;=35),AND(D586&gt;=61,D586&lt;=63)),'Paths'!$V$13,1))</x:f>
        <x:v>1</x:v>
      </x:c>
      <x:c r="I586" s="46" t="n">
        <x:f>'Paths'!$W$13</x:f>
        <x:v>0.82</x:v>
      </x:c>
      <x:c r="J586" s="47" t="n">
        <x:f>IF(D586&lt;E586,0,MIN(F586*G586*H586*I586,IF('Paths'!$T$13&gt;0,MAX(0,'Paths'!$T$13-K585),1000000000)))</x:f>
        <x:v>32800</x:v>
      </x:c>
      <x:c r="K586" s="47" t="n">
        <x:f>K585+J586</x:f>
        <x:v>617460</x:v>
      </x:c>
      <x:c r="L586" s="46" t="n">
        <x:f>IF(C586="P0",1,IF(D586&lt;=3,0.8,IF(D586&lt;=14,0.65,IF(D586&lt;=45,0.5,0.3))))</x:f>
        <x:v>0.5</x:v>
      </x:c>
      <x:c r="M586" s="47" t="n">
        <x:f>J586*L586</x:f>
        <x:v>16400</x:v>
      </x:c>
      <x:c r="N586" s="47" t="n">
        <x:f>N585+M586</x:f>
        <x:v>325089</x:v>
      </x:c>
      <x:c r="O586" s="46" t="n">
        <x:f>IF(C586="P0",0,IF(D586&lt;=3,0.15,IF(D586&lt;=14,0.25,IF(D586&lt;=45,0.35,0.5))))</x:f>
        <x:v>0.35</x:v>
      </x:c>
      <x:c r="P586" s="47" t="n">
        <x:f>J586*O586</x:f>
        <x:v>11480</x:v>
      </x:c>
      <x:c r="Q586" s="46" t="n">
        <x:f>IF(C586="P0",0,IF(D586&lt;=3,0.05,IF(D586&lt;=14,0.1,IF(D586&lt;=45,0.15,0.2))))</x:f>
        <x:v>0.15</x:v>
      </x:c>
      <x:c r="R586" s="47" t="n">
        <x:f>J586*Q586</x:f>
        <x:v>4920</x:v>
      </x:c>
      <x:c r="S586" s="20" t="str">
        <x:f>IF(D586&lt;E586,"closed",IF(D586&lt;'Paths'!$N$13,"initial","expanded"))</x:f>
        <x:v>expanded</x:v>
      </x:c>
      <x:c r="T586" s="72"/>
    </x:row>
    <x:row r="587">
      <x:c r="C587" s="20" t="str">
        <x:v>P6</x:v>
      </x:c>
      <x:c r="D587" s="20" t="n">
        <x:v>34</x:v>
      </x:c>
      <x:c r="E587" s="45" t="n">
        <x:f>IF('Controls'!$D$7="Reference",'Paths'!$J$13,'Paths'!$K$13)</x:f>
        <x:v>8</x:v>
      </x:c>
      <x:c r="F587" s="47" t="n">
        <x:f>IF(D587&lt;'Paths'!$N$13,IF('Controls'!$D$7="Reference",'Paths'!$L$13,'Paths'!$M$13),IF('Controls'!$D$7="Reference",'Paths'!$O$13,'Paths'!$P$13))</x:f>
        <x:v>40000</x:v>
      </x:c>
      <x:c r="G587" s="46" t="n">
        <x:f>IF('Controls'!$D$7="Reference",1,IF(OR(D587=6,D587=7,D587=21,D587=46),'Paths'!$U$13,1))</x:f>
        <x:v>1</x:v>
      </x:c>
      <x:c r="H587" s="46" t="n">
        <x:f>IF('Controls'!$D$7="Reference",1,IF(OR(AND(D587&gt;=14,D587&lt;=16),AND(D587&gt;=34,D587&lt;=35),AND(D587&gt;=61,D587&lt;=63)),'Paths'!$V$13,1))</x:f>
        <x:v>0.65</x:v>
      </x:c>
      <x:c r="I587" s="46" t="n">
        <x:f>'Paths'!$W$13</x:f>
        <x:v>0.82</x:v>
      </x:c>
      <x:c r="J587" s="47" t="n">
        <x:f>IF(D587&lt;E587,0,MIN(F587*G587*H587*I587,IF('Paths'!$T$13&gt;0,MAX(0,'Paths'!$T$13-K586),1000000000)))</x:f>
        <x:v>21320</x:v>
      </x:c>
      <x:c r="K587" s="47" t="n">
        <x:f>K586+J587</x:f>
        <x:v>638780</x:v>
      </x:c>
      <x:c r="L587" s="46" t="n">
        <x:f>IF(C587="P0",1,IF(D587&lt;=3,0.8,IF(D587&lt;=14,0.65,IF(D587&lt;=45,0.5,0.3))))</x:f>
        <x:v>0.5</x:v>
      </x:c>
      <x:c r="M587" s="47" t="n">
        <x:f>J587*L587</x:f>
        <x:v>10660</x:v>
      </x:c>
      <x:c r="N587" s="47" t="n">
        <x:f>N586+M587</x:f>
        <x:v>335749</x:v>
      </x:c>
      <x:c r="O587" s="46" t="n">
        <x:f>IF(C587="P0",0,IF(D587&lt;=3,0.15,IF(D587&lt;=14,0.25,IF(D587&lt;=45,0.35,0.5))))</x:f>
        <x:v>0.35</x:v>
      </x:c>
      <x:c r="P587" s="47" t="n">
        <x:f>J587*O587</x:f>
        <x:v>7461.999999999999</x:v>
      </x:c>
      <x:c r="Q587" s="46" t="n">
        <x:f>IF(C587="P0",0,IF(D587&lt;=3,0.05,IF(D587&lt;=14,0.1,IF(D587&lt;=45,0.15,0.2))))</x:f>
        <x:v>0.15</x:v>
      </x:c>
      <x:c r="R587" s="47" t="n">
        <x:f>J587*Q587</x:f>
        <x:v>3198</x:v>
      </x:c>
      <x:c r="S587" s="20" t="str">
        <x:f>IF(D587&lt;E587,"closed",IF(D587&lt;'Paths'!$N$13,"initial","expanded"))</x:f>
        <x:v>expanded</x:v>
      </x:c>
      <x:c r="T587" s="72"/>
    </x:row>
    <x:row r="588">
      <x:c r="C588" s="20" t="str">
        <x:v>P6</x:v>
      </x:c>
      <x:c r="D588" s="20" t="n">
        <x:v>35</x:v>
      </x:c>
      <x:c r="E588" s="45" t="n">
        <x:f>IF('Controls'!$D$7="Reference",'Paths'!$J$13,'Paths'!$K$13)</x:f>
        <x:v>8</x:v>
      </x:c>
      <x:c r="F588" s="47" t="n">
        <x:f>IF(D588&lt;'Paths'!$N$13,IF('Controls'!$D$7="Reference",'Paths'!$L$13,'Paths'!$M$13),IF('Controls'!$D$7="Reference",'Paths'!$O$13,'Paths'!$P$13))</x:f>
        <x:v>40000</x:v>
      </x:c>
      <x:c r="G588" s="46" t="n">
        <x:f>IF('Controls'!$D$7="Reference",1,IF(OR(D588=6,D588=7,D588=21,D588=46),'Paths'!$U$13,1))</x:f>
        <x:v>1</x:v>
      </x:c>
      <x:c r="H588" s="46" t="n">
        <x:f>IF('Controls'!$D$7="Reference",1,IF(OR(AND(D588&gt;=14,D588&lt;=16),AND(D588&gt;=34,D588&lt;=35),AND(D588&gt;=61,D588&lt;=63)),'Paths'!$V$13,1))</x:f>
        <x:v>0.65</x:v>
      </x:c>
      <x:c r="I588" s="46" t="n">
        <x:f>'Paths'!$W$13</x:f>
        <x:v>0.82</x:v>
      </x:c>
      <x:c r="J588" s="47" t="n">
        <x:f>IF(D588&lt;E588,0,MIN(F588*G588*H588*I588,IF('Paths'!$T$13&gt;0,MAX(0,'Paths'!$T$13-K587),1000000000)))</x:f>
        <x:v>21320</x:v>
      </x:c>
      <x:c r="K588" s="47" t="n">
        <x:f>K587+J588</x:f>
        <x:v>660100</x:v>
      </x:c>
      <x:c r="L588" s="46" t="n">
        <x:f>IF(C588="P0",1,IF(D588&lt;=3,0.8,IF(D588&lt;=14,0.65,IF(D588&lt;=45,0.5,0.3))))</x:f>
        <x:v>0.5</x:v>
      </x:c>
      <x:c r="M588" s="47" t="n">
        <x:f>J588*L588</x:f>
        <x:v>10660</x:v>
      </x:c>
      <x:c r="N588" s="47" t="n">
        <x:f>N587+M588</x:f>
        <x:v>346409</x:v>
      </x:c>
      <x:c r="O588" s="46" t="n">
        <x:f>IF(C588="P0",0,IF(D588&lt;=3,0.15,IF(D588&lt;=14,0.25,IF(D588&lt;=45,0.35,0.5))))</x:f>
        <x:v>0.35</x:v>
      </x:c>
      <x:c r="P588" s="47" t="n">
        <x:f>J588*O588</x:f>
        <x:v>7461.999999999999</x:v>
      </x:c>
      <x:c r="Q588" s="46" t="n">
        <x:f>IF(C588="P0",0,IF(D588&lt;=3,0.05,IF(D588&lt;=14,0.1,IF(D588&lt;=45,0.15,0.2))))</x:f>
        <x:v>0.15</x:v>
      </x:c>
      <x:c r="R588" s="47" t="n">
        <x:f>J588*Q588</x:f>
        <x:v>3198</x:v>
      </x:c>
      <x:c r="S588" s="20" t="str">
        <x:f>IF(D588&lt;E588,"closed",IF(D588&lt;'Paths'!$N$13,"initial","expanded"))</x:f>
        <x:v>expanded</x:v>
      </x:c>
      <x:c r="T588" s="72"/>
    </x:row>
    <x:row r="589">
      <x:c r="C589" s="20" t="str">
        <x:v>P6</x:v>
      </x:c>
      <x:c r="D589" s="20" t="n">
        <x:v>36</x:v>
      </x:c>
      <x:c r="E589" s="45" t="n">
        <x:f>IF('Controls'!$D$7="Reference",'Paths'!$J$13,'Paths'!$K$13)</x:f>
        <x:v>8</x:v>
      </x:c>
      <x:c r="F589" s="47" t="n">
        <x:f>IF(D589&lt;'Paths'!$N$13,IF('Controls'!$D$7="Reference",'Paths'!$L$13,'Paths'!$M$13),IF('Controls'!$D$7="Reference",'Paths'!$O$13,'Paths'!$P$13))</x:f>
        <x:v>40000</x:v>
      </x:c>
      <x:c r="G589" s="46" t="n">
        <x:f>IF('Controls'!$D$7="Reference",1,IF(OR(D589=6,D589=7,D589=21,D589=46),'Paths'!$U$13,1))</x:f>
        <x:v>1</x:v>
      </x:c>
      <x:c r="H589" s="46" t="n">
        <x:f>IF('Controls'!$D$7="Reference",1,IF(OR(AND(D589&gt;=14,D589&lt;=16),AND(D589&gt;=34,D589&lt;=35),AND(D589&gt;=61,D589&lt;=63)),'Paths'!$V$13,1))</x:f>
        <x:v>1</x:v>
      </x:c>
      <x:c r="I589" s="46" t="n">
        <x:f>'Paths'!$W$13</x:f>
        <x:v>0.82</x:v>
      </x:c>
      <x:c r="J589" s="47" t="n">
        <x:f>IF(D589&lt;E589,0,MIN(F589*G589*H589*I589,IF('Paths'!$T$13&gt;0,MAX(0,'Paths'!$T$13-K588),1000000000)))</x:f>
        <x:v>32800</x:v>
      </x:c>
      <x:c r="K589" s="47" t="n">
        <x:f>K588+J589</x:f>
        <x:v>692900</x:v>
      </x:c>
      <x:c r="L589" s="46" t="n">
        <x:f>IF(C589="P0",1,IF(D589&lt;=3,0.8,IF(D589&lt;=14,0.65,IF(D589&lt;=45,0.5,0.3))))</x:f>
        <x:v>0.5</x:v>
      </x:c>
      <x:c r="M589" s="47" t="n">
        <x:f>J589*L589</x:f>
        <x:v>16400</x:v>
      </x:c>
      <x:c r="N589" s="47" t="n">
        <x:f>N588+M589</x:f>
        <x:v>362809</x:v>
      </x:c>
      <x:c r="O589" s="46" t="n">
        <x:f>IF(C589="P0",0,IF(D589&lt;=3,0.15,IF(D589&lt;=14,0.25,IF(D589&lt;=45,0.35,0.5))))</x:f>
        <x:v>0.35</x:v>
      </x:c>
      <x:c r="P589" s="47" t="n">
        <x:f>J589*O589</x:f>
        <x:v>11480</x:v>
      </x:c>
      <x:c r="Q589" s="46" t="n">
        <x:f>IF(C589="P0",0,IF(D589&lt;=3,0.05,IF(D589&lt;=14,0.1,IF(D589&lt;=45,0.15,0.2))))</x:f>
        <x:v>0.15</x:v>
      </x:c>
      <x:c r="R589" s="47" t="n">
        <x:f>J589*Q589</x:f>
        <x:v>4920</x:v>
      </x:c>
      <x:c r="S589" s="20" t="str">
        <x:f>IF(D589&lt;E589,"closed",IF(D589&lt;'Paths'!$N$13,"initial","expanded"))</x:f>
        <x:v>expanded</x:v>
      </x:c>
      <x:c r="T589" s="72"/>
    </x:row>
    <x:row r="590">
      <x:c r="C590" s="20" t="str">
        <x:v>P6</x:v>
      </x:c>
      <x:c r="D590" s="20" t="n">
        <x:v>37</x:v>
      </x:c>
      <x:c r="E590" s="45" t="n">
        <x:f>IF('Controls'!$D$7="Reference",'Paths'!$J$13,'Paths'!$K$13)</x:f>
        <x:v>8</x:v>
      </x:c>
      <x:c r="F590" s="47" t="n">
        <x:f>IF(D590&lt;'Paths'!$N$13,IF('Controls'!$D$7="Reference",'Paths'!$L$13,'Paths'!$M$13),IF('Controls'!$D$7="Reference",'Paths'!$O$13,'Paths'!$P$13))</x:f>
        <x:v>40000</x:v>
      </x:c>
      <x:c r="G590" s="46" t="n">
        <x:f>IF('Controls'!$D$7="Reference",1,IF(OR(D590=6,D590=7,D590=21,D590=46),'Paths'!$U$13,1))</x:f>
        <x:v>1</x:v>
      </x:c>
      <x:c r="H590" s="46" t="n">
        <x:f>IF('Controls'!$D$7="Reference",1,IF(OR(AND(D590&gt;=14,D590&lt;=16),AND(D590&gt;=34,D590&lt;=35),AND(D590&gt;=61,D590&lt;=63)),'Paths'!$V$13,1))</x:f>
        <x:v>1</x:v>
      </x:c>
      <x:c r="I590" s="46" t="n">
        <x:f>'Paths'!$W$13</x:f>
        <x:v>0.82</x:v>
      </x:c>
      <x:c r="J590" s="47" t="n">
        <x:f>IF(D590&lt;E590,0,MIN(F590*G590*H590*I590,IF('Paths'!$T$13&gt;0,MAX(0,'Paths'!$T$13-K589),1000000000)))</x:f>
        <x:v>32800</x:v>
      </x:c>
      <x:c r="K590" s="47" t="n">
        <x:f>K589+J590</x:f>
        <x:v>725700</x:v>
      </x:c>
      <x:c r="L590" s="46" t="n">
        <x:f>IF(C590="P0",1,IF(D590&lt;=3,0.8,IF(D590&lt;=14,0.65,IF(D590&lt;=45,0.5,0.3))))</x:f>
        <x:v>0.5</x:v>
      </x:c>
      <x:c r="M590" s="47" t="n">
        <x:f>J590*L590</x:f>
        <x:v>16400</x:v>
      </x:c>
      <x:c r="N590" s="47" t="n">
        <x:f>N589+M590</x:f>
        <x:v>379209</x:v>
      </x:c>
      <x:c r="O590" s="46" t="n">
        <x:f>IF(C590="P0",0,IF(D590&lt;=3,0.15,IF(D590&lt;=14,0.25,IF(D590&lt;=45,0.35,0.5))))</x:f>
        <x:v>0.35</x:v>
      </x:c>
      <x:c r="P590" s="47" t="n">
        <x:f>J590*O590</x:f>
        <x:v>11480</x:v>
      </x:c>
      <x:c r="Q590" s="46" t="n">
        <x:f>IF(C590="P0",0,IF(D590&lt;=3,0.05,IF(D590&lt;=14,0.1,IF(D590&lt;=45,0.15,0.2))))</x:f>
        <x:v>0.15</x:v>
      </x:c>
      <x:c r="R590" s="47" t="n">
        <x:f>J590*Q590</x:f>
        <x:v>4920</x:v>
      </x:c>
      <x:c r="S590" s="20" t="str">
        <x:f>IF(D590&lt;E590,"closed",IF(D590&lt;'Paths'!$N$13,"initial","expanded"))</x:f>
        <x:v>expanded</x:v>
      </x:c>
      <x:c r="T590" s="72"/>
    </x:row>
    <x:row r="591">
      <x:c r="C591" s="20" t="str">
        <x:v>P6</x:v>
      </x:c>
      <x:c r="D591" s="20" t="n">
        <x:v>38</x:v>
      </x:c>
      <x:c r="E591" s="45" t="n">
        <x:f>IF('Controls'!$D$7="Reference",'Paths'!$J$13,'Paths'!$K$13)</x:f>
        <x:v>8</x:v>
      </x:c>
      <x:c r="F591" s="47" t="n">
        <x:f>IF(D591&lt;'Paths'!$N$13,IF('Controls'!$D$7="Reference",'Paths'!$L$13,'Paths'!$M$13),IF('Controls'!$D$7="Reference",'Paths'!$O$13,'Paths'!$P$13))</x:f>
        <x:v>40000</x:v>
      </x:c>
      <x:c r="G591" s="46" t="n">
        <x:f>IF('Controls'!$D$7="Reference",1,IF(OR(D591=6,D591=7,D591=21,D591=46),'Paths'!$U$13,1))</x:f>
        <x:v>1</x:v>
      </x:c>
      <x:c r="H591" s="46" t="n">
        <x:f>IF('Controls'!$D$7="Reference",1,IF(OR(AND(D591&gt;=14,D591&lt;=16),AND(D591&gt;=34,D591&lt;=35),AND(D591&gt;=61,D591&lt;=63)),'Paths'!$V$13,1))</x:f>
        <x:v>1</x:v>
      </x:c>
      <x:c r="I591" s="46" t="n">
        <x:f>'Paths'!$W$13</x:f>
        <x:v>0.82</x:v>
      </x:c>
      <x:c r="J591" s="47" t="n">
        <x:f>IF(D591&lt;E591,0,MIN(F591*G591*H591*I591,IF('Paths'!$T$13&gt;0,MAX(0,'Paths'!$T$13-K590),1000000000)))</x:f>
        <x:v>32800</x:v>
      </x:c>
      <x:c r="K591" s="47" t="n">
        <x:f>K590+J591</x:f>
        <x:v>758500</x:v>
      </x:c>
      <x:c r="L591" s="46" t="n">
        <x:f>IF(C591="P0",1,IF(D591&lt;=3,0.8,IF(D591&lt;=14,0.65,IF(D591&lt;=45,0.5,0.3))))</x:f>
        <x:v>0.5</x:v>
      </x:c>
      <x:c r="M591" s="47" t="n">
        <x:f>J591*L591</x:f>
        <x:v>16400</x:v>
      </x:c>
      <x:c r="N591" s="47" t="n">
        <x:f>N590+M591</x:f>
        <x:v>395609</x:v>
      </x:c>
      <x:c r="O591" s="46" t="n">
        <x:f>IF(C591="P0",0,IF(D591&lt;=3,0.15,IF(D591&lt;=14,0.25,IF(D591&lt;=45,0.35,0.5))))</x:f>
        <x:v>0.35</x:v>
      </x:c>
      <x:c r="P591" s="47" t="n">
        <x:f>J591*O591</x:f>
        <x:v>11480</x:v>
      </x:c>
      <x:c r="Q591" s="46" t="n">
        <x:f>IF(C591="P0",0,IF(D591&lt;=3,0.05,IF(D591&lt;=14,0.1,IF(D591&lt;=45,0.15,0.2))))</x:f>
        <x:v>0.15</x:v>
      </x:c>
      <x:c r="R591" s="47" t="n">
        <x:f>J591*Q591</x:f>
        <x:v>4920</x:v>
      </x:c>
      <x:c r="S591" s="20" t="str">
        <x:f>IF(D591&lt;E591,"closed",IF(D591&lt;'Paths'!$N$13,"initial","expanded"))</x:f>
        <x:v>expanded</x:v>
      </x:c>
      <x:c r="T591" s="72"/>
    </x:row>
    <x:row r="592">
      <x:c r="C592" s="20" t="str">
        <x:v>P6</x:v>
      </x:c>
      <x:c r="D592" s="20" t="n">
        <x:v>39</x:v>
      </x:c>
      <x:c r="E592" s="45" t="n">
        <x:f>IF('Controls'!$D$7="Reference",'Paths'!$J$13,'Paths'!$K$13)</x:f>
        <x:v>8</x:v>
      </x:c>
      <x:c r="F592" s="47" t="n">
        <x:f>IF(D592&lt;'Paths'!$N$13,IF('Controls'!$D$7="Reference",'Paths'!$L$13,'Paths'!$M$13),IF('Controls'!$D$7="Reference",'Paths'!$O$13,'Paths'!$P$13))</x:f>
        <x:v>40000</x:v>
      </x:c>
      <x:c r="G592" s="46" t="n">
        <x:f>IF('Controls'!$D$7="Reference",1,IF(OR(D592=6,D592=7,D592=21,D592=46),'Paths'!$U$13,1))</x:f>
        <x:v>1</x:v>
      </x:c>
      <x:c r="H592" s="46" t="n">
        <x:f>IF('Controls'!$D$7="Reference",1,IF(OR(AND(D592&gt;=14,D592&lt;=16),AND(D592&gt;=34,D592&lt;=35),AND(D592&gt;=61,D592&lt;=63)),'Paths'!$V$13,1))</x:f>
        <x:v>1</x:v>
      </x:c>
      <x:c r="I592" s="46" t="n">
        <x:f>'Paths'!$W$13</x:f>
        <x:v>0.82</x:v>
      </x:c>
      <x:c r="J592" s="47" t="n">
        <x:f>IF(D592&lt;E592,0,MIN(F592*G592*H592*I592,IF('Paths'!$T$13&gt;0,MAX(0,'Paths'!$T$13-K591),1000000000)))</x:f>
        <x:v>32800</x:v>
      </x:c>
      <x:c r="K592" s="47" t="n">
        <x:f>K591+J592</x:f>
        <x:v>791300</x:v>
      </x:c>
      <x:c r="L592" s="46" t="n">
        <x:f>IF(C592="P0",1,IF(D592&lt;=3,0.8,IF(D592&lt;=14,0.65,IF(D592&lt;=45,0.5,0.3))))</x:f>
        <x:v>0.5</x:v>
      </x:c>
      <x:c r="M592" s="47" t="n">
        <x:f>J592*L592</x:f>
        <x:v>16400</x:v>
      </x:c>
      <x:c r="N592" s="47" t="n">
        <x:f>N591+M592</x:f>
        <x:v>412009</x:v>
      </x:c>
      <x:c r="O592" s="46" t="n">
        <x:f>IF(C592="P0",0,IF(D592&lt;=3,0.15,IF(D592&lt;=14,0.25,IF(D592&lt;=45,0.35,0.5))))</x:f>
        <x:v>0.35</x:v>
      </x:c>
      <x:c r="P592" s="47" t="n">
        <x:f>J592*O592</x:f>
        <x:v>11480</x:v>
      </x:c>
      <x:c r="Q592" s="46" t="n">
        <x:f>IF(C592="P0",0,IF(D592&lt;=3,0.05,IF(D592&lt;=14,0.1,IF(D592&lt;=45,0.15,0.2))))</x:f>
        <x:v>0.15</x:v>
      </x:c>
      <x:c r="R592" s="47" t="n">
        <x:f>J592*Q592</x:f>
        <x:v>4920</x:v>
      </x:c>
      <x:c r="S592" s="20" t="str">
        <x:f>IF(D592&lt;E592,"closed",IF(D592&lt;'Paths'!$N$13,"initial","expanded"))</x:f>
        <x:v>expanded</x:v>
      </x:c>
      <x:c r="T592" s="72"/>
    </x:row>
    <x:row r="593">
      <x:c r="C593" s="20" t="str">
        <x:v>P6</x:v>
      </x:c>
      <x:c r="D593" s="20" t="n">
        <x:v>40</x:v>
      </x:c>
      <x:c r="E593" s="45" t="n">
        <x:f>IF('Controls'!$D$7="Reference",'Paths'!$J$13,'Paths'!$K$13)</x:f>
        <x:v>8</x:v>
      </x:c>
      <x:c r="F593" s="47" t="n">
        <x:f>IF(D593&lt;'Paths'!$N$13,IF('Controls'!$D$7="Reference",'Paths'!$L$13,'Paths'!$M$13),IF('Controls'!$D$7="Reference",'Paths'!$O$13,'Paths'!$P$13))</x:f>
        <x:v>40000</x:v>
      </x:c>
      <x:c r="G593" s="46" t="n">
        <x:f>IF('Controls'!$D$7="Reference",1,IF(OR(D593=6,D593=7,D593=21,D593=46),'Paths'!$U$13,1))</x:f>
        <x:v>1</x:v>
      </x:c>
      <x:c r="H593" s="46" t="n">
        <x:f>IF('Controls'!$D$7="Reference",1,IF(OR(AND(D593&gt;=14,D593&lt;=16),AND(D593&gt;=34,D593&lt;=35),AND(D593&gt;=61,D593&lt;=63)),'Paths'!$V$13,1))</x:f>
        <x:v>1</x:v>
      </x:c>
      <x:c r="I593" s="46" t="n">
        <x:f>'Paths'!$W$13</x:f>
        <x:v>0.82</x:v>
      </x:c>
      <x:c r="J593" s="47" t="n">
        <x:f>IF(D593&lt;E593,0,MIN(F593*G593*H593*I593,IF('Paths'!$T$13&gt;0,MAX(0,'Paths'!$T$13-K592),1000000000)))</x:f>
        <x:v>32800</x:v>
      </x:c>
      <x:c r="K593" s="47" t="n">
        <x:f>K592+J593</x:f>
        <x:v>824100</x:v>
      </x:c>
      <x:c r="L593" s="46" t="n">
        <x:f>IF(C593="P0",1,IF(D593&lt;=3,0.8,IF(D593&lt;=14,0.65,IF(D593&lt;=45,0.5,0.3))))</x:f>
        <x:v>0.5</x:v>
      </x:c>
      <x:c r="M593" s="47" t="n">
        <x:f>J593*L593</x:f>
        <x:v>16400</x:v>
      </x:c>
      <x:c r="N593" s="47" t="n">
        <x:f>N592+M593</x:f>
        <x:v>428409</x:v>
      </x:c>
      <x:c r="O593" s="46" t="n">
        <x:f>IF(C593="P0",0,IF(D593&lt;=3,0.15,IF(D593&lt;=14,0.25,IF(D593&lt;=45,0.35,0.5))))</x:f>
        <x:v>0.35</x:v>
      </x:c>
      <x:c r="P593" s="47" t="n">
        <x:f>J593*O593</x:f>
        <x:v>11480</x:v>
      </x:c>
      <x:c r="Q593" s="46" t="n">
        <x:f>IF(C593="P0",0,IF(D593&lt;=3,0.05,IF(D593&lt;=14,0.1,IF(D593&lt;=45,0.15,0.2))))</x:f>
        <x:v>0.15</x:v>
      </x:c>
      <x:c r="R593" s="47" t="n">
        <x:f>J593*Q593</x:f>
        <x:v>4920</x:v>
      </x:c>
      <x:c r="S593" s="20" t="str">
        <x:f>IF(D593&lt;E593,"closed",IF(D593&lt;'Paths'!$N$13,"initial","expanded"))</x:f>
        <x:v>expanded</x:v>
      </x:c>
      <x:c r="T593" s="72"/>
    </x:row>
    <x:row r="594">
      <x:c r="C594" s="20" t="str">
        <x:v>P6</x:v>
      </x:c>
      <x:c r="D594" s="20" t="n">
        <x:v>41</x:v>
      </x:c>
      <x:c r="E594" s="45" t="n">
        <x:f>IF('Controls'!$D$7="Reference",'Paths'!$J$13,'Paths'!$K$13)</x:f>
        <x:v>8</x:v>
      </x:c>
      <x:c r="F594" s="47" t="n">
        <x:f>IF(D594&lt;'Paths'!$N$13,IF('Controls'!$D$7="Reference",'Paths'!$L$13,'Paths'!$M$13),IF('Controls'!$D$7="Reference",'Paths'!$O$13,'Paths'!$P$13))</x:f>
        <x:v>40000</x:v>
      </x:c>
      <x:c r="G594" s="46" t="n">
        <x:f>IF('Controls'!$D$7="Reference",1,IF(OR(D594=6,D594=7,D594=21,D594=46),'Paths'!$U$13,1))</x:f>
        <x:v>1</x:v>
      </x:c>
      <x:c r="H594" s="46" t="n">
        <x:f>IF('Controls'!$D$7="Reference",1,IF(OR(AND(D594&gt;=14,D594&lt;=16),AND(D594&gt;=34,D594&lt;=35),AND(D594&gt;=61,D594&lt;=63)),'Paths'!$V$13,1))</x:f>
        <x:v>1</x:v>
      </x:c>
      <x:c r="I594" s="46" t="n">
        <x:f>'Paths'!$W$13</x:f>
        <x:v>0.82</x:v>
      </x:c>
      <x:c r="J594" s="47" t="n">
        <x:f>IF(D594&lt;E594,0,MIN(F594*G594*H594*I594,IF('Paths'!$T$13&gt;0,MAX(0,'Paths'!$T$13-K593),1000000000)))</x:f>
        <x:v>32800</x:v>
      </x:c>
      <x:c r="K594" s="47" t="n">
        <x:f>K593+J594</x:f>
        <x:v>856900</x:v>
      </x:c>
      <x:c r="L594" s="46" t="n">
        <x:f>IF(C594="P0",1,IF(D594&lt;=3,0.8,IF(D594&lt;=14,0.65,IF(D594&lt;=45,0.5,0.3))))</x:f>
        <x:v>0.5</x:v>
      </x:c>
      <x:c r="M594" s="47" t="n">
        <x:f>J594*L594</x:f>
        <x:v>16400</x:v>
      </x:c>
      <x:c r="N594" s="47" t="n">
        <x:f>N593+M594</x:f>
        <x:v>444809</x:v>
      </x:c>
      <x:c r="O594" s="46" t="n">
        <x:f>IF(C594="P0",0,IF(D594&lt;=3,0.15,IF(D594&lt;=14,0.25,IF(D594&lt;=45,0.35,0.5))))</x:f>
        <x:v>0.35</x:v>
      </x:c>
      <x:c r="P594" s="47" t="n">
        <x:f>J594*O594</x:f>
        <x:v>11480</x:v>
      </x:c>
      <x:c r="Q594" s="46" t="n">
        <x:f>IF(C594="P0",0,IF(D594&lt;=3,0.05,IF(D594&lt;=14,0.1,IF(D594&lt;=45,0.15,0.2))))</x:f>
        <x:v>0.15</x:v>
      </x:c>
      <x:c r="R594" s="47" t="n">
        <x:f>J594*Q594</x:f>
        <x:v>4920</x:v>
      </x:c>
      <x:c r="S594" s="20" t="str">
        <x:f>IF(D594&lt;E594,"closed",IF(D594&lt;'Paths'!$N$13,"initial","expanded"))</x:f>
        <x:v>expanded</x:v>
      </x:c>
      <x:c r="T594" s="72"/>
    </x:row>
    <x:row r="595">
      <x:c r="C595" s="20" t="str">
        <x:v>P6</x:v>
      </x:c>
      <x:c r="D595" s="20" t="n">
        <x:v>42</x:v>
      </x:c>
      <x:c r="E595" s="45" t="n">
        <x:f>IF('Controls'!$D$7="Reference",'Paths'!$J$13,'Paths'!$K$13)</x:f>
        <x:v>8</x:v>
      </x:c>
      <x:c r="F595" s="47" t="n">
        <x:f>IF(D595&lt;'Paths'!$N$13,IF('Controls'!$D$7="Reference",'Paths'!$L$13,'Paths'!$M$13),IF('Controls'!$D$7="Reference",'Paths'!$O$13,'Paths'!$P$13))</x:f>
        <x:v>40000</x:v>
      </x:c>
      <x:c r="G595" s="46" t="n">
        <x:f>IF('Controls'!$D$7="Reference",1,IF(OR(D595=6,D595=7,D595=21,D595=46),'Paths'!$U$13,1))</x:f>
        <x:v>1</x:v>
      </x:c>
      <x:c r="H595" s="46" t="n">
        <x:f>IF('Controls'!$D$7="Reference",1,IF(OR(AND(D595&gt;=14,D595&lt;=16),AND(D595&gt;=34,D595&lt;=35),AND(D595&gt;=61,D595&lt;=63)),'Paths'!$V$13,1))</x:f>
        <x:v>1</x:v>
      </x:c>
      <x:c r="I595" s="46" t="n">
        <x:f>'Paths'!$W$13</x:f>
        <x:v>0.82</x:v>
      </x:c>
      <x:c r="J595" s="47" t="n">
        <x:f>IF(D595&lt;E595,0,MIN(F595*G595*H595*I595,IF('Paths'!$T$13&gt;0,MAX(0,'Paths'!$T$13-K594),1000000000)))</x:f>
        <x:v>32800</x:v>
      </x:c>
      <x:c r="K595" s="47" t="n">
        <x:f>K594+J595</x:f>
        <x:v>889700</x:v>
      </x:c>
      <x:c r="L595" s="46" t="n">
        <x:f>IF(C595="P0",1,IF(D595&lt;=3,0.8,IF(D595&lt;=14,0.65,IF(D595&lt;=45,0.5,0.3))))</x:f>
        <x:v>0.5</x:v>
      </x:c>
      <x:c r="M595" s="47" t="n">
        <x:f>J595*L595</x:f>
        <x:v>16400</x:v>
      </x:c>
      <x:c r="N595" s="47" t="n">
        <x:f>N594+M595</x:f>
        <x:v>461209</x:v>
      </x:c>
      <x:c r="O595" s="46" t="n">
        <x:f>IF(C595="P0",0,IF(D595&lt;=3,0.15,IF(D595&lt;=14,0.25,IF(D595&lt;=45,0.35,0.5))))</x:f>
        <x:v>0.35</x:v>
      </x:c>
      <x:c r="P595" s="47" t="n">
        <x:f>J595*O595</x:f>
        <x:v>11480</x:v>
      </x:c>
      <x:c r="Q595" s="46" t="n">
        <x:f>IF(C595="P0",0,IF(D595&lt;=3,0.05,IF(D595&lt;=14,0.1,IF(D595&lt;=45,0.15,0.2))))</x:f>
        <x:v>0.15</x:v>
      </x:c>
      <x:c r="R595" s="47" t="n">
        <x:f>J595*Q595</x:f>
        <x:v>4920</x:v>
      </x:c>
      <x:c r="S595" s="20" t="str">
        <x:f>IF(D595&lt;E595,"closed",IF(D595&lt;'Paths'!$N$13,"initial","expanded"))</x:f>
        <x:v>expanded</x:v>
      </x:c>
      <x:c r="T595" s="72"/>
    </x:row>
    <x:row r="596">
      <x:c r="C596" s="20" t="str">
        <x:v>P6</x:v>
      </x:c>
      <x:c r="D596" s="20" t="n">
        <x:v>43</x:v>
      </x:c>
      <x:c r="E596" s="45" t="n">
        <x:f>IF('Controls'!$D$7="Reference",'Paths'!$J$13,'Paths'!$K$13)</x:f>
        <x:v>8</x:v>
      </x:c>
      <x:c r="F596" s="47" t="n">
        <x:f>IF(D596&lt;'Paths'!$N$13,IF('Controls'!$D$7="Reference",'Paths'!$L$13,'Paths'!$M$13),IF('Controls'!$D$7="Reference",'Paths'!$O$13,'Paths'!$P$13))</x:f>
        <x:v>40000</x:v>
      </x:c>
      <x:c r="G596" s="46" t="n">
        <x:f>IF('Controls'!$D$7="Reference",1,IF(OR(D596=6,D596=7,D596=21,D596=46),'Paths'!$U$13,1))</x:f>
        <x:v>1</x:v>
      </x:c>
      <x:c r="H596" s="46" t="n">
        <x:f>IF('Controls'!$D$7="Reference",1,IF(OR(AND(D596&gt;=14,D596&lt;=16),AND(D596&gt;=34,D596&lt;=35),AND(D596&gt;=61,D596&lt;=63)),'Paths'!$V$13,1))</x:f>
        <x:v>1</x:v>
      </x:c>
      <x:c r="I596" s="46" t="n">
        <x:f>'Paths'!$W$13</x:f>
        <x:v>0.82</x:v>
      </x:c>
      <x:c r="J596" s="47" t="n">
        <x:f>IF(D596&lt;E596,0,MIN(F596*G596*H596*I596,IF('Paths'!$T$13&gt;0,MAX(0,'Paths'!$T$13-K595),1000000000)))</x:f>
        <x:v>32800</x:v>
      </x:c>
      <x:c r="K596" s="47" t="n">
        <x:f>K595+J596</x:f>
        <x:v>922500</x:v>
      </x:c>
      <x:c r="L596" s="46" t="n">
        <x:f>IF(C596="P0",1,IF(D596&lt;=3,0.8,IF(D596&lt;=14,0.65,IF(D596&lt;=45,0.5,0.3))))</x:f>
        <x:v>0.5</x:v>
      </x:c>
      <x:c r="M596" s="47" t="n">
        <x:f>J596*L596</x:f>
        <x:v>16400</x:v>
      </x:c>
      <x:c r="N596" s="47" t="n">
        <x:f>N595+M596</x:f>
        <x:v>477609</x:v>
      </x:c>
      <x:c r="O596" s="46" t="n">
        <x:f>IF(C596="P0",0,IF(D596&lt;=3,0.15,IF(D596&lt;=14,0.25,IF(D596&lt;=45,0.35,0.5))))</x:f>
        <x:v>0.35</x:v>
      </x:c>
      <x:c r="P596" s="47" t="n">
        <x:f>J596*O596</x:f>
        <x:v>11480</x:v>
      </x:c>
      <x:c r="Q596" s="46" t="n">
        <x:f>IF(C596="P0",0,IF(D596&lt;=3,0.05,IF(D596&lt;=14,0.1,IF(D596&lt;=45,0.15,0.2))))</x:f>
        <x:v>0.15</x:v>
      </x:c>
      <x:c r="R596" s="47" t="n">
        <x:f>J596*Q596</x:f>
        <x:v>4920</x:v>
      </x:c>
      <x:c r="S596" s="20" t="str">
        <x:f>IF(D596&lt;E596,"closed",IF(D596&lt;'Paths'!$N$13,"initial","expanded"))</x:f>
        <x:v>expanded</x:v>
      </x:c>
      <x:c r="T596" s="72"/>
    </x:row>
    <x:row r="597">
      <x:c r="C597" s="20" t="str">
        <x:v>P6</x:v>
      </x:c>
      <x:c r="D597" s="20" t="n">
        <x:v>44</x:v>
      </x:c>
      <x:c r="E597" s="45" t="n">
        <x:f>IF('Controls'!$D$7="Reference",'Paths'!$J$13,'Paths'!$K$13)</x:f>
        <x:v>8</x:v>
      </x:c>
      <x:c r="F597" s="47" t="n">
        <x:f>IF(D597&lt;'Paths'!$N$13,IF('Controls'!$D$7="Reference",'Paths'!$L$13,'Paths'!$M$13),IF('Controls'!$D$7="Reference",'Paths'!$O$13,'Paths'!$P$13))</x:f>
        <x:v>40000</x:v>
      </x:c>
      <x:c r="G597" s="46" t="n">
        <x:f>IF('Controls'!$D$7="Reference",1,IF(OR(D597=6,D597=7,D597=21,D597=46),'Paths'!$U$13,1))</x:f>
        <x:v>1</x:v>
      </x:c>
      <x:c r="H597" s="46" t="n">
        <x:f>IF('Controls'!$D$7="Reference",1,IF(OR(AND(D597&gt;=14,D597&lt;=16),AND(D597&gt;=34,D597&lt;=35),AND(D597&gt;=61,D597&lt;=63)),'Paths'!$V$13,1))</x:f>
        <x:v>1</x:v>
      </x:c>
      <x:c r="I597" s="46" t="n">
        <x:f>'Paths'!$W$13</x:f>
        <x:v>0.82</x:v>
      </x:c>
      <x:c r="J597" s="47" t="n">
        <x:f>IF(D597&lt;E597,0,MIN(F597*G597*H597*I597,IF('Paths'!$T$13&gt;0,MAX(0,'Paths'!$T$13-K596),1000000000)))</x:f>
        <x:v>32800</x:v>
      </x:c>
      <x:c r="K597" s="47" t="n">
        <x:f>K596+J597</x:f>
        <x:v>955300</x:v>
      </x:c>
      <x:c r="L597" s="46" t="n">
        <x:f>IF(C597="P0",1,IF(D597&lt;=3,0.8,IF(D597&lt;=14,0.65,IF(D597&lt;=45,0.5,0.3))))</x:f>
        <x:v>0.5</x:v>
      </x:c>
      <x:c r="M597" s="47" t="n">
        <x:f>J597*L597</x:f>
        <x:v>16400</x:v>
      </x:c>
      <x:c r="N597" s="47" t="n">
        <x:f>N596+M597</x:f>
        <x:v>494009</x:v>
      </x:c>
      <x:c r="O597" s="46" t="n">
        <x:f>IF(C597="P0",0,IF(D597&lt;=3,0.15,IF(D597&lt;=14,0.25,IF(D597&lt;=45,0.35,0.5))))</x:f>
        <x:v>0.35</x:v>
      </x:c>
      <x:c r="P597" s="47" t="n">
        <x:f>J597*O597</x:f>
        <x:v>11480</x:v>
      </x:c>
      <x:c r="Q597" s="46" t="n">
        <x:f>IF(C597="P0",0,IF(D597&lt;=3,0.05,IF(D597&lt;=14,0.1,IF(D597&lt;=45,0.15,0.2))))</x:f>
        <x:v>0.15</x:v>
      </x:c>
      <x:c r="R597" s="47" t="n">
        <x:f>J597*Q597</x:f>
        <x:v>4920</x:v>
      </x:c>
      <x:c r="S597" s="20" t="str">
        <x:f>IF(D597&lt;E597,"closed",IF(D597&lt;'Paths'!$N$13,"initial","expanded"))</x:f>
        <x:v>expanded</x:v>
      </x:c>
      <x:c r="T597" s="72"/>
    </x:row>
    <x:row r="598">
      <x:c r="C598" s="20" t="str">
        <x:v>P6</x:v>
      </x:c>
      <x:c r="D598" s="20" t="n">
        <x:v>45</x:v>
      </x:c>
      <x:c r="E598" s="45" t="n">
        <x:f>IF('Controls'!$D$7="Reference",'Paths'!$J$13,'Paths'!$K$13)</x:f>
        <x:v>8</x:v>
      </x:c>
      <x:c r="F598" s="47" t="n">
        <x:f>IF(D598&lt;'Paths'!$N$13,IF('Controls'!$D$7="Reference",'Paths'!$L$13,'Paths'!$M$13),IF('Controls'!$D$7="Reference",'Paths'!$O$13,'Paths'!$P$13))</x:f>
        <x:v>40000</x:v>
      </x:c>
      <x:c r="G598" s="46" t="n">
        <x:f>IF('Controls'!$D$7="Reference",1,IF(OR(D598=6,D598=7,D598=21,D598=46),'Paths'!$U$13,1))</x:f>
        <x:v>1</x:v>
      </x:c>
      <x:c r="H598" s="46" t="n">
        <x:f>IF('Controls'!$D$7="Reference",1,IF(OR(AND(D598&gt;=14,D598&lt;=16),AND(D598&gt;=34,D598&lt;=35),AND(D598&gt;=61,D598&lt;=63)),'Paths'!$V$13,1))</x:f>
        <x:v>1</x:v>
      </x:c>
      <x:c r="I598" s="46" t="n">
        <x:f>'Paths'!$W$13</x:f>
        <x:v>0.82</x:v>
      </x:c>
      <x:c r="J598" s="47" t="n">
        <x:f>IF(D598&lt;E598,0,MIN(F598*G598*H598*I598,IF('Paths'!$T$13&gt;0,MAX(0,'Paths'!$T$13-K597),1000000000)))</x:f>
        <x:v>32800</x:v>
      </x:c>
      <x:c r="K598" s="47" t="n">
        <x:f>K597+J598</x:f>
        <x:v>988100</x:v>
      </x:c>
      <x:c r="L598" s="46" t="n">
        <x:f>IF(C598="P0",1,IF(D598&lt;=3,0.8,IF(D598&lt;=14,0.65,IF(D598&lt;=45,0.5,0.3))))</x:f>
        <x:v>0.5</x:v>
      </x:c>
      <x:c r="M598" s="47" t="n">
        <x:f>J598*L598</x:f>
        <x:v>16400</x:v>
      </x:c>
      <x:c r="N598" s="47" t="n">
        <x:f>N597+M598</x:f>
        <x:v>510409</x:v>
      </x:c>
      <x:c r="O598" s="46" t="n">
        <x:f>IF(C598="P0",0,IF(D598&lt;=3,0.15,IF(D598&lt;=14,0.25,IF(D598&lt;=45,0.35,0.5))))</x:f>
        <x:v>0.35</x:v>
      </x:c>
      <x:c r="P598" s="47" t="n">
        <x:f>J598*O598</x:f>
        <x:v>11480</x:v>
      </x:c>
      <x:c r="Q598" s="46" t="n">
        <x:f>IF(C598="P0",0,IF(D598&lt;=3,0.05,IF(D598&lt;=14,0.1,IF(D598&lt;=45,0.15,0.2))))</x:f>
        <x:v>0.15</x:v>
      </x:c>
      <x:c r="R598" s="47" t="n">
        <x:f>J598*Q598</x:f>
        <x:v>4920</x:v>
      </x:c>
      <x:c r="S598" s="20" t="str">
        <x:f>IF(D598&lt;E598,"closed",IF(D598&lt;'Paths'!$N$13,"initial","expanded"))</x:f>
        <x:v>expanded</x:v>
      </x:c>
      <x:c r="T598" s="72"/>
    </x:row>
    <x:row r="599">
      <x:c r="C599" s="20" t="str">
        <x:v>P6</x:v>
      </x:c>
      <x:c r="D599" s="20" t="n">
        <x:v>46</x:v>
      </x:c>
      <x:c r="E599" s="45" t="n">
        <x:f>IF('Controls'!$D$7="Reference",'Paths'!$J$13,'Paths'!$K$13)</x:f>
        <x:v>8</x:v>
      </x:c>
      <x:c r="F599" s="47" t="n">
        <x:f>IF(D599&lt;'Paths'!$N$13,IF('Controls'!$D$7="Reference",'Paths'!$L$13,'Paths'!$M$13),IF('Controls'!$D$7="Reference",'Paths'!$O$13,'Paths'!$P$13))</x:f>
        <x:v>40000</x:v>
      </x:c>
      <x:c r="G599" s="46" t="n">
        <x:f>IF('Controls'!$D$7="Reference",1,IF(OR(D599=6,D599=7,D599=21,D599=46),'Paths'!$U$13,1))</x:f>
        <x:v>0.35</x:v>
      </x:c>
      <x:c r="H599" s="46" t="n">
        <x:f>IF('Controls'!$D$7="Reference",1,IF(OR(AND(D599&gt;=14,D599&lt;=16),AND(D599&gt;=34,D599&lt;=35),AND(D599&gt;=61,D599&lt;=63)),'Paths'!$V$13,1))</x:f>
        <x:v>1</x:v>
      </x:c>
      <x:c r="I599" s="46" t="n">
        <x:f>'Paths'!$W$13</x:f>
        <x:v>0.82</x:v>
      </x:c>
      <x:c r="J599" s="47" t="n">
        <x:f>IF(D599&lt;E599,0,MIN(F599*G599*H599*I599,IF('Paths'!$T$13&gt;0,MAX(0,'Paths'!$T$13-K598),1000000000)))</x:f>
        <x:v>11480</x:v>
      </x:c>
      <x:c r="K599" s="47" t="n">
        <x:f>K598+J599</x:f>
        <x:v>999580</x:v>
      </x:c>
      <x:c r="L599" s="46" t="n">
        <x:f>IF(C599="P0",1,IF(D599&lt;=3,0.8,IF(D599&lt;=14,0.65,IF(D599&lt;=45,0.5,0.3))))</x:f>
        <x:v>0.3</x:v>
      </x:c>
      <x:c r="M599" s="47" t="n">
        <x:f>J599*L599</x:f>
        <x:v>3444</x:v>
      </x:c>
      <x:c r="N599" s="47" t="n">
        <x:f>N598+M599</x:f>
        <x:v>513853</x:v>
      </x:c>
      <x:c r="O599" s="46" t="n">
        <x:f>IF(C599="P0",0,IF(D599&lt;=3,0.15,IF(D599&lt;=14,0.25,IF(D599&lt;=45,0.35,0.5))))</x:f>
        <x:v>0.5</x:v>
      </x:c>
      <x:c r="P599" s="47" t="n">
        <x:f>J599*O599</x:f>
        <x:v>5740</x:v>
      </x:c>
      <x:c r="Q599" s="46" t="n">
        <x:f>IF(C599="P0",0,IF(D599&lt;=3,0.05,IF(D599&lt;=14,0.1,IF(D599&lt;=45,0.15,0.2))))</x:f>
        <x:v>0.2</x:v>
      </x:c>
      <x:c r="R599" s="47" t="n">
        <x:f>J599*Q599</x:f>
        <x:v>2296</x:v>
      </x:c>
      <x:c r="S599" s="20" t="str">
        <x:f>IF(D599&lt;E599,"closed",IF(D599&lt;'Paths'!$N$13,"initial","expanded"))</x:f>
        <x:v>expanded</x:v>
      </x:c>
      <x:c r="T599" s="72"/>
    </x:row>
    <x:row r="600">
      <x:c r="C600" s="20" t="str">
        <x:v>P6</x:v>
      </x:c>
      <x:c r="D600" s="20" t="n">
        <x:v>47</x:v>
      </x:c>
      <x:c r="E600" s="45" t="n">
        <x:f>IF('Controls'!$D$7="Reference",'Paths'!$J$13,'Paths'!$K$13)</x:f>
        <x:v>8</x:v>
      </x:c>
      <x:c r="F600" s="47" t="n">
        <x:f>IF(D600&lt;'Paths'!$N$13,IF('Controls'!$D$7="Reference",'Paths'!$L$13,'Paths'!$M$13),IF('Controls'!$D$7="Reference",'Paths'!$O$13,'Paths'!$P$13))</x:f>
        <x:v>40000</x:v>
      </x:c>
      <x:c r="G600" s="46" t="n">
        <x:f>IF('Controls'!$D$7="Reference",1,IF(OR(D600=6,D600=7,D600=21,D600=46),'Paths'!$U$13,1))</x:f>
        <x:v>1</x:v>
      </x:c>
      <x:c r="H600" s="46" t="n">
        <x:f>IF('Controls'!$D$7="Reference",1,IF(OR(AND(D600&gt;=14,D600&lt;=16),AND(D600&gt;=34,D600&lt;=35),AND(D600&gt;=61,D600&lt;=63)),'Paths'!$V$13,1))</x:f>
        <x:v>1</x:v>
      </x:c>
      <x:c r="I600" s="46" t="n">
        <x:f>'Paths'!$W$13</x:f>
        <x:v>0.82</x:v>
      </x:c>
      <x:c r="J600" s="47" t="n">
        <x:f>IF(D600&lt;E600,0,MIN(F600*G600*H600*I600,IF('Paths'!$T$13&gt;0,MAX(0,'Paths'!$T$13-K599),1000000000)))</x:f>
        <x:v>32800</x:v>
      </x:c>
      <x:c r="K600" s="47" t="n">
        <x:f>K599+J600</x:f>
        <x:v>1032380</x:v>
      </x:c>
      <x:c r="L600" s="46" t="n">
        <x:f>IF(C600="P0",1,IF(D600&lt;=3,0.8,IF(D600&lt;=14,0.65,IF(D600&lt;=45,0.5,0.3))))</x:f>
        <x:v>0.3</x:v>
      </x:c>
      <x:c r="M600" s="47" t="n">
        <x:f>J600*L600</x:f>
        <x:v>9840</x:v>
      </x:c>
      <x:c r="N600" s="47" t="n">
        <x:f>N599+M600</x:f>
        <x:v>523693</x:v>
      </x:c>
      <x:c r="O600" s="46" t="n">
        <x:f>IF(C600="P0",0,IF(D600&lt;=3,0.15,IF(D600&lt;=14,0.25,IF(D600&lt;=45,0.35,0.5))))</x:f>
        <x:v>0.5</x:v>
      </x:c>
      <x:c r="P600" s="47" t="n">
        <x:f>J600*O600</x:f>
        <x:v>16400</x:v>
      </x:c>
      <x:c r="Q600" s="46" t="n">
        <x:f>IF(C600="P0",0,IF(D600&lt;=3,0.05,IF(D600&lt;=14,0.1,IF(D600&lt;=45,0.15,0.2))))</x:f>
        <x:v>0.2</x:v>
      </x:c>
      <x:c r="R600" s="47" t="n">
        <x:f>J600*Q600</x:f>
        <x:v>6560</x:v>
      </x:c>
      <x:c r="S600" s="20" t="str">
        <x:f>IF(D600&lt;E600,"closed",IF(D600&lt;'Paths'!$N$13,"initial","expanded"))</x:f>
        <x:v>expanded</x:v>
      </x:c>
      <x:c r="T600" s="72"/>
    </x:row>
    <x:row r="601">
      <x:c r="C601" s="20" t="str">
        <x:v>P6</x:v>
      </x:c>
      <x:c r="D601" s="20" t="n">
        <x:v>48</x:v>
      </x:c>
      <x:c r="E601" s="45" t="n">
        <x:f>IF('Controls'!$D$7="Reference",'Paths'!$J$13,'Paths'!$K$13)</x:f>
        <x:v>8</x:v>
      </x:c>
      <x:c r="F601" s="47" t="n">
        <x:f>IF(D601&lt;'Paths'!$N$13,IF('Controls'!$D$7="Reference",'Paths'!$L$13,'Paths'!$M$13),IF('Controls'!$D$7="Reference",'Paths'!$O$13,'Paths'!$P$13))</x:f>
        <x:v>40000</x:v>
      </x:c>
      <x:c r="G601" s="46" t="n">
        <x:f>IF('Controls'!$D$7="Reference",1,IF(OR(D601=6,D601=7,D601=21,D601=46),'Paths'!$U$13,1))</x:f>
        <x:v>1</x:v>
      </x:c>
      <x:c r="H601" s="46" t="n">
        <x:f>IF('Controls'!$D$7="Reference",1,IF(OR(AND(D601&gt;=14,D601&lt;=16),AND(D601&gt;=34,D601&lt;=35),AND(D601&gt;=61,D601&lt;=63)),'Paths'!$V$13,1))</x:f>
        <x:v>1</x:v>
      </x:c>
      <x:c r="I601" s="46" t="n">
        <x:f>'Paths'!$W$13</x:f>
        <x:v>0.82</x:v>
      </x:c>
      <x:c r="J601" s="47" t="n">
        <x:f>IF(D601&lt;E601,0,MIN(F601*G601*H601*I601,IF('Paths'!$T$13&gt;0,MAX(0,'Paths'!$T$13-K600),1000000000)))</x:f>
        <x:v>32800</x:v>
      </x:c>
      <x:c r="K601" s="47" t="n">
        <x:f>K600+J601</x:f>
        <x:v>1065180</x:v>
      </x:c>
      <x:c r="L601" s="46" t="n">
        <x:f>IF(C601="P0",1,IF(D601&lt;=3,0.8,IF(D601&lt;=14,0.65,IF(D601&lt;=45,0.5,0.3))))</x:f>
        <x:v>0.3</x:v>
      </x:c>
      <x:c r="M601" s="47" t="n">
        <x:f>J601*L601</x:f>
        <x:v>9840</x:v>
      </x:c>
      <x:c r="N601" s="47" t="n">
        <x:f>N600+M601</x:f>
        <x:v>533533</x:v>
      </x:c>
      <x:c r="O601" s="46" t="n">
        <x:f>IF(C601="P0",0,IF(D601&lt;=3,0.15,IF(D601&lt;=14,0.25,IF(D601&lt;=45,0.35,0.5))))</x:f>
        <x:v>0.5</x:v>
      </x:c>
      <x:c r="P601" s="47" t="n">
        <x:f>J601*O601</x:f>
        <x:v>16400</x:v>
      </x:c>
      <x:c r="Q601" s="46" t="n">
        <x:f>IF(C601="P0",0,IF(D601&lt;=3,0.05,IF(D601&lt;=14,0.1,IF(D601&lt;=45,0.15,0.2))))</x:f>
        <x:v>0.2</x:v>
      </x:c>
      <x:c r="R601" s="47" t="n">
        <x:f>J601*Q601</x:f>
        <x:v>6560</x:v>
      </x:c>
      <x:c r="S601" s="20" t="str">
        <x:f>IF(D601&lt;E601,"closed",IF(D601&lt;'Paths'!$N$13,"initial","expanded"))</x:f>
        <x:v>expanded</x:v>
      </x:c>
      <x:c r="T601" s="72"/>
    </x:row>
    <x:row r="602">
      <x:c r="C602" s="20" t="str">
        <x:v>P6</x:v>
      </x:c>
      <x:c r="D602" s="20" t="n">
        <x:v>49</x:v>
      </x:c>
      <x:c r="E602" s="45" t="n">
        <x:f>IF('Controls'!$D$7="Reference",'Paths'!$J$13,'Paths'!$K$13)</x:f>
        <x:v>8</x:v>
      </x:c>
      <x:c r="F602" s="47" t="n">
        <x:f>IF(D602&lt;'Paths'!$N$13,IF('Controls'!$D$7="Reference",'Paths'!$L$13,'Paths'!$M$13),IF('Controls'!$D$7="Reference",'Paths'!$O$13,'Paths'!$P$13))</x:f>
        <x:v>40000</x:v>
      </x:c>
      <x:c r="G602" s="46" t="n">
        <x:f>IF('Controls'!$D$7="Reference",1,IF(OR(D602=6,D602=7,D602=21,D602=46),'Paths'!$U$13,1))</x:f>
        <x:v>1</x:v>
      </x:c>
      <x:c r="H602" s="46" t="n">
        <x:f>IF('Controls'!$D$7="Reference",1,IF(OR(AND(D602&gt;=14,D602&lt;=16),AND(D602&gt;=34,D602&lt;=35),AND(D602&gt;=61,D602&lt;=63)),'Paths'!$V$13,1))</x:f>
        <x:v>1</x:v>
      </x:c>
      <x:c r="I602" s="46" t="n">
        <x:f>'Paths'!$W$13</x:f>
        <x:v>0.82</x:v>
      </x:c>
      <x:c r="J602" s="47" t="n">
        <x:f>IF(D602&lt;E602,0,MIN(F602*G602*H602*I602,IF('Paths'!$T$13&gt;0,MAX(0,'Paths'!$T$13-K601),1000000000)))</x:f>
        <x:v>32800</x:v>
      </x:c>
      <x:c r="K602" s="47" t="n">
        <x:f>K601+J602</x:f>
        <x:v>1097980</x:v>
      </x:c>
      <x:c r="L602" s="46" t="n">
        <x:f>IF(C602="P0",1,IF(D602&lt;=3,0.8,IF(D602&lt;=14,0.65,IF(D602&lt;=45,0.5,0.3))))</x:f>
        <x:v>0.3</x:v>
      </x:c>
      <x:c r="M602" s="47" t="n">
        <x:f>J602*L602</x:f>
        <x:v>9840</x:v>
      </x:c>
      <x:c r="N602" s="47" t="n">
        <x:f>N601+M602</x:f>
        <x:v>543373</x:v>
      </x:c>
      <x:c r="O602" s="46" t="n">
        <x:f>IF(C602="P0",0,IF(D602&lt;=3,0.15,IF(D602&lt;=14,0.25,IF(D602&lt;=45,0.35,0.5))))</x:f>
        <x:v>0.5</x:v>
      </x:c>
      <x:c r="P602" s="47" t="n">
        <x:f>J602*O602</x:f>
        <x:v>16400</x:v>
      </x:c>
      <x:c r="Q602" s="46" t="n">
        <x:f>IF(C602="P0",0,IF(D602&lt;=3,0.05,IF(D602&lt;=14,0.1,IF(D602&lt;=45,0.15,0.2))))</x:f>
        <x:v>0.2</x:v>
      </x:c>
      <x:c r="R602" s="47" t="n">
        <x:f>J602*Q602</x:f>
        <x:v>6560</x:v>
      </x:c>
      <x:c r="S602" s="20" t="str">
        <x:f>IF(D602&lt;E602,"closed",IF(D602&lt;'Paths'!$N$13,"initial","expanded"))</x:f>
        <x:v>expanded</x:v>
      </x:c>
      <x:c r="T602" s="72"/>
    </x:row>
    <x:row r="603">
      <x:c r="C603" s="20" t="str">
        <x:v>P6</x:v>
      </x:c>
      <x:c r="D603" s="20" t="n">
        <x:v>50</x:v>
      </x:c>
      <x:c r="E603" s="45" t="n">
        <x:f>IF('Controls'!$D$7="Reference",'Paths'!$J$13,'Paths'!$K$13)</x:f>
        <x:v>8</x:v>
      </x:c>
      <x:c r="F603" s="47" t="n">
        <x:f>IF(D603&lt;'Paths'!$N$13,IF('Controls'!$D$7="Reference",'Paths'!$L$13,'Paths'!$M$13),IF('Controls'!$D$7="Reference",'Paths'!$O$13,'Paths'!$P$13))</x:f>
        <x:v>40000</x:v>
      </x:c>
      <x:c r="G603" s="46" t="n">
        <x:f>IF('Controls'!$D$7="Reference",1,IF(OR(D603=6,D603=7,D603=21,D603=46),'Paths'!$U$13,1))</x:f>
        <x:v>1</x:v>
      </x:c>
      <x:c r="H603" s="46" t="n">
        <x:f>IF('Controls'!$D$7="Reference",1,IF(OR(AND(D603&gt;=14,D603&lt;=16),AND(D603&gt;=34,D603&lt;=35),AND(D603&gt;=61,D603&lt;=63)),'Paths'!$V$13,1))</x:f>
        <x:v>1</x:v>
      </x:c>
      <x:c r="I603" s="46" t="n">
        <x:f>'Paths'!$W$13</x:f>
        <x:v>0.82</x:v>
      </x:c>
      <x:c r="J603" s="47" t="n">
        <x:f>IF(D603&lt;E603,0,MIN(F603*G603*H603*I603,IF('Paths'!$T$13&gt;0,MAX(0,'Paths'!$T$13-K602),1000000000)))</x:f>
        <x:v>32800</x:v>
      </x:c>
      <x:c r="K603" s="47" t="n">
        <x:f>K602+J603</x:f>
        <x:v>1130780</x:v>
      </x:c>
      <x:c r="L603" s="46" t="n">
        <x:f>IF(C603="P0",1,IF(D603&lt;=3,0.8,IF(D603&lt;=14,0.65,IF(D603&lt;=45,0.5,0.3))))</x:f>
        <x:v>0.3</x:v>
      </x:c>
      <x:c r="M603" s="47" t="n">
        <x:f>J603*L603</x:f>
        <x:v>9840</x:v>
      </x:c>
      <x:c r="N603" s="47" t="n">
        <x:f>N602+M603</x:f>
        <x:v>553213</x:v>
      </x:c>
      <x:c r="O603" s="46" t="n">
        <x:f>IF(C603="P0",0,IF(D603&lt;=3,0.15,IF(D603&lt;=14,0.25,IF(D603&lt;=45,0.35,0.5))))</x:f>
        <x:v>0.5</x:v>
      </x:c>
      <x:c r="P603" s="47" t="n">
        <x:f>J603*O603</x:f>
        <x:v>16400</x:v>
      </x:c>
      <x:c r="Q603" s="46" t="n">
        <x:f>IF(C603="P0",0,IF(D603&lt;=3,0.05,IF(D603&lt;=14,0.1,IF(D603&lt;=45,0.15,0.2))))</x:f>
        <x:v>0.2</x:v>
      </x:c>
      <x:c r="R603" s="47" t="n">
        <x:f>J603*Q603</x:f>
        <x:v>6560</x:v>
      </x:c>
      <x:c r="S603" s="20" t="str">
        <x:f>IF(D603&lt;E603,"closed",IF(D603&lt;'Paths'!$N$13,"initial","expanded"))</x:f>
        <x:v>expanded</x:v>
      </x:c>
      <x:c r="T603" s="72"/>
    </x:row>
    <x:row r="604">
      <x:c r="C604" s="20" t="str">
        <x:v>P6</x:v>
      </x:c>
      <x:c r="D604" s="20" t="n">
        <x:v>51</x:v>
      </x:c>
      <x:c r="E604" s="45" t="n">
        <x:f>IF('Controls'!$D$7="Reference",'Paths'!$J$13,'Paths'!$K$13)</x:f>
        <x:v>8</x:v>
      </x:c>
      <x:c r="F604" s="47" t="n">
        <x:f>IF(D604&lt;'Paths'!$N$13,IF('Controls'!$D$7="Reference",'Paths'!$L$13,'Paths'!$M$13),IF('Controls'!$D$7="Reference",'Paths'!$O$13,'Paths'!$P$13))</x:f>
        <x:v>40000</x:v>
      </x:c>
      <x:c r="G604" s="46" t="n">
        <x:f>IF('Controls'!$D$7="Reference",1,IF(OR(D604=6,D604=7,D604=21,D604=46),'Paths'!$U$13,1))</x:f>
        <x:v>1</x:v>
      </x:c>
      <x:c r="H604" s="46" t="n">
        <x:f>IF('Controls'!$D$7="Reference",1,IF(OR(AND(D604&gt;=14,D604&lt;=16),AND(D604&gt;=34,D604&lt;=35),AND(D604&gt;=61,D604&lt;=63)),'Paths'!$V$13,1))</x:f>
        <x:v>1</x:v>
      </x:c>
      <x:c r="I604" s="46" t="n">
        <x:f>'Paths'!$W$13</x:f>
        <x:v>0.82</x:v>
      </x:c>
      <x:c r="J604" s="47" t="n">
        <x:f>IF(D604&lt;E604,0,MIN(F604*G604*H604*I604,IF('Paths'!$T$13&gt;0,MAX(0,'Paths'!$T$13-K603),1000000000)))</x:f>
        <x:v>32800</x:v>
      </x:c>
      <x:c r="K604" s="47" t="n">
        <x:f>K603+J604</x:f>
        <x:v>1163580</x:v>
      </x:c>
      <x:c r="L604" s="46" t="n">
        <x:f>IF(C604="P0",1,IF(D604&lt;=3,0.8,IF(D604&lt;=14,0.65,IF(D604&lt;=45,0.5,0.3))))</x:f>
        <x:v>0.3</x:v>
      </x:c>
      <x:c r="M604" s="47" t="n">
        <x:f>J604*L604</x:f>
        <x:v>9840</x:v>
      </x:c>
      <x:c r="N604" s="47" t="n">
        <x:f>N603+M604</x:f>
        <x:v>563053</x:v>
      </x:c>
      <x:c r="O604" s="46" t="n">
        <x:f>IF(C604="P0",0,IF(D604&lt;=3,0.15,IF(D604&lt;=14,0.25,IF(D604&lt;=45,0.35,0.5))))</x:f>
        <x:v>0.5</x:v>
      </x:c>
      <x:c r="P604" s="47" t="n">
        <x:f>J604*O604</x:f>
        <x:v>16400</x:v>
      </x:c>
      <x:c r="Q604" s="46" t="n">
        <x:f>IF(C604="P0",0,IF(D604&lt;=3,0.05,IF(D604&lt;=14,0.1,IF(D604&lt;=45,0.15,0.2))))</x:f>
        <x:v>0.2</x:v>
      </x:c>
      <x:c r="R604" s="47" t="n">
        <x:f>J604*Q604</x:f>
        <x:v>6560</x:v>
      </x:c>
      <x:c r="S604" s="20" t="str">
        <x:f>IF(D604&lt;E604,"closed",IF(D604&lt;'Paths'!$N$13,"initial","expanded"))</x:f>
        <x:v>expanded</x:v>
      </x:c>
      <x:c r="T604" s="72"/>
    </x:row>
    <x:row r="605">
      <x:c r="C605" s="20" t="str">
        <x:v>P6</x:v>
      </x:c>
      <x:c r="D605" s="20" t="n">
        <x:v>52</x:v>
      </x:c>
      <x:c r="E605" s="45" t="n">
        <x:f>IF('Controls'!$D$7="Reference",'Paths'!$J$13,'Paths'!$K$13)</x:f>
        <x:v>8</x:v>
      </x:c>
      <x:c r="F605" s="47" t="n">
        <x:f>IF(D605&lt;'Paths'!$N$13,IF('Controls'!$D$7="Reference",'Paths'!$L$13,'Paths'!$M$13),IF('Controls'!$D$7="Reference",'Paths'!$O$13,'Paths'!$P$13))</x:f>
        <x:v>40000</x:v>
      </x:c>
      <x:c r="G605" s="46" t="n">
        <x:f>IF('Controls'!$D$7="Reference",1,IF(OR(D605=6,D605=7,D605=21,D605=46),'Paths'!$U$13,1))</x:f>
        <x:v>1</x:v>
      </x:c>
      <x:c r="H605" s="46" t="n">
        <x:f>IF('Controls'!$D$7="Reference",1,IF(OR(AND(D605&gt;=14,D605&lt;=16),AND(D605&gt;=34,D605&lt;=35),AND(D605&gt;=61,D605&lt;=63)),'Paths'!$V$13,1))</x:f>
        <x:v>1</x:v>
      </x:c>
      <x:c r="I605" s="46" t="n">
        <x:f>'Paths'!$W$13</x:f>
        <x:v>0.82</x:v>
      </x:c>
      <x:c r="J605" s="47" t="n">
        <x:f>IF(D605&lt;E605,0,MIN(F605*G605*H605*I605,IF('Paths'!$T$13&gt;0,MAX(0,'Paths'!$T$13-K604),1000000000)))</x:f>
        <x:v>32800</x:v>
      </x:c>
      <x:c r="K605" s="47" t="n">
        <x:f>K604+J605</x:f>
        <x:v>1196380</x:v>
      </x:c>
      <x:c r="L605" s="46" t="n">
        <x:f>IF(C605="P0",1,IF(D605&lt;=3,0.8,IF(D605&lt;=14,0.65,IF(D605&lt;=45,0.5,0.3))))</x:f>
        <x:v>0.3</x:v>
      </x:c>
      <x:c r="M605" s="47" t="n">
        <x:f>J605*L605</x:f>
        <x:v>9840</x:v>
      </x:c>
      <x:c r="N605" s="47" t="n">
        <x:f>N604+M605</x:f>
        <x:v>572893</x:v>
      </x:c>
      <x:c r="O605" s="46" t="n">
        <x:f>IF(C605="P0",0,IF(D605&lt;=3,0.15,IF(D605&lt;=14,0.25,IF(D605&lt;=45,0.35,0.5))))</x:f>
        <x:v>0.5</x:v>
      </x:c>
      <x:c r="P605" s="47" t="n">
        <x:f>J605*O605</x:f>
        <x:v>16400</x:v>
      </x:c>
      <x:c r="Q605" s="46" t="n">
        <x:f>IF(C605="P0",0,IF(D605&lt;=3,0.05,IF(D605&lt;=14,0.1,IF(D605&lt;=45,0.15,0.2))))</x:f>
        <x:v>0.2</x:v>
      </x:c>
      <x:c r="R605" s="47" t="n">
        <x:f>J605*Q605</x:f>
        <x:v>6560</x:v>
      </x:c>
      <x:c r="S605" s="20" t="str">
        <x:f>IF(D605&lt;E605,"closed",IF(D605&lt;'Paths'!$N$13,"initial","expanded"))</x:f>
        <x:v>expanded</x:v>
      </x:c>
      <x:c r="T605" s="72"/>
    </x:row>
    <x:row r="606">
      <x:c r="C606" s="20" t="str">
        <x:v>P6</x:v>
      </x:c>
      <x:c r="D606" s="20" t="n">
        <x:v>53</x:v>
      </x:c>
      <x:c r="E606" s="45" t="n">
        <x:f>IF('Controls'!$D$7="Reference",'Paths'!$J$13,'Paths'!$K$13)</x:f>
        <x:v>8</x:v>
      </x:c>
      <x:c r="F606" s="47" t="n">
        <x:f>IF(D606&lt;'Paths'!$N$13,IF('Controls'!$D$7="Reference",'Paths'!$L$13,'Paths'!$M$13),IF('Controls'!$D$7="Reference",'Paths'!$O$13,'Paths'!$P$13))</x:f>
        <x:v>40000</x:v>
      </x:c>
      <x:c r="G606" s="46" t="n">
        <x:f>IF('Controls'!$D$7="Reference",1,IF(OR(D606=6,D606=7,D606=21,D606=46),'Paths'!$U$13,1))</x:f>
        <x:v>1</x:v>
      </x:c>
      <x:c r="H606" s="46" t="n">
        <x:f>IF('Controls'!$D$7="Reference",1,IF(OR(AND(D606&gt;=14,D606&lt;=16),AND(D606&gt;=34,D606&lt;=35),AND(D606&gt;=61,D606&lt;=63)),'Paths'!$V$13,1))</x:f>
        <x:v>1</x:v>
      </x:c>
      <x:c r="I606" s="46" t="n">
        <x:f>'Paths'!$W$13</x:f>
        <x:v>0.82</x:v>
      </x:c>
      <x:c r="J606" s="47" t="n">
        <x:f>IF(D606&lt;E606,0,MIN(F606*G606*H606*I606,IF('Paths'!$T$13&gt;0,MAX(0,'Paths'!$T$13-K605),1000000000)))</x:f>
        <x:v>32800</x:v>
      </x:c>
      <x:c r="K606" s="47" t="n">
        <x:f>K605+J606</x:f>
        <x:v>1229180</x:v>
      </x:c>
      <x:c r="L606" s="46" t="n">
        <x:f>IF(C606="P0",1,IF(D606&lt;=3,0.8,IF(D606&lt;=14,0.65,IF(D606&lt;=45,0.5,0.3))))</x:f>
        <x:v>0.3</x:v>
      </x:c>
      <x:c r="M606" s="47" t="n">
        <x:f>J606*L606</x:f>
        <x:v>9840</x:v>
      </x:c>
      <x:c r="N606" s="47" t="n">
        <x:f>N605+M606</x:f>
        <x:v>582733</x:v>
      </x:c>
      <x:c r="O606" s="46" t="n">
        <x:f>IF(C606="P0",0,IF(D606&lt;=3,0.15,IF(D606&lt;=14,0.25,IF(D606&lt;=45,0.35,0.5))))</x:f>
        <x:v>0.5</x:v>
      </x:c>
      <x:c r="P606" s="47" t="n">
        <x:f>J606*O606</x:f>
        <x:v>16400</x:v>
      </x:c>
      <x:c r="Q606" s="46" t="n">
        <x:f>IF(C606="P0",0,IF(D606&lt;=3,0.05,IF(D606&lt;=14,0.1,IF(D606&lt;=45,0.15,0.2))))</x:f>
        <x:v>0.2</x:v>
      </x:c>
      <x:c r="R606" s="47" t="n">
        <x:f>J606*Q606</x:f>
        <x:v>6560</x:v>
      </x:c>
      <x:c r="S606" s="20" t="str">
        <x:f>IF(D606&lt;E606,"closed",IF(D606&lt;'Paths'!$N$13,"initial","expanded"))</x:f>
        <x:v>expanded</x:v>
      </x:c>
      <x:c r="T606" s="72"/>
    </x:row>
    <x:row r="607">
      <x:c r="C607" s="20" t="str">
        <x:v>P6</x:v>
      </x:c>
      <x:c r="D607" s="20" t="n">
        <x:v>54</x:v>
      </x:c>
      <x:c r="E607" s="45" t="n">
        <x:f>IF('Controls'!$D$7="Reference",'Paths'!$J$13,'Paths'!$K$13)</x:f>
        <x:v>8</x:v>
      </x:c>
      <x:c r="F607" s="47" t="n">
        <x:f>IF(D607&lt;'Paths'!$N$13,IF('Controls'!$D$7="Reference",'Paths'!$L$13,'Paths'!$M$13),IF('Controls'!$D$7="Reference",'Paths'!$O$13,'Paths'!$P$13))</x:f>
        <x:v>40000</x:v>
      </x:c>
      <x:c r="G607" s="46" t="n">
        <x:f>IF('Controls'!$D$7="Reference",1,IF(OR(D607=6,D607=7,D607=21,D607=46),'Paths'!$U$13,1))</x:f>
        <x:v>1</x:v>
      </x:c>
      <x:c r="H607" s="46" t="n">
        <x:f>IF('Controls'!$D$7="Reference",1,IF(OR(AND(D607&gt;=14,D607&lt;=16),AND(D607&gt;=34,D607&lt;=35),AND(D607&gt;=61,D607&lt;=63)),'Paths'!$V$13,1))</x:f>
        <x:v>1</x:v>
      </x:c>
      <x:c r="I607" s="46" t="n">
        <x:f>'Paths'!$W$13</x:f>
        <x:v>0.82</x:v>
      </x:c>
      <x:c r="J607" s="47" t="n">
        <x:f>IF(D607&lt;E607,0,MIN(F607*G607*H607*I607,IF('Paths'!$T$13&gt;0,MAX(0,'Paths'!$T$13-K606),1000000000)))</x:f>
        <x:v>32800</x:v>
      </x:c>
      <x:c r="K607" s="47" t="n">
        <x:f>K606+J607</x:f>
        <x:v>1261980</x:v>
      </x:c>
      <x:c r="L607" s="46" t="n">
        <x:f>IF(C607="P0",1,IF(D607&lt;=3,0.8,IF(D607&lt;=14,0.65,IF(D607&lt;=45,0.5,0.3))))</x:f>
        <x:v>0.3</x:v>
      </x:c>
      <x:c r="M607" s="47" t="n">
        <x:f>J607*L607</x:f>
        <x:v>9840</x:v>
      </x:c>
      <x:c r="N607" s="47" t="n">
        <x:f>N606+M607</x:f>
        <x:v>592573</x:v>
      </x:c>
      <x:c r="O607" s="46" t="n">
        <x:f>IF(C607="P0",0,IF(D607&lt;=3,0.15,IF(D607&lt;=14,0.25,IF(D607&lt;=45,0.35,0.5))))</x:f>
        <x:v>0.5</x:v>
      </x:c>
      <x:c r="P607" s="47" t="n">
        <x:f>J607*O607</x:f>
        <x:v>16400</x:v>
      </x:c>
      <x:c r="Q607" s="46" t="n">
        <x:f>IF(C607="P0",0,IF(D607&lt;=3,0.05,IF(D607&lt;=14,0.1,IF(D607&lt;=45,0.15,0.2))))</x:f>
        <x:v>0.2</x:v>
      </x:c>
      <x:c r="R607" s="47" t="n">
        <x:f>J607*Q607</x:f>
        <x:v>6560</x:v>
      </x:c>
      <x:c r="S607" s="20" t="str">
        <x:f>IF(D607&lt;E607,"closed",IF(D607&lt;'Paths'!$N$13,"initial","expanded"))</x:f>
        <x:v>expanded</x:v>
      </x:c>
      <x:c r="T607" s="72"/>
    </x:row>
    <x:row r="608">
      <x:c r="C608" s="20" t="str">
        <x:v>P6</x:v>
      </x:c>
      <x:c r="D608" s="20" t="n">
        <x:v>55</x:v>
      </x:c>
      <x:c r="E608" s="45" t="n">
        <x:f>IF('Controls'!$D$7="Reference",'Paths'!$J$13,'Paths'!$K$13)</x:f>
        <x:v>8</x:v>
      </x:c>
      <x:c r="F608" s="47" t="n">
        <x:f>IF(D608&lt;'Paths'!$N$13,IF('Controls'!$D$7="Reference",'Paths'!$L$13,'Paths'!$M$13),IF('Controls'!$D$7="Reference",'Paths'!$O$13,'Paths'!$P$13))</x:f>
        <x:v>40000</x:v>
      </x:c>
      <x:c r="G608" s="46" t="n">
        <x:f>IF('Controls'!$D$7="Reference",1,IF(OR(D608=6,D608=7,D608=21,D608=46),'Paths'!$U$13,1))</x:f>
        <x:v>1</x:v>
      </x:c>
      <x:c r="H608" s="46" t="n">
        <x:f>IF('Controls'!$D$7="Reference",1,IF(OR(AND(D608&gt;=14,D608&lt;=16),AND(D608&gt;=34,D608&lt;=35),AND(D608&gt;=61,D608&lt;=63)),'Paths'!$V$13,1))</x:f>
        <x:v>1</x:v>
      </x:c>
      <x:c r="I608" s="46" t="n">
        <x:f>'Paths'!$W$13</x:f>
        <x:v>0.82</x:v>
      </x:c>
      <x:c r="J608" s="47" t="n">
        <x:f>IF(D608&lt;E608,0,MIN(F608*G608*H608*I608,IF('Paths'!$T$13&gt;0,MAX(0,'Paths'!$T$13-K607),1000000000)))</x:f>
        <x:v>32800</x:v>
      </x:c>
      <x:c r="K608" s="47" t="n">
        <x:f>K607+J608</x:f>
        <x:v>1294780</x:v>
      </x:c>
      <x:c r="L608" s="46" t="n">
        <x:f>IF(C608="P0",1,IF(D608&lt;=3,0.8,IF(D608&lt;=14,0.65,IF(D608&lt;=45,0.5,0.3))))</x:f>
        <x:v>0.3</x:v>
      </x:c>
      <x:c r="M608" s="47" t="n">
        <x:f>J608*L608</x:f>
        <x:v>9840</x:v>
      </x:c>
      <x:c r="N608" s="47" t="n">
        <x:f>N607+M608</x:f>
        <x:v>602413</x:v>
      </x:c>
      <x:c r="O608" s="46" t="n">
        <x:f>IF(C608="P0",0,IF(D608&lt;=3,0.15,IF(D608&lt;=14,0.25,IF(D608&lt;=45,0.35,0.5))))</x:f>
        <x:v>0.5</x:v>
      </x:c>
      <x:c r="P608" s="47" t="n">
        <x:f>J608*O608</x:f>
        <x:v>16400</x:v>
      </x:c>
      <x:c r="Q608" s="46" t="n">
        <x:f>IF(C608="P0",0,IF(D608&lt;=3,0.05,IF(D608&lt;=14,0.1,IF(D608&lt;=45,0.15,0.2))))</x:f>
        <x:v>0.2</x:v>
      </x:c>
      <x:c r="R608" s="47" t="n">
        <x:f>J608*Q608</x:f>
        <x:v>6560</x:v>
      </x:c>
      <x:c r="S608" s="20" t="str">
        <x:f>IF(D608&lt;E608,"closed",IF(D608&lt;'Paths'!$N$13,"initial","expanded"))</x:f>
        <x:v>expanded</x:v>
      </x:c>
      <x:c r="T608" s="72"/>
    </x:row>
    <x:row r="609">
      <x:c r="C609" s="20" t="str">
        <x:v>P6</x:v>
      </x:c>
      <x:c r="D609" s="20" t="n">
        <x:v>56</x:v>
      </x:c>
      <x:c r="E609" s="45" t="n">
        <x:f>IF('Controls'!$D$7="Reference",'Paths'!$J$13,'Paths'!$K$13)</x:f>
        <x:v>8</x:v>
      </x:c>
      <x:c r="F609" s="47" t="n">
        <x:f>IF(D609&lt;'Paths'!$N$13,IF('Controls'!$D$7="Reference",'Paths'!$L$13,'Paths'!$M$13),IF('Controls'!$D$7="Reference",'Paths'!$O$13,'Paths'!$P$13))</x:f>
        <x:v>40000</x:v>
      </x:c>
      <x:c r="G609" s="46" t="n">
        <x:f>IF('Controls'!$D$7="Reference",1,IF(OR(D609=6,D609=7,D609=21,D609=46),'Paths'!$U$13,1))</x:f>
        <x:v>1</x:v>
      </x:c>
      <x:c r="H609" s="46" t="n">
        <x:f>IF('Controls'!$D$7="Reference",1,IF(OR(AND(D609&gt;=14,D609&lt;=16),AND(D609&gt;=34,D609&lt;=35),AND(D609&gt;=61,D609&lt;=63)),'Paths'!$V$13,1))</x:f>
        <x:v>1</x:v>
      </x:c>
      <x:c r="I609" s="46" t="n">
        <x:f>'Paths'!$W$13</x:f>
        <x:v>0.82</x:v>
      </x:c>
      <x:c r="J609" s="47" t="n">
        <x:f>IF(D609&lt;E609,0,MIN(F609*G609*H609*I609,IF('Paths'!$T$13&gt;0,MAX(0,'Paths'!$T$13-K608),1000000000)))</x:f>
        <x:v>32800</x:v>
      </x:c>
      <x:c r="K609" s="47" t="n">
        <x:f>K608+J609</x:f>
        <x:v>1327580</x:v>
      </x:c>
      <x:c r="L609" s="46" t="n">
        <x:f>IF(C609="P0",1,IF(D609&lt;=3,0.8,IF(D609&lt;=14,0.65,IF(D609&lt;=45,0.5,0.3))))</x:f>
        <x:v>0.3</x:v>
      </x:c>
      <x:c r="M609" s="47" t="n">
        <x:f>J609*L609</x:f>
        <x:v>9840</x:v>
      </x:c>
      <x:c r="N609" s="47" t="n">
        <x:f>N608+M609</x:f>
        <x:v>612253</x:v>
      </x:c>
      <x:c r="O609" s="46" t="n">
        <x:f>IF(C609="P0",0,IF(D609&lt;=3,0.15,IF(D609&lt;=14,0.25,IF(D609&lt;=45,0.35,0.5))))</x:f>
        <x:v>0.5</x:v>
      </x:c>
      <x:c r="P609" s="47" t="n">
        <x:f>J609*O609</x:f>
        <x:v>16400</x:v>
      </x:c>
      <x:c r="Q609" s="46" t="n">
        <x:f>IF(C609="P0",0,IF(D609&lt;=3,0.05,IF(D609&lt;=14,0.1,IF(D609&lt;=45,0.15,0.2))))</x:f>
        <x:v>0.2</x:v>
      </x:c>
      <x:c r="R609" s="47" t="n">
        <x:f>J609*Q609</x:f>
        <x:v>6560</x:v>
      </x:c>
      <x:c r="S609" s="20" t="str">
        <x:f>IF(D609&lt;E609,"closed",IF(D609&lt;'Paths'!$N$13,"initial","expanded"))</x:f>
        <x:v>expanded</x:v>
      </x:c>
      <x:c r="T609" s="72"/>
    </x:row>
    <x:row r="610">
      <x:c r="C610" s="20" t="str">
        <x:v>P6</x:v>
      </x:c>
      <x:c r="D610" s="20" t="n">
        <x:v>57</x:v>
      </x:c>
      <x:c r="E610" s="45" t="n">
        <x:f>IF('Controls'!$D$7="Reference",'Paths'!$J$13,'Paths'!$K$13)</x:f>
        <x:v>8</x:v>
      </x:c>
      <x:c r="F610" s="47" t="n">
        <x:f>IF(D610&lt;'Paths'!$N$13,IF('Controls'!$D$7="Reference",'Paths'!$L$13,'Paths'!$M$13),IF('Controls'!$D$7="Reference",'Paths'!$O$13,'Paths'!$P$13))</x:f>
        <x:v>40000</x:v>
      </x:c>
      <x:c r="G610" s="46" t="n">
        <x:f>IF('Controls'!$D$7="Reference",1,IF(OR(D610=6,D610=7,D610=21,D610=46),'Paths'!$U$13,1))</x:f>
        <x:v>1</x:v>
      </x:c>
      <x:c r="H610" s="46" t="n">
        <x:f>IF('Controls'!$D$7="Reference",1,IF(OR(AND(D610&gt;=14,D610&lt;=16),AND(D610&gt;=34,D610&lt;=35),AND(D610&gt;=61,D610&lt;=63)),'Paths'!$V$13,1))</x:f>
        <x:v>1</x:v>
      </x:c>
      <x:c r="I610" s="46" t="n">
        <x:f>'Paths'!$W$13</x:f>
        <x:v>0.82</x:v>
      </x:c>
      <x:c r="J610" s="47" t="n">
        <x:f>IF(D610&lt;E610,0,MIN(F610*G610*H610*I610,IF('Paths'!$T$13&gt;0,MAX(0,'Paths'!$T$13-K609),1000000000)))</x:f>
        <x:v>32800</x:v>
      </x:c>
      <x:c r="K610" s="47" t="n">
        <x:f>K609+J610</x:f>
        <x:v>1360380</x:v>
      </x:c>
      <x:c r="L610" s="46" t="n">
        <x:f>IF(C610="P0",1,IF(D610&lt;=3,0.8,IF(D610&lt;=14,0.65,IF(D610&lt;=45,0.5,0.3))))</x:f>
        <x:v>0.3</x:v>
      </x:c>
      <x:c r="M610" s="47" t="n">
        <x:f>J610*L610</x:f>
        <x:v>9840</x:v>
      </x:c>
      <x:c r="N610" s="47" t="n">
        <x:f>N609+M610</x:f>
        <x:v>622093</x:v>
      </x:c>
      <x:c r="O610" s="46" t="n">
        <x:f>IF(C610="P0",0,IF(D610&lt;=3,0.15,IF(D610&lt;=14,0.25,IF(D610&lt;=45,0.35,0.5))))</x:f>
        <x:v>0.5</x:v>
      </x:c>
      <x:c r="P610" s="47" t="n">
        <x:f>J610*O610</x:f>
        <x:v>16400</x:v>
      </x:c>
      <x:c r="Q610" s="46" t="n">
        <x:f>IF(C610="P0",0,IF(D610&lt;=3,0.05,IF(D610&lt;=14,0.1,IF(D610&lt;=45,0.15,0.2))))</x:f>
        <x:v>0.2</x:v>
      </x:c>
      <x:c r="R610" s="47" t="n">
        <x:f>J610*Q610</x:f>
        <x:v>6560</x:v>
      </x:c>
      <x:c r="S610" s="20" t="str">
        <x:f>IF(D610&lt;E610,"closed",IF(D610&lt;'Paths'!$N$13,"initial","expanded"))</x:f>
        <x:v>expanded</x:v>
      </x:c>
      <x:c r="T610" s="72"/>
    </x:row>
    <x:row r="611">
      <x:c r="C611" s="20" t="str">
        <x:v>P6</x:v>
      </x:c>
      <x:c r="D611" s="20" t="n">
        <x:v>58</x:v>
      </x:c>
      <x:c r="E611" s="45" t="n">
        <x:f>IF('Controls'!$D$7="Reference",'Paths'!$J$13,'Paths'!$K$13)</x:f>
        <x:v>8</x:v>
      </x:c>
      <x:c r="F611" s="47" t="n">
        <x:f>IF(D611&lt;'Paths'!$N$13,IF('Controls'!$D$7="Reference",'Paths'!$L$13,'Paths'!$M$13),IF('Controls'!$D$7="Reference",'Paths'!$O$13,'Paths'!$P$13))</x:f>
        <x:v>40000</x:v>
      </x:c>
      <x:c r="G611" s="46" t="n">
        <x:f>IF('Controls'!$D$7="Reference",1,IF(OR(D611=6,D611=7,D611=21,D611=46),'Paths'!$U$13,1))</x:f>
        <x:v>1</x:v>
      </x:c>
      <x:c r="H611" s="46" t="n">
        <x:f>IF('Controls'!$D$7="Reference",1,IF(OR(AND(D611&gt;=14,D611&lt;=16),AND(D611&gt;=34,D611&lt;=35),AND(D611&gt;=61,D611&lt;=63)),'Paths'!$V$13,1))</x:f>
        <x:v>1</x:v>
      </x:c>
      <x:c r="I611" s="46" t="n">
        <x:f>'Paths'!$W$13</x:f>
        <x:v>0.82</x:v>
      </x:c>
      <x:c r="J611" s="47" t="n">
        <x:f>IF(D611&lt;E611,0,MIN(F611*G611*H611*I611,IF('Paths'!$T$13&gt;0,MAX(0,'Paths'!$T$13-K610),1000000000)))</x:f>
        <x:v>32800</x:v>
      </x:c>
      <x:c r="K611" s="47" t="n">
        <x:f>K610+J611</x:f>
        <x:v>1393180</x:v>
      </x:c>
      <x:c r="L611" s="46" t="n">
        <x:f>IF(C611="P0",1,IF(D611&lt;=3,0.8,IF(D611&lt;=14,0.65,IF(D611&lt;=45,0.5,0.3))))</x:f>
        <x:v>0.3</x:v>
      </x:c>
      <x:c r="M611" s="47" t="n">
        <x:f>J611*L611</x:f>
        <x:v>9840</x:v>
      </x:c>
      <x:c r="N611" s="47" t="n">
        <x:f>N610+M611</x:f>
        <x:v>631933</x:v>
      </x:c>
      <x:c r="O611" s="46" t="n">
        <x:f>IF(C611="P0",0,IF(D611&lt;=3,0.15,IF(D611&lt;=14,0.25,IF(D611&lt;=45,0.35,0.5))))</x:f>
        <x:v>0.5</x:v>
      </x:c>
      <x:c r="P611" s="47" t="n">
        <x:f>J611*O611</x:f>
        <x:v>16400</x:v>
      </x:c>
      <x:c r="Q611" s="46" t="n">
        <x:f>IF(C611="P0",0,IF(D611&lt;=3,0.05,IF(D611&lt;=14,0.1,IF(D611&lt;=45,0.15,0.2))))</x:f>
        <x:v>0.2</x:v>
      </x:c>
      <x:c r="R611" s="47" t="n">
        <x:f>J611*Q611</x:f>
        <x:v>6560</x:v>
      </x:c>
      <x:c r="S611" s="20" t="str">
        <x:f>IF(D611&lt;E611,"closed",IF(D611&lt;'Paths'!$N$13,"initial","expanded"))</x:f>
        <x:v>expanded</x:v>
      </x:c>
      <x:c r="T611" s="72"/>
    </x:row>
    <x:row r="612">
      <x:c r="C612" s="20" t="str">
        <x:v>P6</x:v>
      </x:c>
      <x:c r="D612" s="20" t="n">
        <x:v>59</x:v>
      </x:c>
      <x:c r="E612" s="45" t="n">
        <x:f>IF('Controls'!$D$7="Reference",'Paths'!$J$13,'Paths'!$K$13)</x:f>
        <x:v>8</x:v>
      </x:c>
      <x:c r="F612" s="47" t="n">
        <x:f>IF(D612&lt;'Paths'!$N$13,IF('Controls'!$D$7="Reference",'Paths'!$L$13,'Paths'!$M$13),IF('Controls'!$D$7="Reference",'Paths'!$O$13,'Paths'!$P$13))</x:f>
        <x:v>40000</x:v>
      </x:c>
      <x:c r="G612" s="46" t="n">
        <x:f>IF('Controls'!$D$7="Reference",1,IF(OR(D612=6,D612=7,D612=21,D612=46),'Paths'!$U$13,1))</x:f>
        <x:v>1</x:v>
      </x:c>
      <x:c r="H612" s="46" t="n">
        <x:f>IF('Controls'!$D$7="Reference",1,IF(OR(AND(D612&gt;=14,D612&lt;=16),AND(D612&gt;=34,D612&lt;=35),AND(D612&gt;=61,D612&lt;=63)),'Paths'!$V$13,1))</x:f>
        <x:v>1</x:v>
      </x:c>
      <x:c r="I612" s="46" t="n">
        <x:f>'Paths'!$W$13</x:f>
        <x:v>0.82</x:v>
      </x:c>
      <x:c r="J612" s="47" t="n">
        <x:f>IF(D612&lt;E612,0,MIN(F612*G612*H612*I612,IF('Paths'!$T$13&gt;0,MAX(0,'Paths'!$T$13-K611),1000000000)))</x:f>
        <x:v>32800</x:v>
      </x:c>
      <x:c r="K612" s="47" t="n">
        <x:f>K611+J612</x:f>
        <x:v>1425980</x:v>
      </x:c>
      <x:c r="L612" s="46" t="n">
        <x:f>IF(C612="P0",1,IF(D612&lt;=3,0.8,IF(D612&lt;=14,0.65,IF(D612&lt;=45,0.5,0.3))))</x:f>
        <x:v>0.3</x:v>
      </x:c>
      <x:c r="M612" s="47" t="n">
        <x:f>J612*L612</x:f>
        <x:v>9840</x:v>
      </x:c>
      <x:c r="N612" s="47" t="n">
        <x:f>N611+M612</x:f>
        <x:v>641773</x:v>
      </x:c>
      <x:c r="O612" s="46" t="n">
        <x:f>IF(C612="P0",0,IF(D612&lt;=3,0.15,IF(D612&lt;=14,0.25,IF(D612&lt;=45,0.35,0.5))))</x:f>
        <x:v>0.5</x:v>
      </x:c>
      <x:c r="P612" s="47" t="n">
        <x:f>J612*O612</x:f>
        <x:v>16400</x:v>
      </x:c>
      <x:c r="Q612" s="46" t="n">
        <x:f>IF(C612="P0",0,IF(D612&lt;=3,0.05,IF(D612&lt;=14,0.1,IF(D612&lt;=45,0.15,0.2))))</x:f>
        <x:v>0.2</x:v>
      </x:c>
      <x:c r="R612" s="47" t="n">
        <x:f>J612*Q612</x:f>
        <x:v>6560</x:v>
      </x:c>
      <x:c r="S612" s="20" t="str">
        <x:f>IF(D612&lt;E612,"closed",IF(D612&lt;'Paths'!$N$13,"initial","expanded"))</x:f>
        <x:v>expanded</x:v>
      </x:c>
      <x:c r="T612" s="72"/>
    </x:row>
    <x:row r="613">
      <x:c r="C613" s="20" t="str">
        <x:v>P6</x:v>
      </x:c>
      <x:c r="D613" s="20" t="n">
        <x:v>60</x:v>
      </x:c>
      <x:c r="E613" s="45" t="n">
        <x:f>IF('Controls'!$D$7="Reference",'Paths'!$J$13,'Paths'!$K$13)</x:f>
        <x:v>8</x:v>
      </x:c>
      <x:c r="F613" s="47" t="n">
        <x:f>IF(D613&lt;'Paths'!$N$13,IF('Controls'!$D$7="Reference",'Paths'!$L$13,'Paths'!$M$13),IF('Controls'!$D$7="Reference",'Paths'!$O$13,'Paths'!$P$13))</x:f>
        <x:v>40000</x:v>
      </x:c>
      <x:c r="G613" s="46" t="n">
        <x:f>IF('Controls'!$D$7="Reference",1,IF(OR(D613=6,D613=7,D613=21,D613=46),'Paths'!$U$13,1))</x:f>
        <x:v>1</x:v>
      </x:c>
      <x:c r="H613" s="46" t="n">
        <x:f>IF('Controls'!$D$7="Reference",1,IF(OR(AND(D613&gt;=14,D613&lt;=16),AND(D613&gt;=34,D613&lt;=35),AND(D613&gt;=61,D613&lt;=63)),'Paths'!$V$13,1))</x:f>
        <x:v>1</x:v>
      </x:c>
      <x:c r="I613" s="46" t="n">
        <x:f>'Paths'!$W$13</x:f>
        <x:v>0.82</x:v>
      </x:c>
      <x:c r="J613" s="47" t="n">
        <x:f>IF(D613&lt;E613,0,MIN(F613*G613*H613*I613,IF('Paths'!$T$13&gt;0,MAX(0,'Paths'!$T$13-K612),1000000000)))</x:f>
        <x:v>32800</x:v>
      </x:c>
      <x:c r="K613" s="47" t="n">
        <x:f>K612+J613</x:f>
        <x:v>1458780</x:v>
      </x:c>
      <x:c r="L613" s="46" t="n">
        <x:f>IF(C613="P0",1,IF(D613&lt;=3,0.8,IF(D613&lt;=14,0.65,IF(D613&lt;=45,0.5,0.3))))</x:f>
        <x:v>0.3</x:v>
      </x:c>
      <x:c r="M613" s="47" t="n">
        <x:f>J613*L613</x:f>
        <x:v>9840</x:v>
      </x:c>
      <x:c r="N613" s="47" t="n">
        <x:f>N612+M613</x:f>
        <x:v>651613</x:v>
      </x:c>
      <x:c r="O613" s="46" t="n">
        <x:f>IF(C613="P0",0,IF(D613&lt;=3,0.15,IF(D613&lt;=14,0.25,IF(D613&lt;=45,0.35,0.5))))</x:f>
        <x:v>0.5</x:v>
      </x:c>
      <x:c r="P613" s="47" t="n">
        <x:f>J613*O613</x:f>
        <x:v>16400</x:v>
      </x:c>
      <x:c r="Q613" s="46" t="n">
        <x:f>IF(C613="P0",0,IF(D613&lt;=3,0.05,IF(D613&lt;=14,0.1,IF(D613&lt;=45,0.15,0.2))))</x:f>
        <x:v>0.2</x:v>
      </x:c>
      <x:c r="R613" s="47" t="n">
        <x:f>J613*Q613</x:f>
        <x:v>6560</x:v>
      </x:c>
      <x:c r="S613" s="20" t="str">
        <x:f>IF(D613&lt;E613,"closed",IF(D613&lt;'Paths'!$N$13,"initial","expanded"))</x:f>
        <x:v>expanded</x:v>
      </x:c>
      <x:c r="T613" s="72"/>
    </x:row>
    <x:row r="614">
      <x:c r="C614" s="20" t="str">
        <x:v>P6</x:v>
      </x:c>
      <x:c r="D614" s="20" t="n">
        <x:v>61</x:v>
      </x:c>
      <x:c r="E614" s="45" t="n">
        <x:f>IF('Controls'!$D$7="Reference",'Paths'!$J$13,'Paths'!$K$13)</x:f>
        <x:v>8</x:v>
      </x:c>
      <x:c r="F614" s="47" t="n">
        <x:f>IF(D614&lt;'Paths'!$N$13,IF('Controls'!$D$7="Reference",'Paths'!$L$13,'Paths'!$M$13),IF('Controls'!$D$7="Reference",'Paths'!$O$13,'Paths'!$P$13))</x:f>
        <x:v>40000</x:v>
      </x:c>
      <x:c r="G614" s="46" t="n">
        <x:f>IF('Controls'!$D$7="Reference",1,IF(OR(D614=6,D614=7,D614=21,D614=46),'Paths'!$U$13,1))</x:f>
        <x:v>1</x:v>
      </x:c>
      <x:c r="H614" s="46" t="n">
        <x:f>IF('Controls'!$D$7="Reference",1,IF(OR(AND(D614&gt;=14,D614&lt;=16),AND(D614&gt;=34,D614&lt;=35),AND(D614&gt;=61,D614&lt;=63)),'Paths'!$V$13,1))</x:f>
        <x:v>0.65</x:v>
      </x:c>
      <x:c r="I614" s="46" t="n">
        <x:f>'Paths'!$W$13</x:f>
        <x:v>0.82</x:v>
      </x:c>
      <x:c r="J614" s="47" t="n">
        <x:f>IF(D614&lt;E614,0,MIN(F614*G614*H614*I614,IF('Paths'!$T$13&gt;0,MAX(0,'Paths'!$T$13-K613),1000000000)))</x:f>
        <x:v>21320</x:v>
      </x:c>
      <x:c r="K614" s="47" t="n">
        <x:f>K613+J614</x:f>
        <x:v>1480100</x:v>
      </x:c>
      <x:c r="L614" s="46" t="n">
        <x:f>IF(C614="P0",1,IF(D614&lt;=3,0.8,IF(D614&lt;=14,0.65,IF(D614&lt;=45,0.5,0.3))))</x:f>
        <x:v>0.3</x:v>
      </x:c>
      <x:c r="M614" s="47" t="n">
        <x:f>J614*L614</x:f>
        <x:v>6396</x:v>
      </x:c>
      <x:c r="N614" s="47" t="n">
        <x:f>N613+M614</x:f>
        <x:v>658009</x:v>
      </x:c>
      <x:c r="O614" s="46" t="n">
        <x:f>IF(C614="P0",0,IF(D614&lt;=3,0.15,IF(D614&lt;=14,0.25,IF(D614&lt;=45,0.35,0.5))))</x:f>
        <x:v>0.5</x:v>
      </x:c>
      <x:c r="P614" s="47" t="n">
        <x:f>J614*O614</x:f>
        <x:v>10660</x:v>
      </x:c>
      <x:c r="Q614" s="46" t="n">
        <x:f>IF(C614="P0",0,IF(D614&lt;=3,0.05,IF(D614&lt;=14,0.1,IF(D614&lt;=45,0.15,0.2))))</x:f>
        <x:v>0.2</x:v>
      </x:c>
      <x:c r="R614" s="47" t="n">
        <x:f>J614*Q614</x:f>
        <x:v>4264</x:v>
      </x:c>
      <x:c r="S614" s="20" t="str">
        <x:f>IF(D614&lt;E614,"closed",IF(D614&lt;'Paths'!$N$13,"initial","expanded"))</x:f>
        <x:v>expanded</x:v>
      </x:c>
      <x:c r="T614" s="72"/>
    </x:row>
    <x:row r="615">
      <x:c r="C615" s="20" t="str">
        <x:v>P6</x:v>
      </x:c>
      <x:c r="D615" s="20" t="n">
        <x:v>62</x:v>
      </x:c>
      <x:c r="E615" s="45" t="n">
        <x:f>IF('Controls'!$D$7="Reference",'Paths'!$J$13,'Paths'!$K$13)</x:f>
        <x:v>8</x:v>
      </x:c>
      <x:c r="F615" s="47" t="n">
        <x:f>IF(D615&lt;'Paths'!$N$13,IF('Controls'!$D$7="Reference",'Paths'!$L$13,'Paths'!$M$13),IF('Controls'!$D$7="Reference",'Paths'!$O$13,'Paths'!$P$13))</x:f>
        <x:v>40000</x:v>
      </x:c>
      <x:c r="G615" s="46" t="n">
        <x:f>IF('Controls'!$D$7="Reference",1,IF(OR(D615=6,D615=7,D615=21,D615=46),'Paths'!$U$13,1))</x:f>
        <x:v>1</x:v>
      </x:c>
      <x:c r="H615" s="46" t="n">
        <x:f>IF('Controls'!$D$7="Reference",1,IF(OR(AND(D615&gt;=14,D615&lt;=16),AND(D615&gt;=34,D615&lt;=35),AND(D615&gt;=61,D615&lt;=63)),'Paths'!$V$13,1))</x:f>
        <x:v>0.65</x:v>
      </x:c>
      <x:c r="I615" s="46" t="n">
        <x:f>'Paths'!$W$13</x:f>
        <x:v>0.82</x:v>
      </x:c>
      <x:c r="J615" s="47" t="n">
        <x:f>IF(D615&lt;E615,0,MIN(F615*G615*H615*I615,IF('Paths'!$T$13&gt;0,MAX(0,'Paths'!$T$13-K614),1000000000)))</x:f>
        <x:v>21320</x:v>
      </x:c>
      <x:c r="K615" s="47" t="n">
        <x:f>K614+J615</x:f>
        <x:v>1501420</x:v>
      </x:c>
      <x:c r="L615" s="46" t="n">
        <x:f>IF(C615="P0",1,IF(D615&lt;=3,0.8,IF(D615&lt;=14,0.65,IF(D615&lt;=45,0.5,0.3))))</x:f>
        <x:v>0.3</x:v>
      </x:c>
      <x:c r="M615" s="47" t="n">
        <x:f>J615*L615</x:f>
        <x:v>6396</x:v>
      </x:c>
      <x:c r="N615" s="47" t="n">
        <x:f>N614+M615</x:f>
        <x:v>664405</x:v>
      </x:c>
      <x:c r="O615" s="46" t="n">
        <x:f>IF(C615="P0",0,IF(D615&lt;=3,0.15,IF(D615&lt;=14,0.25,IF(D615&lt;=45,0.35,0.5))))</x:f>
        <x:v>0.5</x:v>
      </x:c>
      <x:c r="P615" s="47" t="n">
        <x:f>J615*O615</x:f>
        <x:v>10660</x:v>
      </x:c>
      <x:c r="Q615" s="46" t="n">
        <x:f>IF(C615="P0",0,IF(D615&lt;=3,0.05,IF(D615&lt;=14,0.1,IF(D615&lt;=45,0.15,0.2))))</x:f>
        <x:v>0.2</x:v>
      </x:c>
      <x:c r="R615" s="47" t="n">
        <x:f>J615*Q615</x:f>
        <x:v>4264</x:v>
      </x:c>
      <x:c r="S615" s="20" t="str">
        <x:f>IF(D615&lt;E615,"closed",IF(D615&lt;'Paths'!$N$13,"initial","expanded"))</x:f>
        <x:v>expanded</x:v>
      </x:c>
      <x:c r="T615" s="72"/>
    </x:row>
    <x:row r="616">
      <x:c r="C616" s="20" t="str">
        <x:v>P6</x:v>
      </x:c>
      <x:c r="D616" s="20" t="n">
        <x:v>63</x:v>
      </x:c>
      <x:c r="E616" s="45" t="n">
        <x:f>IF('Controls'!$D$7="Reference",'Paths'!$J$13,'Paths'!$K$13)</x:f>
        <x:v>8</x:v>
      </x:c>
      <x:c r="F616" s="47" t="n">
        <x:f>IF(D616&lt;'Paths'!$N$13,IF('Controls'!$D$7="Reference",'Paths'!$L$13,'Paths'!$M$13),IF('Controls'!$D$7="Reference",'Paths'!$O$13,'Paths'!$P$13))</x:f>
        <x:v>40000</x:v>
      </x:c>
      <x:c r="G616" s="46" t="n">
        <x:f>IF('Controls'!$D$7="Reference",1,IF(OR(D616=6,D616=7,D616=21,D616=46),'Paths'!$U$13,1))</x:f>
        <x:v>1</x:v>
      </x:c>
      <x:c r="H616" s="46" t="n">
        <x:f>IF('Controls'!$D$7="Reference",1,IF(OR(AND(D616&gt;=14,D616&lt;=16),AND(D616&gt;=34,D616&lt;=35),AND(D616&gt;=61,D616&lt;=63)),'Paths'!$V$13,1))</x:f>
        <x:v>0.65</x:v>
      </x:c>
      <x:c r="I616" s="46" t="n">
        <x:f>'Paths'!$W$13</x:f>
        <x:v>0.82</x:v>
      </x:c>
      <x:c r="J616" s="47" t="n">
        <x:f>IF(D616&lt;E616,0,MIN(F616*G616*H616*I616,IF('Paths'!$T$13&gt;0,MAX(0,'Paths'!$T$13-K615),1000000000)))</x:f>
        <x:v>21320</x:v>
      </x:c>
      <x:c r="K616" s="47" t="n">
        <x:f>K615+J616</x:f>
        <x:v>1522740</x:v>
      </x:c>
      <x:c r="L616" s="46" t="n">
        <x:f>IF(C616="P0",1,IF(D616&lt;=3,0.8,IF(D616&lt;=14,0.65,IF(D616&lt;=45,0.5,0.3))))</x:f>
        <x:v>0.3</x:v>
      </x:c>
      <x:c r="M616" s="47" t="n">
        <x:f>J616*L616</x:f>
        <x:v>6396</x:v>
      </x:c>
      <x:c r="N616" s="47" t="n">
        <x:f>N615+M616</x:f>
        <x:v>670801</x:v>
      </x:c>
      <x:c r="O616" s="46" t="n">
        <x:f>IF(C616="P0",0,IF(D616&lt;=3,0.15,IF(D616&lt;=14,0.25,IF(D616&lt;=45,0.35,0.5))))</x:f>
        <x:v>0.5</x:v>
      </x:c>
      <x:c r="P616" s="47" t="n">
        <x:f>J616*O616</x:f>
        <x:v>10660</x:v>
      </x:c>
      <x:c r="Q616" s="46" t="n">
        <x:f>IF(C616="P0",0,IF(D616&lt;=3,0.05,IF(D616&lt;=14,0.1,IF(D616&lt;=45,0.15,0.2))))</x:f>
        <x:v>0.2</x:v>
      </x:c>
      <x:c r="R616" s="47" t="n">
        <x:f>J616*Q616</x:f>
        <x:v>4264</x:v>
      </x:c>
      <x:c r="S616" s="20" t="str">
        <x:f>IF(D616&lt;E616,"closed",IF(D616&lt;'Paths'!$N$13,"initial","expanded"))</x:f>
        <x:v>expanded</x:v>
      </x:c>
      <x:c r="T616" s="72"/>
    </x:row>
    <x:row r="617">
      <x:c r="C617" s="20" t="str">
        <x:v>P6</x:v>
      </x:c>
      <x:c r="D617" s="20" t="n">
        <x:v>64</x:v>
      </x:c>
      <x:c r="E617" s="45" t="n">
        <x:f>IF('Controls'!$D$7="Reference",'Paths'!$J$13,'Paths'!$K$13)</x:f>
        <x:v>8</x:v>
      </x:c>
      <x:c r="F617" s="47" t="n">
        <x:f>IF(D617&lt;'Paths'!$N$13,IF('Controls'!$D$7="Reference",'Paths'!$L$13,'Paths'!$M$13),IF('Controls'!$D$7="Reference",'Paths'!$O$13,'Paths'!$P$13))</x:f>
        <x:v>40000</x:v>
      </x:c>
      <x:c r="G617" s="46" t="n">
        <x:f>IF('Controls'!$D$7="Reference",1,IF(OR(D617=6,D617=7,D617=21,D617=46),'Paths'!$U$13,1))</x:f>
        <x:v>1</x:v>
      </x:c>
      <x:c r="H617" s="46" t="n">
        <x:f>IF('Controls'!$D$7="Reference",1,IF(OR(AND(D617&gt;=14,D617&lt;=16),AND(D617&gt;=34,D617&lt;=35),AND(D617&gt;=61,D617&lt;=63)),'Paths'!$V$13,1))</x:f>
        <x:v>1</x:v>
      </x:c>
      <x:c r="I617" s="46" t="n">
        <x:f>'Paths'!$W$13</x:f>
        <x:v>0.82</x:v>
      </x:c>
      <x:c r="J617" s="47" t="n">
        <x:f>IF(D617&lt;E617,0,MIN(F617*G617*H617*I617,IF('Paths'!$T$13&gt;0,MAX(0,'Paths'!$T$13-K616),1000000000)))</x:f>
        <x:v>32800</x:v>
      </x:c>
      <x:c r="K617" s="47" t="n">
        <x:f>K616+J617</x:f>
        <x:v>1555540</x:v>
      </x:c>
      <x:c r="L617" s="46" t="n">
        <x:f>IF(C617="P0",1,IF(D617&lt;=3,0.8,IF(D617&lt;=14,0.65,IF(D617&lt;=45,0.5,0.3))))</x:f>
        <x:v>0.3</x:v>
      </x:c>
      <x:c r="M617" s="47" t="n">
        <x:f>J617*L617</x:f>
        <x:v>9840</x:v>
      </x:c>
      <x:c r="N617" s="47" t="n">
        <x:f>N616+M617</x:f>
        <x:v>680641</x:v>
      </x:c>
      <x:c r="O617" s="46" t="n">
        <x:f>IF(C617="P0",0,IF(D617&lt;=3,0.15,IF(D617&lt;=14,0.25,IF(D617&lt;=45,0.35,0.5))))</x:f>
        <x:v>0.5</x:v>
      </x:c>
      <x:c r="P617" s="47" t="n">
        <x:f>J617*O617</x:f>
        <x:v>16400</x:v>
      </x:c>
      <x:c r="Q617" s="46" t="n">
        <x:f>IF(C617="P0",0,IF(D617&lt;=3,0.05,IF(D617&lt;=14,0.1,IF(D617&lt;=45,0.15,0.2))))</x:f>
        <x:v>0.2</x:v>
      </x:c>
      <x:c r="R617" s="47" t="n">
        <x:f>J617*Q617</x:f>
        <x:v>6560</x:v>
      </x:c>
      <x:c r="S617" s="20" t="str">
        <x:f>IF(D617&lt;E617,"closed",IF(D617&lt;'Paths'!$N$13,"initial","expanded"))</x:f>
        <x:v>expanded</x:v>
      </x:c>
      <x:c r="T617" s="72"/>
    </x:row>
    <x:row r="618">
      <x:c r="C618" s="20" t="str">
        <x:v>P6</x:v>
      </x:c>
      <x:c r="D618" s="20" t="n">
        <x:v>65</x:v>
      </x:c>
      <x:c r="E618" s="45" t="n">
        <x:f>IF('Controls'!$D$7="Reference",'Paths'!$J$13,'Paths'!$K$13)</x:f>
        <x:v>8</x:v>
      </x:c>
      <x:c r="F618" s="47" t="n">
        <x:f>IF(D618&lt;'Paths'!$N$13,IF('Controls'!$D$7="Reference",'Paths'!$L$13,'Paths'!$M$13),IF('Controls'!$D$7="Reference",'Paths'!$O$13,'Paths'!$P$13))</x:f>
        <x:v>40000</x:v>
      </x:c>
      <x:c r="G618" s="46" t="n">
        <x:f>IF('Controls'!$D$7="Reference",1,IF(OR(D618=6,D618=7,D618=21,D618=46),'Paths'!$U$13,1))</x:f>
        <x:v>1</x:v>
      </x:c>
      <x:c r="H618" s="46" t="n">
        <x:f>IF('Controls'!$D$7="Reference",1,IF(OR(AND(D618&gt;=14,D618&lt;=16),AND(D618&gt;=34,D618&lt;=35),AND(D618&gt;=61,D618&lt;=63)),'Paths'!$V$13,1))</x:f>
        <x:v>1</x:v>
      </x:c>
      <x:c r="I618" s="46" t="n">
        <x:f>'Paths'!$W$13</x:f>
        <x:v>0.82</x:v>
      </x:c>
      <x:c r="J618" s="47" t="n">
        <x:f>IF(D618&lt;E618,0,MIN(F618*G618*H618*I618,IF('Paths'!$T$13&gt;0,MAX(0,'Paths'!$T$13-K617),1000000000)))</x:f>
        <x:v>32800</x:v>
      </x:c>
      <x:c r="K618" s="47" t="n">
        <x:f>K617+J618</x:f>
        <x:v>1588340</x:v>
      </x:c>
      <x:c r="L618" s="46" t="n">
        <x:f>IF(C618="P0",1,IF(D618&lt;=3,0.8,IF(D618&lt;=14,0.65,IF(D618&lt;=45,0.5,0.3))))</x:f>
        <x:v>0.3</x:v>
      </x:c>
      <x:c r="M618" s="47" t="n">
        <x:f>J618*L618</x:f>
        <x:v>9840</x:v>
      </x:c>
      <x:c r="N618" s="47" t="n">
        <x:f>N617+M618</x:f>
        <x:v>690481</x:v>
      </x:c>
      <x:c r="O618" s="46" t="n">
        <x:f>IF(C618="P0",0,IF(D618&lt;=3,0.15,IF(D618&lt;=14,0.25,IF(D618&lt;=45,0.35,0.5))))</x:f>
        <x:v>0.5</x:v>
      </x:c>
      <x:c r="P618" s="47" t="n">
        <x:f>J618*O618</x:f>
        <x:v>16400</x:v>
      </x:c>
      <x:c r="Q618" s="46" t="n">
        <x:f>IF(C618="P0",0,IF(D618&lt;=3,0.05,IF(D618&lt;=14,0.1,IF(D618&lt;=45,0.15,0.2))))</x:f>
        <x:v>0.2</x:v>
      </x:c>
      <x:c r="R618" s="47" t="n">
        <x:f>J618*Q618</x:f>
        <x:v>6560</x:v>
      </x:c>
      <x:c r="S618" s="20" t="str">
        <x:f>IF(D618&lt;E618,"closed",IF(D618&lt;'Paths'!$N$13,"initial","expanded"))</x:f>
        <x:v>expanded</x:v>
      </x:c>
      <x:c r="T618" s="72"/>
    </x:row>
    <x:row r="619">
      <x:c r="C619" s="20" t="str">
        <x:v>P6</x:v>
      </x:c>
      <x:c r="D619" s="20" t="n">
        <x:v>66</x:v>
      </x:c>
      <x:c r="E619" s="45" t="n">
        <x:f>IF('Controls'!$D$7="Reference",'Paths'!$J$13,'Paths'!$K$13)</x:f>
        <x:v>8</x:v>
      </x:c>
      <x:c r="F619" s="47" t="n">
        <x:f>IF(D619&lt;'Paths'!$N$13,IF('Controls'!$D$7="Reference",'Paths'!$L$13,'Paths'!$M$13),IF('Controls'!$D$7="Reference",'Paths'!$O$13,'Paths'!$P$13))</x:f>
        <x:v>40000</x:v>
      </x:c>
      <x:c r="G619" s="46" t="n">
        <x:f>IF('Controls'!$D$7="Reference",1,IF(OR(D619=6,D619=7,D619=21,D619=46),'Paths'!$U$13,1))</x:f>
        <x:v>1</x:v>
      </x:c>
      <x:c r="H619" s="46" t="n">
        <x:f>IF('Controls'!$D$7="Reference",1,IF(OR(AND(D619&gt;=14,D619&lt;=16),AND(D619&gt;=34,D619&lt;=35),AND(D619&gt;=61,D619&lt;=63)),'Paths'!$V$13,1))</x:f>
        <x:v>1</x:v>
      </x:c>
      <x:c r="I619" s="46" t="n">
        <x:f>'Paths'!$W$13</x:f>
        <x:v>0.82</x:v>
      </x:c>
      <x:c r="J619" s="47" t="n">
        <x:f>IF(D619&lt;E619,0,MIN(F619*G619*H619*I619,IF('Paths'!$T$13&gt;0,MAX(0,'Paths'!$T$13-K618),1000000000)))</x:f>
        <x:v>32800</x:v>
      </x:c>
      <x:c r="K619" s="47" t="n">
        <x:f>K618+J619</x:f>
        <x:v>1621140</x:v>
      </x:c>
      <x:c r="L619" s="46" t="n">
        <x:f>IF(C619="P0",1,IF(D619&lt;=3,0.8,IF(D619&lt;=14,0.65,IF(D619&lt;=45,0.5,0.3))))</x:f>
        <x:v>0.3</x:v>
      </x:c>
      <x:c r="M619" s="47" t="n">
        <x:f>J619*L619</x:f>
        <x:v>9840</x:v>
      </x:c>
      <x:c r="N619" s="47" t="n">
        <x:f>N618+M619</x:f>
        <x:v>700321</x:v>
      </x:c>
      <x:c r="O619" s="46" t="n">
        <x:f>IF(C619="P0",0,IF(D619&lt;=3,0.15,IF(D619&lt;=14,0.25,IF(D619&lt;=45,0.35,0.5))))</x:f>
        <x:v>0.5</x:v>
      </x:c>
      <x:c r="P619" s="47" t="n">
        <x:f>J619*O619</x:f>
        <x:v>16400</x:v>
      </x:c>
      <x:c r="Q619" s="46" t="n">
        <x:f>IF(C619="P0",0,IF(D619&lt;=3,0.05,IF(D619&lt;=14,0.1,IF(D619&lt;=45,0.15,0.2))))</x:f>
        <x:v>0.2</x:v>
      </x:c>
      <x:c r="R619" s="47" t="n">
        <x:f>J619*Q619</x:f>
        <x:v>6560</x:v>
      </x:c>
      <x:c r="S619" s="20" t="str">
        <x:f>IF(D619&lt;E619,"closed",IF(D619&lt;'Paths'!$N$13,"initial","expanded"))</x:f>
        <x:v>expanded</x:v>
      </x:c>
      <x:c r="T619" s="72"/>
    </x:row>
    <x:row r="620">
      <x:c r="C620" s="20" t="str">
        <x:v>P6</x:v>
      </x:c>
      <x:c r="D620" s="20" t="n">
        <x:v>67</x:v>
      </x:c>
      <x:c r="E620" s="45" t="n">
        <x:f>IF('Controls'!$D$7="Reference",'Paths'!$J$13,'Paths'!$K$13)</x:f>
        <x:v>8</x:v>
      </x:c>
      <x:c r="F620" s="47" t="n">
        <x:f>IF(D620&lt;'Paths'!$N$13,IF('Controls'!$D$7="Reference",'Paths'!$L$13,'Paths'!$M$13),IF('Controls'!$D$7="Reference",'Paths'!$O$13,'Paths'!$P$13))</x:f>
        <x:v>40000</x:v>
      </x:c>
      <x:c r="G620" s="46" t="n">
        <x:f>IF('Controls'!$D$7="Reference",1,IF(OR(D620=6,D620=7,D620=21,D620=46),'Paths'!$U$13,1))</x:f>
        <x:v>1</x:v>
      </x:c>
      <x:c r="H620" s="46" t="n">
        <x:f>IF('Controls'!$D$7="Reference",1,IF(OR(AND(D620&gt;=14,D620&lt;=16),AND(D620&gt;=34,D620&lt;=35),AND(D620&gt;=61,D620&lt;=63)),'Paths'!$V$13,1))</x:f>
        <x:v>1</x:v>
      </x:c>
      <x:c r="I620" s="46" t="n">
        <x:f>'Paths'!$W$13</x:f>
        <x:v>0.82</x:v>
      </x:c>
      <x:c r="J620" s="47" t="n">
        <x:f>IF(D620&lt;E620,0,MIN(F620*G620*H620*I620,IF('Paths'!$T$13&gt;0,MAX(0,'Paths'!$T$13-K619),1000000000)))</x:f>
        <x:v>32800</x:v>
      </x:c>
      <x:c r="K620" s="47" t="n">
        <x:f>K619+J620</x:f>
        <x:v>1653940</x:v>
      </x:c>
      <x:c r="L620" s="46" t="n">
        <x:f>IF(C620="P0",1,IF(D620&lt;=3,0.8,IF(D620&lt;=14,0.65,IF(D620&lt;=45,0.5,0.3))))</x:f>
        <x:v>0.3</x:v>
      </x:c>
      <x:c r="M620" s="47" t="n">
        <x:f>J620*L620</x:f>
        <x:v>9840</x:v>
      </x:c>
      <x:c r="N620" s="47" t="n">
        <x:f>N619+M620</x:f>
        <x:v>710161</x:v>
      </x:c>
      <x:c r="O620" s="46" t="n">
        <x:f>IF(C620="P0",0,IF(D620&lt;=3,0.15,IF(D620&lt;=14,0.25,IF(D620&lt;=45,0.35,0.5))))</x:f>
        <x:v>0.5</x:v>
      </x:c>
      <x:c r="P620" s="47" t="n">
        <x:f>J620*O620</x:f>
        <x:v>16400</x:v>
      </x:c>
      <x:c r="Q620" s="46" t="n">
        <x:f>IF(C620="P0",0,IF(D620&lt;=3,0.05,IF(D620&lt;=14,0.1,IF(D620&lt;=45,0.15,0.2))))</x:f>
        <x:v>0.2</x:v>
      </x:c>
      <x:c r="R620" s="47" t="n">
        <x:f>J620*Q620</x:f>
        <x:v>6560</x:v>
      </x:c>
      <x:c r="S620" s="20" t="str">
        <x:f>IF(D620&lt;E620,"closed",IF(D620&lt;'Paths'!$N$13,"initial","expanded"))</x:f>
        <x:v>expanded</x:v>
      </x:c>
      <x:c r="T620" s="72"/>
    </x:row>
    <x:row r="621">
      <x:c r="C621" s="20" t="str">
        <x:v>P6</x:v>
      </x:c>
      <x:c r="D621" s="20" t="n">
        <x:v>68</x:v>
      </x:c>
      <x:c r="E621" s="45" t="n">
        <x:f>IF('Controls'!$D$7="Reference",'Paths'!$J$13,'Paths'!$K$13)</x:f>
        <x:v>8</x:v>
      </x:c>
      <x:c r="F621" s="47" t="n">
        <x:f>IF(D621&lt;'Paths'!$N$13,IF('Controls'!$D$7="Reference",'Paths'!$L$13,'Paths'!$M$13),IF('Controls'!$D$7="Reference",'Paths'!$O$13,'Paths'!$P$13))</x:f>
        <x:v>40000</x:v>
      </x:c>
      <x:c r="G621" s="46" t="n">
        <x:f>IF('Controls'!$D$7="Reference",1,IF(OR(D621=6,D621=7,D621=21,D621=46),'Paths'!$U$13,1))</x:f>
        <x:v>1</x:v>
      </x:c>
      <x:c r="H621" s="46" t="n">
        <x:f>IF('Controls'!$D$7="Reference",1,IF(OR(AND(D621&gt;=14,D621&lt;=16),AND(D621&gt;=34,D621&lt;=35),AND(D621&gt;=61,D621&lt;=63)),'Paths'!$V$13,1))</x:f>
        <x:v>1</x:v>
      </x:c>
      <x:c r="I621" s="46" t="n">
        <x:f>'Paths'!$W$13</x:f>
        <x:v>0.82</x:v>
      </x:c>
      <x:c r="J621" s="47" t="n">
        <x:f>IF(D621&lt;E621,0,MIN(F621*G621*H621*I621,IF('Paths'!$T$13&gt;0,MAX(0,'Paths'!$T$13-K620),1000000000)))</x:f>
        <x:v>32800</x:v>
      </x:c>
      <x:c r="K621" s="47" t="n">
        <x:f>K620+J621</x:f>
        <x:v>1686740</x:v>
      </x:c>
      <x:c r="L621" s="46" t="n">
        <x:f>IF(C621="P0",1,IF(D621&lt;=3,0.8,IF(D621&lt;=14,0.65,IF(D621&lt;=45,0.5,0.3))))</x:f>
        <x:v>0.3</x:v>
      </x:c>
      <x:c r="M621" s="47" t="n">
        <x:f>J621*L621</x:f>
        <x:v>9840</x:v>
      </x:c>
      <x:c r="N621" s="47" t="n">
        <x:f>N620+M621</x:f>
        <x:v>720001</x:v>
      </x:c>
      <x:c r="O621" s="46" t="n">
        <x:f>IF(C621="P0",0,IF(D621&lt;=3,0.15,IF(D621&lt;=14,0.25,IF(D621&lt;=45,0.35,0.5))))</x:f>
        <x:v>0.5</x:v>
      </x:c>
      <x:c r="P621" s="47" t="n">
        <x:f>J621*O621</x:f>
        <x:v>16400</x:v>
      </x:c>
      <x:c r="Q621" s="46" t="n">
        <x:f>IF(C621="P0",0,IF(D621&lt;=3,0.05,IF(D621&lt;=14,0.1,IF(D621&lt;=45,0.15,0.2))))</x:f>
        <x:v>0.2</x:v>
      </x:c>
      <x:c r="R621" s="47" t="n">
        <x:f>J621*Q621</x:f>
        <x:v>6560</x:v>
      </x:c>
      <x:c r="S621" s="20" t="str">
        <x:f>IF(D621&lt;E621,"closed",IF(D621&lt;'Paths'!$N$13,"initial","expanded"))</x:f>
        <x:v>expanded</x:v>
      </x:c>
      <x:c r="T621" s="72"/>
    </x:row>
    <x:row r="622">
      <x:c r="C622" s="20" t="str">
        <x:v>P6</x:v>
      </x:c>
      <x:c r="D622" s="20" t="n">
        <x:v>69</x:v>
      </x:c>
      <x:c r="E622" s="45" t="n">
        <x:f>IF('Controls'!$D$7="Reference",'Paths'!$J$13,'Paths'!$K$13)</x:f>
        <x:v>8</x:v>
      </x:c>
      <x:c r="F622" s="47" t="n">
        <x:f>IF(D622&lt;'Paths'!$N$13,IF('Controls'!$D$7="Reference",'Paths'!$L$13,'Paths'!$M$13),IF('Controls'!$D$7="Reference",'Paths'!$O$13,'Paths'!$P$13))</x:f>
        <x:v>40000</x:v>
      </x:c>
      <x:c r="G622" s="46" t="n">
        <x:f>IF('Controls'!$D$7="Reference",1,IF(OR(D622=6,D622=7,D622=21,D622=46),'Paths'!$U$13,1))</x:f>
        <x:v>1</x:v>
      </x:c>
      <x:c r="H622" s="46" t="n">
        <x:f>IF('Controls'!$D$7="Reference",1,IF(OR(AND(D622&gt;=14,D622&lt;=16),AND(D622&gt;=34,D622&lt;=35),AND(D622&gt;=61,D622&lt;=63)),'Paths'!$V$13,1))</x:f>
        <x:v>1</x:v>
      </x:c>
      <x:c r="I622" s="46" t="n">
        <x:f>'Paths'!$W$13</x:f>
        <x:v>0.82</x:v>
      </x:c>
      <x:c r="J622" s="47" t="n">
        <x:f>IF(D622&lt;E622,0,MIN(F622*G622*H622*I622,IF('Paths'!$T$13&gt;0,MAX(0,'Paths'!$T$13-K621),1000000000)))</x:f>
        <x:v>32800</x:v>
      </x:c>
      <x:c r="K622" s="47" t="n">
        <x:f>K621+J622</x:f>
        <x:v>1719540</x:v>
      </x:c>
      <x:c r="L622" s="46" t="n">
        <x:f>IF(C622="P0",1,IF(D622&lt;=3,0.8,IF(D622&lt;=14,0.65,IF(D622&lt;=45,0.5,0.3))))</x:f>
        <x:v>0.3</x:v>
      </x:c>
      <x:c r="M622" s="47" t="n">
        <x:f>J622*L622</x:f>
        <x:v>9840</x:v>
      </x:c>
      <x:c r="N622" s="47" t="n">
        <x:f>N621+M622</x:f>
        <x:v>729841</x:v>
      </x:c>
      <x:c r="O622" s="46" t="n">
        <x:f>IF(C622="P0",0,IF(D622&lt;=3,0.15,IF(D622&lt;=14,0.25,IF(D622&lt;=45,0.35,0.5))))</x:f>
        <x:v>0.5</x:v>
      </x:c>
      <x:c r="P622" s="47" t="n">
        <x:f>J622*O622</x:f>
        <x:v>16400</x:v>
      </x:c>
      <x:c r="Q622" s="46" t="n">
        <x:f>IF(C622="P0",0,IF(D622&lt;=3,0.05,IF(D622&lt;=14,0.1,IF(D622&lt;=45,0.15,0.2))))</x:f>
        <x:v>0.2</x:v>
      </x:c>
      <x:c r="R622" s="47" t="n">
        <x:f>J622*Q622</x:f>
        <x:v>6560</x:v>
      </x:c>
      <x:c r="S622" s="20" t="str">
        <x:f>IF(D622&lt;E622,"closed",IF(D622&lt;'Paths'!$N$13,"initial","expanded"))</x:f>
        <x:v>expanded</x:v>
      </x:c>
      <x:c r="T622" s="72"/>
    </x:row>
    <x:row r="623">
      <x:c r="C623" s="20" t="str">
        <x:v>P6</x:v>
      </x:c>
      <x:c r="D623" s="20" t="n">
        <x:v>70</x:v>
      </x:c>
      <x:c r="E623" s="45" t="n">
        <x:f>IF('Controls'!$D$7="Reference",'Paths'!$J$13,'Paths'!$K$13)</x:f>
        <x:v>8</x:v>
      </x:c>
      <x:c r="F623" s="47" t="n">
        <x:f>IF(D623&lt;'Paths'!$N$13,IF('Controls'!$D$7="Reference",'Paths'!$L$13,'Paths'!$M$13),IF('Controls'!$D$7="Reference",'Paths'!$O$13,'Paths'!$P$13))</x:f>
        <x:v>40000</x:v>
      </x:c>
      <x:c r="G623" s="46" t="n">
        <x:f>IF('Controls'!$D$7="Reference",1,IF(OR(D623=6,D623=7,D623=21,D623=46),'Paths'!$U$13,1))</x:f>
        <x:v>1</x:v>
      </x:c>
      <x:c r="H623" s="46" t="n">
        <x:f>IF('Controls'!$D$7="Reference",1,IF(OR(AND(D623&gt;=14,D623&lt;=16),AND(D623&gt;=34,D623&lt;=35),AND(D623&gt;=61,D623&lt;=63)),'Paths'!$V$13,1))</x:f>
        <x:v>1</x:v>
      </x:c>
      <x:c r="I623" s="46" t="n">
        <x:f>'Paths'!$W$13</x:f>
        <x:v>0.82</x:v>
      </x:c>
      <x:c r="J623" s="47" t="n">
        <x:f>IF(D623&lt;E623,0,MIN(F623*G623*H623*I623,IF('Paths'!$T$13&gt;0,MAX(0,'Paths'!$T$13-K622),1000000000)))</x:f>
        <x:v>32800</x:v>
      </x:c>
      <x:c r="K623" s="47" t="n">
        <x:f>K622+J623</x:f>
        <x:v>1752340</x:v>
      </x:c>
      <x:c r="L623" s="46" t="n">
        <x:f>IF(C623="P0",1,IF(D623&lt;=3,0.8,IF(D623&lt;=14,0.65,IF(D623&lt;=45,0.5,0.3))))</x:f>
        <x:v>0.3</x:v>
      </x:c>
      <x:c r="M623" s="47" t="n">
        <x:f>J623*L623</x:f>
        <x:v>9840</x:v>
      </x:c>
      <x:c r="N623" s="47" t="n">
        <x:f>N622+M623</x:f>
        <x:v>739681</x:v>
      </x:c>
      <x:c r="O623" s="46" t="n">
        <x:f>IF(C623="P0",0,IF(D623&lt;=3,0.15,IF(D623&lt;=14,0.25,IF(D623&lt;=45,0.35,0.5))))</x:f>
        <x:v>0.5</x:v>
      </x:c>
      <x:c r="P623" s="47" t="n">
        <x:f>J623*O623</x:f>
        <x:v>16400</x:v>
      </x:c>
      <x:c r="Q623" s="46" t="n">
        <x:f>IF(C623="P0",0,IF(D623&lt;=3,0.05,IF(D623&lt;=14,0.1,IF(D623&lt;=45,0.15,0.2))))</x:f>
        <x:v>0.2</x:v>
      </x:c>
      <x:c r="R623" s="47" t="n">
        <x:f>J623*Q623</x:f>
        <x:v>6560</x:v>
      </x:c>
      <x:c r="S623" s="20" t="str">
        <x:f>IF(D623&lt;E623,"closed",IF(D623&lt;'Paths'!$N$13,"initial","expanded"))</x:f>
        <x:v>expanded</x:v>
      </x:c>
      <x:c r="T623" s="72"/>
    </x:row>
    <x:row r="624">
      <x:c r="C624" s="20" t="str">
        <x:v>P6</x:v>
      </x:c>
      <x:c r="D624" s="20" t="n">
        <x:v>71</x:v>
      </x:c>
      <x:c r="E624" s="45" t="n">
        <x:f>IF('Controls'!$D$7="Reference",'Paths'!$J$13,'Paths'!$K$13)</x:f>
        <x:v>8</x:v>
      </x:c>
      <x:c r="F624" s="47" t="n">
        <x:f>IF(D624&lt;'Paths'!$N$13,IF('Controls'!$D$7="Reference",'Paths'!$L$13,'Paths'!$M$13),IF('Controls'!$D$7="Reference",'Paths'!$O$13,'Paths'!$P$13))</x:f>
        <x:v>40000</x:v>
      </x:c>
      <x:c r="G624" s="46" t="n">
        <x:f>IF('Controls'!$D$7="Reference",1,IF(OR(D624=6,D624=7,D624=21,D624=46),'Paths'!$U$13,1))</x:f>
        <x:v>1</x:v>
      </x:c>
      <x:c r="H624" s="46" t="n">
        <x:f>IF('Controls'!$D$7="Reference",1,IF(OR(AND(D624&gt;=14,D624&lt;=16),AND(D624&gt;=34,D624&lt;=35),AND(D624&gt;=61,D624&lt;=63)),'Paths'!$V$13,1))</x:f>
        <x:v>1</x:v>
      </x:c>
      <x:c r="I624" s="46" t="n">
        <x:f>'Paths'!$W$13</x:f>
        <x:v>0.82</x:v>
      </x:c>
      <x:c r="J624" s="47" t="n">
        <x:f>IF(D624&lt;E624,0,MIN(F624*G624*H624*I624,IF('Paths'!$T$13&gt;0,MAX(0,'Paths'!$T$13-K623),1000000000)))</x:f>
        <x:v>32800</x:v>
      </x:c>
      <x:c r="K624" s="47" t="n">
        <x:f>K623+J624</x:f>
        <x:v>1785140</x:v>
      </x:c>
      <x:c r="L624" s="46" t="n">
        <x:f>IF(C624="P0",1,IF(D624&lt;=3,0.8,IF(D624&lt;=14,0.65,IF(D624&lt;=45,0.5,0.3))))</x:f>
        <x:v>0.3</x:v>
      </x:c>
      <x:c r="M624" s="47" t="n">
        <x:f>J624*L624</x:f>
        <x:v>9840</x:v>
      </x:c>
      <x:c r="N624" s="47" t="n">
        <x:f>N623+M624</x:f>
        <x:v>749521</x:v>
      </x:c>
      <x:c r="O624" s="46" t="n">
        <x:f>IF(C624="P0",0,IF(D624&lt;=3,0.15,IF(D624&lt;=14,0.25,IF(D624&lt;=45,0.35,0.5))))</x:f>
        <x:v>0.5</x:v>
      </x:c>
      <x:c r="P624" s="47" t="n">
        <x:f>J624*O624</x:f>
        <x:v>16400</x:v>
      </x:c>
      <x:c r="Q624" s="46" t="n">
        <x:f>IF(C624="P0",0,IF(D624&lt;=3,0.05,IF(D624&lt;=14,0.1,IF(D624&lt;=45,0.15,0.2))))</x:f>
        <x:v>0.2</x:v>
      </x:c>
      <x:c r="R624" s="47" t="n">
        <x:f>J624*Q624</x:f>
        <x:v>6560</x:v>
      </x:c>
      <x:c r="S624" s="20" t="str">
        <x:f>IF(D624&lt;E624,"closed",IF(D624&lt;'Paths'!$N$13,"initial","expanded"))</x:f>
        <x:v>expanded</x:v>
      </x:c>
      <x:c r="T624" s="72"/>
    </x:row>
    <x:row r="625">
      <x:c r="C625" s="20" t="str">
        <x:v>P6</x:v>
      </x:c>
      <x:c r="D625" s="20" t="n">
        <x:v>72</x:v>
      </x:c>
      <x:c r="E625" s="45" t="n">
        <x:f>IF('Controls'!$D$7="Reference",'Paths'!$J$13,'Paths'!$K$13)</x:f>
        <x:v>8</x:v>
      </x:c>
      <x:c r="F625" s="47" t="n">
        <x:f>IF(D625&lt;'Paths'!$N$13,IF('Controls'!$D$7="Reference",'Paths'!$L$13,'Paths'!$M$13),IF('Controls'!$D$7="Reference",'Paths'!$O$13,'Paths'!$P$13))</x:f>
        <x:v>40000</x:v>
      </x:c>
      <x:c r="G625" s="46" t="n">
        <x:f>IF('Controls'!$D$7="Reference",1,IF(OR(D625=6,D625=7,D625=21,D625=46),'Paths'!$U$13,1))</x:f>
        <x:v>1</x:v>
      </x:c>
      <x:c r="H625" s="46" t="n">
        <x:f>IF('Controls'!$D$7="Reference",1,IF(OR(AND(D625&gt;=14,D625&lt;=16),AND(D625&gt;=34,D625&lt;=35),AND(D625&gt;=61,D625&lt;=63)),'Paths'!$V$13,1))</x:f>
        <x:v>1</x:v>
      </x:c>
      <x:c r="I625" s="46" t="n">
        <x:f>'Paths'!$W$13</x:f>
        <x:v>0.82</x:v>
      </x:c>
      <x:c r="J625" s="47" t="n">
        <x:f>IF(D625&lt;E625,0,MIN(F625*G625*H625*I625,IF('Paths'!$T$13&gt;0,MAX(0,'Paths'!$T$13-K624),1000000000)))</x:f>
        <x:v>32800</x:v>
      </x:c>
      <x:c r="K625" s="47" t="n">
        <x:f>K624+J625</x:f>
        <x:v>1817940</x:v>
      </x:c>
      <x:c r="L625" s="46" t="n">
        <x:f>IF(C625="P0",1,IF(D625&lt;=3,0.8,IF(D625&lt;=14,0.65,IF(D625&lt;=45,0.5,0.3))))</x:f>
        <x:v>0.3</x:v>
      </x:c>
      <x:c r="M625" s="47" t="n">
        <x:f>J625*L625</x:f>
        <x:v>9840</x:v>
      </x:c>
      <x:c r="N625" s="47" t="n">
        <x:f>N624+M625</x:f>
        <x:v>759361</x:v>
      </x:c>
      <x:c r="O625" s="46" t="n">
        <x:f>IF(C625="P0",0,IF(D625&lt;=3,0.15,IF(D625&lt;=14,0.25,IF(D625&lt;=45,0.35,0.5))))</x:f>
        <x:v>0.5</x:v>
      </x:c>
      <x:c r="P625" s="47" t="n">
        <x:f>J625*O625</x:f>
        <x:v>16400</x:v>
      </x:c>
      <x:c r="Q625" s="46" t="n">
        <x:f>IF(C625="P0",0,IF(D625&lt;=3,0.05,IF(D625&lt;=14,0.1,IF(D625&lt;=45,0.15,0.2))))</x:f>
        <x:v>0.2</x:v>
      </x:c>
      <x:c r="R625" s="47" t="n">
        <x:f>J625*Q625</x:f>
        <x:v>6560</x:v>
      </x:c>
      <x:c r="S625" s="20" t="str">
        <x:f>IF(D625&lt;E625,"closed",IF(D625&lt;'Paths'!$N$13,"initial","expanded"))</x:f>
        <x:v>expanded</x:v>
      </x:c>
      <x:c r="T625" s="72"/>
    </x:row>
    <x:row r="626">
      <x:c r="C626" s="20" t="str">
        <x:v>P6</x:v>
      </x:c>
      <x:c r="D626" s="20" t="n">
        <x:v>73</x:v>
      </x:c>
      <x:c r="E626" s="45" t="n">
        <x:f>IF('Controls'!$D$7="Reference",'Paths'!$J$13,'Paths'!$K$13)</x:f>
        <x:v>8</x:v>
      </x:c>
      <x:c r="F626" s="47" t="n">
        <x:f>IF(D626&lt;'Paths'!$N$13,IF('Controls'!$D$7="Reference",'Paths'!$L$13,'Paths'!$M$13),IF('Controls'!$D$7="Reference",'Paths'!$O$13,'Paths'!$P$13))</x:f>
        <x:v>40000</x:v>
      </x:c>
      <x:c r="G626" s="46" t="n">
        <x:f>IF('Controls'!$D$7="Reference",1,IF(OR(D626=6,D626=7,D626=21,D626=46),'Paths'!$U$13,1))</x:f>
        <x:v>1</x:v>
      </x:c>
      <x:c r="H626" s="46" t="n">
        <x:f>IF('Controls'!$D$7="Reference",1,IF(OR(AND(D626&gt;=14,D626&lt;=16),AND(D626&gt;=34,D626&lt;=35),AND(D626&gt;=61,D626&lt;=63)),'Paths'!$V$13,1))</x:f>
        <x:v>1</x:v>
      </x:c>
      <x:c r="I626" s="46" t="n">
        <x:f>'Paths'!$W$13</x:f>
        <x:v>0.82</x:v>
      </x:c>
      <x:c r="J626" s="47" t="n">
        <x:f>IF(D626&lt;E626,0,MIN(F626*G626*H626*I626,IF('Paths'!$T$13&gt;0,MAX(0,'Paths'!$T$13-K625),1000000000)))</x:f>
        <x:v>32800</x:v>
      </x:c>
      <x:c r="K626" s="47" t="n">
        <x:f>K625+J626</x:f>
        <x:v>1850740</x:v>
      </x:c>
      <x:c r="L626" s="46" t="n">
        <x:f>IF(C626="P0",1,IF(D626&lt;=3,0.8,IF(D626&lt;=14,0.65,IF(D626&lt;=45,0.5,0.3))))</x:f>
        <x:v>0.3</x:v>
      </x:c>
      <x:c r="M626" s="47" t="n">
        <x:f>J626*L626</x:f>
        <x:v>9840</x:v>
      </x:c>
      <x:c r="N626" s="47" t="n">
        <x:f>N625+M626</x:f>
        <x:v>769201</x:v>
      </x:c>
      <x:c r="O626" s="46" t="n">
        <x:f>IF(C626="P0",0,IF(D626&lt;=3,0.15,IF(D626&lt;=14,0.25,IF(D626&lt;=45,0.35,0.5))))</x:f>
        <x:v>0.5</x:v>
      </x:c>
      <x:c r="P626" s="47" t="n">
        <x:f>J626*O626</x:f>
        <x:v>16400</x:v>
      </x:c>
      <x:c r="Q626" s="46" t="n">
        <x:f>IF(C626="P0",0,IF(D626&lt;=3,0.05,IF(D626&lt;=14,0.1,IF(D626&lt;=45,0.15,0.2))))</x:f>
        <x:v>0.2</x:v>
      </x:c>
      <x:c r="R626" s="47" t="n">
        <x:f>J626*Q626</x:f>
        <x:v>6560</x:v>
      </x:c>
      <x:c r="S626" s="20" t="str">
        <x:f>IF(D626&lt;E626,"closed",IF(D626&lt;'Paths'!$N$13,"initial","expanded"))</x:f>
        <x:v>expanded</x:v>
      </x:c>
      <x:c r="T626" s="72"/>
    </x:row>
    <x:row r="627">
      <x:c r="C627" s="20" t="str">
        <x:v>P6</x:v>
      </x:c>
      <x:c r="D627" s="20" t="n">
        <x:v>74</x:v>
      </x:c>
      <x:c r="E627" s="45" t="n">
        <x:f>IF('Controls'!$D$7="Reference",'Paths'!$J$13,'Paths'!$K$13)</x:f>
        <x:v>8</x:v>
      </x:c>
      <x:c r="F627" s="47" t="n">
        <x:f>IF(D627&lt;'Paths'!$N$13,IF('Controls'!$D$7="Reference",'Paths'!$L$13,'Paths'!$M$13),IF('Controls'!$D$7="Reference",'Paths'!$O$13,'Paths'!$P$13))</x:f>
        <x:v>40000</x:v>
      </x:c>
      <x:c r="G627" s="46" t="n">
        <x:f>IF('Controls'!$D$7="Reference",1,IF(OR(D627=6,D627=7,D627=21,D627=46),'Paths'!$U$13,1))</x:f>
        <x:v>1</x:v>
      </x:c>
      <x:c r="H627" s="46" t="n">
        <x:f>IF('Controls'!$D$7="Reference",1,IF(OR(AND(D627&gt;=14,D627&lt;=16),AND(D627&gt;=34,D627&lt;=35),AND(D627&gt;=61,D627&lt;=63)),'Paths'!$V$13,1))</x:f>
        <x:v>1</x:v>
      </x:c>
      <x:c r="I627" s="46" t="n">
        <x:f>'Paths'!$W$13</x:f>
        <x:v>0.82</x:v>
      </x:c>
      <x:c r="J627" s="47" t="n">
        <x:f>IF(D627&lt;E627,0,MIN(F627*G627*H627*I627,IF('Paths'!$T$13&gt;0,MAX(0,'Paths'!$T$13-K626),1000000000)))</x:f>
        <x:v>32800</x:v>
      </x:c>
      <x:c r="K627" s="47" t="n">
        <x:f>K626+J627</x:f>
        <x:v>1883540</x:v>
      </x:c>
      <x:c r="L627" s="46" t="n">
        <x:f>IF(C627="P0",1,IF(D627&lt;=3,0.8,IF(D627&lt;=14,0.65,IF(D627&lt;=45,0.5,0.3))))</x:f>
        <x:v>0.3</x:v>
      </x:c>
      <x:c r="M627" s="47" t="n">
        <x:f>J627*L627</x:f>
        <x:v>9840</x:v>
      </x:c>
      <x:c r="N627" s="47" t="n">
        <x:f>N626+M627</x:f>
        <x:v>779041</x:v>
      </x:c>
      <x:c r="O627" s="46" t="n">
        <x:f>IF(C627="P0",0,IF(D627&lt;=3,0.15,IF(D627&lt;=14,0.25,IF(D627&lt;=45,0.35,0.5))))</x:f>
        <x:v>0.5</x:v>
      </x:c>
      <x:c r="P627" s="47" t="n">
        <x:f>J627*O627</x:f>
        <x:v>16400</x:v>
      </x:c>
      <x:c r="Q627" s="46" t="n">
        <x:f>IF(C627="P0",0,IF(D627&lt;=3,0.05,IF(D627&lt;=14,0.1,IF(D627&lt;=45,0.15,0.2))))</x:f>
        <x:v>0.2</x:v>
      </x:c>
      <x:c r="R627" s="47" t="n">
        <x:f>J627*Q627</x:f>
        <x:v>6560</x:v>
      </x:c>
      <x:c r="S627" s="20" t="str">
        <x:f>IF(D627&lt;E627,"closed",IF(D627&lt;'Paths'!$N$13,"initial","expanded"))</x:f>
        <x:v>expanded</x:v>
      </x:c>
      <x:c r="T627" s="72"/>
    </x:row>
    <x:row r="628">
      <x:c r="C628" s="20" t="str">
        <x:v>P6</x:v>
      </x:c>
      <x:c r="D628" s="20" t="n">
        <x:v>75</x:v>
      </x:c>
      <x:c r="E628" s="45" t="n">
        <x:f>IF('Controls'!$D$7="Reference",'Paths'!$J$13,'Paths'!$K$13)</x:f>
        <x:v>8</x:v>
      </x:c>
      <x:c r="F628" s="47" t="n">
        <x:f>IF(D628&lt;'Paths'!$N$13,IF('Controls'!$D$7="Reference",'Paths'!$L$13,'Paths'!$M$13),IF('Controls'!$D$7="Reference",'Paths'!$O$13,'Paths'!$P$13))</x:f>
        <x:v>40000</x:v>
      </x:c>
      <x:c r="G628" s="46" t="n">
        <x:f>IF('Controls'!$D$7="Reference",1,IF(OR(D628=6,D628=7,D628=21,D628=46),'Paths'!$U$13,1))</x:f>
        <x:v>1</x:v>
      </x:c>
      <x:c r="H628" s="46" t="n">
        <x:f>IF('Controls'!$D$7="Reference",1,IF(OR(AND(D628&gt;=14,D628&lt;=16),AND(D628&gt;=34,D628&lt;=35),AND(D628&gt;=61,D628&lt;=63)),'Paths'!$V$13,1))</x:f>
        <x:v>1</x:v>
      </x:c>
      <x:c r="I628" s="46" t="n">
        <x:f>'Paths'!$W$13</x:f>
        <x:v>0.82</x:v>
      </x:c>
      <x:c r="J628" s="47" t="n">
        <x:f>IF(D628&lt;E628,0,MIN(F628*G628*H628*I628,IF('Paths'!$T$13&gt;0,MAX(0,'Paths'!$T$13-K627),1000000000)))</x:f>
        <x:v>32800</x:v>
      </x:c>
      <x:c r="K628" s="47" t="n">
        <x:f>K627+J628</x:f>
        <x:v>1916340</x:v>
      </x:c>
      <x:c r="L628" s="46" t="n">
        <x:f>IF(C628="P0",1,IF(D628&lt;=3,0.8,IF(D628&lt;=14,0.65,IF(D628&lt;=45,0.5,0.3))))</x:f>
        <x:v>0.3</x:v>
      </x:c>
      <x:c r="M628" s="47" t="n">
        <x:f>J628*L628</x:f>
        <x:v>9840</x:v>
      </x:c>
      <x:c r="N628" s="47" t="n">
        <x:f>N627+M628</x:f>
        <x:v>788881</x:v>
      </x:c>
      <x:c r="O628" s="46" t="n">
        <x:f>IF(C628="P0",0,IF(D628&lt;=3,0.15,IF(D628&lt;=14,0.25,IF(D628&lt;=45,0.35,0.5))))</x:f>
        <x:v>0.5</x:v>
      </x:c>
      <x:c r="P628" s="47" t="n">
        <x:f>J628*O628</x:f>
        <x:v>16400</x:v>
      </x:c>
      <x:c r="Q628" s="46" t="n">
        <x:f>IF(C628="P0",0,IF(D628&lt;=3,0.05,IF(D628&lt;=14,0.1,IF(D628&lt;=45,0.15,0.2))))</x:f>
        <x:v>0.2</x:v>
      </x:c>
      <x:c r="R628" s="47" t="n">
        <x:f>J628*Q628</x:f>
        <x:v>6560</x:v>
      </x:c>
      <x:c r="S628" s="20" t="str">
        <x:f>IF(D628&lt;E628,"closed",IF(D628&lt;'Paths'!$N$13,"initial","expanded"))</x:f>
        <x:v>expanded</x:v>
      </x:c>
      <x:c r="T628" s="72"/>
    </x:row>
    <x:row r="629">
      <x:c r="C629" s="20" t="str">
        <x:v>P6</x:v>
      </x:c>
      <x:c r="D629" s="20" t="n">
        <x:v>76</x:v>
      </x:c>
      <x:c r="E629" s="45" t="n">
        <x:f>IF('Controls'!$D$7="Reference",'Paths'!$J$13,'Paths'!$K$13)</x:f>
        <x:v>8</x:v>
      </x:c>
      <x:c r="F629" s="47" t="n">
        <x:f>IF(D629&lt;'Paths'!$N$13,IF('Controls'!$D$7="Reference",'Paths'!$L$13,'Paths'!$M$13),IF('Controls'!$D$7="Reference",'Paths'!$O$13,'Paths'!$P$13))</x:f>
        <x:v>40000</x:v>
      </x:c>
      <x:c r="G629" s="46" t="n">
        <x:f>IF('Controls'!$D$7="Reference",1,IF(OR(D629=6,D629=7,D629=21,D629=46),'Paths'!$U$13,1))</x:f>
        <x:v>1</x:v>
      </x:c>
      <x:c r="H629" s="46" t="n">
        <x:f>IF('Controls'!$D$7="Reference",1,IF(OR(AND(D629&gt;=14,D629&lt;=16),AND(D629&gt;=34,D629&lt;=35),AND(D629&gt;=61,D629&lt;=63)),'Paths'!$V$13,1))</x:f>
        <x:v>1</x:v>
      </x:c>
      <x:c r="I629" s="46" t="n">
        <x:f>'Paths'!$W$13</x:f>
        <x:v>0.82</x:v>
      </x:c>
      <x:c r="J629" s="47" t="n">
        <x:f>IF(D629&lt;E629,0,MIN(F629*G629*H629*I629,IF('Paths'!$T$13&gt;0,MAX(0,'Paths'!$T$13-K628),1000000000)))</x:f>
        <x:v>32800</x:v>
      </x:c>
      <x:c r="K629" s="47" t="n">
        <x:f>K628+J629</x:f>
        <x:v>1949140</x:v>
      </x:c>
      <x:c r="L629" s="46" t="n">
        <x:f>IF(C629="P0",1,IF(D629&lt;=3,0.8,IF(D629&lt;=14,0.65,IF(D629&lt;=45,0.5,0.3))))</x:f>
        <x:v>0.3</x:v>
      </x:c>
      <x:c r="M629" s="47" t="n">
        <x:f>J629*L629</x:f>
        <x:v>9840</x:v>
      </x:c>
      <x:c r="N629" s="47" t="n">
        <x:f>N628+M629</x:f>
        <x:v>798721</x:v>
      </x:c>
      <x:c r="O629" s="46" t="n">
        <x:f>IF(C629="P0",0,IF(D629&lt;=3,0.15,IF(D629&lt;=14,0.25,IF(D629&lt;=45,0.35,0.5))))</x:f>
        <x:v>0.5</x:v>
      </x:c>
      <x:c r="P629" s="47" t="n">
        <x:f>J629*O629</x:f>
        <x:v>16400</x:v>
      </x:c>
      <x:c r="Q629" s="46" t="n">
        <x:f>IF(C629="P0",0,IF(D629&lt;=3,0.05,IF(D629&lt;=14,0.1,IF(D629&lt;=45,0.15,0.2))))</x:f>
        <x:v>0.2</x:v>
      </x:c>
      <x:c r="R629" s="47" t="n">
        <x:f>J629*Q629</x:f>
        <x:v>6560</x:v>
      </x:c>
      <x:c r="S629" s="20" t="str">
        <x:f>IF(D629&lt;E629,"closed",IF(D629&lt;'Paths'!$N$13,"initial","expanded"))</x:f>
        <x:v>expanded</x:v>
      </x:c>
      <x:c r="T629" s="72"/>
    </x:row>
    <x:row r="630">
      <x:c r="C630" s="20" t="str">
        <x:v>P6</x:v>
      </x:c>
      <x:c r="D630" s="20" t="n">
        <x:v>77</x:v>
      </x:c>
      <x:c r="E630" s="45" t="n">
        <x:f>IF('Controls'!$D$7="Reference",'Paths'!$J$13,'Paths'!$K$13)</x:f>
        <x:v>8</x:v>
      </x:c>
      <x:c r="F630" s="47" t="n">
        <x:f>IF(D630&lt;'Paths'!$N$13,IF('Controls'!$D$7="Reference",'Paths'!$L$13,'Paths'!$M$13),IF('Controls'!$D$7="Reference",'Paths'!$O$13,'Paths'!$P$13))</x:f>
        <x:v>40000</x:v>
      </x:c>
      <x:c r="G630" s="46" t="n">
        <x:f>IF('Controls'!$D$7="Reference",1,IF(OR(D630=6,D630=7,D630=21,D630=46),'Paths'!$U$13,1))</x:f>
        <x:v>1</x:v>
      </x:c>
      <x:c r="H630" s="46" t="n">
        <x:f>IF('Controls'!$D$7="Reference",1,IF(OR(AND(D630&gt;=14,D630&lt;=16),AND(D630&gt;=34,D630&lt;=35),AND(D630&gt;=61,D630&lt;=63)),'Paths'!$V$13,1))</x:f>
        <x:v>1</x:v>
      </x:c>
      <x:c r="I630" s="46" t="n">
        <x:f>'Paths'!$W$13</x:f>
        <x:v>0.82</x:v>
      </x:c>
      <x:c r="J630" s="47" t="n">
        <x:f>IF(D630&lt;E630,0,MIN(F630*G630*H630*I630,IF('Paths'!$T$13&gt;0,MAX(0,'Paths'!$T$13-K629),1000000000)))</x:f>
        <x:v>32800</x:v>
      </x:c>
      <x:c r="K630" s="47" t="n">
        <x:f>K629+J630</x:f>
        <x:v>1981940</x:v>
      </x:c>
      <x:c r="L630" s="46" t="n">
        <x:f>IF(C630="P0",1,IF(D630&lt;=3,0.8,IF(D630&lt;=14,0.65,IF(D630&lt;=45,0.5,0.3))))</x:f>
        <x:v>0.3</x:v>
      </x:c>
      <x:c r="M630" s="47" t="n">
        <x:f>J630*L630</x:f>
        <x:v>9840</x:v>
      </x:c>
      <x:c r="N630" s="47" t="n">
        <x:f>N629+M630</x:f>
        <x:v>808561</x:v>
      </x:c>
      <x:c r="O630" s="46" t="n">
        <x:f>IF(C630="P0",0,IF(D630&lt;=3,0.15,IF(D630&lt;=14,0.25,IF(D630&lt;=45,0.35,0.5))))</x:f>
        <x:v>0.5</x:v>
      </x:c>
      <x:c r="P630" s="47" t="n">
        <x:f>J630*O630</x:f>
        <x:v>16400</x:v>
      </x:c>
      <x:c r="Q630" s="46" t="n">
        <x:f>IF(C630="P0",0,IF(D630&lt;=3,0.05,IF(D630&lt;=14,0.1,IF(D630&lt;=45,0.15,0.2))))</x:f>
        <x:v>0.2</x:v>
      </x:c>
      <x:c r="R630" s="47" t="n">
        <x:f>J630*Q630</x:f>
        <x:v>6560</x:v>
      </x:c>
      <x:c r="S630" s="20" t="str">
        <x:f>IF(D630&lt;E630,"closed",IF(D630&lt;'Paths'!$N$13,"initial","expanded"))</x:f>
        <x:v>expanded</x:v>
      </x:c>
      <x:c r="T630" s="72"/>
    </x:row>
    <x:row r="631">
      <x:c r="C631" s="20" t="str">
        <x:v>P6</x:v>
      </x:c>
      <x:c r="D631" s="20" t="n">
        <x:v>78</x:v>
      </x:c>
      <x:c r="E631" s="45" t="n">
        <x:f>IF('Controls'!$D$7="Reference",'Paths'!$J$13,'Paths'!$K$13)</x:f>
        <x:v>8</x:v>
      </x:c>
      <x:c r="F631" s="47" t="n">
        <x:f>IF(D631&lt;'Paths'!$N$13,IF('Controls'!$D$7="Reference",'Paths'!$L$13,'Paths'!$M$13),IF('Controls'!$D$7="Reference",'Paths'!$O$13,'Paths'!$P$13))</x:f>
        <x:v>40000</x:v>
      </x:c>
      <x:c r="G631" s="46" t="n">
        <x:f>IF('Controls'!$D$7="Reference",1,IF(OR(D631=6,D631=7,D631=21,D631=46),'Paths'!$U$13,1))</x:f>
        <x:v>1</x:v>
      </x:c>
      <x:c r="H631" s="46" t="n">
        <x:f>IF('Controls'!$D$7="Reference",1,IF(OR(AND(D631&gt;=14,D631&lt;=16),AND(D631&gt;=34,D631&lt;=35),AND(D631&gt;=61,D631&lt;=63)),'Paths'!$V$13,1))</x:f>
        <x:v>1</x:v>
      </x:c>
      <x:c r="I631" s="46" t="n">
        <x:f>'Paths'!$W$13</x:f>
        <x:v>0.82</x:v>
      </x:c>
      <x:c r="J631" s="47" t="n">
        <x:f>IF(D631&lt;E631,0,MIN(F631*G631*H631*I631,IF('Paths'!$T$13&gt;0,MAX(0,'Paths'!$T$13-K630),1000000000)))</x:f>
        <x:v>32800</x:v>
      </x:c>
      <x:c r="K631" s="47" t="n">
        <x:f>K630+J631</x:f>
        <x:v>2014740</x:v>
      </x:c>
      <x:c r="L631" s="46" t="n">
        <x:f>IF(C631="P0",1,IF(D631&lt;=3,0.8,IF(D631&lt;=14,0.65,IF(D631&lt;=45,0.5,0.3))))</x:f>
        <x:v>0.3</x:v>
      </x:c>
      <x:c r="M631" s="47" t="n">
        <x:f>J631*L631</x:f>
        <x:v>9840</x:v>
      </x:c>
      <x:c r="N631" s="47" t="n">
        <x:f>N630+M631</x:f>
        <x:v>818401</x:v>
      </x:c>
      <x:c r="O631" s="46" t="n">
        <x:f>IF(C631="P0",0,IF(D631&lt;=3,0.15,IF(D631&lt;=14,0.25,IF(D631&lt;=45,0.35,0.5))))</x:f>
        <x:v>0.5</x:v>
      </x:c>
      <x:c r="P631" s="47" t="n">
        <x:f>J631*O631</x:f>
        <x:v>16400</x:v>
      </x:c>
      <x:c r="Q631" s="46" t="n">
        <x:f>IF(C631="P0",0,IF(D631&lt;=3,0.05,IF(D631&lt;=14,0.1,IF(D631&lt;=45,0.15,0.2))))</x:f>
        <x:v>0.2</x:v>
      </x:c>
      <x:c r="R631" s="47" t="n">
        <x:f>J631*Q631</x:f>
        <x:v>6560</x:v>
      </x:c>
      <x:c r="S631" s="20" t="str">
        <x:f>IF(D631&lt;E631,"closed",IF(D631&lt;'Paths'!$N$13,"initial","expanded"))</x:f>
        <x:v>expanded</x:v>
      </x:c>
      <x:c r="T631" s="72"/>
    </x:row>
    <x:row r="632">
      <x:c r="C632" s="20" t="str">
        <x:v>P6</x:v>
      </x:c>
      <x:c r="D632" s="20" t="n">
        <x:v>79</x:v>
      </x:c>
      <x:c r="E632" s="45" t="n">
        <x:f>IF('Controls'!$D$7="Reference",'Paths'!$J$13,'Paths'!$K$13)</x:f>
        <x:v>8</x:v>
      </x:c>
      <x:c r="F632" s="47" t="n">
        <x:f>IF(D632&lt;'Paths'!$N$13,IF('Controls'!$D$7="Reference",'Paths'!$L$13,'Paths'!$M$13),IF('Controls'!$D$7="Reference",'Paths'!$O$13,'Paths'!$P$13))</x:f>
        <x:v>40000</x:v>
      </x:c>
      <x:c r="G632" s="46" t="n">
        <x:f>IF('Controls'!$D$7="Reference",1,IF(OR(D632=6,D632=7,D632=21,D632=46),'Paths'!$U$13,1))</x:f>
        <x:v>1</x:v>
      </x:c>
      <x:c r="H632" s="46" t="n">
        <x:f>IF('Controls'!$D$7="Reference",1,IF(OR(AND(D632&gt;=14,D632&lt;=16),AND(D632&gt;=34,D632&lt;=35),AND(D632&gt;=61,D632&lt;=63)),'Paths'!$V$13,1))</x:f>
        <x:v>1</x:v>
      </x:c>
      <x:c r="I632" s="46" t="n">
        <x:f>'Paths'!$W$13</x:f>
        <x:v>0.82</x:v>
      </x:c>
      <x:c r="J632" s="47" t="n">
        <x:f>IF(D632&lt;E632,0,MIN(F632*G632*H632*I632,IF('Paths'!$T$13&gt;0,MAX(0,'Paths'!$T$13-K631),1000000000)))</x:f>
        <x:v>32800</x:v>
      </x:c>
      <x:c r="K632" s="47" t="n">
        <x:f>K631+J632</x:f>
        <x:v>2047540</x:v>
      </x:c>
      <x:c r="L632" s="46" t="n">
        <x:f>IF(C632="P0",1,IF(D632&lt;=3,0.8,IF(D632&lt;=14,0.65,IF(D632&lt;=45,0.5,0.3))))</x:f>
        <x:v>0.3</x:v>
      </x:c>
      <x:c r="M632" s="47" t="n">
        <x:f>J632*L632</x:f>
        <x:v>9840</x:v>
      </x:c>
      <x:c r="N632" s="47" t="n">
        <x:f>N631+M632</x:f>
        <x:v>828241</x:v>
      </x:c>
      <x:c r="O632" s="46" t="n">
        <x:f>IF(C632="P0",0,IF(D632&lt;=3,0.15,IF(D632&lt;=14,0.25,IF(D632&lt;=45,0.35,0.5))))</x:f>
        <x:v>0.5</x:v>
      </x:c>
      <x:c r="P632" s="47" t="n">
        <x:f>J632*O632</x:f>
        <x:v>16400</x:v>
      </x:c>
      <x:c r="Q632" s="46" t="n">
        <x:f>IF(C632="P0",0,IF(D632&lt;=3,0.05,IF(D632&lt;=14,0.1,IF(D632&lt;=45,0.15,0.2))))</x:f>
        <x:v>0.2</x:v>
      </x:c>
      <x:c r="R632" s="47" t="n">
        <x:f>J632*Q632</x:f>
        <x:v>6560</x:v>
      </x:c>
      <x:c r="S632" s="20" t="str">
        <x:f>IF(D632&lt;E632,"closed",IF(D632&lt;'Paths'!$N$13,"initial","expanded"))</x:f>
        <x:v>expanded</x:v>
      </x:c>
      <x:c r="T632" s="72"/>
    </x:row>
    <x:row r="633">
      <x:c r="C633" s="20" t="str">
        <x:v>P6</x:v>
      </x:c>
      <x:c r="D633" s="20" t="n">
        <x:v>80</x:v>
      </x:c>
      <x:c r="E633" s="45" t="n">
        <x:f>IF('Controls'!$D$7="Reference",'Paths'!$J$13,'Paths'!$K$13)</x:f>
        <x:v>8</x:v>
      </x:c>
      <x:c r="F633" s="47" t="n">
        <x:f>IF(D633&lt;'Paths'!$N$13,IF('Controls'!$D$7="Reference",'Paths'!$L$13,'Paths'!$M$13),IF('Controls'!$D$7="Reference",'Paths'!$O$13,'Paths'!$P$13))</x:f>
        <x:v>40000</x:v>
      </x:c>
      <x:c r="G633" s="46" t="n">
        <x:f>IF('Controls'!$D$7="Reference",1,IF(OR(D633=6,D633=7,D633=21,D633=46),'Paths'!$U$13,1))</x:f>
        <x:v>1</x:v>
      </x:c>
      <x:c r="H633" s="46" t="n">
        <x:f>IF('Controls'!$D$7="Reference",1,IF(OR(AND(D633&gt;=14,D633&lt;=16),AND(D633&gt;=34,D633&lt;=35),AND(D633&gt;=61,D633&lt;=63)),'Paths'!$V$13,1))</x:f>
        <x:v>1</x:v>
      </x:c>
      <x:c r="I633" s="46" t="n">
        <x:f>'Paths'!$W$13</x:f>
        <x:v>0.82</x:v>
      </x:c>
      <x:c r="J633" s="47" t="n">
        <x:f>IF(D633&lt;E633,0,MIN(F633*G633*H633*I633,IF('Paths'!$T$13&gt;0,MAX(0,'Paths'!$T$13-K632),1000000000)))</x:f>
        <x:v>32800</x:v>
      </x:c>
      <x:c r="K633" s="47" t="n">
        <x:f>K632+J633</x:f>
        <x:v>2080340</x:v>
      </x:c>
      <x:c r="L633" s="46" t="n">
        <x:f>IF(C633="P0",1,IF(D633&lt;=3,0.8,IF(D633&lt;=14,0.65,IF(D633&lt;=45,0.5,0.3))))</x:f>
        <x:v>0.3</x:v>
      </x:c>
      <x:c r="M633" s="47" t="n">
        <x:f>J633*L633</x:f>
        <x:v>9840</x:v>
      </x:c>
      <x:c r="N633" s="47" t="n">
        <x:f>N632+M633</x:f>
        <x:v>838081</x:v>
      </x:c>
      <x:c r="O633" s="46" t="n">
        <x:f>IF(C633="P0",0,IF(D633&lt;=3,0.15,IF(D633&lt;=14,0.25,IF(D633&lt;=45,0.35,0.5))))</x:f>
        <x:v>0.5</x:v>
      </x:c>
      <x:c r="P633" s="47" t="n">
        <x:f>J633*O633</x:f>
        <x:v>16400</x:v>
      </x:c>
      <x:c r="Q633" s="46" t="n">
        <x:f>IF(C633="P0",0,IF(D633&lt;=3,0.05,IF(D633&lt;=14,0.1,IF(D633&lt;=45,0.15,0.2))))</x:f>
        <x:v>0.2</x:v>
      </x:c>
      <x:c r="R633" s="47" t="n">
        <x:f>J633*Q633</x:f>
        <x:v>6560</x:v>
      </x:c>
      <x:c r="S633" s="20" t="str">
        <x:f>IF(D633&lt;E633,"closed",IF(D633&lt;'Paths'!$N$13,"initial","expanded"))</x:f>
        <x:v>expanded</x:v>
      </x:c>
      <x:c r="T633" s="72"/>
    </x:row>
    <x:row r="634">
      <x:c r="C634" s="20" t="str">
        <x:v>P6</x:v>
      </x:c>
      <x:c r="D634" s="20" t="n">
        <x:v>81</x:v>
      </x:c>
      <x:c r="E634" s="45" t="n">
        <x:f>IF('Controls'!$D$7="Reference",'Paths'!$J$13,'Paths'!$K$13)</x:f>
        <x:v>8</x:v>
      </x:c>
      <x:c r="F634" s="47" t="n">
        <x:f>IF(D634&lt;'Paths'!$N$13,IF('Controls'!$D$7="Reference",'Paths'!$L$13,'Paths'!$M$13),IF('Controls'!$D$7="Reference",'Paths'!$O$13,'Paths'!$P$13))</x:f>
        <x:v>40000</x:v>
      </x:c>
      <x:c r="G634" s="46" t="n">
        <x:f>IF('Controls'!$D$7="Reference",1,IF(OR(D634=6,D634=7,D634=21,D634=46),'Paths'!$U$13,1))</x:f>
        <x:v>1</x:v>
      </x:c>
      <x:c r="H634" s="46" t="n">
        <x:f>IF('Controls'!$D$7="Reference",1,IF(OR(AND(D634&gt;=14,D634&lt;=16),AND(D634&gt;=34,D634&lt;=35),AND(D634&gt;=61,D634&lt;=63)),'Paths'!$V$13,1))</x:f>
        <x:v>1</x:v>
      </x:c>
      <x:c r="I634" s="46" t="n">
        <x:f>'Paths'!$W$13</x:f>
        <x:v>0.82</x:v>
      </x:c>
      <x:c r="J634" s="47" t="n">
        <x:f>IF(D634&lt;E634,0,MIN(F634*G634*H634*I634,IF('Paths'!$T$13&gt;0,MAX(0,'Paths'!$T$13-K633),1000000000)))</x:f>
        <x:v>32800</x:v>
      </x:c>
      <x:c r="K634" s="47" t="n">
        <x:f>K633+J634</x:f>
        <x:v>2113140</x:v>
      </x:c>
      <x:c r="L634" s="46" t="n">
        <x:f>IF(C634="P0",1,IF(D634&lt;=3,0.8,IF(D634&lt;=14,0.65,IF(D634&lt;=45,0.5,0.3))))</x:f>
        <x:v>0.3</x:v>
      </x:c>
      <x:c r="M634" s="47" t="n">
        <x:f>J634*L634</x:f>
        <x:v>9840</x:v>
      </x:c>
      <x:c r="N634" s="47" t="n">
        <x:f>N633+M634</x:f>
        <x:v>847921</x:v>
      </x:c>
      <x:c r="O634" s="46" t="n">
        <x:f>IF(C634="P0",0,IF(D634&lt;=3,0.15,IF(D634&lt;=14,0.25,IF(D634&lt;=45,0.35,0.5))))</x:f>
        <x:v>0.5</x:v>
      </x:c>
      <x:c r="P634" s="47" t="n">
        <x:f>J634*O634</x:f>
        <x:v>16400</x:v>
      </x:c>
      <x:c r="Q634" s="46" t="n">
        <x:f>IF(C634="P0",0,IF(D634&lt;=3,0.05,IF(D634&lt;=14,0.1,IF(D634&lt;=45,0.15,0.2))))</x:f>
        <x:v>0.2</x:v>
      </x:c>
      <x:c r="R634" s="47" t="n">
        <x:f>J634*Q634</x:f>
        <x:v>6560</x:v>
      </x:c>
      <x:c r="S634" s="20" t="str">
        <x:f>IF(D634&lt;E634,"closed",IF(D634&lt;'Paths'!$N$13,"initial","expanded"))</x:f>
        <x:v>expanded</x:v>
      </x:c>
      <x:c r="T634" s="72"/>
    </x:row>
    <x:row r="635">
      <x:c r="C635" s="20" t="str">
        <x:v>P6</x:v>
      </x:c>
      <x:c r="D635" s="20" t="n">
        <x:v>82</x:v>
      </x:c>
      <x:c r="E635" s="45" t="n">
        <x:f>IF('Controls'!$D$7="Reference",'Paths'!$J$13,'Paths'!$K$13)</x:f>
        <x:v>8</x:v>
      </x:c>
      <x:c r="F635" s="47" t="n">
        <x:f>IF(D635&lt;'Paths'!$N$13,IF('Controls'!$D$7="Reference",'Paths'!$L$13,'Paths'!$M$13),IF('Controls'!$D$7="Reference",'Paths'!$O$13,'Paths'!$P$13))</x:f>
        <x:v>40000</x:v>
      </x:c>
      <x:c r="G635" s="46" t="n">
        <x:f>IF('Controls'!$D$7="Reference",1,IF(OR(D635=6,D635=7,D635=21,D635=46),'Paths'!$U$13,1))</x:f>
        <x:v>1</x:v>
      </x:c>
      <x:c r="H635" s="46" t="n">
        <x:f>IF('Controls'!$D$7="Reference",1,IF(OR(AND(D635&gt;=14,D635&lt;=16),AND(D635&gt;=34,D635&lt;=35),AND(D635&gt;=61,D635&lt;=63)),'Paths'!$V$13,1))</x:f>
        <x:v>1</x:v>
      </x:c>
      <x:c r="I635" s="46" t="n">
        <x:f>'Paths'!$W$13</x:f>
        <x:v>0.82</x:v>
      </x:c>
      <x:c r="J635" s="47" t="n">
        <x:f>IF(D635&lt;E635,0,MIN(F635*G635*H635*I635,IF('Paths'!$T$13&gt;0,MAX(0,'Paths'!$T$13-K634),1000000000)))</x:f>
        <x:v>32800</x:v>
      </x:c>
      <x:c r="K635" s="47" t="n">
        <x:f>K634+J635</x:f>
        <x:v>2145940</x:v>
      </x:c>
      <x:c r="L635" s="46" t="n">
        <x:f>IF(C635="P0",1,IF(D635&lt;=3,0.8,IF(D635&lt;=14,0.65,IF(D635&lt;=45,0.5,0.3))))</x:f>
        <x:v>0.3</x:v>
      </x:c>
      <x:c r="M635" s="47" t="n">
        <x:f>J635*L635</x:f>
        <x:v>9840</x:v>
      </x:c>
      <x:c r="N635" s="47" t="n">
        <x:f>N634+M635</x:f>
        <x:v>857761</x:v>
      </x:c>
      <x:c r="O635" s="46" t="n">
        <x:f>IF(C635="P0",0,IF(D635&lt;=3,0.15,IF(D635&lt;=14,0.25,IF(D635&lt;=45,0.35,0.5))))</x:f>
        <x:v>0.5</x:v>
      </x:c>
      <x:c r="P635" s="47" t="n">
        <x:f>J635*O635</x:f>
        <x:v>16400</x:v>
      </x:c>
      <x:c r="Q635" s="46" t="n">
        <x:f>IF(C635="P0",0,IF(D635&lt;=3,0.05,IF(D635&lt;=14,0.1,IF(D635&lt;=45,0.15,0.2))))</x:f>
        <x:v>0.2</x:v>
      </x:c>
      <x:c r="R635" s="47" t="n">
        <x:f>J635*Q635</x:f>
        <x:v>6560</x:v>
      </x:c>
      <x:c r="S635" s="20" t="str">
        <x:f>IF(D635&lt;E635,"closed",IF(D635&lt;'Paths'!$N$13,"initial","expanded"))</x:f>
        <x:v>expanded</x:v>
      </x:c>
      <x:c r="T635" s="72"/>
    </x:row>
    <x:row r="636">
      <x:c r="C636" s="20" t="str">
        <x:v>P6</x:v>
      </x:c>
      <x:c r="D636" s="20" t="n">
        <x:v>83</x:v>
      </x:c>
      <x:c r="E636" s="45" t="n">
        <x:f>IF('Controls'!$D$7="Reference",'Paths'!$J$13,'Paths'!$K$13)</x:f>
        <x:v>8</x:v>
      </x:c>
      <x:c r="F636" s="47" t="n">
        <x:f>IF(D636&lt;'Paths'!$N$13,IF('Controls'!$D$7="Reference",'Paths'!$L$13,'Paths'!$M$13),IF('Controls'!$D$7="Reference",'Paths'!$O$13,'Paths'!$P$13))</x:f>
        <x:v>40000</x:v>
      </x:c>
      <x:c r="G636" s="46" t="n">
        <x:f>IF('Controls'!$D$7="Reference",1,IF(OR(D636=6,D636=7,D636=21,D636=46),'Paths'!$U$13,1))</x:f>
        <x:v>1</x:v>
      </x:c>
      <x:c r="H636" s="46" t="n">
        <x:f>IF('Controls'!$D$7="Reference",1,IF(OR(AND(D636&gt;=14,D636&lt;=16),AND(D636&gt;=34,D636&lt;=35),AND(D636&gt;=61,D636&lt;=63)),'Paths'!$V$13,1))</x:f>
        <x:v>1</x:v>
      </x:c>
      <x:c r="I636" s="46" t="n">
        <x:f>'Paths'!$W$13</x:f>
        <x:v>0.82</x:v>
      </x:c>
      <x:c r="J636" s="47" t="n">
        <x:f>IF(D636&lt;E636,0,MIN(F636*G636*H636*I636,IF('Paths'!$T$13&gt;0,MAX(0,'Paths'!$T$13-K635),1000000000)))</x:f>
        <x:v>32800</x:v>
      </x:c>
      <x:c r="K636" s="47" t="n">
        <x:f>K635+J636</x:f>
        <x:v>2178740</x:v>
      </x:c>
      <x:c r="L636" s="46" t="n">
        <x:f>IF(C636="P0",1,IF(D636&lt;=3,0.8,IF(D636&lt;=14,0.65,IF(D636&lt;=45,0.5,0.3))))</x:f>
        <x:v>0.3</x:v>
      </x:c>
      <x:c r="M636" s="47" t="n">
        <x:f>J636*L636</x:f>
        <x:v>9840</x:v>
      </x:c>
      <x:c r="N636" s="47" t="n">
        <x:f>N635+M636</x:f>
        <x:v>867601</x:v>
      </x:c>
      <x:c r="O636" s="46" t="n">
        <x:f>IF(C636="P0",0,IF(D636&lt;=3,0.15,IF(D636&lt;=14,0.25,IF(D636&lt;=45,0.35,0.5))))</x:f>
        <x:v>0.5</x:v>
      </x:c>
      <x:c r="P636" s="47" t="n">
        <x:f>J636*O636</x:f>
        <x:v>16400</x:v>
      </x:c>
      <x:c r="Q636" s="46" t="n">
        <x:f>IF(C636="P0",0,IF(D636&lt;=3,0.05,IF(D636&lt;=14,0.1,IF(D636&lt;=45,0.15,0.2))))</x:f>
        <x:v>0.2</x:v>
      </x:c>
      <x:c r="R636" s="47" t="n">
        <x:f>J636*Q636</x:f>
        <x:v>6560</x:v>
      </x:c>
      <x:c r="S636" s="20" t="str">
        <x:f>IF(D636&lt;E636,"closed",IF(D636&lt;'Paths'!$N$13,"initial","expanded"))</x:f>
        <x:v>expanded</x:v>
      </x:c>
      <x:c r="T636" s="72"/>
    </x:row>
    <x:row r="637">
      <x:c r="C637" s="20" t="str">
        <x:v>P6</x:v>
      </x:c>
      <x:c r="D637" s="20" t="n">
        <x:v>84</x:v>
      </x:c>
      <x:c r="E637" s="45" t="n">
        <x:f>IF('Controls'!$D$7="Reference",'Paths'!$J$13,'Paths'!$K$13)</x:f>
        <x:v>8</x:v>
      </x:c>
      <x:c r="F637" s="47" t="n">
        <x:f>IF(D637&lt;'Paths'!$N$13,IF('Controls'!$D$7="Reference",'Paths'!$L$13,'Paths'!$M$13),IF('Controls'!$D$7="Reference",'Paths'!$O$13,'Paths'!$P$13))</x:f>
        <x:v>40000</x:v>
      </x:c>
      <x:c r="G637" s="46" t="n">
        <x:f>IF('Controls'!$D$7="Reference",1,IF(OR(D637=6,D637=7,D637=21,D637=46),'Paths'!$U$13,1))</x:f>
        <x:v>1</x:v>
      </x:c>
      <x:c r="H637" s="46" t="n">
        <x:f>IF('Controls'!$D$7="Reference",1,IF(OR(AND(D637&gt;=14,D637&lt;=16),AND(D637&gt;=34,D637&lt;=35),AND(D637&gt;=61,D637&lt;=63)),'Paths'!$V$13,1))</x:f>
        <x:v>1</x:v>
      </x:c>
      <x:c r="I637" s="46" t="n">
        <x:f>'Paths'!$W$13</x:f>
        <x:v>0.82</x:v>
      </x:c>
      <x:c r="J637" s="47" t="n">
        <x:f>IF(D637&lt;E637,0,MIN(F637*G637*H637*I637,IF('Paths'!$T$13&gt;0,MAX(0,'Paths'!$T$13-K636),1000000000)))</x:f>
        <x:v>32800</x:v>
      </x:c>
      <x:c r="K637" s="47" t="n">
        <x:f>K636+J637</x:f>
        <x:v>2211540</x:v>
      </x:c>
      <x:c r="L637" s="46" t="n">
        <x:f>IF(C637="P0",1,IF(D637&lt;=3,0.8,IF(D637&lt;=14,0.65,IF(D637&lt;=45,0.5,0.3))))</x:f>
        <x:v>0.3</x:v>
      </x:c>
      <x:c r="M637" s="47" t="n">
        <x:f>J637*L637</x:f>
        <x:v>9840</x:v>
      </x:c>
      <x:c r="N637" s="47" t="n">
        <x:f>N636+M637</x:f>
        <x:v>877441</x:v>
      </x:c>
      <x:c r="O637" s="46" t="n">
        <x:f>IF(C637="P0",0,IF(D637&lt;=3,0.15,IF(D637&lt;=14,0.25,IF(D637&lt;=45,0.35,0.5))))</x:f>
        <x:v>0.5</x:v>
      </x:c>
      <x:c r="P637" s="47" t="n">
        <x:f>J637*O637</x:f>
        <x:v>16400</x:v>
      </x:c>
      <x:c r="Q637" s="46" t="n">
        <x:f>IF(C637="P0",0,IF(D637&lt;=3,0.05,IF(D637&lt;=14,0.1,IF(D637&lt;=45,0.15,0.2))))</x:f>
        <x:v>0.2</x:v>
      </x:c>
      <x:c r="R637" s="47" t="n">
        <x:f>J637*Q637</x:f>
        <x:v>6560</x:v>
      </x:c>
      <x:c r="S637" s="20" t="str">
        <x:f>IF(D637&lt;E637,"closed",IF(D637&lt;'Paths'!$N$13,"initial","expanded"))</x:f>
        <x:v>expanded</x:v>
      </x:c>
      <x:c r="T637" s="72"/>
    </x:row>
    <x:row r="638">
      <x:c r="C638" s="20" t="str">
        <x:v>P6</x:v>
      </x:c>
      <x:c r="D638" s="20" t="n">
        <x:v>85</x:v>
      </x:c>
      <x:c r="E638" s="45" t="n">
        <x:f>IF('Controls'!$D$7="Reference",'Paths'!$J$13,'Paths'!$K$13)</x:f>
        <x:v>8</x:v>
      </x:c>
      <x:c r="F638" s="47" t="n">
        <x:f>IF(D638&lt;'Paths'!$N$13,IF('Controls'!$D$7="Reference",'Paths'!$L$13,'Paths'!$M$13),IF('Controls'!$D$7="Reference",'Paths'!$O$13,'Paths'!$P$13))</x:f>
        <x:v>40000</x:v>
      </x:c>
      <x:c r="G638" s="46" t="n">
        <x:f>IF('Controls'!$D$7="Reference",1,IF(OR(D638=6,D638=7,D638=21,D638=46),'Paths'!$U$13,1))</x:f>
        <x:v>1</x:v>
      </x:c>
      <x:c r="H638" s="46" t="n">
        <x:f>IF('Controls'!$D$7="Reference",1,IF(OR(AND(D638&gt;=14,D638&lt;=16),AND(D638&gt;=34,D638&lt;=35),AND(D638&gt;=61,D638&lt;=63)),'Paths'!$V$13,1))</x:f>
        <x:v>1</x:v>
      </x:c>
      <x:c r="I638" s="46" t="n">
        <x:f>'Paths'!$W$13</x:f>
        <x:v>0.82</x:v>
      </x:c>
      <x:c r="J638" s="47" t="n">
        <x:f>IF(D638&lt;E638,0,MIN(F638*G638*H638*I638,IF('Paths'!$T$13&gt;0,MAX(0,'Paths'!$T$13-K637),1000000000)))</x:f>
        <x:v>32800</x:v>
      </x:c>
      <x:c r="K638" s="47" t="n">
        <x:f>K637+J638</x:f>
        <x:v>2244340</x:v>
      </x:c>
      <x:c r="L638" s="46" t="n">
        <x:f>IF(C638="P0",1,IF(D638&lt;=3,0.8,IF(D638&lt;=14,0.65,IF(D638&lt;=45,0.5,0.3))))</x:f>
        <x:v>0.3</x:v>
      </x:c>
      <x:c r="M638" s="47" t="n">
        <x:f>J638*L638</x:f>
        <x:v>9840</x:v>
      </x:c>
      <x:c r="N638" s="47" t="n">
        <x:f>N637+M638</x:f>
        <x:v>887281</x:v>
      </x:c>
      <x:c r="O638" s="46" t="n">
        <x:f>IF(C638="P0",0,IF(D638&lt;=3,0.15,IF(D638&lt;=14,0.25,IF(D638&lt;=45,0.35,0.5))))</x:f>
        <x:v>0.5</x:v>
      </x:c>
      <x:c r="P638" s="47" t="n">
        <x:f>J638*O638</x:f>
        <x:v>16400</x:v>
      </x:c>
      <x:c r="Q638" s="46" t="n">
        <x:f>IF(C638="P0",0,IF(D638&lt;=3,0.05,IF(D638&lt;=14,0.1,IF(D638&lt;=45,0.15,0.2))))</x:f>
        <x:v>0.2</x:v>
      </x:c>
      <x:c r="R638" s="47" t="n">
        <x:f>J638*Q638</x:f>
        <x:v>6560</x:v>
      </x:c>
      <x:c r="S638" s="20" t="str">
        <x:f>IF(D638&lt;E638,"closed",IF(D638&lt;'Paths'!$N$13,"initial","expanded"))</x:f>
        <x:v>expanded</x:v>
      </x:c>
      <x:c r="T638" s="72"/>
    </x:row>
    <x:row r="639">
      <x:c r="C639" s="20" t="str">
        <x:v>P6</x:v>
      </x:c>
      <x:c r="D639" s="20" t="n">
        <x:v>86</x:v>
      </x:c>
      <x:c r="E639" s="45" t="n">
        <x:f>IF('Controls'!$D$7="Reference",'Paths'!$J$13,'Paths'!$K$13)</x:f>
        <x:v>8</x:v>
      </x:c>
      <x:c r="F639" s="47" t="n">
        <x:f>IF(D639&lt;'Paths'!$N$13,IF('Controls'!$D$7="Reference",'Paths'!$L$13,'Paths'!$M$13),IF('Controls'!$D$7="Reference",'Paths'!$O$13,'Paths'!$P$13))</x:f>
        <x:v>40000</x:v>
      </x:c>
      <x:c r="G639" s="46" t="n">
        <x:f>IF('Controls'!$D$7="Reference",1,IF(OR(D639=6,D639=7,D639=21,D639=46),'Paths'!$U$13,1))</x:f>
        <x:v>1</x:v>
      </x:c>
      <x:c r="H639" s="46" t="n">
        <x:f>IF('Controls'!$D$7="Reference",1,IF(OR(AND(D639&gt;=14,D639&lt;=16),AND(D639&gt;=34,D639&lt;=35),AND(D639&gt;=61,D639&lt;=63)),'Paths'!$V$13,1))</x:f>
        <x:v>1</x:v>
      </x:c>
      <x:c r="I639" s="46" t="n">
        <x:f>'Paths'!$W$13</x:f>
        <x:v>0.82</x:v>
      </x:c>
      <x:c r="J639" s="47" t="n">
        <x:f>IF(D639&lt;E639,0,MIN(F639*G639*H639*I639,IF('Paths'!$T$13&gt;0,MAX(0,'Paths'!$T$13-K638),1000000000)))</x:f>
        <x:v>32800</x:v>
      </x:c>
      <x:c r="K639" s="47" t="n">
        <x:f>K638+J639</x:f>
        <x:v>2277140</x:v>
      </x:c>
      <x:c r="L639" s="46" t="n">
        <x:f>IF(C639="P0",1,IF(D639&lt;=3,0.8,IF(D639&lt;=14,0.65,IF(D639&lt;=45,0.5,0.3))))</x:f>
        <x:v>0.3</x:v>
      </x:c>
      <x:c r="M639" s="47" t="n">
        <x:f>J639*L639</x:f>
        <x:v>9840</x:v>
      </x:c>
      <x:c r="N639" s="47" t="n">
        <x:f>N638+M639</x:f>
        <x:v>897121</x:v>
      </x:c>
      <x:c r="O639" s="46" t="n">
        <x:f>IF(C639="P0",0,IF(D639&lt;=3,0.15,IF(D639&lt;=14,0.25,IF(D639&lt;=45,0.35,0.5))))</x:f>
        <x:v>0.5</x:v>
      </x:c>
      <x:c r="P639" s="47" t="n">
        <x:f>J639*O639</x:f>
        <x:v>16400</x:v>
      </x:c>
      <x:c r="Q639" s="46" t="n">
        <x:f>IF(C639="P0",0,IF(D639&lt;=3,0.05,IF(D639&lt;=14,0.1,IF(D639&lt;=45,0.15,0.2))))</x:f>
        <x:v>0.2</x:v>
      </x:c>
      <x:c r="R639" s="47" t="n">
        <x:f>J639*Q639</x:f>
        <x:v>6560</x:v>
      </x:c>
      <x:c r="S639" s="20" t="str">
        <x:f>IF(D639&lt;E639,"closed",IF(D639&lt;'Paths'!$N$13,"initial","expanded"))</x:f>
        <x:v>expanded</x:v>
      </x:c>
      <x:c r="T639" s="72"/>
    </x:row>
    <x:row r="640">
      <x:c r="C640" s="20" t="str">
        <x:v>P6</x:v>
      </x:c>
      <x:c r="D640" s="20" t="n">
        <x:v>87</x:v>
      </x:c>
      <x:c r="E640" s="45" t="n">
        <x:f>IF('Controls'!$D$7="Reference",'Paths'!$J$13,'Paths'!$K$13)</x:f>
        <x:v>8</x:v>
      </x:c>
      <x:c r="F640" s="47" t="n">
        <x:f>IF(D640&lt;'Paths'!$N$13,IF('Controls'!$D$7="Reference",'Paths'!$L$13,'Paths'!$M$13),IF('Controls'!$D$7="Reference",'Paths'!$O$13,'Paths'!$P$13))</x:f>
        <x:v>40000</x:v>
      </x:c>
      <x:c r="G640" s="46" t="n">
        <x:f>IF('Controls'!$D$7="Reference",1,IF(OR(D640=6,D640=7,D640=21,D640=46),'Paths'!$U$13,1))</x:f>
        <x:v>1</x:v>
      </x:c>
      <x:c r="H640" s="46" t="n">
        <x:f>IF('Controls'!$D$7="Reference",1,IF(OR(AND(D640&gt;=14,D640&lt;=16),AND(D640&gt;=34,D640&lt;=35),AND(D640&gt;=61,D640&lt;=63)),'Paths'!$V$13,1))</x:f>
        <x:v>1</x:v>
      </x:c>
      <x:c r="I640" s="46" t="n">
        <x:f>'Paths'!$W$13</x:f>
        <x:v>0.82</x:v>
      </x:c>
      <x:c r="J640" s="47" t="n">
        <x:f>IF(D640&lt;E640,0,MIN(F640*G640*H640*I640,IF('Paths'!$T$13&gt;0,MAX(0,'Paths'!$T$13-K639),1000000000)))</x:f>
        <x:v>32800</x:v>
      </x:c>
      <x:c r="K640" s="47" t="n">
        <x:f>K639+J640</x:f>
        <x:v>2309940</x:v>
      </x:c>
      <x:c r="L640" s="46" t="n">
        <x:f>IF(C640="P0",1,IF(D640&lt;=3,0.8,IF(D640&lt;=14,0.65,IF(D640&lt;=45,0.5,0.3))))</x:f>
        <x:v>0.3</x:v>
      </x:c>
      <x:c r="M640" s="47" t="n">
        <x:f>J640*L640</x:f>
        <x:v>9840</x:v>
      </x:c>
      <x:c r="N640" s="47" t="n">
        <x:f>N639+M640</x:f>
        <x:v>906961</x:v>
      </x:c>
      <x:c r="O640" s="46" t="n">
        <x:f>IF(C640="P0",0,IF(D640&lt;=3,0.15,IF(D640&lt;=14,0.25,IF(D640&lt;=45,0.35,0.5))))</x:f>
        <x:v>0.5</x:v>
      </x:c>
      <x:c r="P640" s="47" t="n">
        <x:f>J640*O640</x:f>
        <x:v>16400</x:v>
      </x:c>
      <x:c r="Q640" s="46" t="n">
        <x:f>IF(C640="P0",0,IF(D640&lt;=3,0.05,IF(D640&lt;=14,0.1,IF(D640&lt;=45,0.15,0.2))))</x:f>
        <x:v>0.2</x:v>
      </x:c>
      <x:c r="R640" s="47" t="n">
        <x:f>J640*Q640</x:f>
        <x:v>6560</x:v>
      </x:c>
      <x:c r="S640" s="20" t="str">
        <x:f>IF(D640&lt;E640,"closed",IF(D640&lt;'Paths'!$N$13,"initial","expanded"))</x:f>
        <x:v>expanded</x:v>
      </x:c>
      <x:c r="T640" s="72"/>
    </x:row>
    <x:row r="641">
      <x:c r="C641" s="20" t="str">
        <x:v>P6</x:v>
      </x:c>
      <x:c r="D641" s="20" t="n">
        <x:v>88</x:v>
      </x:c>
      <x:c r="E641" s="45" t="n">
        <x:f>IF('Controls'!$D$7="Reference",'Paths'!$J$13,'Paths'!$K$13)</x:f>
        <x:v>8</x:v>
      </x:c>
      <x:c r="F641" s="47" t="n">
        <x:f>IF(D641&lt;'Paths'!$N$13,IF('Controls'!$D$7="Reference",'Paths'!$L$13,'Paths'!$M$13),IF('Controls'!$D$7="Reference",'Paths'!$O$13,'Paths'!$P$13))</x:f>
        <x:v>40000</x:v>
      </x:c>
      <x:c r="G641" s="46" t="n">
        <x:f>IF('Controls'!$D$7="Reference",1,IF(OR(D641=6,D641=7,D641=21,D641=46),'Paths'!$U$13,1))</x:f>
        <x:v>1</x:v>
      </x:c>
      <x:c r="H641" s="46" t="n">
        <x:f>IF('Controls'!$D$7="Reference",1,IF(OR(AND(D641&gt;=14,D641&lt;=16),AND(D641&gt;=34,D641&lt;=35),AND(D641&gt;=61,D641&lt;=63)),'Paths'!$V$13,1))</x:f>
        <x:v>1</x:v>
      </x:c>
      <x:c r="I641" s="46" t="n">
        <x:f>'Paths'!$W$13</x:f>
        <x:v>0.82</x:v>
      </x:c>
      <x:c r="J641" s="47" t="n">
        <x:f>IF(D641&lt;E641,0,MIN(F641*G641*H641*I641,IF('Paths'!$T$13&gt;0,MAX(0,'Paths'!$T$13-K640),1000000000)))</x:f>
        <x:v>32800</x:v>
      </x:c>
      <x:c r="K641" s="47" t="n">
        <x:f>K640+J641</x:f>
        <x:v>2342740</x:v>
      </x:c>
      <x:c r="L641" s="46" t="n">
        <x:f>IF(C641="P0",1,IF(D641&lt;=3,0.8,IF(D641&lt;=14,0.65,IF(D641&lt;=45,0.5,0.3))))</x:f>
        <x:v>0.3</x:v>
      </x:c>
      <x:c r="M641" s="47" t="n">
        <x:f>J641*L641</x:f>
        <x:v>9840</x:v>
      </x:c>
      <x:c r="N641" s="47" t="n">
        <x:f>N640+M641</x:f>
        <x:v>916801</x:v>
      </x:c>
      <x:c r="O641" s="46" t="n">
        <x:f>IF(C641="P0",0,IF(D641&lt;=3,0.15,IF(D641&lt;=14,0.25,IF(D641&lt;=45,0.35,0.5))))</x:f>
        <x:v>0.5</x:v>
      </x:c>
      <x:c r="P641" s="47" t="n">
        <x:f>J641*O641</x:f>
        <x:v>16400</x:v>
      </x:c>
      <x:c r="Q641" s="46" t="n">
        <x:f>IF(C641="P0",0,IF(D641&lt;=3,0.05,IF(D641&lt;=14,0.1,IF(D641&lt;=45,0.15,0.2))))</x:f>
        <x:v>0.2</x:v>
      </x:c>
      <x:c r="R641" s="47" t="n">
        <x:f>J641*Q641</x:f>
        <x:v>6560</x:v>
      </x:c>
      <x:c r="S641" s="20" t="str">
        <x:f>IF(D641&lt;E641,"closed",IF(D641&lt;'Paths'!$N$13,"initial","expanded"))</x:f>
        <x:v>expanded</x:v>
      </x:c>
      <x:c r="T641" s="72"/>
    </x:row>
    <x:row r="642">
      <x:c r="C642" s="20" t="str">
        <x:v>P6</x:v>
      </x:c>
      <x:c r="D642" s="20" t="n">
        <x:v>89</x:v>
      </x:c>
      <x:c r="E642" s="45" t="n">
        <x:f>IF('Controls'!$D$7="Reference",'Paths'!$J$13,'Paths'!$K$13)</x:f>
        <x:v>8</x:v>
      </x:c>
      <x:c r="F642" s="47" t="n">
        <x:f>IF(D642&lt;'Paths'!$N$13,IF('Controls'!$D$7="Reference",'Paths'!$L$13,'Paths'!$M$13),IF('Controls'!$D$7="Reference",'Paths'!$O$13,'Paths'!$P$13))</x:f>
        <x:v>40000</x:v>
      </x:c>
      <x:c r="G642" s="46" t="n">
        <x:f>IF('Controls'!$D$7="Reference",1,IF(OR(D642=6,D642=7,D642=21,D642=46),'Paths'!$U$13,1))</x:f>
        <x:v>1</x:v>
      </x:c>
      <x:c r="H642" s="46" t="n">
        <x:f>IF('Controls'!$D$7="Reference",1,IF(OR(AND(D642&gt;=14,D642&lt;=16),AND(D642&gt;=34,D642&lt;=35),AND(D642&gt;=61,D642&lt;=63)),'Paths'!$V$13,1))</x:f>
        <x:v>1</x:v>
      </x:c>
      <x:c r="I642" s="46" t="n">
        <x:f>'Paths'!$W$13</x:f>
        <x:v>0.82</x:v>
      </x:c>
      <x:c r="J642" s="47" t="n">
        <x:f>IF(D642&lt;E642,0,MIN(F642*G642*H642*I642,IF('Paths'!$T$13&gt;0,MAX(0,'Paths'!$T$13-K641),1000000000)))</x:f>
        <x:v>32800</x:v>
      </x:c>
      <x:c r="K642" s="47" t="n">
        <x:f>K641+J642</x:f>
        <x:v>2375540</x:v>
      </x:c>
      <x:c r="L642" s="46" t="n">
        <x:f>IF(C642="P0",1,IF(D642&lt;=3,0.8,IF(D642&lt;=14,0.65,IF(D642&lt;=45,0.5,0.3))))</x:f>
        <x:v>0.3</x:v>
      </x:c>
      <x:c r="M642" s="47" t="n">
        <x:f>J642*L642</x:f>
        <x:v>9840</x:v>
      </x:c>
      <x:c r="N642" s="47" t="n">
        <x:f>N641+M642</x:f>
        <x:v>926641</x:v>
      </x:c>
      <x:c r="O642" s="46" t="n">
        <x:f>IF(C642="P0",0,IF(D642&lt;=3,0.15,IF(D642&lt;=14,0.25,IF(D642&lt;=45,0.35,0.5))))</x:f>
        <x:v>0.5</x:v>
      </x:c>
      <x:c r="P642" s="47" t="n">
        <x:f>J642*O642</x:f>
        <x:v>16400</x:v>
      </x:c>
      <x:c r="Q642" s="46" t="n">
        <x:f>IF(C642="P0",0,IF(D642&lt;=3,0.05,IF(D642&lt;=14,0.1,IF(D642&lt;=45,0.15,0.2))))</x:f>
        <x:v>0.2</x:v>
      </x:c>
      <x:c r="R642" s="47" t="n">
        <x:f>J642*Q642</x:f>
        <x:v>6560</x:v>
      </x:c>
      <x:c r="S642" s="20" t="str">
        <x:f>IF(D642&lt;E642,"closed",IF(D642&lt;'Paths'!$N$13,"initial","expanded"))</x:f>
        <x:v>expanded</x:v>
      </x:c>
      <x:c r="T642" s="72"/>
    </x:row>
    <x:row r="643">
      <x:c r="C643" s="20" t="str">
        <x:v>P6</x:v>
      </x:c>
      <x:c r="D643" s="20" t="n">
        <x:v>90</x:v>
      </x:c>
      <x:c r="E643" s="45" t="n">
        <x:f>IF('Controls'!$D$7="Reference",'Paths'!$J$13,'Paths'!$K$13)</x:f>
        <x:v>8</x:v>
      </x:c>
      <x:c r="F643" s="47" t="n">
        <x:f>IF(D643&lt;'Paths'!$N$13,IF('Controls'!$D$7="Reference",'Paths'!$L$13,'Paths'!$M$13),IF('Controls'!$D$7="Reference",'Paths'!$O$13,'Paths'!$P$13))</x:f>
        <x:v>40000</x:v>
      </x:c>
      <x:c r="G643" s="46" t="n">
        <x:f>IF('Controls'!$D$7="Reference",1,IF(OR(D643=6,D643=7,D643=21,D643=46),'Paths'!$U$13,1))</x:f>
        <x:v>1</x:v>
      </x:c>
      <x:c r="H643" s="46" t="n">
        <x:f>IF('Controls'!$D$7="Reference",1,IF(OR(AND(D643&gt;=14,D643&lt;=16),AND(D643&gt;=34,D643&lt;=35),AND(D643&gt;=61,D643&lt;=63)),'Paths'!$V$13,1))</x:f>
        <x:v>1</x:v>
      </x:c>
      <x:c r="I643" s="46" t="n">
        <x:f>'Paths'!$W$13</x:f>
        <x:v>0.82</x:v>
      </x:c>
      <x:c r="J643" s="47" t="n">
        <x:f>IF(D643&lt;E643,0,MIN(F643*G643*H643*I643,IF('Paths'!$T$13&gt;0,MAX(0,'Paths'!$T$13-K642),1000000000)))</x:f>
        <x:v>32800</x:v>
      </x:c>
      <x:c r="K643" s="47" t="n">
        <x:f>K642+J643</x:f>
        <x:v>2408340</x:v>
      </x:c>
      <x:c r="L643" s="46" t="n">
        <x:f>IF(C643="P0",1,IF(D643&lt;=3,0.8,IF(D643&lt;=14,0.65,IF(D643&lt;=45,0.5,0.3))))</x:f>
        <x:v>0.3</x:v>
      </x:c>
      <x:c r="M643" s="47" t="n">
        <x:f>J643*L643</x:f>
        <x:v>9840</x:v>
      </x:c>
      <x:c r="N643" s="47" t="n">
        <x:f>N642+M643</x:f>
        <x:v>936481</x:v>
      </x:c>
      <x:c r="O643" s="46" t="n">
        <x:f>IF(C643="P0",0,IF(D643&lt;=3,0.15,IF(D643&lt;=14,0.25,IF(D643&lt;=45,0.35,0.5))))</x:f>
        <x:v>0.5</x:v>
      </x:c>
      <x:c r="P643" s="47" t="n">
        <x:f>J643*O643</x:f>
        <x:v>16400</x:v>
      </x:c>
      <x:c r="Q643" s="46" t="n">
        <x:f>IF(C643="P0",0,IF(D643&lt;=3,0.05,IF(D643&lt;=14,0.1,IF(D643&lt;=45,0.15,0.2))))</x:f>
        <x:v>0.2</x:v>
      </x:c>
      <x:c r="R643" s="47" t="n">
        <x:f>J643*Q643</x:f>
        <x:v>6560</x:v>
      </x:c>
      <x:c r="S643" s="20" t="str">
        <x:f>IF(D643&lt;E643,"closed",IF(D643&lt;'Paths'!$N$13,"initial","expanded"))</x:f>
        <x:v>expanded</x:v>
      </x:c>
      <x:c r="T643" s="72"/>
    </x:row>
    <x:row r="644">
      <x:c r="C644" s="20" t="str">
        <x:v>P7</x:v>
      </x:c>
      <x:c r="D644" s="20" t="n">
        <x:v>0</x:v>
      </x:c>
      <x:c r="E644" s="45" t="n">
        <x:f>IF('Controls'!$D$7="Reference",'Paths'!$J$14,'Paths'!$K$14)</x:f>
        <x:v>6</x:v>
      </x:c>
      <x:c r="F644" s="47" t="n">
        <x:f>IF(D644&lt;'Paths'!$N$14,IF('Controls'!$D$7="Reference",'Paths'!$L$14,'Paths'!$M$14),IF('Controls'!$D$7="Reference",'Paths'!$O$14,'Paths'!$P$14))</x:f>
        <x:v>18000</x:v>
      </x:c>
      <x:c r="G644" s="46" t="n">
        <x:f>IF('Controls'!$D$7="Reference",1,IF(OR(D644=6,D644=7,D644=21,D644=46),'Paths'!$U$14,1))</x:f>
        <x:v>1</x:v>
      </x:c>
      <x:c r="H644" s="46" t="n">
        <x:f>IF('Controls'!$D$7="Reference",1,IF(OR(AND(D644&gt;=14,D644&lt;=16),AND(D644&gt;=34,D644&lt;=35),AND(D644&gt;=61,D644&lt;=63)),'Paths'!$V$14,1))</x:f>
        <x:v>1</x:v>
      </x:c>
      <x:c r="I644" s="46" t="n">
        <x:f>'Paths'!$W$14</x:f>
        <x:v>0.88</x:v>
      </x:c>
      <x:c r="J644" s="47" t="n">
        <x:f>IF(D644&lt;E644,0,MIN(F644*G644*H644*I644,IF('Paths'!$T$14&gt;0,MAX(0,'Paths'!$T$14-0),1000000000)))</x:f>
        <x:v>0</x:v>
      </x:c>
      <x:c r="K644" s="47" t="n">
        <x:f>0+J644</x:f>
        <x:v>0</x:v>
      </x:c>
      <x:c r="L644" s="46" t="n">
        <x:f>IF(C644="P0",1,IF(D644&lt;=3,0.8,IF(D644&lt;=14,0.65,IF(D644&lt;=45,0.5,0.3))))</x:f>
        <x:v>0.8</x:v>
      </x:c>
      <x:c r="M644" s="47" t="n">
        <x:f>J644*L644</x:f>
        <x:v>0</x:v>
      </x:c>
      <x:c r="N644" s="47" t="n">
        <x:f>0+M644</x:f>
        <x:v>0</x:v>
      </x:c>
      <x:c r="O644" s="46" t="n">
        <x:f>IF(C644="P0",0,IF(D644&lt;=3,0.15,IF(D644&lt;=14,0.25,IF(D644&lt;=45,0.35,0.5))))</x:f>
        <x:v>0.15</x:v>
      </x:c>
      <x:c r="P644" s="47" t="n">
        <x:f>J644*O644</x:f>
        <x:v>0</x:v>
      </x:c>
      <x:c r="Q644" s="46" t="n">
        <x:f>IF(C644="P0",0,IF(D644&lt;=3,0.05,IF(D644&lt;=14,0.1,IF(D644&lt;=45,0.15,0.2))))</x:f>
        <x:v>0.05</x:v>
      </x:c>
      <x:c r="R644" s="47" t="n">
        <x:f>J644*Q644</x:f>
        <x:v>0</x:v>
      </x:c>
      <x:c r="S644" s="20" t="str">
        <x:f>IF(D644&lt;E644,"closed",IF(D644&lt;'Paths'!$N$14,"initial","expanded"))</x:f>
        <x:v>closed</x:v>
      </x:c>
      <x:c r="T644" s="72"/>
    </x:row>
    <x:row r="645">
      <x:c r="C645" s="20" t="str">
        <x:v>P7</x:v>
      </x:c>
      <x:c r="D645" s="20" t="n">
        <x:v>1</x:v>
      </x:c>
      <x:c r="E645" s="45" t="n">
        <x:f>IF('Controls'!$D$7="Reference",'Paths'!$J$14,'Paths'!$K$14)</x:f>
        <x:v>6</x:v>
      </x:c>
      <x:c r="F645" s="47" t="n">
        <x:f>IF(D645&lt;'Paths'!$N$14,IF('Controls'!$D$7="Reference",'Paths'!$L$14,'Paths'!$M$14),IF('Controls'!$D$7="Reference",'Paths'!$O$14,'Paths'!$P$14))</x:f>
        <x:v>18000</x:v>
      </x:c>
      <x:c r="G645" s="46" t="n">
        <x:f>IF('Controls'!$D$7="Reference",1,IF(OR(D645=6,D645=7,D645=21,D645=46),'Paths'!$U$14,1))</x:f>
        <x:v>1</x:v>
      </x:c>
      <x:c r="H645" s="46" t="n">
        <x:f>IF('Controls'!$D$7="Reference",1,IF(OR(AND(D645&gt;=14,D645&lt;=16),AND(D645&gt;=34,D645&lt;=35),AND(D645&gt;=61,D645&lt;=63)),'Paths'!$V$14,1))</x:f>
        <x:v>1</x:v>
      </x:c>
      <x:c r="I645" s="46" t="n">
        <x:f>'Paths'!$W$14</x:f>
        <x:v>0.88</x:v>
      </x:c>
      <x:c r="J645" s="47" t="n">
        <x:f>IF(D645&lt;E645,0,MIN(F645*G645*H645*I645,IF('Paths'!$T$14&gt;0,MAX(0,'Paths'!$T$14-K644),1000000000)))</x:f>
        <x:v>0</x:v>
      </x:c>
      <x:c r="K645" s="47" t="n">
        <x:f>K644+J645</x:f>
        <x:v>0</x:v>
      </x:c>
      <x:c r="L645" s="46" t="n">
        <x:f>IF(C645="P0",1,IF(D645&lt;=3,0.8,IF(D645&lt;=14,0.65,IF(D645&lt;=45,0.5,0.3))))</x:f>
        <x:v>0.8</x:v>
      </x:c>
      <x:c r="M645" s="47" t="n">
        <x:f>J645*L645</x:f>
        <x:v>0</x:v>
      </x:c>
      <x:c r="N645" s="47" t="n">
        <x:f>N644+M645</x:f>
        <x:v>0</x:v>
      </x:c>
      <x:c r="O645" s="46" t="n">
        <x:f>IF(C645="P0",0,IF(D645&lt;=3,0.15,IF(D645&lt;=14,0.25,IF(D645&lt;=45,0.35,0.5))))</x:f>
        <x:v>0.15</x:v>
      </x:c>
      <x:c r="P645" s="47" t="n">
        <x:f>J645*O645</x:f>
        <x:v>0</x:v>
      </x:c>
      <x:c r="Q645" s="46" t="n">
        <x:f>IF(C645="P0",0,IF(D645&lt;=3,0.05,IF(D645&lt;=14,0.1,IF(D645&lt;=45,0.15,0.2))))</x:f>
        <x:v>0.05</x:v>
      </x:c>
      <x:c r="R645" s="47" t="n">
        <x:f>J645*Q645</x:f>
        <x:v>0</x:v>
      </x:c>
      <x:c r="S645" s="20" t="str">
        <x:f>IF(D645&lt;E645,"closed",IF(D645&lt;'Paths'!$N$14,"initial","expanded"))</x:f>
        <x:v>closed</x:v>
      </x:c>
      <x:c r="T645" s="72"/>
    </x:row>
    <x:row r="646">
      <x:c r="C646" s="20" t="str">
        <x:v>P7</x:v>
      </x:c>
      <x:c r="D646" s="20" t="n">
        <x:v>2</x:v>
      </x:c>
      <x:c r="E646" s="45" t="n">
        <x:f>IF('Controls'!$D$7="Reference",'Paths'!$J$14,'Paths'!$K$14)</x:f>
        <x:v>6</x:v>
      </x:c>
      <x:c r="F646" s="47" t="n">
        <x:f>IF(D646&lt;'Paths'!$N$14,IF('Controls'!$D$7="Reference",'Paths'!$L$14,'Paths'!$M$14),IF('Controls'!$D$7="Reference",'Paths'!$O$14,'Paths'!$P$14))</x:f>
        <x:v>18000</x:v>
      </x:c>
      <x:c r="G646" s="46" t="n">
        <x:f>IF('Controls'!$D$7="Reference",1,IF(OR(D646=6,D646=7,D646=21,D646=46),'Paths'!$U$14,1))</x:f>
        <x:v>1</x:v>
      </x:c>
      <x:c r="H646" s="46" t="n">
        <x:f>IF('Controls'!$D$7="Reference",1,IF(OR(AND(D646&gt;=14,D646&lt;=16),AND(D646&gt;=34,D646&lt;=35),AND(D646&gt;=61,D646&lt;=63)),'Paths'!$V$14,1))</x:f>
        <x:v>1</x:v>
      </x:c>
      <x:c r="I646" s="46" t="n">
        <x:f>'Paths'!$W$14</x:f>
        <x:v>0.88</x:v>
      </x:c>
      <x:c r="J646" s="47" t="n">
        <x:f>IF(D646&lt;E646,0,MIN(F646*G646*H646*I646,IF('Paths'!$T$14&gt;0,MAX(0,'Paths'!$T$14-K645),1000000000)))</x:f>
        <x:v>0</x:v>
      </x:c>
      <x:c r="K646" s="47" t="n">
        <x:f>K645+J646</x:f>
        <x:v>0</x:v>
      </x:c>
      <x:c r="L646" s="46" t="n">
        <x:f>IF(C646="P0",1,IF(D646&lt;=3,0.8,IF(D646&lt;=14,0.65,IF(D646&lt;=45,0.5,0.3))))</x:f>
        <x:v>0.8</x:v>
      </x:c>
      <x:c r="M646" s="47" t="n">
        <x:f>J646*L646</x:f>
        <x:v>0</x:v>
      </x:c>
      <x:c r="N646" s="47" t="n">
        <x:f>N645+M646</x:f>
        <x:v>0</x:v>
      </x:c>
      <x:c r="O646" s="46" t="n">
        <x:f>IF(C646="P0",0,IF(D646&lt;=3,0.15,IF(D646&lt;=14,0.25,IF(D646&lt;=45,0.35,0.5))))</x:f>
        <x:v>0.15</x:v>
      </x:c>
      <x:c r="P646" s="47" t="n">
        <x:f>J646*O646</x:f>
        <x:v>0</x:v>
      </x:c>
      <x:c r="Q646" s="46" t="n">
        <x:f>IF(C646="P0",0,IF(D646&lt;=3,0.05,IF(D646&lt;=14,0.1,IF(D646&lt;=45,0.15,0.2))))</x:f>
        <x:v>0.05</x:v>
      </x:c>
      <x:c r="R646" s="47" t="n">
        <x:f>J646*Q646</x:f>
        <x:v>0</x:v>
      </x:c>
      <x:c r="S646" s="20" t="str">
        <x:f>IF(D646&lt;E646,"closed",IF(D646&lt;'Paths'!$N$14,"initial","expanded"))</x:f>
        <x:v>closed</x:v>
      </x:c>
      <x:c r="T646" s="72"/>
    </x:row>
    <x:row r="647">
      <x:c r="C647" s="20" t="str">
        <x:v>P7</x:v>
      </x:c>
      <x:c r="D647" s="20" t="n">
        <x:v>3</x:v>
      </x:c>
      <x:c r="E647" s="45" t="n">
        <x:f>IF('Controls'!$D$7="Reference",'Paths'!$J$14,'Paths'!$K$14)</x:f>
        <x:v>6</x:v>
      </x:c>
      <x:c r="F647" s="47" t="n">
        <x:f>IF(D647&lt;'Paths'!$N$14,IF('Controls'!$D$7="Reference",'Paths'!$L$14,'Paths'!$M$14),IF('Controls'!$D$7="Reference",'Paths'!$O$14,'Paths'!$P$14))</x:f>
        <x:v>18000</x:v>
      </x:c>
      <x:c r="G647" s="46" t="n">
        <x:f>IF('Controls'!$D$7="Reference",1,IF(OR(D647=6,D647=7,D647=21,D647=46),'Paths'!$U$14,1))</x:f>
        <x:v>1</x:v>
      </x:c>
      <x:c r="H647" s="46" t="n">
        <x:f>IF('Controls'!$D$7="Reference",1,IF(OR(AND(D647&gt;=14,D647&lt;=16),AND(D647&gt;=34,D647&lt;=35),AND(D647&gt;=61,D647&lt;=63)),'Paths'!$V$14,1))</x:f>
        <x:v>1</x:v>
      </x:c>
      <x:c r="I647" s="46" t="n">
        <x:f>'Paths'!$W$14</x:f>
        <x:v>0.88</x:v>
      </x:c>
      <x:c r="J647" s="47" t="n">
        <x:f>IF(D647&lt;E647,0,MIN(F647*G647*H647*I647,IF('Paths'!$T$14&gt;0,MAX(0,'Paths'!$T$14-K646),1000000000)))</x:f>
        <x:v>0</x:v>
      </x:c>
      <x:c r="K647" s="47" t="n">
        <x:f>K646+J647</x:f>
        <x:v>0</x:v>
      </x:c>
      <x:c r="L647" s="46" t="n">
        <x:f>IF(C647="P0",1,IF(D647&lt;=3,0.8,IF(D647&lt;=14,0.65,IF(D647&lt;=45,0.5,0.3))))</x:f>
        <x:v>0.8</x:v>
      </x:c>
      <x:c r="M647" s="47" t="n">
        <x:f>J647*L647</x:f>
        <x:v>0</x:v>
      </x:c>
      <x:c r="N647" s="47" t="n">
        <x:f>N646+M647</x:f>
        <x:v>0</x:v>
      </x:c>
      <x:c r="O647" s="46" t="n">
        <x:f>IF(C647="P0",0,IF(D647&lt;=3,0.15,IF(D647&lt;=14,0.25,IF(D647&lt;=45,0.35,0.5))))</x:f>
        <x:v>0.15</x:v>
      </x:c>
      <x:c r="P647" s="47" t="n">
        <x:f>J647*O647</x:f>
        <x:v>0</x:v>
      </x:c>
      <x:c r="Q647" s="46" t="n">
        <x:f>IF(C647="P0",0,IF(D647&lt;=3,0.05,IF(D647&lt;=14,0.1,IF(D647&lt;=45,0.15,0.2))))</x:f>
        <x:v>0.05</x:v>
      </x:c>
      <x:c r="R647" s="47" t="n">
        <x:f>J647*Q647</x:f>
        <x:v>0</x:v>
      </x:c>
      <x:c r="S647" s="20" t="str">
        <x:f>IF(D647&lt;E647,"closed",IF(D647&lt;'Paths'!$N$14,"initial","expanded"))</x:f>
        <x:v>closed</x:v>
      </x:c>
      <x:c r="T647" s="72"/>
    </x:row>
    <x:row r="648">
      <x:c r="C648" s="20" t="str">
        <x:v>P7</x:v>
      </x:c>
      <x:c r="D648" s="20" t="n">
        <x:v>4</x:v>
      </x:c>
      <x:c r="E648" s="45" t="n">
        <x:f>IF('Controls'!$D$7="Reference",'Paths'!$J$14,'Paths'!$K$14)</x:f>
        <x:v>6</x:v>
      </x:c>
      <x:c r="F648" s="47" t="n">
        <x:f>IF(D648&lt;'Paths'!$N$14,IF('Controls'!$D$7="Reference",'Paths'!$L$14,'Paths'!$M$14),IF('Controls'!$D$7="Reference",'Paths'!$O$14,'Paths'!$P$14))</x:f>
        <x:v>18000</x:v>
      </x:c>
      <x:c r="G648" s="46" t="n">
        <x:f>IF('Controls'!$D$7="Reference",1,IF(OR(D648=6,D648=7,D648=21,D648=46),'Paths'!$U$14,1))</x:f>
        <x:v>1</x:v>
      </x:c>
      <x:c r="H648" s="46" t="n">
        <x:f>IF('Controls'!$D$7="Reference",1,IF(OR(AND(D648&gt;=14,D648&lt;=16),AND(D648&gt;=34,D648&lt;=35),AND(D648&gt;=61,D648&lt;=63)),'Paths'!$V$14,1))</x:f>
        <x:v>1</x:v>
      </x:c>
      <x:c r="I648" s="46" t="n">
        <x:f>'Paths'!$W$14</x:f>
        <x:v>0.88</x:v>
      </x:c>
      <x:c r="J648" s="47" t="n">
        <x:f>IF(D648&lt;E648,0,MIN(F648*G648*H648*I648,IF('Paths'!$T$14&gt;0,MAX(0,'Paths'!$T$14-K647),1000000000)))</x:f>
        <x:v>0</x:v>
      </x:c>
      <x:c r="K648" s="47" t="n">
        <x:f>K647+J648</x:f>
        <x:v>0</x:v>
      </x:c>
      <x:c r="L648" s="46" t="n">
        <x:f>IF(C648="P0",1,IF(D648&lt;=3,0.8,IF(D648&lt;=14,0.65,IF(D648&lt;=45,0.5,0.3))))</x:f>
        <x:v>0.65</x:v>
      </x:c>
      <x:c r="M648" s="47" t="n">
        <x:f>J648*L648</x:f>
        <x:v>0</x:v>
      </x:c>
      <x:c r="N648" s="47" t="n">
        <x:f>N647+M648</x:f>
        <x:v>0</x:v>
      </x:c>
      <x:c r="O648" s="46" t="n">
        <x:f>IF(C648="P0",0,IF(D648&lt;=3,0.15,IF(D648&lt;=14,0.25,IF(D648&lt;=45,0.35,0.5))))</x:f>
        <x:v>0.25</x:v>
      </x:c>
      <x:c r="P648" s="47" t="n">
        <x:f>J648*O648</x:f>
        <x:v>0</x:v>
      </x:c>
      <x:c r="Q648" s="46" t="n">
        <x:f>IF(C648="P0",0,IF(D648&lt;=3,0.05,IF(D648&lt;=14,0.1,IF(D648&lt;=45,0.15,0.2))))</x:f>
        <x:v>0.1</x:v>
      </x:c>
      <x:c r="R648" s="47" t="n">
        <x:f>J648*Q648</x:f>
        <x:v>0</x:v>
      </x:c>
      <x:c r="S648" s="20" t="str">
        <x:f>IF(D648&lt;E648,"closed",IF(D648&lt;'Paths'!$N$14,"initial","expanded"))</x:f>
        <x:v>closed</x:v>
      </x:c>
      <x:c r="T648" s="72"/>
    </x:row>
    <x:row r="649">
      <x:c r="C649" s="20" t="str">
        <x:v>P7</x:v>
      </x:c>
      <x:c r="D649" s="20" t="n">
        <x:v>5</x:v>
      </x:c>
      <x:c r="E649" s="45" t="n">
        <x:f>IF('Controls'!$D$7="Reference",'Paths'!$J$14,'Paths'!$K$14)</x:f>
        <x:v>6</x:v>
      </x:c>
      <x:c r="F649" s="47" t="n">
        <x:f>IF(D649&lt;'Paths'!$N$14,IF('Controls'!$D$7="Reference",'Paths'!$L$14,'Paths'!$M$14),IF('Controls'!$D$7="Reference",'Paths'!$O$14,'Paths'!$P$14))</x:f>
        <x:v>18000</x:v>
      </x:c>
      <x:c r="G649" s="46" t="n">
        <x:f>IF('Controls'!$D$7="Reference",1,IF(OR(D649=6,D649=7,D649=21,D649=46),'Paths'!$U$14,1))</x:f>
        <x:v>1</x:v>
      </x:c>
      <x:c r="H649" s="46" t="n">
        <x:f>IF('Controls'!$D$7="Reference",1,IF(OR(AND(D649&gt;=14,D649&lt;=16),AND(D649&gt;=34,D649&lt;=35),AND(D649&gt;=61,D649&lt;=63)),'Paths'!$V$14,1))</x:f>
        <x:v>1</x:v>
      </x:c>
      <x:c r="I649" s="46" t="n">
        <x:f>'Paths'!$W$14</x:f>
        <x:v>0.88</x:v>
      </x:c>
      <x:c r="J649" s="47" t="n">
        <x:f>IF(D649&lt;E649,0,MIN(F649*G649*H649*I649,IF('Paths'!$T$14&gt;0,MAX(0,'Paths'!$T$14-K648),1000000000)))</x:f>
        <x:v>0</x:v>
      </x:c>
      <x:c r="K649" s="47" t="n">
        <x:f>K648+J649</x:f>
        <x:v>0</x:v>
      </x:c>
      <x:c r="L649" s="46" t="n">
        <x:f>IF(C649="P0",1,IF(D649&lt;=3,0.8,IF(D649&lt;=14,0.65,IF(D649&lt;=45,0.5,0.3))))</x:f>
        <x:v>0.65</x:v>
      </x:c>
      <x:c r="M649" s="47" t="n">
        <x:f>J649*L649</x:f>
        <x:v>0</x:v>
      </x:c>
      <x:c r="N649" s="47" t="n">
        <x:f>N648+M649</x:f>
        <x:v>0</x:v>
      </x:c>
      <x:c r="O649" s="46" t="n">
        <x:f>IF(C649="P0",0,IF(D649&lt;=3,0.15,IF(D649&lt;=14,0.25,IF(D649&lt;=45,0.35,0.5))))</x:f>
        <x:v>0.25</x:v>
      </x:c>
      <x:c r="P649" s="47" t="n">
        <x:f>J649*O649</x:f>
        <x:v>0</x:v>
      </x:c>
      <x:c r="Q649" s="46" t="n">
        <x:f>IF(C649="P0",0,IF(D649&lt;=3,0.05,IF(D649&lt;=14,0.1,IF(D649&lt;=45,0.15,0.2))))</x:f>
        <x:v>0.1</x:v>
      </x:c>
      <x:c r="R649" s="47" t="n">
        <x:f>J649*Q649</x:f>
        <x:v>0</x:v>
      </x:c>
      <x:c r="S649" s="20" t="str">
        <x:f>IF(D649&lt;E649,"closed",IF(D649&lt;'Paths'!$N$14,"initial","expanded"))</x:f>
        <x:v>closed</x:v>
      </x:c>
      <x:c r="T649" s="72"/>
    </x:row>
    <x:row r="650">
      <x:c r="C650" s="20" t="str">
        <x:v>P7</x:v>
      </x:c>
      <x:c r="D650" s="20" t="n">
        <x:v>6</x:v>
      </x:c>
      <x:c r="E650" s="45" t="n">
        <x:f>IF('Controls'!$D$7="Reference",'Paths'!$J$14,'Paths'!$K$14)</x:f>
        <x:v>6</x:v>
      </x:c>
      <x:c r="F650" s="47" t="n">
        <x:f>IF(D650&lt;'Paths'!$N$14,IF('Controls'!$D$7="Reference",'Paths'!$L$14,'Paths'!$M$14),IF('Controls'!$D$7="Reference",'Paths'!$O$14,'Paths'!$P$14))</x:f>
        <x:v>18000</x:v>
      </x:c>
      <x:c r="G650" s="46" t="n">
        <x:f>IF('Controls'!$D$7="Reference",1,IF(OR(D650=6,D650=7,D650=21,D650=46),'Paths'!$U$14,1))</x:f>
        <x:v>0.55</x:v>
      </x:c>
      <x:c r="H650" s="46" t="n">
        <x:f>IF('Controls'!$D$7="Reference",1,IF(OR(AND(D650&gt;=14,D650&lt;=16),AND(D650&gt;=34,D650&lt;=35),AND(D650&gt;=61,D650&lt;=63)),'Paths'!$V$14,1))</x:f>
        <x:v>1</x:v>
      </x:c>
      <x:c r="I650" s="46" t="n">
        <x:f>'Paths'!$W$14</x:f>
        <x:v>0.88</x:v>
      </x:c>
      <x:c r="J650" s="47" t="n">
        <x:f>IF(D650&lt;E650,0,MIN(F650*G650*H650*I650,IF('Paths'!$T$14&gt;0,MAX(0,'Paths'!$T$14-K649),1000000000)))</x:f>
        <x:v>8712</x:v>
      </x:c>
      <x:c r="K650" s="47" t="n">
        <x:f>K649+J650</x:f>
        <x:v>8712</x:v>
      </x:c>
      <x:c r="L650" s="46" t="n">
        <x:f>IF(C650="P0",1,IF(D650&lt;=3,0.8,IF(D650&lt;=14,0.65,IF(D650&lt;=45,0.5,0.3))))</x:f>
        <x:v>0.65</x:v>
      </x:c>
      <x:c r="M650" s="47" t="n">
        <x:f>J650*L650</x:f>
        <x:v>5662.8</x:v>
      </x:c>
      <x:c r="N650" s="47" t="n">
        <x:f>N649+M650</x:f>
        <x:v>5662.8</x:v>
      </x:c>
      <x:c r="O650" s="46" t="n">
        <x:f>IF(C650="P0",0,IF(D650&lt;=3,0.15,IF(D650&lt;=14,0.25,IF(D650&lt;=45,0.35,0.5))))</x:f>
        <x:v>0.25</x:v>
      </x:c>
      <x:c r="P650" s="47" t="n">
        <x:f>J650*O650</x:f>
        <x:v>2178</x:v>
      </x:c>
      <x:c r="Q650" s="46" t="n">
        <x:f>IF(C650="P0",0,IF(D650&lt;=3,0.05,IF(D650&lt;=14,0.1,IF(D650&lt;=45,0.15,0.2))))</x:f>
        <x:v>0.1</x:v>
      </x:c>
      <x:c r="R650" s="47" t="n">
        <x:f>J650*Q650</x:f>
        <x:v>871.2</x:v>
      </x:c>
      <x:c r="S650" s="20" t="str">
        <x:f>IF(D650&lt;E650,"closed",IF(D650&lt;'Paths'!$N$14,"initial","expanded"))</x:f>
        <x:v>initial</x:v>
      </x:c>
      <x:c r="T650" s="72"/>
    </x:row>
    <x:row r="651">
      <x:c r="C651" s="20" t="str">
        <x:v>P7</x:v>
      </x:c>
      <x:c r="D651" s="20" t="n">
        <x:v>7</x:v>
      </x:c>
      <x:c r="E651" s="45" t="n">
        <x:f>IF('Controls'!$D$7="Reference",'Paths'!$J$14,'Paths'!$K$14)</x:f>
        <x:v>6</x:v>
      </x:c>
      <x:c r="F651" s="47" t="n">
        <x:f>IF(D651&lt;'Paths'!$N$14,IF('Controls'!$D$7="Reference",'Paths'!$L$14,'Paths'!$M$14),IF('Controls'!$D$7="Reference",'Paths'!$O$14,'Paths'!$P$14))</x:f>
        <x:v>18000</x:v>
      </x:c>
      <x:c r="G651" s="46" t="n">
        <x:f>IF('Controls'!$D$7="Reference",1,IF(OR(D651=6,D651=7,D651=21,D651=46),'Paths'!$U$14,1))</x:f>
        <x:v>0.55</x:v>
      </x:c>
      <x:c r="H651" s="46" t="n">
        <x:f>IF('Controls'!$D$7="Reference",1,IF(OR(AND(D651&gt;=14,D651&lt;=16),AND(D651&gt;=34,D651&lt;=35),AND(D651&gt;=61,D651&lt;=63)),'Paths'!$V$14,1))</x:f>
        <x:v>1</x:v>
      </x:c>
      <x:c r="I651" s="46" t="n">
        <x:f>'Paths'!$W$14</x:f>
        <x:v>0.88</x:v>
      </x:c>
      <x:c r="J651" s="47" t="n">
        <x:f>IF(D651&lt;E651,0,MIN(F651*G651*H651*I651,IF('Paths'!$T$14&gt;0,MAX(0,'Paths'!$T$14-K650),1000000000)))</x:f>
        <x:v>8712</x:v>
      </x:c>
      <x:c r="K651" s="47" t="n">
        <x:f>K650+J651</x:f>
        <x:v>17424</x:v>
      </x:c>
      <x:c r="L651" s="46" t="n">
        <x:f>IF(C651="P0",1,IF(D651&lt;=3,0.8,IF(D651&lt;=14,0.65,IF(D651&lt;=45,0.5,0.3))))</x:f>
        <x:v>0.65</x:v>
      </x:c>
      <x:c r="M651" s="47" t="n">
        <x:f>J651*L651</x:f>
        <x:v>5662.8</x:v>
      </x:c>
      <x:c r="N651" s="47" t="n">
        <x:f>N650+M651</x:f>
        <x:v>11325.6</x:v>
      </x:c>
      <x:c r="O651" s="46" t="n">
        <x:f>IF(C651="P0",0,IF(D651&lt;=3,0.15,IF(D651&lt;=14,0.25,IF(D651&lt;=45,0.35,0.5))))</x:f>
        <x:v>0.25</x:v>
      </x:c>
      <x:c r="P651" s="47" t="n">
        <x:f>J651*O651</x:f>
        <x:v>2178</x:v>
      </x:c>
      <x:c r="Q651" s="46" t="n">
        <x:f>IF(C651="P0",0,IF(D651&lt;=3,0.05,IF(D651&lt;=14,0.1,IF(D651&lt;=45,0.15,0.2))))</x:f>
        <x:v>0.1</x:v>
      </x:c>
      <x:c r="R651" s="47" t="n">
        <x:f>J651*Q651</x:f>
        <x:v>871.2</x:v>
      </x:c>
      <x:c r="S651" s="20" t="str">
        <x:f>IF(D651&lt;E651,"closed",IF(D651&lt;'Paths'!$N$14,"initial","expanded"))</x:f>
        <x:v>initial</x:v>
      </x:c>
      <x:c r="T651" s="72"/>
    </x:row>
    <x:row r="652">
      <x:c r="C652" s="20" t="str">
        <x:v>P7</x:v>
      </x:c>
      <x:c r="D652" s="20" t="n">
        <x:v>8</x:v>
      </x:c>
      <x:c r="E652" s="45" t="n">
        <x:f>IF('Controls'!$D$7="Reference",'Paths'!$J$14,'Paths'!$K$14)</x:f>
        <x:v>6</x:v>
      </x:c>
      <x:c r="F652" s="47" t="n">
        <x:f>IF(D652&lt;'Paths'!$N$14,IF('Controls'!$D$7="Reference",'Paths'!$L$14,'Paths'!$M$14),IF('Controls'!$D$7="Reference",'Paths'!$O$14,'Paths'!$P$14))</x:f>
        <x:v>18000</x:v>
      </x:c>
      <x:c r="G652" s="46" t="n">
        <x:f>IF('Controls'!$D$7="Reference",1,IF(OR(D652=6,D652=7,D652=21,D652=46),'Paths'!$U$14,1))</x:f>
        <x:v>1</x:v>
      </x:c>
      <x:c r="H652" s="46" t="n">
        <x:f>IF('Controls'!$D$7="Reference",1,IF(OR(AND(D652&gt;=14,D652&lt;=16),AND(D652&gt;=34,D652&lt;=35),AND(D652&gt;=61,D652&lt;=63)),'Paths'!$V$14,1))</x:f>
        <x:v>1</x:v>
      </x:c>
      <x:c r="I652" s="46" t="n">
        <x:f>'Paths'!$W$14</x:f>
        <x:v>0.88</x:v>
      </x:c>
      <x:c r="J652" s="47" t="n">
        <x:f>IF(D652&lt;E652,0,MIN(F652*G652*H652*I652,IF('Paths'!$T$14&gt;0,MAX(0,'Paths'!$T$14-K651),1000000000)))</x:f>
        <x:v>15840</x:v>
      </x:c>
      <x:c r="K652" s="47" t="n">
        <x:f>K651+J652</x:f>
        <x:v>33264</x:v>
      </x:c>
      <x:c r="L652" s="46" t="n">
        <x:f>IF(C652="P0",1,IF(D652&lt;=3,0.8,IF(D652&lt;=14,0.65,IF(D652&lt;=45,0.5,0.3))))</x:f>
        <x:v>0.65</x:v>
      </x:c>
      <x:c r="M652" s="47" t="n">
        <x:f>J652*L652</x:f>
        <x:v>10296</x:v>
      </x:c>
      <x:c r="N652" s="47" t="n">
        <x:f>N651+M652</x:f>
        <x:v>21621.6</x:v>
      </x:c>
      <x:c r="O652" s="46" t="n">
        <x:f>IF(C652="P0",0,IF(D652&lt;=3,0.15,IF(D652&lt;=14,0.25,IF(D652&lt;=45,0.35,0.5))))</x:f>
        <x:v>0.25</x:v>
      </x:c>
      <x:c r="P652" s="47" t="n">
        <x:f>J652*O652</x:f>
        <x:v>3960</x:v>
      </x:c>
      <x:c r="Q652" s="46" t="n">
        <x:f>IF(C652="P0",0,IF(D652&lt;=3,0.05,IF(D652&lt;=14,0.1,IF(D652&lt;=45,0.15,0.2))))</x:f>
        <x:v>0.1</x:v>
      </x:c>
      <x:c r="R652" s="47" t="n">
        <x:f>J652*Q652</x:f>
        <x:v>1584</x:v>
      </x:c>
      <x:c r="S652" s="20" t="str">
        <x:f>IF(D652&lt;E652,"closed",IF(D652&lt;'Paths'!$N$14,"initial","expanded"))</x:f>
        <x:v>initial</x:v>
      </x:c>
      <x:c r="T652" s="72"/>
    </x:row>
    <x:row r="653">
      <x:c r="C653" s="20" t="str">
        <x:v>P7</x:v>
      </x:c>
      <x:c r="D653" s="20" t="n">
        <x:v>9</x:v>
      </x:c>
      <x:c r="E653" s="45" t="n">
        <x:f>IF('Controls'!$D$7="Reference",'Paths'!$J$14,'Paths'!$K$14)</x:f>
        <x:v>6</x:v>
      </x:c>
      <x:c r="F653" s="47" t="n">
        <x:f>IF(D653&lt;'Paths'!$N$14,IF('Controls'!$D$7="Reference",'Paths'!$L$14,'Paths'!$M$14),IF('Controls'!$D$7="Reference",'Paths'!$O$14,'Paths'!$P$14))</x:f>
        <x:v>18000</x:v>
      </x:c>
      <x:c r="G653" s="46" t="n">
        <x:f>IF('Controls'!$D$7="Reference",1,IF(OR(D653=6,D653=7,D653=21,D653=46),'Paths'!$U$14,1))</x:f>
        <x:v>1</x:v>
      </x:c>
      <x:c r="H653" s="46" t="n">
        <x:f>IF('Controls'!$D$7="Reference",1,IF(OR(AND(D653&gt;=14,D653&lt;=16),AND(D653&gt;=34,D653&lt;=35),AND(D653&gt;=61,D653&lt;=63)),'Paths'!$V$14,1))</x:f>
        <x:v>1</x:v>
      </x:c>
      <x:c r="I653" s="46" t="n">
        <x:f>'Paths'!$W$14</x:f>
        <x:v>0.88</x:v>
      </x:c>
      <x:c r="J653" s="47" t="n">
        <x:f>IF(D653&lt;E653,0,MIN(F653*G653*H653*I653,IF('Paths'!$T$14&gt;0,MAX(0,'Paths'!$T$14-K652),1000000000)))</x:f>
        <x:v>15840</x:v>
      </x:c>
      <x:c r="K653" s="47" t="n">
        <x:f>K652+J653</x:f>
        <x:v>49104</x:v>
      </x:c>
      <x:c r="L653" s="46" t="n">
        <x:f>IF(C653="P0",1,IF(D653&lt;=3,0.8,IF(D653&lt;=14,0.65,IF(D653&lt;=45,0.5,0.3))))</x:f>
        <x:v>0.65</x:v>
      </x:c>
      <x:c r="M653" s="47" t="n">
        <x:f>J653*L653</x:f>
        <x:v>10296</x:v>
      </x:c>
      <x:c r="N653" s="47" t="n">
        <x:f>N652+M653</x:f>
        <x:v>31917.6</x:v>
      </x:c>
      <x:c r="O653" s="46" t="n">
        <x:f>IF(C653="P0",0,IF(D653&lt;=3,0.15,IF(D653&lt;=14,0.25,IF(D653&lt;=45,0.35,0.5))))</x:f>
        <x:v>0.25</x:v>
      </x:c>
      <x:c r="P653" s="47" t="n">
        <x:f>J653*O653</x:f>
        <x:v>3960</x:v>
      </x:c>
      <x:c r="Q653" s="46" t="n">
        <x:f>IF(C653="P0",0,IF(D653&lt;=3,0.05,IF(D653&lt;=14,0.1,IF(D653&lt;=45,0.15,0.2))))</x:f>
        <x:v>0.1</x:v>
      </x:c>
      <x:c r="R653" s="47" t="n">
        <x:f>J653*Q653</x:f>
        <x:v>1584</x:v>
      </x:c>
      <x:c r="S653" s="20" t="str">
        <x:f>IF(D653&lt;E653,"closed",IF(D653&lt;'Paths'!$N$14,"initial","expanded"))</x:f>
        <x:v>initial</x:v>
      </x:c>
      <x:c r="T653" s="72"/>
    </x:row>
    <x:row r="654">
      <x:c r="C654" s="20" t="str">
        <x:v>P7</x:v>
      </x:c>
      <x:c r="D654" s="20" t="n">
        <x:v>10</x:v>
      </x:c>
      <x:c r="E654" s="45" t="n">
        <x:f>IF('Controls'!$D$7="Reference",'Paths'!$J$14,'Paths'!$K$14)</x:f>
        <x:v>6</x:v>
      </x:c>
      <x:c r="F654" s="47" t="n">
        <x:f>IF(D654&lt;'Paths'!$N$14,IF('Controls'!$D$7="Reference",'Paths'!$L$14,'Paths'!$M$14),IF('Controls'!$D$7="Reference",'Paths'!$O$14,'Paths'!$P$14))</x:f>
        <x:v>18000</x:v>
      </x:c>
      <x:c r="G654" s="46" t="n">
        <x:f>IF('Controls'!$D$7="Reference",1,IF(OR(D654=6,D654=7,D654=21,D654=46),'Paths'!$U$14,1))</x:f>
        <x:v>1</x:v>
      </x:c>
      <x:c r="H654" s="46" t="n">
        <x:f>IF('Controls'!$D$7="Reference",1,IF(OR(AND(D654&gt;=14,D654&lt;=16),AND(D654&gt;=34,D654&lt;=35),AND(D654&gt;=61,D654&lt;=63)),'Paths'!$V$14,1))</x:f>
        <x:v>1</x:v>
      </x:c>
      <x:c r="I654" s="46" t="n">
        <x:f>'Paths'!$W$14</x:f>
        <x:v>0.88</x:v>
      </x:c>
      <x:c r="J654" s="47" t="n">
        <x:f>IF(D654&lt;E654,0,MIN(F654*G654*H654*I654,IF('Paths'!$T$14&gt;0,MAX(0,'Paths'!$T$14-K653),1000000000)))</x:f>
        <x:v>15840</x:v>
      </x:c>
      <x:c r="K654" s="47" t="n">
        <x:f>K653+J654</x:f>
        <x:v>64944</x:v>
      </x:c>
      <x:c r="L654" s="46" t="n">
        <x:f>IF(C654="P0",1,IF(D654&lt;=3,0.8,IF(D654&lt;=14,0.65,IF(D654&lt;=45,0.5,0.3))))</x:f>
        <x:v>0.65</x:v>
      </x:c>
      <x:c r="M654" s="47" t="n">
        <x:f>J654*L654</x:f>
        <x:v>10296</x:v>
      </x:c>
      <x:c r="N654" s="47" t="n">
        <x:f>N653+M654</x:f>
        <x:v>42213.6</x:v>
      </x:c>
      <x:c r="O654" s="46" t="n">
        <x:f>IF(C654="P0",0,IF(D654&lt;=3,0.15,IF(D654&lt;=14,0.25,IF(D654&lt;=45,0.35,0.5))))</x:f>
        <x:v>0.25</x:v>
      </x:c>
      <x:c r="P654" s="47" t="n">
        <x:f>J654*O654</x:f>
        <x:v>3960</x:v>
      </x:c>
      <x:c r="Q654" s="46" t="n">
        <x:f>IF(C654="P0",0,IF(D654&lt;=3,0.05,IF(D654&lt;=14,0.1,IF(D654&lt;=45,0.15,0.2))))</x:f>
        <x:v>0.1</x:v>
      </x:c>
      <x:c r="R654" s="47" t="n">
        <x:f>J654*Q654</x:f>
        <x:v>1584</x:v>
      </x:c>
      <x:c r="S654" s="20" t="str">
        <x:f>IF(D654&lt;E654,"closed",IF(D654&lt;'Paths'!$N$14,"initial","expanded"))</x:f>
        <x:v>initial</x:v>
      </x:c>
      <x:c r="T654" s="72"/>
    </x:row>
    <x:row r="655">
      <x:c r="C655" s="20" t="str">
        <x:v>P7</x:v>
      </x:c>
      <x:c r="D655" s="20" t="n">
        <x:v>11</x:v>
      </x:c>
      <x:c r="E655" s="45" t="n">
        <x:f>IF('Controls'!$D$7="Reference",'Paths'!$J$14,'Paths'!$K$14)</x:f>
        <x:v>6</x:v>
      </x:c>
      <x:c r="F655" s="47" t="n">
        <x:f>IF(D655&lt;'Paths'!$N$14,IF('Controls'!$D$7="Reference",'Paths'!$L$14,'Paths'!$M$14),IF('Controls'!$D$7="Reference",'Paths'!$O$14,'Paths'!$P$14))</x:f>
        <x:v>18000</x:v>
      </x:c>
      <x:c r="G655" s="46" t="n">
        <x:f>IF('Controls'!$D$7="Reference",1,IF(OR(D655=6,D655=7,D655=21,D655=46),'Paths'!$U$14,1))</x:f>
        <x:v>1</x:v>
      </x:c>
      <x:c r="H655" s="46" t="n">
        <x:f>IF('Controls'!$D$7="Reference",1,IF(OR(AND(D655&gt;=14,D655&lt;=16),AND(D655&gt;=34,D655&lt;=35),AND(D655&gt;=61,D655&lt;=63)),'Paths'!$V$14,1))</x:f>
        <x:v>1</x:v>
      </x:c>
      <x:c r="I655" s="46" t="n">
        <x:f>'Paths'!$W$14</x:f>
        <x:v>0.88</x:v>
      </x:c>
      <x:c r="J655" s="47" t="n">
        <x:f>IF(D655&lt;E655,0,MIN(F655*G655*H655*I655,IF('Paths'!$T$14&gt;0,MAX(0,'Paths'!$T$14-K654),1000000000)))</x:f>
        <x:v>15840</x:v>
      </x:c>
      <x:c r="K655" s="47" t="n">
        <x:f>K654+J655</x:f>
        <x:v>80784</x:v>
      </x:c>
      <x:c r="L655" s="46" t="n">
        <x:f>IF(C655="P0",1,IF(D655&lt;=3,0.8,IF(D655&lt;=14,0.65,IF(D655&lt;=45,0.5,0.3))))</x:f>
        <x:v>0.65</x:v>
      </x:c>
      <x:c r="M655" s="47" t="n">
        <x:f>J655*L655</x:f>
        <x:v>10296</x:v>
      </x:c>
      <x:c r="N655" s="47" t="n">
        <x:f>N654+M655</x:f>
        <x:v>52509.6</x:v>
      </x:c>
      <x:c r="O655" s="46" t="n">
        <x:f>IF(C655="P0",0,IF(D655&lt;=3,0.15,IF(D655&lt;=14,0.25,IF(D655&lt;=45,0.35,0.5))))</x:f>
        <x:v>0.25</x:v>
      </x:c>
      <x:c r="P655" s="47" t="n">
        <x:f>J655*O655</x:f>
        <x:v>3960</x:v>
      </x:c>
      <x:c r="Q655" s="46" t="n">
        <x:f>IF(C655="P0",0,IF(D655&lt;=3,0.05,IF(D655&lt;=14,0.1,IF(D655&lt;=45,0.15,0.2))))</x:f>
        <x:v>0.1</x:v>
      </x:c>
      <x:c r="R655" s="47" t="n">
        <x:f>J655*Q655</x:f>
        <x:v>1584</x:v>
      </x:c>
      <x:c r="S655" s="20" t="str">
        <x:f>IF(D655&lt;E655,"closed",IF(D655&lt;'Paths'!$N$14,"initial","expanded"))</x:f>
        <x:v>initial</x:v>
      </x:c>
      <x:c r="T655" s="72"/>
    </x:row>
    <x:row r="656">
      <x:c r="C656" s="20" t="str">
        <x:v>P7</x:v>
      </x:c>
      <x:c r="D656" s="20" t="n">
        <x:v>12</x:v>
      </x:c>
      <x:c r="E656" s="45" t="n">
        <x:f>IF('Controls'!$D$7="Reference",'Paths'!$J$14,'Paths'!$K$14)</x:f>
        <x:v>6</x:v>
      </x:c>
      <x:c r="F656" s="47" t="n">
        <x:f>IF(D656&lt;'Paths'!$N$14,IF('Controls'!$D$7="Reference",'Paths'!$L$14,'Paths'!$M$14),IF('Controls'!$D$7="Reference",'Paths'!$O$14,'Paths'!$P$14))</x:f>
        <x:v>18000</x:v>
      </x:c>
      <x:c r="G656" s="46" t="n">
        <x:f>IF('Controls'!$D$7="Reference",1,IF(OR(D656=6,D656=7,D656=21,D656=46),'Paths'!$U$14,1))</x:f>
        <x:v>1</x:v>
      </x:c>
      <x:c r="H656" s="46" t="n">
        <x:f>IF('Controls'!$D$7="Reference",1,IF(OR(AND(D656&gt;=14,D656&lt;=16),AND(D656&gt;=34,D656&lt;=35),AND(D656&gt;=61,D656&lt;=63)),'Paths'!$V$14,1))</x:f>
        <x:v>1</x:v>
      </x:c>
      <x:c r="I656" s="46" t="n">
        <x:f>'Paths'!$W$14</x:f>
        <x:v>0.88</x:v>
      </x:c>
      <x:c r="J656" s="47" t="n">
        <x:f>IF(D656&lt;E656,0,MIN(F656*G656*H656*I656,IF('Paths'!$T$14&gt;0,MAX(0,'Paths'!$T$14-K655),1000000000)))</x:f>
        <x:v>15840</x:v>
      </x:c>
      <x:c r="K656" s="47" t="n">
        <x:f>K655+J656</x:f>
        <x:v>96624</x:v>
      </x:c>
      <x:c r="L656" s="46" t="n">
        <x:f>IF(C656="P0",1,IF(D656&lt;=3,0.8,IF(D656&lt;=14,0.65,IF(D656&lt;=45,0.5,0.3))))</x:f>
        <x:v>0.65</x:v>
      </x:c>
      <x:c r="M656" s="47" t="n">
        <x:f>J656*L656</x:f>
        <x:v>10296</x:v>
      </x:c>
      <x:c r="N656" s="47" t="n">
        <x:f>N655+M656</x:f>
        <x:v>62805.6</x:v>
      </x:c>
      <x:c r="O656" s="46" t="n">
        <x:f>IF(C656="P0",0,IF(D656&lt;=3,0.15,IF(D656&lt;=14,0.25,IF(D656&lt;=45,0.35,0.5))))</x:f>
        <x:v>0.25</x:v>
      </x:c>
      <x:c r="P656" s="47" t="n">
        <x:f>J656*O656</x:f>
        <x:v>3960</x:v>
      </x:c>
      <x:c r="Q656" s="46" t="n">
        <x:f>IF(C656="P0",0,IF(D656&lt;=3,0.05,IF(D656&lt;=14,0.1,IF(D656&lt;=45,0.15,0.2))))</x:f>
        <x:v>0.1</x:v>
      </x:c>
      <x:c r="R656" s="47" t="n">
        <x:f>J656*Q656</x:f>
        <x:v>1584</x:v>
      </x:c>
      <x:c r="S656" s="20" t="str">
        <x:f>IF(D656&lt;E656,"closed",IF(D656&lt;'Paths'!$N$14,"initial","expanded"))</x:f>
        <x:v>initial</x:v>
      </x:c>
      <x:c r="T656" s="72"/>
    </x:row>
    <x:row r="657">
      <x:c r="C657" s="20" t="str">
        <x:v>P7</x:v>
      </x:c>
      <x:c r="D657" s="20" t="n">
        <x:v>13</x:v>
      </x:c>
      <x:c r="E657" s="45" t="n">
        <x:f>IF('Controls'!$D$7="Reference",'Paths'!$J$14,'Paths'!$K$14)</x:f>
        <x:v>6</x:v>
      </x:c>
      <x:c r="F657" s="47" t="n">
        <x:f>IF(D657&lt;'Paths'!$N$14,IF('Controls'!$D$7="Reference",'Paths'!$L$14,'Paths'!$M$14),IF('Controls'!$D$7="Reference",'Paths'!$O$14,'Paths'!$P$14))</x:f>
        <x:v>18000</x:v>
      </x:c>
      <x:c r="G657" s="46" t="n">
        <x:f>IF('Controls'!$D$7="Reference",1,IF(OR(D657=6,D657=7,D657=21,D657=46),'Paths'!$U$14,1))</x:f>
        <x:v>1</x:v>
      </x:c>
      <x:c r="H657" s="46" t="n">
        <x:f>IF('Controls'!$D$7="Reference",1,IF(OR(AND(D657&gt;=14,D657&lt;=16),AND(D657&gt;=34,D657&lt;=35),AND(D657&gt;=61,D657&lt;=63)),'Paths'!$V$14,1))</x:f>
        <x:v>1</x:v>
      </x:c>
      <x:c r="I657" s="46" t="n">
        <x:f>'Paths'!$W$14</x:f>
        <x:v>0.88</x:v>
      </x:c>
      <x:c r="J657" s="47" t="n">
        <x:f>IF(D657&lt;E657,0,MIN(F657*G657*H657*I657,IF('Paths'!$T$14&gt;0,MAX(0,'Paths'!$T$14-K656),1000000000)))</x:f>
        <x:v>15840</x:v>
      </x:c>
      <x:c r="K657" s="47" t="n">
        <x:f>K656+J657</x:f>
        <x:v>112464</x:v>
      </x:c>
      <x:c r="L657" s="46" t="n">
        <x:f>IF(C657="P0",1,IF(D657&lt;=3,0.8,IF(D657&lt;=14,0.65,IF(D657&lt;=45,0.5,0.3))))</x:f>
        <x:v>0.65</x:v>
      </x:c>
      <x:c r="M657" s="47" t="n">
        <x:f>J657*L657</x:f>
        <x:v>10296</x:v>
      </x:c>
      <x:c r="N657" s="47" t="n">
        <x:f>N656+M657</x:f>
        <x:v>73101.6</x:v>
      </x:c>
      <x:c r="O657" s="46" t="n">
        <x:f>IF(C657="P0",0,IF(D657&lt;=3,0.15,IF(D657&lt;=14,0.25,IF(D657&lt;=45,0.35,0.5))))</x:f>
        <x:v>0.25</x:v>
      </x:c>
      <x:c r="P657" s="47" t="n">
        <x:f>J657*O657</x:f>
        <x:v>3960</x:v>
      </x:c>
      <x:c r="Q657" s="46" t="n">
        <x:f>IF(C657="P0",0,IF(D657&lt;=3,0.05,IF(D657&lt;=14,0.1,IF(D657&lt;=45,0.15,0.2))))</x:f>
        <x:v>0.1</x:v>
      </x:c>
      <x:c r="R657" s="47" t="n">
        <x:f>J657*Q657</x:f>
        <x:v>1584</x:v>
      </x:c>
      <x:c r="S657" s="20" t="str">
        <x:f>IF(D657&lt;E657,"closed",IF(D657&lt;'Paths'!$N$14,"initial","expanded"))</x:f>
        <x:v>initial</x:v>
      </x:c>
      <x:c r="T657" s="72"/>
    </x:row>
    <x:row r="658">
      <x:c r="C658" s="20" t="str">
        <x:v>P7</x:v>
      </x:c>
      <x:c r="D658" s="20" t="n">
        <x:v>14</x:v>
      </x:c>
      <x:c r="E658" s="45" t="n">
        <x:f>IF('Controls'!$D$7="Reference",'Paths'!$J$14,'Paths'!$K$14)</x:f>
        <x:v>6</x:v>
      </x:c>
      <x:c r="F658" s="47" t="n">
        <x:f>IF(D658&lt;'Paths'!$N$14,IF('Controls'!$D$7="Reference",'Paths'!$L$14,'Paths'!$M$14),IF('Controls'!$D$7="Reference",'Paths'!$O$14,'Paths'!$P$14))</x:f>
        <x:v>28000</x:v>
      </x:c>
      <x:c r="G658" s="46" t="n">
        <x:f>IF('Controls'!$D$7="Reference",1,IF(OR(D658=6,D658=7,D658=21,D658=46),'Paths'!$U$14,1))</x:f>
        <x:v>1</x:v>
      </x:c>
      <x:c r="H658" s="46" t="n">
        <x:f>IF('Controls'!$D$7="Reference",1,IF(OR(AND(D658&gt;=14,D658&lt;=16),AND(D658&gt;=34,D658&lt;=35),AND(D658&gt;=61,D658&lt;=63)),'Paths'!$V$14,1))</x:f>
        <x:v>0.75</x:v>
      </x:c>
      <x:c r="I658" s="46" t="n">
        <x:f>'Paths'!$W$14</x:f>
        <x:v>0.88</x:v>
      </x:c>
      <x:c r="J658" s="47" t="n">
        <x:f>IF(D658&lt;E658,0,MIN(F658*G658*H658*I658,IF('Paths'!$T$14&gt;0,MAX(0,'Paths'!$T$14-K657),1000000000)))</x:f>
        <x:v>18480</x:v>
      </x:c>
      <x:c r="K658" s="47" t="n">
        <x:f>K657+J658</x:f>
        <x:v>130944</x:v>
      </x:c>
      <x:c r="L658" s="46" t="n">
        <x:f>IF(C658="P0",1,IF(D658&lt;=3,0.8,IF(D658&lt;=14,0.65,IF(D658&lt;=45,0.5,0.3))))</x:f>
        <x:v>0.65</x:v>
      </x:c>
      <x:c r="M658" s="47" t="n">
        <x:f>J658*L658</x:f>
        <x:v>12012</x:v>
      </x:c>
      <x:c r="N658" s="47" t="n">
        <x:f>N657+M658</x:f>
        <x:v>85113.6</x:v>
      </x:c>
      <x:c r="O658" s="46" t="n">
        <x:f>IF(C658="P0",0,IF(D658&lt;=3,0.15,IF(D658&lt;=14,0.25,IF(D658&lt;=45,0.35,0.5))))</x:f>
        <x:v>0.25</x:v>
      </x:c>
      <x:c r="P658" s="47" t="n">
        <x:f>J658*O658</x:f>
        <x:v>4620</x:v>
      </x:c>
      <x:c r="Q658" s="46" t="n">
        <x:f>IF(C658="P0",0,IF(D658&lt;=3,0.05,IF(D658&lt;=14,0.1,IF(D658&lt;=45,0.15,0.2))))</x:f>
        <x:v>0.1</x:v>
      </x:c>
      <x:c r="R658" s="47" t="n">
        <x:f>J658*Q658</x:f>
        <x:v>1848</x:v>
      </x:c>
      <x:c r="S658" s="20" t="str">
        <x:f>IF(D658&lt;E658,"closed",IF(D658&lt;'Paths'!$N$14,"initial","expanded"))</x:f>
        <x:v>expanded</x:v>
      </x:c>
      <x:c r="T658" s="72"/>
    </x:row>
    <x:row r="659">
      <x:c r="C659" s="20" t="str">
        <x:v>P7</x:v>
      </x:c>
      <x:c r="D659" s="20" t="n">
        <x:v>15</x:v>
      </x:c>
      <x:c r="E659" s="45" t="n">
        <x:f>IF('Controls'!$D$7="Reference",'Paths'!$J$14,'Paths'!$K$14)</x:f>
        <x:v>6</x:v>
      </x:c>
      <x:c r="F659" s="47" t="n">
        <x:f>IF(D659&lt;'Paths'!$N$14,IF('Controls'!$D$7="Reference",'Paths'!$L$14,'Paths'!$M$14),IF('Controls'!$D$7="Reference",'Paths'!$O$14,'Paths'!$P$14))</x:f>
        <x:v>28000</x:v>
      </x:c>
      <x:c r="G659" s="46" t="n">
        <x:f>IF('Controls'!$D$7="Reference",1,IF(OR(D659=6,D659=7,D659=21,D659=46),'Paths'!$U$14,1))</x:f>
        <x:v>1</x:v>
      </x:c>
      <x:c r="H659" s="46" t="n">
        <x:f>IF('Controls'!$D$7="Reference",1,IF(OR(AND(D659&gt;=14,D659&lt;=16),AND(D659&gt;=34,D659&lt;=35),AND(D659&gt;=61,D659&lt;=63)),'Paths'!$V$14,1))</x:f>
        <x:v>0.75</x:v>
      </x:c>
      <x:c r="I659" s="46" t="n">
        <x:f>'Paths'!$W$14</x:f>
        <x:v>0.88</x:v>
      </x:c>
      <x:c r="J659" s="47" t="n">
        <x:f>IF(D659&lt;E659,0,MIN(F659*G659*H659*I659,IF('Paths'!$T$14&gt;0,MAX(0,'Paths'!$T$14-K658),1000000000)))</x:f>
        <x:v>18480</x:v>
      </x:c>
      <x:c r="K659" s="47" t="n">
        <x:f>K658+J659</x:f>
        <x:v>149424</x:v>
      </x:c>
      <x:c r="L659" s="46" t="n">
        <x:f>IF(C659="P0",1,IF(D659&lt;=3,0.8,IF(D659&lt;=14,0.65,IF(D659&lt;=45,0.5,0.3))))</x:f>
        <x:v>0.5</x:v>
      </x:c>
      <x:c r="M659" s="47" t="n">
        <x:f>J659*L659</x:f>
        <x:v>9240</x:v>
      </x:c>
      <x:c r="N659" s="47" t="n">
        <x:f>N658+M659</x:f>
        <x:v>94353.6</x:v>
      </x:c>
      <x:c r="O659" s="46" t="n">
        <x:f>IF(C659="P0",0,IF(D659&lt;=3,0.15,IF(D659&lt;=14,0.25,IF(D659&lt;=45,0.35,0.5))))</x:f>
        <x:v>0.35</x:v>
      </x:c>
      <x:c r="P659" s="47" t="n">
        <x:f>J659*O659</x:f>
        <x:v>6468</x:v>
      </x:c>
      <x:c r="Q659" s="46" t="n">
        <x:f>IF(C659="P0",0,IF(D659&lt;=3,0.05,IF(D659&lt;=14,0.1,IF(D659&lt;=45,0.15,0.2))))</x:f>
        <x:v>0.15</x:v>
      </x:c>
      <x:c r="R659" s="47" t="n">
        <x:f>J659*Q659</x:f>
        <x:v>2772</x:v>
      </x:c>
      <x:c r="S659" s="20" t="str">
        <x:f>IF(D659&lt;E659,"closed",IF(D659&lt;'Paths'!$N$14,"initial","expanded"))</x:f>
        <x:v>expanded</x:v>
      </x:c>
      <x:c r="T659" s="72"/>
    </x:row>
    <x:row r="660">
      <x:c r="C660" s="20" t="str">
        <x:v>P7</x:v>
      </x:c>
      <x:c r="D660" s="20" t="n">
        <x:v>16</x:v>
      </x:c>
      <x:c r="E660" s="45" t="n">
        <x:f>IF('Controls'!$D$7="Reference",'Paths'!$J$14,'Paths'!$K$14)</x:f>
        <x:v>6</x:v>
      </x:c>
      <x:c r="F660" s="47" t="n">
        <x:f>IF(D660&lt;'Paths'!$N$14,IF('Controls'!$D$7="Reference",'Paths'!$L$14,'Paths'!$M$14),IF('Controls'!$D$7="Reference",'Paths'!$O$14,'Paths'!$P$14))</x:f>
        <x:v>28000</x:v>
      </x:c>
      <x:c r="G660" s="46" t="n">
        <x:f>IF('Controls'!$D$7="Reference",1,IF(OR(D660=6,D660=7,D660=21,D660=46),'Paths'!$U$14,1))</x:f>
        <x:v>1</x:v>
      </x:c>
      <x:c r="H660" s="46" t="n">
        <x:f>IF('Controls'!$D$7="Reference",1,IF(OR(AND(D660&gt;=14,D660&lt;=16),AND(D660&gt;=34,D660&lt;=35),AND(D660&gt;=61,D660&lt;=63)),'Paths'!$V$14,1))</x:f>
        <x:v>0.75</x:v>
      </x:c>
      <x:c r="I660" s="46" t="n">
        <x:f>'Paths'!$W$14</x:f>
        <x:v>0.88</x:v>
      </x:c>
      <x:c r="J660" s="47" t="n">
        <x:f>IF(D660&lt;E660,0,MIN(F660*G660*H660*I660,IF('Paths'!$T$14&gt;0,MAX(0,'Paths'!$T$14-K659),1000000000)))</x:f>
        <x:v>18480</x:v>
      </x:c>
      <x:c r="K660" s="47" t="n">
        <x:f>K659+J660</x:f>
        <x:v>167904</x:v>
      </x:c>
      <x:c r="L660" s="46" t="n">
        <x:f>IF(C660="P0",1,IF(D660&lt;=3,0.8,IF(D660&lt;=14,0.65,IF(D660&lt;=45,0.5,0.3))))</x:f>
        <x:v>0.5</x:v>
      </x:c>
      <x:c r="M660" s="47" t="n">
        <x:f>J660*L660</x:f>
        <x:v>9240</x:v>
      </x:c>
      <x:c r="N660" s="47" t="n">
        <x:f>N659+M660</x:f>
        <x:v>103593.6</x:v>
      </x:c>
      <x:c r="O660" s="46" t="n">
        <x:f>IF(C660="P0",0,IF(D660&lt;=3,0.15,IF(D660&lt;=14,0.25,IF(D660&lt;=45,0.35,0.5))))</x:f>
        <x:v>0.35</x:v>
      </x:c>
      <x:c r="P660" s="47" t="n">
        <x:f>J660*O660</x:f>
        <x:v>6468</x:v>
      </x:c>
      <x:c r="Q660" s="46" t="n">
        <x:f>IF(C660="P0",0,IF(D660&lt;=3,0.05,IF(D660&lt;=14,0.1,IF(D660&lt;=45,0.15,0.2))))</x:f>
        <x:v>0.15</x:v>
      </x:c>
      <x:c r="R660" s="47" t="n">
        <x:f>J660*Q660</x:f>
        <x:v>2772</x:v>
      </x:c>
      <x:c r="S660" s="20" t="str">
        <x:f>IF(D660&lt;E660,"closed",IF(D660&lt;'Paths'!$N$14,"initial","expanded"))</x:f>
        <x:v>expanded</x:v>
      </x:c>
      <x:c r="T660" s="72"/>
    </x:row>
    <x:row r="661">
      <x:c r="C661" s="20" t="str">
        <x:v>P7</x:v>
      </x:c>
      <x:c r="D661" s="20" t="n">
        <x:v>17</x:v>
      </x:c>
      <x:c r="E661" s="45" t="n">
        <x:f>IF('Controls'!$D$7="Reference",'Paths'!$J$14,'Paths'!$K$14)</x:f>
        <x:v>6</x:v>
      </x:c>
      <x:c r="F661" s="47" t="n">
        <x:f>IF(D661&lt;'Paths'!$N$14,IF('Controls'!$D$7="Reference",'Paths'!$L$14,'Paths'!$M$14),IF('Controls'!$D$7="Reference",'Paths'!$O$14,'Paths'!$P$14))</x:f>
        <x:v>28000</x:v>
      </x:c>
      <x:c r="G661" s="46" t="n">
        <x:f>IF('Controls'!$D$7="Reference",1,IF(OR(D661=6,D661=7,D661=21,D661=46),'Paths'!$U$14,1))</x:f>
        <x:v>1</x:v>
      </x:c>
      <x:c r="H661" s="46" t="n">
        <x:f>IF('Controls'!$D$7="Reference",1,IF(OR(AND(D661&gt;=14,D661&lt;=16),AND(D661&gt;=34,D661&lt;=35),AND(D661&gt;=61,D661&lt;=63)),'Paths'!$V$14,1))</x:f>
        <x:v>1</x:v>
      </x:c>
      <x:c r="I661" s="46" t="n">
        <x:f>'Paths'!$W$14</x:f>
        <x:v>0.88</x:v>
      </x:c>
      <x:c r="J661" s="47" t="n">
        <x:f>IF(D661&lt;E661,0,MIN(F661*G661*H661*I661,IF('Paths'!$T$14&gt;0,MAX(0,'Paths'!$T$14-K660),1000000000)))</x:f>
        <x:v>24640</x:v>
      </x:c>
      <x:c r="K661" s="47" t="n">
        <x:f>K660+J661</x:f>
        <x:v>192544</x:v>
      </x:c>
      <x:c r="L661" s="46" t="n">
        <x:f>IF(C661="P0",1,IF(D661&lt;=3,0.8,IF(D661&lt;=14,0.65,IF(D661&lt;=45,0.5,0.3))))</x:f>
        <x:v>0.5</x:v>
      </x:c>
      <x:c r="M661" s="47" t="n">
        <x:f>J661*L661</x:f>
        <x:v>12320</x:v>
      </x:c>
      <x:c r="N661" s="47" t="n">
        <x:f>N660+M661</x:f>
        <x:v>115913.6</x:v>
      </x:c>
      <x:c r="O661" s="46" t="n">
        <x:f>IF(C661="P0",0,IF(D661&lt;=3,0.15,IF(D661&lt;=14,0.25,IF(D661&lt;=45,0.35,0.5))))</x:f>
        <x:v>0.35</x:v>
      </x:c>
      <x:c r="P661" s="47" t="n">
        <x:f>J661*O661</x:f>
        <x:v>8624</x:v>
      </x:c>
      <x:c r="Q661" s="46" t="n">
        <x:f>IF(C661="P0",0,IF(D661&lt;=3,0.05,IF(D661&lt;=14,0.1,IF(D661&lt;=45,0.15,0.2))))</x:f>
        <x:v>0.15</x:v>
      </x:c>
      <x:c r="R661" s="47" t="n">
        <x:f>J661*Q661</x:f>
        <x:v>3696</x:v>
      </x:c>
      <x:c r="S661" s="20" t="str">
        <x:f>IF(D661&lt;E661,"closed",IF(D661&lt;'Paths'!$N$14,"initial","expanded"))</x:f>
        <x:v>expanded</x:v>
      </x:c>
      <x:c r="T661" s="72"/>
    </x:row>
    <x:row r="662">
      <x:c r="C662" s="20" t="str">
        <x:v>P7</x:v>
      </x:c>
      <x:c r="D662" s="20" t="n">
        <x:v>18</x:v>
      </x:c>
      <x:c r="E662" s="45" t="n">
        <x:f>IF('Controls'!$D$7="Reference",'Paths'!$J$14,'Paths'!$K$14)</x:f>
        <x:v>6</x:v>
      </x:c>
      <x:c r="F662" s="47" t="n">
        <x:f>IF(D662&lt;'Paths'!$N$14,IF('Controls'!$D$7="Reference",'Paths'!$L$14,'Paths'!$M$14),IF('Controls'!$D$7="Reference",'Paths'!$O$14,'Paths'!$P$14))</x:f>
        <x:v>28000</x:v>
      </x:c>
      <x:c r="G662" s="46" t="n">
        <x:f>IF('Controls'!$D$7="Reference",1,IF(OR(D662=6,D662=7,D662=21,D662=46),'Paths'!$U$14,1))</x:f>
        <x:v>1</x:v>
      </x:c>
      <x:c r="H662" s="46" t="n">
        <x:f>IF('Controls'!$D$7="Reference",1,IF(OR(AND(D662&gt;=14,D662&lt;=16),AND(D662&gt;=34,D662&lt;=35),AND(D662&gt;=61,D662&lt;=63)),'Paths'!$V$14,1))</x:f>
        <x:v>1</x:v>
      </x:c>
      <x:c r="I662" s="46" t="n">
        <x:f>'Paths'!$W$14</x:f>
        <x:v>0.88</x:v>
      </x:c>
      <x:c r="J662" s="47" t="n">
        <x:f>IF(D662&lt;E662,0,MIN(F662*G662*H662*I662,IF('Paths'!$T$14&gt;0,MAX(0,'Paths'!$T$14-K661),1000000000)))</x:f>
        <x:v>24640</x:v>
      </x:c>
      <x:c r="K662" s="47" t="n">
        <x:f>K661+J662</x:f>
        <x:v>217184</x:v>
      </x:c>
      <x:c r="L662" s="46" t="n">
        <x:f>IF(C662="P0",1,IF(D662&lt;=3,0.8,IF(D662&lt;=14,0.65,IF(D662&lt;=45,0.5,0.3))))</x:f>
        <x:v>0.5</x:v>
      </x:c>
      <x:c r="M662" s="47" t="n">
        <x:f>J662*L662</x:f>
        <x:v>12320</x:v>
      </x:c>
      <x:c r="N662" s="47" t="n">
        <x:f>N661+M662</x:f>
        <x:v>128233.6</x:v>
      </x:c>
      <x:c r="O662" s="46" t="n">
        <x:f>IF(C662="P0",0,IF(D662&lt;=3,0.15,IF(D662&lt;=14,0.25,IF(D662&lt;=45,0.35,0.5))))</x:f>
        <x:v>0.35</x:v>
      </x:c>
      <x:c r="P662" s="47" t="n">
        <x:f>J662*O662</x:f>
        <x:v>8624</x:v>
      </x:c>
      <x:c r="Q662" s="46" t="n">
        <x:f>IF(C662="P0",0,IF(D662&lt;=3,0.05,IF(D662&lt;=14,0.1,IF(D662&lt;=45,0.15,0.2))))</x:f>
        <x:v>0.15</x:v>
      </x:c>
      <x:c r="R662" s="47" t="n">
        <x:f>J662*Q662</x:f>
        <x:v>3696</x:v>
      </x:c>
      <x:c r="S662" s="20" t="str">
        <x:f>IF(D662&lt;E662,"closed",IF(D662&lt;'Paths'!$N$14,"initial","expanded"))</x:f>
        <x:v>expanded</x:v>
      </x:c>
      <x:c r="T662" s="72"/>
    </x:row>
    <x:row r="663">
      <x:c r="C663" s="20" t="str">
        <x:v>P7</x:v>
      </x:c>
      <x:c r="D663" s="20" t="n">
        <x:v>19</x:v>
      </x:c>
      <x:c r="E663" s="45" t="n">
        <x:f>IF('Controls'!$D$7="Reference",'Paths'!$J$14,'Paths'!$K$14)</x:f>
        <x:v>6</x:v>
      </x:c>
      <x:c r="F663" s="47" t="n">
        <x:f>IF(D663&lt;'Paths'!$N$14,IF('Controls'!$D$7="Reference",'Paths'!$L$14,'Paths'!$M$14),IF('Controls'!$D$7="Reference",'Paths'!$O$14,'Paths'!$P$14))</x:f>
        <x:v>28000</x:v>
      </x:c>
      <x:c r="G663" s="46" t="n">
        <x:f>IF('Controls'!$D$7="Reference",1,IF(OR(D663=6,D663=7,D663=21,D663=46),'Paths'!$U$14,1))</x:f>
        <x:v>1</x:v>
      </x:c>
      <x:c r="H663" s="46" t="n">
        <x:f>IF('Controls'!$D$7="Reference",1,IF(OR(AND(D663&gt;=14,D663&lt;=16),AND(D663&gt;=34,D663&lt;=35),AND(D663&gt;=61,D663&lt;=63)),'Paths'!$V$14,1))</x:f>
        <x:v>1</x:v>
      </x:c>
      <x:c r="I663" s="46" t="n">
        <x:f>'Paths'!$W$14</x:f>
        <x:v>0.88</x:v>
      </x:c>
      <x:c r="J663" s="47" t="n">
        <x:f>IF(D663&lt;E663,0,MIN(F663*G663*H663*I663,IF('Paths'!$T$14&gt;0,MAX(0,'Paths'!$T$14-K662),1000000000)))</x:f>
        <x:v>24640</x:v>
      </x:c>
      <x:c r="K663" s="47" t="n">
        <x:f>K662+J663</x:f>
        <x:v>241824</x:v>
      </x:c>
      <x:c r="L663" s="46" t="n">
        <x:f>IF(C663="P0",1,IF(D663&lt;=3,0.8,IF(D663&lt;=14,0.65,IF(D663&lt;=45,0.5,0.3))))</x:f>
        <x:v>0.5</x:v>
      </x:c>
      <x:c r="M663" s="47" t="n">
        <x:f>J663*L663</x:f>
        <x:v>12320</x:v>
      </x:c>
      <x:c r="N663" s="47" t="n">
        <x:f>N662+M663</x:f>
        <x:v>140553.6</x:v>
      </x:c>
      <x:c r="O663" s="46" t="n">
        <x:f>IF(C663="P0",0,IF(D663&lt;=3,0.15,IF(D663&lt;=14,0.25,IF(D663&lt;=45,0.35,0.5))))</x:f>
        <x:v>0.35</x:v>
      </x:c>
      <x:c r="P663" s="47" t="n">
        <x:f>J663*O663</x:f>
        <x:v>8624</x:v>
      </x:c>
      <x:c r="Q663" s="46" t="n">
        <x:f>IF(C663="P0",0,IF(D663&lt;=3,0.05,IF(D663&lt;=14,0.1,IF(D663&lt;=45,0.15,0.2))))</x:f>
        <x:v>0.15</x:v>
      </x:c>
      <x:c r="R663" s="47" t="n">
        <x:f>J663*Q663</x:f>
        <x:v>3696</x:v>
      </x:c>
      <x:c r="S663" s="20" t="str">
        <x:f>IF(D663&lt;E663,"closed",IF(D663&lt;'Paths'!$N$14,"initial","expanded"))</x:f>
        <x:v>expanded</x:v>
      </x:c>
      <x:c r="T663" s="72"/>
    </x:row>
    <x:row r="664">
      <x:c r="C664" s="20" t="str">
        <x:v>P7</x:v>
      </x:c>
      <x:c r="D664" s="20" t="n">
        <x:v>20</x:v>
      </x:c>
      <x:c r="E664" s="45" t="n">
        <x:f>IF('Controls'!$D$7="Reference",'Paths'!$J$14,'Paths'!$K$14)</x:f>
        <x:v>6</x:v>
      </x:c>
      <x:c r="F664" s="47" t="n">
        <x:f>IF(D664&lt;'Paths'!$N$14,IF('Controls'!$D$7="Reference",'Paths'!$L$14,'Paths'!$M$14),IF('Controls'!$D$7="Reference",'Paths'!$O$14,'Paths'!$P$14))</x:f>
        <x:v>28000</x:v>
      </x:c>
      <x:c r="G664" s="46" t="n">
        <x:f>IF('Controls'!$D$7="Reference",1,IF(OR(D664=6,D664=7,D664=21,D664=46),'Paths'!$U$14,1))</x:f>
        <x:v>1</x:v>
      </x:c>
      <x:c r="H664" s="46" t="n">
        <x:f>IF('Controls'!$D$7="Reference",1,IF(OR(AND(D664&gt;=14,D664&lt;=16),AND(D664&gt;=34,D664&lt;=35),AND(D664&gt;=61,D664&lt;=63)),'Paths'!$V$14,1))</x:f>
        <x:v>1</x:v>
      </x:c>
      <x:c r="I664" s="46" t="n">
        <x:f>'Paths'!$W$14</x:f>
        <x:v>0.88</x:v>
      </x:c>
      <x:c r="J664" s="47" t="n">
        <x:f>IF(D664&lt;E664,0,MIN(F664*G664*H664*I664,IF('Paths'!$T$14&gt;0,MAX(0,'Paths'!$T$14-K663),1000000000)))</x:f>
        <x:v>24640</x:v>
      </x:c>
      <x:c r="K664" s="47" t="n">
        <x:f>K663+J664</x:f>
        <x:v>266464</x:v>
      </x:c>
      <x:c r="L664" s="46" t="n">
        <x:f>IF(C664="P0",1,IF(D664&lt;=3,0.8,IF(D664&lt;=14,0.65,IF(D664&lt;=45,0.5,0.3))))</x:f>
        <x:v>0.5</x:v>
      </x:c>
      <x:c r="M664" s="47" t="n">
        <x:f>J664*L664</x:f>
        <x:v>12320</x:v>
      </x:c>
      <x:c r="N664" s="47" t="n">
        <x:f>N663+M664</x:f>
        <x:v>152873.6</x:v>
      </x:c>
      <x:c r="O664" s="46" t="n">
        <x:f>IF(C664="P0",0,IF(D664&lt;=3,0.15,IF(D664&lt;=14,0.25,IF(D664&lt;=45,0.35,0.5))))</x:f>
        <x:v>0.35</x:v>
      </x:c>
      <x:c r="P664" s="47" t="n">
        <x:f>J664*O664</x:f>
        <x:v>8624</x:v>
      </x:c>
      <x:c r="Q664" s="46" t="n">
        <x:f>IF(C664="P0",0,IF(D664&lt;=3,0.05,IF(D664&lt;=14,0.1,IF(D664&lt;=45,0.15,0.2))))</x:f>
        <x:v>0.15</x:v>
      </x:c>
      <x:c r="R664" s="47" t="n">
        <x:f>J664*Q664</x:f>
        <x:v>3696</x:v>
      </x:c>
      <x:c r="S664" s="20" t="str">
        <x:f>IF(D664&lt;E664,"closed",IF(D664&lt;'Paths'!$N$14,"initial","expanded"))</x:f>
        <x:v>expanded</x:v>
      </x:c>
      <x:c r="T664" s="72"/>
    </x:row>
    <x:row r="665">
      <x:c r="C665" s="20" t="str">
        <x:v>P7</x:v>
      </x:c>
      <x:c r="D665" s="20" t="n">
        <x:v>21</x:v>
      </x:c>
      <x:c r="E665" s="45" t="n">
        <x:f>IF('Controls'!$D$7="Reference",'Paths'!$J$14,'Paths'!$K$14)</x:f>
        <x:v>6</x:v>
      </x:c>
      <x:c r="F665" s="47" t="n">
        <x:f>IF(D665&lt;'Paths'!$N$14,IF('Controls'!$D$7="Reference",'Paths'!$L$14,'Paths'!$M$14),IF('Controls'!$D$7="Reference",'Paths'!$O$14,'Paths'!$P$14))</x:f>
        <x:v>28000</x:v>
      </x:c>
      <x:c r="G665" s="46" t="n">
        <x:f>IF('Controls'!$D$7="Reference",1,IF(OR(D665=6,D665=7,D665=21,D665=46),'Paths'!$U$14,1))</x:f>
        <x:v>0.55</x:v>
      </x:c>
      <x:c r="H665" s="46" t="n">
        <x:f>IF('Controls'!$D$7="Reference",1,IF(OR(AND(D665&gt;=14,D665&lt;=16),AND(D665&gt;=34,D665&lt;=35),AND(D665&gt;=61,D665&lt;=63)),'Paths'!$V$14,1))</x:f>
        <x:v>1</x:v>
      </x:c>
      <x:c r="I665" s="46" t="n">
        <x:f>'Paths'!$W$14</x:f>
        <x:v>0.88</x:v>
      </x:c>
      <x:c r="J665" s="47" t="n">
        <x:f>IF(D665&lt;E665,0,MIN(F665*G665*H665*I665,IF('Paths'!$T$14&gt;0,MAX(0,'Paths'!$T$14-K664),1000000000)))</x:f>
        <x:v>13552.000000000002</x:v>
      </x:c>
      <x:c r="K665" s="47" t="n">
        <x:f>K664+J665</x:f>
        <x:v>280016</x:v>
      </x:c>
      <x:c r="L665" s="46" t="n">
        <x:f>IF(C665="P0",1,IF(D665&lt;=3,0.8,IF(D665&lt;=14,0.65,IF(D665&lt;=45,0.5,0.3))))</x:f>
        <x:v>0.5</x:v>
      </x:c>
      <x:c r="M665" s="47" t="n">
        <x:f>J665*L665</x:f>
        <x:v>6776.000000000001</x:v>
      </x:c>
      <x:c r="N665" s="47" t="n">
        <x:f>N664+M665</x:f>
        <x:v>159649.6</x:v>
      </x:c>
      <x:c r="O665" s="46" t="n">
        <x:f>IF(C665="P0",0,IF(D665&lt;=3,0.15,IF(D665&lt;=14,0.25,IF(D665&lt;=45,0.35,0.5))))</x:f>
        <x:v>0.35</x:v>
      </x:c>
      <x:c r="P665" s="47" t="n">
        <x:f>J665*O665</x:f>
        <x:v>4743.200000000001</x:v>
      </x:c>
      <x:c r="Q665" s="46" t="n">
        <x:f>IF(C665="P0",0,IF(D665&lt;=3,0.05,IF(D665&lt;=14,0.1,IF(D665&lt;=45,0.15,0.2))))</x:f>
        <x:v>0.15</x:v>
      </x:c>
      <x:c r="R665" s="47" t="n">
        <x:f>J665*Q665</x:f>
        <x:v>2032.8000000000002</x:v>
      </x:c>
      <x:c r="S665" s="20" t="str">
        <x:f>IF(D665&lt;E665,"closed",IF(D665&lt;'Paths'!$N$14,"initial","expanded"))</x:f>
        <x:v>expanded</x:v>
      </x:c>
      <x:c r="T665" s="72"/>
    </x:row>
    <x:row r="666">
      <x:c r="C666" s="20" t="str">
        <x:v>P7</x:v>
      </x:c>
      <x:c r="D666" s="20" t="n">
        <x:v>22</x:v>
      </x:c>
      <x:c r="E666" s="45" t="n">
        <x:f>IF('Controls'!$D$7="Reference",'Paths'!$J$14,'Paths'!$K$14)</x:f>
        <x:v>6</x:v>
      </x:c>
      <x:c r="F666" s="47" t="n">
        <x:f>IF(D666&lt;'Paths'!$N$14,IF('Controls'!$D$7="Reference",'Paths'!$L$14,'Paths'!$M$14),IF('Controls'!$D$7="Reference",'Paths'!$O$14,'Paths'!$P$14))</x:f>
        <x:v>28000</x:v>
      </x:c>
      <x:c r="G666" s="46" t="n">
        <x:f>IF('Controls'!$D$7="Reference",1,IF(OR(D666=6,D666=7,D666=21,D666=46),'Paths'!$U$14,1))</x:f>
        <x:v>1</x:v>
      </x:c>
      <x:c r="H666" s="46" t="n">
        <x:f>IF('Controls'!$D$7="Reference",1,IF(OR(AND(D666&gt;=14,D666&lt;=16),AND(D666&gt;=34,D666&lt;=35),AND(D666&gt;=61,D666&lt;=63)),'Paths'!$V$14,1))</x:f>
        <x:v>1</x:v>
      </x:c>
      <x:c r="I666" s="46" t="n">
        <x:f>'Paths'!$W$14</x:f>
        <x:v>0.88</x:v>
      </x:c>
      <x:c r="J666" s="47" t="n">
        <x:f>IF(D666&lt;E666,0,MIN(F666*G666*H666*I666,IF('Paths'!$T$14&gt;0,MAX(0,'Paths'!$T$14-K665),1000000000)))</x:f>
        <x:v>24640</x:v>
      </x:c>
      <x:c r="K666" s="47" t="n">
        <x:f>K665+J666</x:f>
        <x:v>304656</x:v>
      </x:c>
      <x:c r="L666" s="46" t="n">
        <x:f>IF(C666="P0",1,IF(D666&lt;=3,0.8,IF(D666&lt;=14,0.65,IF(D666&lt;=45,0.5,0.3))))</x:f>
        <x:v>0.5</x:v>
      </x:c>
      <x:c r="M666" s="47" t="n">
        <x:f>J666*L666</x:f>
        <x:v>12320</x:v>
      </x:c>
      <x:c r="N666" s="47" t="n">
        <x:f>N665+M666</x:f>
        <x:v>171969.6</x:v>
      </x:c>
      <x:c r="O666" s="46" t="n">
        <x:f>IF(C666="P0",0,IF(D666&lt;=3,0.15,IF(D666&lt;=14,0.25,IF(D666&lt;=45,0.35,0.5))))</x:f>
        <x:v>0.35</x:v>
      </x:c>
      <x:c r="P666" s="47" t="n">
        <x:f>J666*O666</x:f>
        <x:v>8624</x:v>
      </x:c>
      <x:c r="Q666" s="46" t="n">
        <x:f>IF(C666="P0",0,IF(D666&lt;=3,0.05,IF(D666&lt;=14,0.1,IF(D666&lt;=45,0.15,0.2))))</x:f>
        <x:v>0.15</x:v>
      </x:c>
      <x:c r="R666" s="47" t="n">
        <x:f>J666*Q666</x:f>
        <x:v>3696</x:v>
      </x:c>
      <x:c r="S666" s="20" t="str">
        <x:f>IF(D666&lt;E666,"closed",IF(D666&lt;'Paths'!$N$14,"initial","expanded"))</x:f>
        <x:v>expanded</x:v>
      </x:c>
      <x:c r="T666" s="72"/>
    </x:row>
    <x:row r="667">
      <x:c r="C667" s="20" t="str">
        <x:v>P7</x:v>
      </x:c>
      <x:c r="D667" s="20" t="n">
        <x:v>23</x:v>
      </x:c>
      <x:c r="E667" s="45" t="n">
        <x:f>IF('Controls'!$D$7="Reference",'Paths'!$J$14,'Paths'!$K$14)</x:f>
        <x:v>6</x:v>
      </x:c>
      <x:c r="F667" s="47" t="n">
        <x:f>IF(D667&lt;'Paths'!$N$14,IF('Controls'!$D$7="Reference",'Paths'!$L$14,'Paths'!$M$14),IF('Controls'!$D$7="Reference",'Paths'!$O$14,'Paths'!$P$14))</x:f>
        <x:v>28000</x:v>
      </x:c>
      <x:c r="G667" s="46" t="n">
        <x:f>IF('Controls'!$D$7="Reference",1,IF(OR(D667=6,D667=7,D667=21,D667=46),'Paths'!$U$14,1))</x:f>
        <x:v>1</x:v>
      </x:c>
      <x:c r="H667" s="46" t="n">
        <x:f>IF('Controls'!$D$7="Reference",1,IF(OR(AND(D667&gt;=14,D667&lt;=16),AND(D667&gt;=34,D667&lt;=35),AND(D667&gt;=61,D667&lt;=63)),'Paths'!$V$14,1))</x:f>
        <x:v>1</x:v>
      </x:c>
      <x:c r="I667" s="46" t="n">
        <x:f>'Paths'!$W$14</x:f>
        <x:v>0.88</x:v>
      </x:c>
      <x:c r="J667" s="47" t="n">
        <x:f>IF(D667&lt;E667,0,MIN(F667*G667*H667*I667,IF('Paths'!$T$14&gt;0,MAX(0,'Paths'!$T$14-K666),1000000000)))</x:f>
        <x:v>24640</x:v>
      </x:c>
      <x:c r="K667" s="47" t="n">
        <x:f>K666+J667</x:f>
        <x:v>329296</x:v>
      </x:c>
      <x:c r="L667" s="46" t="n">
        <x:f>IF(C667="P0",1,IF(D667&lt;=3,0.8,IF(D667&lt;=14,0.65,IF(D667&lt;=45,0.5,0.3))))</x:f>
        <x:v>0.5</x:v>
      </x:c>
      <x:c r="M667" s="47" t="n">
        <x:f>J667*L667</x:f>
        <x:v>12320</x:v>
      </x:c>
      <x:c r="N667" s="47" t="n">
        <x:f>N666+M667</x:f>
        <x:v>184289.6</x:v>
      </x:c>
      <x:c r="O667" s="46" t="n">
        <x:f>IF(C667="P0",0,IF(D667&lt;=3,0.15,IF(D667&lt;=14,0.25,IF(D667&lt;=45,0.35,0.5))))</x:f>
        <x:v>0.35</x:v>
      </x:c>
      <x:c r="P667" s="47" t="n">
        <x:f>J667*O667</x:f>
        <x:v>8624</x:v>
      </x:c>
      <x:c r="Q667" s="46" t="n">
        <x:f>IF(C667="P0",0,IF(D667&lt;=3,0.05,IF(D667&lt;=14,0.1,IF(D667&lt;=45,0.15,0.2))))</x:f>
        <x:v>0.15</x:v>
      </x:c>
      <x:c r="R667" s="47" t="n">
        <x:f>J667*Q667</x:f>
        <x:v>3696</x:v>
      </x:c>
      <x:c r="S667" s="20" t="str">
        <x:f>IF(D667&lt;E667,"closed",IF(D667&lt;'Paths'!$N$14,"initial","expanded"))</x:f>
        <x:v>expanded</x:v>
      </x:c>
      <x:c r="T667" s="72"/>
    </x:row>
    <x:row r="668">
      <x:c r="C668" s="20" t="str">
        <x:v>P7</x:v>
      </x:c>
      <x:c r="D668" s="20" t="n">
        <x:v>24</x:v>
      </x:c>
      <x:c r="E668" s="45" t="n">
        <x:f>IF('Controls'!$D$7="Reference",'Paths'!$J$14,'Paths'!$K$14)</x:f>
        <x:v>6</x:v>
      </x:c>
      <x:c r="F668" s="47" t="n">
        <x:f>IF(D668&lt;'Paths'!$N$14,IF('Controls'!$D$7="Reference",'Paths'!$L$14,'Paths'!$M$14),IF('Controls'!$D$7="Reference",'Paths'!$O$14,'Paths'!$P$14))</x:f>
        <x:v>28000</x:v>
      </x:c>
      <x:c r="G668" s="46" t="n">
        <x:f>IF('Controls'!$D$7="Reference",1,IF(OR(D668=6,D668=7,D668=21,D668=46),'Paths'!$U$14,1))</x:f>
        <x:v>1</x:v>
      </x:c>
      <x:c r="H668" s="46" t="n">
        <x:f>IF('Controls'!$D$7="Reference",1,IF(OR(AND(D668&gt;=14,D668&lt;=16),AND(D668&gt;=34,D668&lt;=35),AND(D668&gt;=61,D668&lt;=63)),'Paths'!$V$14,1))</x:f>
        <x:v>1</x:v>
      </x:c>
      <x:c r="I668" s="46" t="n">
        <x:f>'Paths'!$W$14</x:f>
        <x:v>0.88</x:v>
      </x:c>
      <x:c r="J668" s="47" t="n">
        <x:f>IF(D668&lt;E668,0,MIN(F668*G668*H668*I668,IF('Paths'!$T$14&gt;0,MAX(0,'Paths'!$T$14-K667),1000000000)))</x:f>
        <x:v>24640</x:v>
      </x:c>
      <x:c r="K668" s="47" t="n">
        <x:f>K667+J668</x:f>
        <x:v>353936</x:v>
      </x:c>
      <x:c r="L668" s="46" t="n">
        <x:f>IF(C668="P0",1,IF(D668&lt;=3,0.8,IF(D668&lt;=14,0.65,IF(D668&lt;=45,0.5,0.3))))</x:f>
        <x:v>0.5</x:v>
      </x:c>
      <x:c r="M668" s="47" t="n">
        <x:f>J668*L668</x:f>
        <x:v>12320</x:v>
      </x:c>
      <x:c r="N668" s="47" t="n">
        <x:f>N667+M668</x:f>
        <x:v>196609.6</x:v>
      </x:c>
      <x:c r="O668" s="46" t="n">
        <x:f>IF(C668="P0",0,IF(D668&lt;=3,0.15,IF(D668&lt;=14,0.25,IF(D668&lt;=45,0.35,0.5))))</x:f>
        <x:v>0.35</x:v>
      </x:c>
      <x:c r="P668" s="47" t="n">
        <x:f>J668*O668</x:f>
        <x:v>8624</x:v>
      </x:c>
      <x:c r="Q668" s="46" t="n">
        <x:f>IF(C668="P0",0,IF(D668&lt;=3,0.05,IF(D668&lt;=14,0.1,IF(D668&lt;=45,0.15,0.2))))</x:f>
        <x:v>0.15</x:v>
      </x:c>
      <x:c r="R668" s="47" t="n">
        <x:f>J668*Q668</x:f>
        <x:v>3696</x:v>
      </x:c>
      <x:c r="S668" s="20" t="str">
        <x:f>IF(D668&lt;E668,"closed",IF(D668&lt;'Paths'!$N$14,"initial","expanded"))</x:f>
        <x:v>expanded</x:v>
      </x:c>
      <x:c r="T668" s="72"/>
    </x:row>
    <x:row r="669">
      <x:c r="C669" s="20" t="str">
        <x:v>P7</x:v>
      </x:c>
      <x:c r="D669" s="20" t="n">
        <x:v>25</x:v>
      </x:c>
      <x:c r="E669" s="45" t="n">
        <x:f>IF('Controls'!$D$7="Reference",'Paths'!$J$14,'Paths'!$K$14)</x:f>
        <x:v>6</x:v>
      </x:c>
      <x:c r="F669" s="47" t="n">
        <x:f>IF(D669&lt;'Paths'!$N$14,IF('Controls'!$D$7="Reference",'Paths'!$L$14,'Paths'!$M$14),IF('Controls'!$D$7="Reference",'Paths'!$O$14,'Paths'!$P$14))</x:f>
        <x:v>28000</x:v>
      </x:c>
      <x:c r="G669" s="46" t="n">
        <x:f>IF('Controls'!$D$7="Reference",1,IF(OR(D669=6,D669=7,D669=21,D669=46),'Paths'!$U$14,1))</x:f>
        <x:v>1</x:v>
      </x:c>
      <x:c r="H669" s="46" t="n">
        <x:f>IF('Controls'!$D$7="Reference",1,IF(OR(AND(D669&gt;=14,D669&lt;=16),AND(D669&gt;=34,D669&lt;=35),AND(D669&gt;=61,D669&lt;=63)),'Paths'!$V$14,1))</x:f>
        <x:v>1</x:v>
      </x:c>
      <x:c r="I669" s="46" t="n">
        <x:f>'Paths'!$W$14</x:f>
        <x:v>0.88</x:v>
      </x:c>
      <x:c r="J669" s="47" t="n">
        <x:f>IF(D669&lt;E669,0,MIN(F669*G669*H669*I669,IF('Paths'!$T$14&gt;0,MAX(0,'Paths'!$T$14-K668),1000000000)))</x:f>
        <x:v>24640</x:v>
      </x:c>
      <x:c r="K669" s="47" t="n">
        <x:f>K668+J669</x:f>
        <x:v>378576</x:v>
      </x:c>
      <x:c r="L669" s="46" t="n">
        <x:f>IF(C669="P0",1,IF(D669&lt;=3,0.8,IF(D669&lt;=14,0.65,IF(D669&lt;=45,0.5,0.3))))</x:f>
        <x:v>0.5</x:v>
      </x:c>
      <x:c r="M669" s="47" t="n">
        <x:f>J669*L669</x:f>
        <x:v>12320</x:v>
      </x:c>
      <x:c r="N669" s="47" t="n">
        <x:f>N668+M669</x:f>
        <x:v>208929.6</x:v>
      </x:c>
      <x:c r="O669" s="46" t="n">
        <x:f>IF(C669="P0",0,IF(D669&lt;=3,0.15,IF(D669&lt;=14,0.25,IF(D669&lt;=45,0.35,0.5))))</x:f>
        <x:v>0.35</x:v>
      </x:c>
      <x:c r="P669" s="47" t="n">
        <x:f>J669*O669</x:f>
        <x:v>8624</x:v>
      </x:c>
      <x:c r="Q669" s="46" t="n">
        <x:f>IF(C669="P0",0,IF(D669&lt;=3,0.05,IF(D669&lt;=14,0.1,IF(D669&lt;=45,0.15,0.2))))</x:f>
        <x:v>0.15</x:v>
      </x:c>
      <x:c r="R669" s="47" t="n">
        <x:f>J669*Q669</x:f>
        <x:v>3696</x:v>
      </x:c>
      <x:c r="S669" s="20" t="str">
        <x:f>IF(D669&lt;E669,"closed",IF(D669&lt;'Paths'!$N$14,"initial","expanded"))</x:f>
        <x:v>expanded</x:v>
      </x:c>
      <x:c r="T669" s="72"/>
    </x:row>
    <x:row r="670">
      <x:c r="C670" s="20" t="str">
        <x:v>P7</x:v>
      </x:c>
      <x:c r="D670" s="20" t="n">
        <x:v>26</x:v>
      </x:c>
      <x:c r="E670" s="45" t="n">
        <x:f>IF('Controls'!$D$7="Reference",'Paths'!$J$14,'Paths'!$K$14)</x:f>
        <x:v>6</x:v>
      </x:c>
      <x:c r="F670" s="47" t="n">
        <x:f>IF(D670&lt;'Paths'!$N$14,IF('Controls'!$D$7="Reference",'Paths'!$L$14,'Paths'!$M$14),IF('Controls'!$D$7="Reference",'Paths'!$O$14,'Paths'!$P$14))</x:f>
        <x:v>28000</x:v>
      </x:c>
      <x:c r="G670" s="46" t="n">
        <x:f>IF('Controls'!$D$7="Reference",1,IF(OR(D670=6,D670=7,D670=21,D670=46),'Paths'!$U$14,1))</x:f>
        <x:v>1</x:v>
      </x:c>
      <x:c r="H670" s="46" t="n">
        <x:f>IF('Controls'!$D$7="Reference",1,IF(OR(AND(D670&gt;=14,D670&lt;=16),AND(D670&gt;=34,D670&lt;=35),AND(D670&gt;=61,D670&lt;=63)),'Paths'!$V$14,1))</x:f>
        <x:v>1</x:v>
      </x:c>
      <x:c r="I670" s="46" t="n">
        <x:f>'Paths'!$W$14</x:f>
        <x:v>0.88</x:v>
      </x:c>
      <x:c r="J670" s="47" t="n">
        <x:f>IF(D670&lt;E670,0,MIN(F670*G670*H670*I670,IF('Paths'!$T$14&gt;0,MAX(0,'Paths'!$T$14-K669),1000000000)))</x:f>
        <x:v>24640</x:v>
      </x:c>
      <x:c r="K670" s="47" t="n">
        <x:f>K669+J670</x:f>
        <x:v>403216</x:v>
      </x:c>
      <x:c r="L670" s="46" t="n">
        <x:f>IF(C670="P0",1,IF(D670&lt;=3,0.8,IF(D670&lt;=14,0.65,IF(D670&lt;=45,0.5,0.3))))</x:f>
        <x:v>0.5</x:v>
      </x:c>
      <x:c r="M670" s="47" t="n">
        <x:f>J670*L670</x:f>
        <x:v>12320</x:v>
      </x:c>
      <x:c r="N670" s="47" t="n">
        <x:f>N669+M670</x:f>
        <x:v>221249.6</x:v>
      </x:c>
      <x:c r="O670" s="46" t="n">
        <x:f>IF(C670="P0",0,IF(D670&lt;=3,0.15,IF(D670&lt;=14,0.25,IF(D670&lt;=45,0.35,0.5))))</x:f>
        <x:v>0.35</x:v>
      </x:c>
      <x:c r="P670" s="47" t="n">
        <x:f>J670*O670</x:f>
        <x:v>8624</x:v>
      </x:c>
      <x:c r="Q670" s="46" t="n">
        <x:f>IF(C670="P0",0,IF(D670&lt;=3,0.05,IF(D670&lt;=14,0.1,IF(D670&lt;=45,0.15,0.2))))</x:f>
        <x:v>0.15</x:v>
      </x:c>
      <x:c r="R670" s="47" t="n">
        <x:f>J670*Q670</x:f>
        <x:v>3696</x:v>
      </x:c>
      <x:c r="S670" s="20" t="str">
        <x:f>IF(D670&lt;E670,"closed",IF(D670&lt;'Paths'!$N$14,"initial","expanded"))</x:f>
        <x:v>expanded</x:v>
      </x:c>
      <x:c r="T670" s="72"/>
    </x:row>
    <x:row r="671">
      <x:c r="C671" s="20" t="str">
        <x:v>P7</x:v>
      </x:c>
      <x:c r="D671" s="20" t="n">
        <x:v>27</x:v>
      </x:c>
      <x:c r="E671" s="45" t="n">
        <x:f>IF('Controls'!$D$7="Reference",'Paths'!$J$14,'Paths'!$K$14)</x:f>
        <x:v>6</x:v>
      </x:c>
      <x:c r="F671" s="47" t="n">
        <x:f>IF(D671&lt;'Paths'!$N$14,IF('Controls'!$D$7="Reference",'Paths'!$L$14,'Paths'!$M$14),IF('Controls'!$D$7="Reference",'Paths'!$O$14,'Paths'!$P$14))</x:f>
        <x:v>28000</x:v>
      </x:c>
      <x:c r="G671" s="46" t="n">
        <x:f>IF('Controls'!$D$7="Reference",1,IF(OR(D671=6,D671=7,D671=21,D671=46),'Paths'!$U$14,1))</x:f>
        <x:v>1</x:v>
      </x:c>
      <x:c r="H671" s="46" t="n">
        <x:f>IF('Controls'!$D$7="Reference",1,IF(OR(AND(D671&gt;=14,D671&lt;=16),AND(D671&gt;=34,D671&lt;=35),AND(D671&gt;=61,D671&lt;=63)),'Paths'!$V$14,1))</x:f>
        <x:v>1</x:v>
      </x:c>
      <x:c r="I671" s="46" t="n">
        <x:f>'Paths'!$W$14</x:f>
        <x:v>0.88</x:v>
      </x:c>
      <x:c r="J671" s="47" t="n">
        <x:f>IF(D671&lt;E671,0,MIN(F671*G671*H671*I671,IF('Paths'!$T$14&gt;0,MAX(0,'Paths'!$T$14-K670),1000000000)))</x:f>
        <x:v>24640</x:v>
      </x:c>
      <x:c r="K671" s="47" t="n">
        <x:f>K670+J671</x:f>
        <x:v>427856</x:v>
      </x:c>
      <x:c r="L671" s="46" t="n">
        <x:f>IF(C671="P0",1,IF(D671&lt;=3,0.8,IF(D671&lt;=14,0.65,IF(D671&lt;=45,0.5,0.3))))</x:f>
        <x:v>0.5</x:v>
      </x:c>
      <x:c r="M671" s="47" t="n">
        <x:f>J671*L671</x:f>
        <x:v>12320</x:v>
      </x:c>
      <x:c r="N671" s="47" t="n">
        <x:f>N670+M671</x:f>
        <x:v>233569.6</x:v>
      </x:c>
      <x:c r="O671" s="46" t="n">
        <x:f>IF(C671="P0",0,IF(D671&lt;=3,0.15,IF(D671&lt;=14,0.25,IF(D671&lt;=45,0.35,0.5))))</x:f>
        <x:v>0.35</x:v>
      </x:c>
      <x:c r="P671" s="47" t="n">
        <x:f>J671*O671</x:f>
        <x:v>8624</x:v>
      </x:c>
      <x:c r="Q671" s="46" t="n">
        <x:f>IF(C671="P0",0,IF(D671&lt;=3,0.05,IF(D671&lt;=14,0.1,IF(D671&lt;=45,0.15,0.2))))</x:f>
        <x:v>0.15</x:v>
      </x:c>
      <x:c r="R671" s="47" t="n">
        <x:f>J671*Q671</x:f>
        <x:v>3696</x:v>
      </x:c>
      <x:c r="S671" s="20" t="str">
        <x:f>IF(D671&lt;E671,"closed",IF(D671&lt;'Paths'!$N$14,"initial","expanded"))</x:f>
        <x:v>expanded</x:v>
      </x:c>
      <x:c r="T671" s="72"/>
    </x:row>
    <x:row r="672">
      <x:c r="C672" s="20" t="str">
        <x:v>P7</x:v>
      </x:c>
      <x:c r="D672" s="20" t="n">
        <x:v>28</x:v>
      </x:c>
      <x:c r="E672" s="45" t="n">
        <x:f>IF('Controls'!$D$7="Reference",'Paths'!$J$14,'Paths'!$K$14)</x:f>
        <x:v>6</x:v>
      </x:c>
      <x:c r="F672" s="47" t="n">
        <x:f>IF(D672&lt;'Paths'!$N$14,IF('Controls'!$D$7="Reference",'Paths'!$L$14,'Paths'!$M$14),IF('Controls'!$D$7="Reference",'Paths'!$O$14,'Paths'!$P$14))</x:f>
        <x:v>28000</x:v>
      </x:c>
      <x:c r="G672" s="46" t="n">
        <x:f>IF('Controls'!$D$7="Reference",1,IF(OR(D672=6,D672=7,D672=21,D672=46),'Paths'!$U$14,1))</x:f>
        <x:v>1</x:v>
      </x:c>
      <x:c r="H672" s="46" t="n">
        <x:f>IF('Controls'!$D$7="Reference",1,IF(OR(AND(D672&gt;=14,D672&lt;=16),AND(D672&gt;=34,D672&lt;=35),AND(D672&gt;=61,D672&lt;=63)),'Paths'!$V$14,1))</x:f>
        <x:v>1</x:v>
      </x:c>
      <x:c r="I672" s="46" t="n">
        <x:f>'Paths'!$W$14</x:f>
        <x:v>0.88</x:v>
      </x:c>
      <x:c r="J672" s="47" t="n">
        <x:f>IF(D672&lt;E672,0,MIN(F672*G672*H672*I672,IF('Paths'!$T$14&gt;0,MAX(0,'Paths'!$T$14-K671),1000000000)))</x:f>
        <x:v>24640</x:v>
      </x:c>
      <x:c r="K672" s="47" t="n">
        <x:f>K671+J672</x:f>
        <x:v>452496</x:v>
      </x:c>
      <x:c r="L672" s="46" t="n">
        <x:f>IF(C672="P0",1,IF(D672&lt;=3,0.8,IF(D672&lt;=14,0.65,IF(D672&lt;=45,0.5,0.3))))</x:f>
        <x:v>0.5</x:v>
      </x:c>
      <x:c r="M672" s="47" t="n">
        <x:f>J672*L672</x:f>
        <x:v>12320</x:v>
      </x:c>
      <x:c r="N672" s="47" t="n">
        <x:f>N671+M672</x:f>
        <x:v>245889.6</x:v>
      </x:c>
      <x:c r="O672" s="46" t="n">
        <x:f>IF(C672="P0",0,IF(D672&lt;=3,0.15,IF(D672&lt;=14,0.25,IF(D672&lt;=45,0.35,0.5))))</x:f>
        <x:v>0.35</x:v>
      </x:c>
      <x:c r="P672" s="47" t="n">
        <x:f>J672*O672</x:f>
        <x:v>8624</x:v>
      </x:c>
      <x:c r="Q672" s="46" t="n">
        <x:f>IF(C672="P0",0,IF(D672&lt;=3,0.05,IF(D672&lt;=14,0.1,IF(D672&lt;=45,0.15,0.2))))</x:f>
        <x:v>0.15</x:v>
      </x:c>
      <x:c r="R672" s="47" t="n">
        <x:f>J672*Q672</x:f>
        <x:v>3696</x:v>
      </x:c>
      <x:c r="S672" s="20" t="str">
        <x:f>IF(D672&lt;E672,"closed",IF(D672&lt;'Paths'!$N$14,"initial","expanded"))</x:f>
        <x:v>expanded</x:v>
      </x:c>
      <x:c r="T672" s="72"/>
    </x:row>
    <x:row r="673">
      <x:c r="C673" s="20" t="str">
        <x:v>P7</x:v>
      </x:c>
      <x:c r="D673" s="20" t="n">
        <x:v>29</x:v>
      </x:c>
      <x:c r="E673" s="45" t="n">
        <x:f>IF('Controls'!$D$7="Reference",'Paths'!$J$14,'Paths'!$K$14)</x:f>
        <x:v>6</x:v>
      </x:c>
      <x:c r="F673" s="47" t="n">
        <x:f>IF(D673&lt;'Paths'!$N$14,IF('Controls'!$D$7="Reference",'Paths'!$L$14,'Paths'!$M$14),IF('Controls'!$D$7="Reference",'Paths'!$O$14,'Paths'!$P$14))</x:f>
        <x:v>28000</x:v>
      </x:c>
      <x:c r="G673" s="46" t="n">
        <x:f>IF('Controls'!$D$7="Reference",1,IF(OR(D673=6,D673=7,D673=21,D673=46),'Paths'!$U$14,1))</x:f>
        <x:v>1</x:v>
      </x:c>
      <x:c r="H673" s="46" t="n">
        <x:f>IF('Controls'!$D$7="Reference",1,IF(OR(AND(D673&gt;=14,D673&lt;=16),AND(D673&gt;=34,D673&lt;=35),AND(D673&gt;=61,D673&lt;=63)),'Paths'!$V$14,1))</x:f>
        <x:v>1</x:v>
      </x:c>
      <x:c r="I673" s="46" t="n">
        <x:f>'Paths'!$W$14</x:f>
        <x:v>0.88</x:v>
      </x:c>
      <x:c r="J673" s="47" t="n">
        <x:f>IF(D673&lt;E673,0,MIN(F673*G673*H673*I673,IF('Paths'!$T$14&gt;0,MAX(0,'Paths'!$T$14-K672),1000000000)))</x:f>
        <x:v>24640</x:v>
      </x:c>
      <x:c r="K673" s="47" t="n">
        <x:f>K672+J673</x:f>
        <x:v>477136</x:v>
      </x:c>
      <x:c r="L673" s="46" t="n">
        <x:f>IF(C673="P0",1,IF(D673&lt;=3,0.8,IF(D673&lt;=14,0.65,IF(D673&lt;=45,0.5,0.3))))</x:f>
        <x:v>0.5</x:v>
      </x:c>
      <x:c r="M673" s="47" t="n">
        <x:f>J673*L673</x:f>
        <x:v>12320</x:v>
      </x:c>
      <x:c r="N673" s="47" t="n">
        <x:f>N672+M673</x:f>
        <x:v>258209.6</x:v>
      </x:c>
      <x:c r="O673" s="46" t="n">
        <x:f>IF(C673="P0",0,IF(D673&lt;=3,0.15,IF(D673&lt;=14,0.25,IF(D673&lt;=45,0.35,0.5))))</x:f>
        <x:v>0.35</x:v>
      </x:c>
      <x:c r="P673" s="47" t="n">
        <x:f>J673*O673</x:f>
        <x:v>8624</x:v>
      </x:c>
      <x:c r="Q673" s="46" t="n">
        <x:f>IF(C673="P0",0,IF(D673&lt;=3,0.05,IF(D673&lt;=14,0.1,IF(D673&lt;=45,0.15,0.2))))</x:f>
        <x:v>0.15</x:v>
      </x:c>
      <x:c r="R673" s="47" t="n">
        <x:f>J673*Q673</x:f>
        <x:v>3696</x:v>
      </x:c>
      <x:c r="S673" s="20" t="str">
        <x:f>IF(D673&lt;E673,"closed",IF(D673&lt;'Paths'!$N$14,"initial","expanded"))</x:f>
        <x:v>expanded</x:v>
      </x:c>
      <x:c r="T673" s="72"/>
    </x:row>
    <x:row r="674">
      <x:c r="C674" s="20" t="str">
        <x:v>P7</x:v>
      </x:c>
      <x:c r="D674" s="20" t="n">
        <x:v>30</x:v>
      </x:c>
      <x:c r="E674" s="45" t="n">
        <x:f>IF('Controls'!$D$7="Reference",'Paths'!$J$14,'Paths'!$K$14)</x:f>
        <x:v>6</x:v>
      </x:c>
      <x:c r="F674" s="47" t="n">
        <x:f>IF(D674&lt;'Paths'!$N$14,IF('Controls'!$D$7="Reference",'Paths'!$L$14,'Paths'!$M$14),IF('Controls'!$D$7="Reference",'Paths'!$O$14,'Paths'!$P$14))</x:f>
        <x:v>28000</x:v>
      </x:c>
      <x:c r="G674" s="46" t="n">
        <x:f>IF('Controls'!$D$7="Reference",1,IF(OR(D674=6,D674=7,D674=21,D674=46),'Paths'!$U$14,1))</x:f>
        <x:v>1</x:v>
      </x:c>
      <x:c r="H674" s="46" t="n">
        <x:f>IF('Controls'!$D$7="Reference",1,IF(OR(AND(D674&gt;=14,D674&lt;=16),AND(D674&gt;=34,D674&lt;=35),AND(D674&gt;=61,D674&lt;=63)),'Paths'!$V$14,1))</x:f>
        <x:v>1</x:v>
      </x:c>
      <x:c r="I674" s="46" t="n">
        <x:f>'Paths'!$W$14</x:f>
        <x:v>0.88</x:v>
      </x:c>
      <x:c r="J674" s="47" t="n">
        <x:f>IF(D674&lt;E674,0,MIN(F674*G674*H674*I674,IF('Paths'!$T$14&gt;0,MAX(0,'Paths'!$T$14-K673),1000000000)))</x:f>
        <x:v>24640</x:v>
      </x:c>
      <x:c r="K674" s="47" t="n">
        <x:f>K673+J674</x:f>
        <x:v>501776</x:v>
      </x:c>
      <x:c r="L674" s="46" t="n">
        <x:f>IF(C674="P0",1,IF(D674&lt;=3,0.8,IF(D674&lt;=14,0.65,IF(D674&lt;=45,0.5,0.3))))</x:f>
        <x:v>0.5</x:v>
      </x:c>
      <x:c r="M674" s="47" t="n">
        <x:f>J674*L674</x:f>
        <x:v>12320</x:v>
      </x:c>
      <x:c r="N674" s="47" t="n">
        <x:f>N673+M674</x:f>
        <x:v>270529.6</x:v>
      </x:c>
      <x:c r="O674" s="46" t="n">
        <x:f>IF(C674="P0",0,IF(D674&lt;=3,0.15,IF(D674&lt;=14,0.25,IF(D674&lt;=45,0.35,0.5))))</x:f>
        <x:v>0.35</x:v>
      </x:c>
      <x:c r="P674" s="47" t="n">
        <x:f>J674*O674</x:f>
        <x:v>8624</x:v>
      </x:c>
      <x:c r="Q674" s="46" t="n">
        <x:f>IF(C674="P0",0,IF(D674&lt;=3,0.05,IF(D674&lt;=14,0.1,IF(D674&lt;=45,0.15,0.2))))</x:f>
        <x:v>0.15</x:v>
      </x:c>
      <x:c r="R674" s="47" t="n">
        <x:f>J674*Q674</x:f>
        <x:v>3696</x:v>
      </x:c>
      <x:c r="S674" s="20" t="str">
        <x:f>IF(D674&lt;E674,"closed",IF(D674&lt;'Paths'!$N$14,"initial","expanded"))</x:f>
        <x:v>expanded</x:v>
      </x:c>
      <x:c r="T674" s="72"/>
    </x:row>
    <x:row r="675">
      <x:c r="C675" s="20" t="str">
        <x:v>P7</x:v>
      </x:c>
      <x:c r="D675" s="20" t="n">
        <x:v>31</x:v>
      </x:c>
      <x:c r="E675" s="45" t="n">
        <x:f>IF('Controls'!$D$7="Reference",'Paths'!$J$14,'Paths'!$K$14)</x:f>
        <x:v>6</x:v>
      </x:c>
      <x:c r="F675" s="47" t="n">
        <x:f>IF(D675&lt;'Paths'!$N$14,IF('Controls'!$D$7="Reference",'Paths'!$L$14,'Paths'!$M$14),IF('Controls'!$D$7="Reference",'Paths'!$O$14,'Paths'!$P$14))</x:f>
        <x:v>28000</x:v>
      </x:c>
      <x:c r="G675" s="46" t="n">
        <x:f>IF('Controls'!$D$7="Reference",1,IF(OR(D675=6,D675=7,D675=21,D675=46),'Paths'!$U$14,1))</x:f>
        <x:v>1</x:v>
      </x:c>
      <x:c r="H675" s="46" t="n">
        <x:f>IF('Controls'!$D$7="Reference",1,IF(OR(AND(D675&gt;=14,D675&lt;=16),AND(D675&gt;=34,D675&lt;=35),AND(D675&gt;=61,D675&lt;=63)),'Paths'!$V$14,1))</x:f>
        <x:v>1</x:v>
      </x:c>
      <x:c r="I675" s="46" t="n">
        <x:f>'Paths'!$W$14</x:f>
        <x:v>0.88</x:v>
      </x:c>
      <x:c r="J675" s="47" t="n">
        <x:f>IF(D675&lt;E675,0,MIN(F675*G675*H675*I675,IF('Paths'!$T$14&gt;0,MAX(0,'Paths'!$T$14-K674),1000000000)))</x:f>
        <x:v>24640</x:v>
      </x:c>
      <x:c r="K675" s="47" t="n">
        <x:f>K674+J675</x:f>
        <x:v>526416</x:v>
      </x:c>
      <x:c r="L675" s="46" t="n">
        <x:f>IF(C675="P0",1,IF(D675&lt;=3,0.8,IF(D675&lt;=14,0.65,IF(D675&lt;=45,0.5,0.3))))</x:f>
        <x:v>0.5</x:v>
      </x:c>
      <x:c r="M675" s="47" t="n">
        <x:f>J675*L675</x:f>
        <x:v>12320</x:v>
      </x:c>
      <x:c r="N675" s="47" t="n">
        <x:f>N674+M675</x:f>
        <x:v>282849.6</x:v>
      </x:c>
      <x:c r="O675" s="46" t="n">
        <x:f>IF(C675="P0",0,IF(D675&lt;=3,0.15,IF(D675&lt;=14,0.25,IF(D675&lt;=45,0.35,0.5))))</x:f>
        <x:v>0.35</x:v>
      </x:c>
      <x:c r="P675" s="47" t="n">
        <x:f>J675*O675</x:f>
        <x:v>8624</x:v>
      </x:c>
      <x:c r="Q675" s="46" t="n">
        <x:f>IF(C675="P0",0,IF(D675&lt;=3,0.05,IF(D675&lt;=14,0.1,IF(D675&lt;=45,0.15,0.2))))</x:f>
        <x:v>0.15</x:v>
      </x:c>
      <x:c r="R675" s="47" t="n">
        <x:f>J675*Q675</x:f>
        <x:v>3696</x:v>
      </x:c>
      <x:c r="S675" s="20" t="str">
        <x:f>IF(D675&lt;E675,"closed",IF(D675&lt;'Paths'!$N$14,"initial","expanded"))</x:f>
        <x:v>expanded</x:v>
      </x:c>
      <x:c r="T675" s="72"/>
    </x:row>
    <x:row r="676">
      <x:c r="C676" s="20" t="str">
        <x:v>P7</x:v>
      </x:c>
      <x:c r="D676" s="20" t="n">
        <x:v>32</x:v>
      </x:c>
      <x:c r="E676" s="45" t="n">
        <x:f>IF('Controls'!$D$7="Reference",'Paths'!$J$14,'Paths'!$K$14)</x:f>
        <x:v>6</x:v>
      </x:c>
      <x:c r="F676" s="47" t="n">
        <x:f>IF(D676&lt;'Paths'!$N$14,IF('Controls'!$D$7="Reference",'Paths'!$L$14,'Paths'!$M$14),IF('Controls'!$D$7="Reference",'Paths'!$O$14,'Paths'!$P$14))</x:f>
        <x:v>28000</x:v>
      </x:c>
      <x:c r="G676" s="46" t="n">
        <x:f>IF('Controls'!$D$7="Reference",1,IF(OR(D676=6,D676=7,D676=21,D676=46),'Paths'!$U$14,1))</x:f>
        <x:v>1</x:v>
      </x:c>
      <x:c r="H676" s="46" t="n">
        <x:f>IF('Controls'!$D$7="Reference",1,IF(OR(AND(D676&gt;=14,D676&lt;=16),AND(D676&gt;=34,D676&lt;=35),AND(D676&gt;=61,D676&lt;=63)),'Paths'!$V$14,1))</x:f>
        <x:v>1</x:v>
      </x:c>
      <x:c r="I676" s="46" t="n">
        <x:f>'Paths'!$W$14</x:f>
        <x:v>0.88</x:v>
      </x:c>
      <x:c r="J676" s="47" t="n">
        <x:f>IF(D676&lt;E676,0,MIN(F676*G676*H676*I676,IF('Paths'!$T$14&gt;0,MAX(0,'Paths'!$T$14-K675),1000000000)))</x:f>
        <x:v>24640</x:v>
      </x:c>
      <x:c r="K676" s="47" t="n">
        <x:f>K675+J676</x:f>
        <x:v>551056</x:v>
      </x:c>
      <x:c r="L676" s="46" t="n">
        <x:f>IF(C676="P0",1,IF(D676&lt;=3,0.8,IF(D676&lt;=14,0.65,IF(D676&lt;=45,0.5,0.3))))</x:f>
        <x:v>0.5</x:v>
      </x:c>
      <x:c r="M676" s="47" t="n">
        <x:f>J676*L676</x:f>
        <x:v>12320</x:v>
      </x:c>
      <x:c r="N676" s="47" t="n">
        <x:f>N675+M676</x:f>
        <x:v>295169.6</x:v>
      </x:c>
      <x:c r="O676" s="46" t="n">
        <x:f>IF(C676="P0",0,IF(D676&lt;=3,0.15,IF(D676&lt;=14,0.25,IF(D676&lt;=45,0.35,0.5))))</x:f>
        <x:v>0.35</x:v>
      </x:c>
      <x:c r="P676" s="47" t="n">
        <x:f>J676*O676</x:f>
        <x:v>8624</x:v>
      </x:c>
      <x:c r="Q676" s="46" t="n">
        <x:f>IF(C676="P0",0,IF(D676&lt;=3,0.05,IF(D676&lt;=14,0.1,IF(D676&lt;=45,0.15,0.2))))</x:f>
        <x:v>0.15</x:v>
      </x:c>
      <x:c r="R676" s="47" t="n">
        <x:f>J676*Q676</x:f>
        <x:v>3696</x:v>
      </x:c>
      <x:c r="S676" s="20" t="str">
        <x:f>IF(D676&lt;E676,"closed",IF(D676&lt;'Paths'!$N$14,"initial","expanded"))</x:f>
        <x:v>expanded</x:v>
      </x:c>
      <x:c r="T676" s="72"/>
    </x:row>
    <x:row r="677">
      <x:c r="C677" s="20" t="str">
        <x:v>P7</x:v>
      </x:c>
      <x:c r="D677" s="20" t="n">
        <x:v>33</x:v>
      </x:c>
      <x:c r="E677" s="45" t="n">
        <x:f>IF('Controls'!$D$7="Reference",'Paths'!$J$14,'Paths'!$K$14)</x:f>
        <x:v>6</x:v>
      </x:c>
      <x:c r="F677" s="47" t="n">
        <x:f>IF(D677&lt;'Paths'!$N$14,IF('Controls'!$D$7="Reference",'Paths'!$L$14,'Paths'!$M$14),IF('Controls'!$D$7="Reference",'Paths'!$O$14,'Paths'!$P$14))</x:f>
        <x:v>28000</x:v>
      </x:c>
      <x:c r="G677" s="46" t="n">
        <x:f>IF('Controls'!$D$7="Reference",1,IF(OR(D677=6,D677=7,D677=21,D677=46),'Paths'!$U$14,1))</x:f>
        <x:v>1</x:v>
      </x:c>
      <x:c r="H677" s="46" t="n">
        <x:f>IF('Controls'!$D$7="Reference",1,IF(OR(AND(D677&gt;=14,D677&lt;=16),AND(D677&gt;=34,D677&lt;=35),AND(D677&gt;=61,D677&lt;=63)),'Paths'!$V$14,1))</x:f>
        <x:v>1</x:v>
      </x:c>
      <x:c r="I677" s="46" t="n">
        <x:f>'Paths'!$W$14</x:f>
        <x:v>0.88</x:v>
      </x:c>
      <x:c r="J677" s="47" t="n">
        <x:f>IF(D677&lt;E677,0,MIN(F677*G677*H677*I677,IF('Paths'!$T$14&gt;0,MAX(0,'Paths'!$T$14-K676),1000000000)))</x:f>
        <x:v>24640</x:v>
      </x:c>
      <x:c r="K677" s="47" t="n">
        <x:f>K676+J677</x:f>
        <x:v>575696</x:v>
      </x:c>
      <x:c r="L677" s="46" t="n">
        <x:f>IF(C677="P0",1,IF(D677&lt;=3,0.8,IF(D677&lt;=14,0.65,IF(D677&lt;=45,0.5,0.3))))</x:f>
        <x:v>0.5</x:v>
      </x:c>
      <x:c r="M677" s="47" t="n">
        <x:f>J677*L677</x:f>
        <x:v>12320</x:v>
      </x:c>
      <x:c r="N677" s="47" t="n">
        <x:f>N676+M677</x:f>
        <x:v>307489.6</x:v>
      </x:c>
      <x:c r="O677" s="46" t="n">
        <x:f>IF(C677="P0",0,IF(D677&lt;=3,0.15,IF(D677&lt;=14,0.25,IF(D677&lt;=45,0.35,0.5))))</x:f>
        <x:v>0.35</x:v>
      </x:c>
      <x:c r="P677" s="47" t="n">
        <x:f>J677*O677</x:f>
        <x:v>8624</x:v>
      </x:c>
      <x:c r="Q677" s="46" t="n">
        <x:f>IF(C677="P0",0,IF(D677&lt;=3,0.05,IF(D677&lt;=14,0.1,IF(D677&lt;=45,0.15,0.2))))</x:f>
        <x:v>0.15</x:v>
      </x:c>
      <x:c r="R677" s="47" t="n">
        <x:f>J677*Q677</x:f>
        <x:v>3696</x:v>
      </x:c>
      <x:c r="S677" s="20" t="str">
        <x:f>IF(D677&lt;E677,"closed",IF(D677&lt;'Paths'!$N$14,"initial","expanded"))</x:f>
        <x:v>expanded</x:v>
      </x:c>
      <x:c r="T677" s="72"/>
    </x:row>
    <x:row r="678">
      <x:c r="C678" s="20" t="str">
        <x:v>P7</x:v>
      </x:c>
      <x:c r="D678" s="20" t="n">
        <x:v>34</x:v>
      </x:c>
      <x:c r="E678" s="45" t="n">
        <x:f>IF('Controls'!$D$7="Reference",'Paths'!$J$14,'Paths'!$K$14)</x:f>
        <x:v>6</x:v>
      </x:c>
      <x:c r="F678" s="47" t="n">
        <x:f>IF(D678&lt;'Paths'!$N$14,IF('Controls'!$D$7="Reference",'Paths'!$L$14,'Paths'!$M$14),IF('Controls'!$D$7="Reference",'Paths'!$O$14,'Paths'!$P$14))</x:f>
        <x:v>28000</x:v>
      </x:c>
      <x:c r="G678" s="46" t="n">
        <x:f>IF('Controls'!$D$7="Reference",1,IF(OR(D678=6,D678=7,D678=21,D678=46),'Paths'!$U$14,1))</x:f>
        <x:v>1</x:v>
      </x:c>
      <x:c r="H678" s="46" t="n">
        <x:f>IF('Controls'!$D$7="Reference",1,IF(OR(AND(D678&gt;=14,D678&lt;=16),AND(D678&gt;=34,D678&lt;=35),AND(D678&gt;=61,D678&lt;=63)),'Paths'!$V$14,1))</x:f>
        <x:v>0.75</x:v>
      </x:c>
      <x:c r="I678" s="46" t="n">
        <x:f>'Paths'!$W$14</x:f>
        <x:v>0.88</x:v>
      </x:c>
      <x:c r="J678" s="47" t="n">
        <x:f>IF(D678&lt;E678,0,MIN(F678*G678*H678*I678,IF('Paths'!$T$14&gt;0,MAX(0,'Paths'!$T$14-K677),1000000000)))</x:f>
        <x:v>18480</x:v>
      </x:c>
      <x:c r="K678" s="47" t="n">
        <x:f>K677+J678</x:f>
        <x:v>594176</x:v>
      </x:c>
      <x:c r="L678" s="46" t="n">
        <x:f>IF(C678="P0",1,IF(D678&lt;=3,0.8,IF(D678&lt;=14,0.65,IF(D678&lt;=45,0.5,0.3))))</x:f>
        <x:v>0.5</x:v>
      </x:c>
      <x:c r="M678" s="47" t="n">
        <x:f>J678*L678</x:f>
        <x:v>9240</x:v>
      </x:c>
      <x:c r="N678" s="47" t="n">
        <x:f>N677+M678</x:f>
        <x:v>316729.6</x:v>
      </x:c>
      <x:c r="O678" s="46" t="n">
        <x:f>IF(C678="P0",0,IF(D678&lt;=3,0.15,IF(D678&lt;=14,0.25,IF(D678&lt;=45,0.35,0.5))))</x:f>
        <x:v>0.35</x:v>
      </x:c>
      <x:c r="P678" s="47" t="n">
        <x:f>J678*O678</x:f>
        <x:v>6468</x:v>
      </x:c>
      <x:c r="Q678" s="46" t="n">
        <x:f>IF(C678="P0",0,IF(D678&lt;=3,0.05,IF(D678&lt;=14,0.1,IF(D678&lt;=45,0.15,0.2))))</x:f>
        <x:v>0.15</x:v>
      </x:c>
      <x:c r="R678" s="47" t="n">
        <x:f>J678*Q678</x:f>
        <x:v>2772</x:v>
      </x:c>
      <x:c r="S678" s="20" t="str">
        <x:f>IF(D678&lt;E678,"closed",IF(D678&lt;'Paths'!$N$14,"initial","expanded"))</x:f>
        <x:v>expanded</x:v>
      </x:c>
      <x:c r="T678" s="72"/>
    </x:row>
    <x:row r="679">
      <x:c r="C679" s="20" t="str">
        <x:v>P7</x:v>
      </x:c>
      <x:c r="D679" s="20" t="n">
        <x:v>35</x:v>
      </x:c>
      <x:c r="E679" s="45" t="n">
        <x:f>IF('Controls'!$D$7="Reference",'Paths'!$J$14,'Paths'!$K$14)</x:f>
        <x:v>6</x:v>
      </x:c>
      <x:c r="F679" s="47" t="n">
        <x:f>IF(D679&lt;'Paths'!$N$14,IF('Controls'!$D$7="Reference",'Paths'!$L$14,'Paths'!$M$14),IF('Controls'!$D$7="Reference",'Paths'!$O$14,'Paths'!$P$14))</x:f>
        <x:v>28000</x:v>
      </x:c>
      <x:c r="G679" s="46" t="n">
        <x:f>IF('Controls'!$D$7="Reference",1,IF(OR(D679=6,D679=7,D679=21,D679=46),'Paths'!$U$14,1))</x:f>
        <x:v>1</x:v>
      </x:c>
      <x:c r="H679" s="46" t="n">
        <x:f>IF('Controls'!$D$7="Reference",1,IF(OR(AND(D679&gt;=14,D679&lt;=16),AND(D679&gt;=34,D679&lt;=35),AND(D679&gt;=61,D679&lt;=63)),'Paths'!$V$14,1))</x:f>
        <x:v>0.75</x:v>
      </x:c>
      <x:c r="I679" s="46" t="n">
        <x:f>'Paths'!$W$14</x:f>
        <x:v>0.88</x:v>
      </x:c>
      <x:c r="J679" s="47" t="n">
        <x:f>IF(D679&lt;E679,0,MIN(F679*G679*H679*I679,IF('Paths'!$T$14&gt;0,MAX(0,'Paths'!$T$14-K678),1000000000)))</x:f>
        <x:v>18480</x:v>
      </x:c>
      <x:c r="K679" s="47" t="n">
        <x:f>K678+J679</x:f>
        <x:v>612656</x:v>
      </x:c>
      <x:c r="L679" s="46" t="n">
        <x:f>IF(C679="P0",1,IF(D679&lt;=3,0.8,IF(D679&lt;=14,0.65,IF(D679&lt;=45,0.5,0.3))))</x:f>
        <x:v>0.5</x:v>
      </x:c>
      <x:c r="M679" s="47" t="n">
        <x:f>J679*L679</x:f>
        <x:v>9240</x:v>
      </x:c>
      <x:c r="N679" s="47" t="n">
        <x:f>N678+M679</x:f>
        <x:v>325969.6</x:v>
      </x:c>
      <x:c r="O679" s="46" t="n">
        <x:f>IF(C679="P0",0,IF(D679&lt;=3,0.15,IF(D679&lt;=14,0.25,IF(D679&lt;=45,0.35,0.5))))</x:f>
        <x:v>0.35</x:v>
      </x:c>
      <x:c r="P679" s="47" t="n">
        <x:f>J679*O679</x:f>
        <x:v>6468</x:v>
      </x:c>
      <x:c r="Q679" s="46" t="n">
        <x:f>IF(C679="P0",0,IF(D679&lt;=3,0.05,IF(D679&lt;=14,0.1,IF(D679&lt;=45,0.15,0.2))))</x:f>
        <x:v>0.15</x:v>
      </x:c>
      <x:c r="R679" s="47" t="n">
        <x:f>J679*Q679</x:f>
        <x:v>2772</x:v>
      </x:c>
      <x:c r="S679" s="20" t="str">
        <x:f>IF(D679&lt;E679,"closed",IF(D679&lt;'Paths'!$N$14,"initial","expanded"))</x:f>
        <x:v>expanded</x:v>
      </x:c>
      <x:c r="T679" s="72"/>
    </x:row>
    <x:row r="680">
      <x:c r="C680" s="20" t="str">
        <x:v>P7</x:v>
      </x:c>
      <x:c r="D680" s="20" t="n">
        <x:v>36</x:v>
      </x:c>
      <x:c r="E680" s="45" t="n">
        <x:f>IF('Controls'!$D$7="Reference",'Paths'!$J$14,'Paths'!$K$14)</x:f>
        <x:v>6</x:v>
      </x:c>
      <x:c r="F680" s="47" t="n">
        <x:f>IF(D680&lt;'Paths'!$N$14,IF('Controls'!$D$7="Reference",'Paths'!$L$14,'Paths'!$M$14),IF('Controls'!$D$7="Reference",'Paths'!$O$14,'Paths'!$P$14))</x:f>
        <x:v>28000</x:v>
      </x:c>
      <x:c r="G680" s="46" t="n">
        <x:f>IF('Controls'!$D$7="Reference",1,IF(OR(D680=6,D680=7,D680=21,D680=46),'Paths'!$U$14,1))</x:f>
        <x:v>1</x:v>
      </x:c>
      <x:c r="H680" s="46" t="n">
        <x:f>IF('Controls'!$D$7="Reference",1,IF(OR(AND(D680&gt;=14,D680&lt;=16),AND(D680&gt;=34,D680&lt;=35),AND(D680&gt;=61,D680&lt;=63)),'Paths'!$V$14,1))</x:f>
        <x:v>1</x:v>
      </x:c>
      <x:c r="I680" s="46" t="n">
        <x:f>'Paths'!$W$14</x:f>
        <x:v>0.88</x:v>
      </x:c>
      <x:c r="J680" s="47" t="n">
        <x:f>IF(D680&lt;E680,0,MIN(F680*G680*H680*I680,IF('Paths'!$T$14&gt;0,MAX(0,'Paths'!$T$14-K679),1000000000)))</x:f>
        <x:v>24640</x:v>
      </x:c>
      <x:c r="K680" s="47" t="n">
        <x:f>K679+J680</x:f>
        <x:v>637296</x:v>
      </x:c>
      <x:c r="L680" s="46" t="n">
        <x:f>IF(C680="P0",1,IF(D680&lt;=3,0.8,IF(D680&lt;=14,0.65,IF(D680&lt;=45,0.5,0.3))))</x:f>
        <x:v>0.5</x:v>
      </x:c>
      <x:c r="M680" s="47" t="n">
        <x:f>J680*L680</x:f>
        <x:v>12320</x:v>
      </x:c>
      <x:c r="N680" s="47" t="n">
        <x:f>N679+M680</x:f>
        <x:v>338289.6</x:v>
      </x:c>
      <x:c r="O680" s="46" t="n">
        <x:f>IF(C680="P0",0,IF(D680&lt;=3,0.15,IF(D680&lt;=14,0.25,IF(D680&lt;=45,0.35,0.5))))</x:f>
        <x:v>0.35</x:v>
      </x:c>
      <x:c r="P680" s="47" t="n">
        <x:f>J680*O680</x:f>
        <x:v>8624</x:v>
      </x:c>
      <x:c r="Q680" s="46" t="n">
        <x:f>IF(C680="P0",0,IF(D680&lt;=3,0.05,IF(D680&lt;=14,0.1,IF(D680&lt;=45,0.15,0.2))))</x:f>
        <x:v>0.15</x:v>
      </x:c>
      <x:c r="R680" s="47" t="n">
        <x:f>J680*Q680</x:f>
        <x:v>3696</x:v>
      </x:c>
      <x:c r="S680" s="20" t="str">
        <x:f>IF(D680&lt;E680,"closed",IF(D680&lt;'Paths'!$N$14,"initial","expanded"))</x:f>
        <x:v>expanded</x:v>
      </x:c>
      <x:c r="T680" s="72"/>
    </x:row>
    <x:row r="681">
      <x:c r="C681" s="20" t="str">
        <x:v>P7</x:v>
      </x:c>
      <x:c r="D681" s="20" t="n">
        <x:v>37</x:v>
      </x:c>
      <x:c r="E681" s="45" t="n">
        <x:f>IF('Controls'!$D$7="Reference",'Paths'!$J$14,'Paths'!$K$14)</x:f>
        <x:v>6</x:v>
      </x:c>
      <x:c r="F681" s="47" t="n">
        <x:f>IF(D681&lt;'Paths'!$N$14,IF('Controls'!$D$7="Reference",'Paths'!$L$14,'Paths'!$M$14),IF('Controls'!$D$7="Reference",'Paths'!$O$14,'Paths'!$P$14))</x:f>
        <x:v>28000</x:v>
      </x:c>
      <x:c r="G681" s="46" t="n">
        <x:f>IF('Controls'!$D$7="Reference",1,IF(OR(D681=6,D681=7,D681=21,D681=46),'Paths'!$U$14,1))</x:f>
        <x:v>1</x:v>
      </x:c>
      <x:c r="H681" s="46" t="n">
        <x:f>IF('Controls'!$D$7="Reference",1,IF(OR(AND(D681&gt;=14,D681&lt;=16),AND(D681&gt;=34,D681&lt;=35),AND(D681&gt;=61,D681&lt;=63)),'Paths'!$V$14,1))</x:f>
        <x:v>1</x:v>
      </x:c>
      <x:c r="I681" s="46" t="n">
        <x:f>'Paths'!$W$14</x:f>
        <x:v>0.88</x:v>
      </x:c>
      <x:c r="J681" s="47" t="n">
        <x:f>IF(D681&lt;E681,0,MIN(F681*G681*H681*I681,IF('Paths'!$T$14&gt;0,MAX(0,'Paths'!$T$14-K680),1000000000)))</x:f>
        <x:v>24640</x:v>
      </x:c>
      <x:c r="K681" s="47" t="n">
        <x:f>K680+J681</x:f>
        <x:v>661936</x:v>
      </x:c>
      <x:c r="L681" s="46" t="n">
        <x:f>IF(C681="P0",1,IF(D681&lt;=3,0.8,IF(D681&lt;=14,0.65,IF(D681&lt;=45,0.5,0.3))))</x:f>
        <x:v>0.5</x:v>
      </x:c>
      <x:c r="M681" s="47" t="n">
        <x:f>J681*L681</x:f>
        <x:v>12320</x:v>
      </x:c>
      <x:c r="N681" s="47" t="n">
        <x:f>N680+M681</x:f>
        <x:v>350609.6</x:v>
      </x:c>
      <x:c r="O681" s="46" t="n">
        <x:f>IF(C681="P0",0,IF(D681&lt;=3,0.15,IF(D681&lt;=14,0.25,IF(D681&lt;=45,0.35,0.5))))</x:f>
        <x:v>0.35</x:v>
      </x:c>
      <x:c r="P681" s="47" t="n">
        <x:f>J681*O681</x:f>
        <x:v>8624</x:v>
      </x:c>
      <x:c r="Q681" s="46" t="n">
        <x:f>IF(C681="P0",0,IF(D681&lt;=3,0.05,IF(D681&lt;=14,0.1,IF(D681&lt;=45,0.15,0.2))))</x:f>
        <x:v>0.15</x:v>
      </x:c>
      <x:c r="R681" s="47" t="n">
        <x:f>J681*Q681</x:f>
        <x:v>3696</x:v>
      </x:c>
      <x:c r="S681" s="20" t="str">
        <x:f>IF(D681&lt;E681,"closed",IF(D681&lt;'Paths'!$N$14,"initial","expanded"))</x:f>
        <x:v>expanded</x:v>
      </x:c>
      <x:c r="T681" s="72"/>
    </x:row>
    <x:row r="682">
      <x:c r="C682" s="20" t="str">
        <x:v>P7</x:v>
      </x:c>
      <x:c r="D682" s="20" t="n">
        <x:v>38</x:v>
      </x:c>
      <x:c r="E682" s="45" t="n">
        <x:f>IF('Controls'!$D$7="Reference",'Paths'!$J$14,'Paths'!$K$14)</x:f>
        <x:v>6</x:v>
      </x:c>
      <x:c r="F682" s="47" t="n">
        <x:f>IF(D682&lt;'Paths'!$N$14,IF('Controls'!$D$7="Reference",'Paths'!$L$14,'Paths'!$M$14),IF('Controls'!$D$7="Reference",'Paths'!$O$14,'Paths'!$P$14))</x:f>
        <x:v>28000</x:v>
      </x:c>
      <x:c r="G682" s="46" t="n">
        <x:f>IF('Controls'!$D$7="Reference",1,IF(OR(D682=6,D682=7,D682=21,D682=46),'Paths'!$U$14,1))</x:f>
        <x:v>1</x:v>
      </x:c>
      <x:c r="H682" s="46" t="n">
        <x:f>IF('Controls'!$D$7="Reference",1,IF(OR(AND(D682&gt;=14,D682&lt;=16),AND(D682&gt;=34,D682&lt;=35),AND(D682&gt;=61,D682&lt;=63)),'Paths'!$V$14,1))</x:f>
        <x:v>1</x:v>
      </x:c>
      <x:c r="I682" s="46" t="n">
        <x:f>'Paths'!$W$14</x:f>
        <x:v>0.88</x:v>
      </x:c>
      <x:c r="J682" s="47" t="n">
        <x:f>IF(D682&lt;E682,0,MIN(F682*G682*H682*I682,IF('Paths'!$T$14&gt;0,MAX(0,'Paths'!$T$14-K681),1000000000)))</x:f>
        <x:v>24640</x:v>
      </x:c>
      <x:c r="K682" s="47" t="n">
        <x:f>K681+J682</x:f>
        <x:v>686576</x:v>
      </x:c>
      <x:c r="L682" s="46" t="n">
        <x:f>IF(C682="P0",1,IF(D682&lt;=3,0.8,IF(D682&lt;=14,0.65,IF(D682&lt;=45,0.5,0.3))))</x:f>
        <x:v>0.5</x:v>
      </x:c>
      <x:c r="M682" s="47" t="n">
        <x:f>J682*L682</x:f>
        <x:v>12320</x:v>
      </x:c>
      <x:c r="N682" s="47" t="n">
        <x:f>N681+M682</x:f>
        <x:v>362929.6</x:v>
      </x:c>
      <x:c r="O682" s="46" t="n">
        <x:f>IF(C682="P0",0,IF(D682&lt;=3,0.15,IF(D682&lt;=14,0.25,IF(D682&lt;=45,0.35,0.5))))</x:f>
        <x:v>0.35</x:v>
      </x:c>
      <x:c r="P682" s="47" t="n">
        <x:f>J682*O682</x:f>
        <x:v>8624</x:v>
      </x:c>
      <x:c r="Q682" s="46" t="n">
        <x:f>IF(C682="P0",0,IF(D682&lt;=3,0.05,IF(D682&lt;=14,0.1,IF(D682&lt;=45,0.15,0.2))))</x:f>
        <x:v>0.15</x:v>
      </x:c>
      <x:c r="R682" s="47" t="n">
        <x:f>J682*Q682</x:f>
        <x:v>3696</x:v>
      </x:c>
      <x:c r="S682" s="20" t="str">
        <x:f>IF(D682&lt;E682,"closed",IF(D682&lt;'Paths'!$N$14,"initial","expanded"))</x:f>
        <x:v>expanded</x:v>
      </x:c>
      <x:c r="T682" s="72"/>
    </x:row>
    <x:row r="683">
      <x:c r="C683" s="20" t="str">
        <x:v>P7</x:v>
      </x:c>
      <x:c r="D683" s="20" t="n">
        <x:v>39</x:v>
      </x:c>
      <x:c r="E683" s="45" t="n">
        <x:f>IF('Controls'!$D$7="Reference",'Paths'!$J$14,'Paths'!$K$14)</x:f>
        <x:v>6</x:v>
      </x:c>
      <x:c r="F683" s="47" t="n">
        <x:f>IF(D683&lt;'Paths'!$N$14,IF('Controls'!$D$7="Reference",'Paths'!$L$14,'Paths'!$M$14),IF('Controls'!$D$7="Reference",'Paths'!$O$14,'Paths'!$P$14))</x:f>
        <x:v>28000</x:v>
      </x:c>
      <x:c r="G683" s="46" t="n">
        <x:f>IF('Controls'!$D$7="Reference",1,IF(OR(D683=6,D683=7,D683=21,D683=46),'Paths'!$U$14,1))</x:f>
        <x:v>1</x:v>
      </x:c>
      <x:c r="H683" s="46" t="n">
        <x:f>IF('Controls'!$D$7="Reference",1,IF(OR(AND(D683&gt;=14,D683&lt;=16),AND(D683&gt;=34,D683&lt;=35),AND(D683&gt;=61,D683&lt;=63)),'Paths'!$V$14,1))</x:f>
        <x:v>1</x:v>
      </x:c>
      <x:c r="I683" s="46" t="n">
        <x:f>'Paths'!$W$14</x:f>
        <x:v>0.88</x:v>
      </x:c>
      <x:c r="J683" s="47" t="n">
        <x:f>IF(D683&lt;E683,0,MIN(F683*G683*H683*I683,IF('Paths'!$T$14&gt;0,MAX(0,'Paths'!$T$14-K682),1000000000)))</x:f>
        <x:v>24640</x:v>
      </x:c>
      <x:c r="K683" s="47" t="n">
        <x:f>K682+J683</x:f>
        <x:v>711216</x:v>
      </x:c>
      <x:c r="L683" s="46" t="n">
        <x:f>IF(C683="P0",1,IF(D683&lt;=3,0.8,IF(D683&lt;=14,0.65,IF(D683&lt;=45,0.5,0.3))))</x:f>
        <x:v>0.5</x:v>
      </x:c>
      <x:c r="M683" s="47" t="n">
        <x:f>J683*L683</x:f>
        <x:v>12320</x:v>
      </x:c>
      <x:c r="N683" s="47" t="n">
        <x:f>N682+M683</x:f>
        <x:v>375249.6</x:v>
      </x:c>
      <x:c r="O683" s="46" t="n">
        <x:f>IF(C683="P0",0,IF(D683&lt;=3,0.15,IF(D683&lt;=14,0.25,IF(D683&lt;=45,0.35,0.5))))</x:f>
        <x:v>0.35</x:v>
      </x:c>
      <x:c r="P683" s="47" t="n">
        <x:f>J683*O683</x:f>
        <x:v>8624</x:v>
      </x:c>
      <x:c r="Q683" s="46" t="n">
        <x:f>IF(C683="P0",0,IF(D683&lt;=3,0.05,IF(D683&lt;=14,0.1,IF(D683&lt;=45,0.15,0.2))))</x:f>
        <x:v>0.15</x:v>
      </x:c>
      <x:c r="R683" s="47" t="n">
        <x:f>J683*Q683</x:f>
        <x:v>3696</x:v>
      </x:c>
      <x:c r="S683" s="20" t="str">
        <x:f>IF(D683&lt;E683,"closed",IF(D683&lt;'Paths'!$N$14,"initial","expanded"))</x:f>
        <x:v>expanded</x:v>
      </x:c>
      <x:c r="T683" s="72"/>
    </x:row>
    <x:row r="684">
      <x:c r="C684" s="20" t="str">
        <x:v>P7</x:v>
      </x:c>
      <x:c r="D684" s="20" t="n">
        <x:v>40</x:v>
      </x:c>
      <x:c r="E684" s="45" t="n">
        <x:f>IF('Controls'!$D$7="Reference",'Paths'!$J$14,'Paths'!$K$14)</x:f>
        <x:v>6</x:v>
      </x:c>
      <x:c r="F684" s="47" t="n">
        <x:f>IF(D684&lt;'Paths'!$N$14,IF('Controls'!$D$7="Reference",'Paths'!$L$14,'Paths'!$M$14),IF('Controls'!$D$7="Reference",'Paths'!$O$14,'Paths'!$P$14))</x:f>
        <x:v>28000</x:v>
      </x:c>
      <x:c r="G684" s="46" t="n">
        <x:f>IF('Controls'!$D$7="Reference",1,IF(OR(D684=6,D684=7,D684=21,D684=46),'Paths'!$U$14,1))</x:f>
        <x:v>1</x:v>
      </x:c>
      <x:c r="H684" s="46" t="n">
        <x:f>IF('Controls'!$D$7="Reference",1,IF(OR(AND(D684&gt;=14,D684&lt;=16),AND(D684&gt;=34,D684&lt;=35),AND(D684&gt;=61,D684&lt;=63)),'Paths'!$V$14,1))</x:f>
        <x:v>1</x:v>
      </x:c>
      <x:c r="I684" s="46" t="n">
        <x:f>'Paths'!$W$14</x:f>
        <x:v>0.88</x:v>
      </x:c>
      <x:c r="J684" s="47" t="n">
        <x:f>IF(D684&lt;E684,0,MIN(F684*G684*H684*I684,IF('Paths'!$T$14&gt;0,MAX(0,'Paths'!$T$14-K683),1000000000)))</x:f>
        <x:v>24640</x:v>
      </x:c>
      <x:c r="K684" s="47" t="n">
        <x:f>K683+J684</x:f>
        <x:v>735856</x:v>
      </x:c>
      <x:c r="L684" s="46" t="n">
        <x:f>IF(C684="P0",1,IF(D684&lt;=3,0.8,IF(D684&lt;=14,0.65,IF(D684&lt;=45,0.5,0.3))))</x:f>
        <x:v>0.5</x:v>
      </x:c>
      <x:c r="M684" s="47" t="n">
        <x:f>J684*L684</x:f>
        <x:v>12320</x:v>
      </x:c>
      <x:c r="N684" s="47" t="n">
        <x:f>N683+M684</x:f>
        <x:v>387569.6</x:v>
      </x:c>
      <x:c r="O684" s="46" t="n">
        <x:f>IF(C684="P0",0,IF(D684&lt;=3,0.15,IF(D684&lt;=14,0.25,IF(D684&lt;=45,0.35,0.5))))</x:f>
        <x:v>0.35</x:v>
      </x:c>
      <x:c r="P684" s="47" t="n">
        <x:f>J684*O684</x:f>
        <x:v>8624</x:v>
      </x:c>
      <x:c r="Q684" s="46" t="n">
        <x:f>IF(C684="P0",0,IF(D684&lt;=3,0.05,IF(D684&lt;=14,0.1,IF(D684&lt;=45,0.15,0.2))))</x:f>
        <x:v>0.15</x:v>
      </x:c>
      <x:c r="R684" s="47" t="n">
        <x:f>J684*Q684</x:f>
        <x:v>3696</x:v>
      </x:c>
      <x:c r="S684" s="20" t="str">
        <x:f>IF(D684&lt;E684,"closed",IF(D684&lt;'Paths'!$N$14,"initial","expanded"))</x:f>
        <x:v>expanded</x:v>
      </x:c>
      <x:c r="T684" s="72"/>
    </x:row>
    <x:row r="685">
      <x:c r="C685" s="20" t="str">
        <x:v>P7</x:v>
      </x:c>
      <x:c r="D685" s="20" t="n">
        <x:v>41</x:v>
      </x:c>
      <x:c r="E685" s="45" t="n">
        <x:f>IF('Controls'!$D$7="Reference",'Paths'!$J$14,'Paths'!$K$14)</x:f>
        <x:v>6</x:v>
      </x:c>
      <x:c r="F685" s="47" t="n">
        <x:f>IF(D685&lt;'Paths'!$N$14,IF('Controls'!$D$7="Reference",'Paths'!$L$14,'Paths'!$M$14),IF('Controls'!$D$7="Reference",'Paths'!$O$14,'Paths'!$P$14))</x:f>
        <x:v>28000</x:v>
      </x:c>
      <x:c r="G685" s="46" t="n">
        <x:f>IF('Controls'!$D$7="Reference",1,IF(OR(D685=6,D685=7,D685=21,D685=46),'Paths'!$U$14,1))</x:f>
        <x:v>1</x:v>
      </x:c>
      <x:c r="H685" s="46" t="n">
        <x:f>IF('Controls'!$D$7="Reference",1,IF(OR(AND(D685&gt;=14,D685&lt;=16),AND(D685&gt;=34,D685&lt;=35),AND(D685&gt;=61,D685&lt;=63)),'Paths'!$V$14,1))</x:f>
        <x:v>1</x:v>
      </x:c>
      <x:c r="I685" s="46" t="n">
        <x:f>'Paths'!$W$14</x:f>
        <x:v>0.88</x:v>
      </x:c>
      <x:c r="J685" s="47" t="n">
        <x:f>IF(D685&lt;E685,0,MIN(F685*G685*H685*I685,IF('Paths'!$T$14&gt;0,MAX(0,'Paths'!$T$14-K684),1000000000)))</x:f>
        <x:v>24640</x:v>
      </x:c>
      <x:c r="K685" s="47" t="n">
        <x:f>K684+J685</x:f>
        <x:v>760496</x:v>
      </x:c>
      <x:c r="L685" s="46" t="n">
        <x:f>IF(C685="P0",1,IF(D685&lt;=3,0.8,IF(D685&lt;=14,0.65,IF(D685&lt;=45,0.5,0.3))))</x:f>
        <x:v>0.5</x:v>
      </x:c>
      <x:c r="M685" s="47" t="n">
        <x:f>J685*L685</x:f>
        <x:v>12320</x:v>
      </x:c>
      <x:c r="N685" s="47" t="n">
        <x:f>N684+M685</x:f>
        <x:v>399889.6</x:v>
      </x:c>
      <x:c r="O685" s="46" t="n">
        <x:f>IF(C685="P0",0,IF(D685&lt;=3,0.15,IF(D685&lt;=14,0.25,IF(D685&lt;=45,0.35,0.5))))</x:f>
        <x:v>0.35</x:v>
      </x:c>
      <x:c r="P685" s="47" t="n">
        <x:f>J685*O685</x:f>
        <x:v>8624</x:v>
      </x:c>
      <x:c r="Q685" s="46" t="n">
        <x:f>IF(C685="P0",0,IF(D685&lt;=3,0.05,IF(D685&lt;=14,0.1,IF(D685&lt;=45,0.15,0.2))))</x:f>
        <x:v>0.15</x:v>
      </x:c>
      <x:c r="R685" s="47" t="n">
        <x:f>J685*Q685</x:f>
        <x:v>3696</x:v>
      </x:c>
      <x:c r="S685" s="20" t="str">
        <x:f>IF(D685&lt;E685,"closed",IF(D685&lt;'Paths'!$N$14,"initial","expanded"))</x:f>
        <x:v>expanded</x:v>
      </x:c>
      <x:c r="T685" s="72"/>
    </x:row>
    <x:row r="686">
      <x:c r="C686" s="20" t="str">
        <x:v>P7</x:v>
      </x:c>
      <x:c r="D686" s="20" t="n">
        <x:v>42</x:v>
      </x:c>
      <x:c r="E686" s="45" t="n">
        <x:f>IF('Controls'!$D$7="Reference",'Paths'!$J$14,'Paths'!$K$14)</x:f>
        <x:v>6</x:v>
      </x:c>
      <x:c r="F686" s="47" t="n">
        <x:f>IF(D686&lt;'Paths'!$N$14,IF('Controls'!$D$7="Reference",'Paths'!$L$14,'Paths'!$M$14),IF('Controls'!$D$7="Reference",'Paths'!$O$14,'Paths'!$P$14))</x:f>
        <x:v>28000</x:v>
      </x:c>
      <x:c r="G686" s="46" t="n">
        <x:f>IF('Controls'!$D$7="Reference",1,IF(OR(D686=6,D686=7,D686=21,D686=46),'Paths'!$U$14,1))</x:f>
        <x:v>1</x:v>
      </x:c>
      <x:c r="H686" s="46" t="n">
        <x:f>IF('Controls'!$D$7="Reference",1,IF(OR(AND(D686&gt;=14,D686&lt;=16),AND(D686&gt;=34,D686&lt;=35),AND(D686&gt;=61,D686&lt;=63)),'Paths'!$V$14,1))</x:f>
        <x:v>1</x:v>
      </x:c>
      <x:c r="I686" s="46" t="n">
        <x:f>'Paths'!$W$14</x:f>
        <x:v>0.88</x:v>
      </x:c>
      <x:c r="J686" s="47" t="n">
        <x:f>IF(D686&lt;E686,0,MIN(F686*G686*H686*I686,IF('Paths'!$T$14&gt;0,MAX(0,'Paths'!$T$14-K685),1000000000)))</x:f>
        <x:v>24640</x:v>
      </x:c>
      <x:c r="K686" s="47" t="n">
        <x:f>K685+J686</x:f>
        <x:v>785136</x:v>
      </x:c>
      <x:c r="L686" s="46" t="n">
        <x:f>IF(C686="P0",1,IF(D686&lt;=3,0.8,IF(D686&lt;=14,0.65,IF(D686&lt;=45,0.5,0.3))))</x:f>
        <x:v>0.5</x:v>
      </x:c>
      <x:c r="M686" s="47" t="n">
        <x:f>J686*L686</x:f>
        <x:v>12320</x:v>
      </x:c>
      <x:c r="N686" s="47" t="n">
        <x:f>N685+M686</x:f>
        <x:v>412209.6</x:v>
      </x:c>
      <x:c r="O686" s="46" t="n">
        <x:f>IF(C686="P0",0,IF(D686&lt;=3,0.15,IF(D686&lt;=14,0.25,IF(D686&lt;=45,0.35,0.5))))</x:f>
        <x:v>0.35</x:v>
      </x:c>
      <x:c r="P686" s="47" t="n">
        <x:f>J686*O686</x:f>
        <x:v>8624</x:v>
      </x:c>
      <x:c r="Q686" s="46" t="n">
        <x:f>IF(C686="P0",0,IF(D686&lt;=3,0.05,IF(D686&lt;=14,0.1,IF(D686&lt;=45,0.15,0.2))))</x:f>
        <x:v>0.15</x:v>
      </x:c>
      <x:c r="R686" s="47" t="n">
        <x:f>J686*Q686</x:f>
        <x:v>3696</x:v>
      </x:c>
      <x:c r="S686" s="20" t="str">
        <x:f>IF(D686&lt;E686,"closed",IF(D686&lt;'Paths'!$N$14,"initial","expanded"))</x:f>
        <x:v>expanded</x:v>
      </x:c>
      <x:c r="T686" s="72"/>
    </x:row>
    <x:row r="687">
      <x:c r="C687" s="20" t="str">
        <x:v>P7</x:v>
      </x:c>
      <x:c r="D687" s="20" t="n">
        <x:v>43</x:v>
      </x:c>
      <x:c r="E687" s="45" t="n">
        <x:f>IF('Controls'!$D$7="Reference",'Paths'!$J$14,'Paths'!$K$14)</x:f>
        <x:v>6</x:v>
      </x:c>
      <x:c r="F687" s="47" t="n">
        <x:f>IF(D687&lt;'Paths'!$N$14,IF('Controls'!$D$7="Reference",'Paths'!$L$14,'Paths'!$M$14),IF('Controls'!$D$7="Reference",'Paths'!$O$14,'Paths'!$P$14))</x:f>
        <x:v>28000</x:v>
      </x:c>
      <x:c r="G687" s="46" t="n">
        <x:f>IF('Controls'!$D$7="Reference",1,IF(OR(D687=6,D687=7,D687=21,D687=46),'Paths'!$U$14,1))</x:f>
        <x:v>1</x:v>
      </x:c>
      <x:c r="H687" s="46" t="n">
        <x:f>IF('Controls'!$D$7="Reference",1,IF(OR(AND(D687&gt;=14,D687&lt;=16),AND(D687&gt;=34,D687&lt;=35),AND(D687&gt;=61,D687&lt;=63)),'Paths'!$V$14,1))</x:f>
        <x:v>1</x:v>
      </x:c>
      <x:c r="I687" s="46" t="n">
        <x:f>'Paths'!$W$14</x:f>
        <x:v>0.88</x:v>
      </x:c>
      <x:c r="J687" s="47" t="n">
        <x:f>IF(D687&lt;E687,0,MIN(F687*G687*H687*I687,IF('Paths'!$T$14&gt;0,MAX(0,'Paths'!$T$14-K686),1000000000)))</x:f>
        <x:v>24640</x:v>
      </x:c>
      <x:c r="K687" s="47" t="n">
        <x:f>K686+J687</x:f>
        <x:v>809776</x:v>
      </x:c>
      <x:c r="L687" s="46" t="n">
        <x:f>IF(C687="P0",1,IF(D687&lt;=3,0.8,IF(D687&lt;=14,0.65,IF(D687&lt;=45,0.5,0.3))))</x:f>
        <x:v>0.5</x:v>
      </x:c>
      <x:c r="M687" s="47" t="n">
        <x:f>J687*L687</x:f>
        <x:v>12320</x:v>
      </x:c>
      <x:c r="N687" s="47" t="n">
        <x:f>N686+M687</x:f>
        <x:v>424529.6</x:v>
      </x:c>
      <x:c r="O687" s="46" t="n">
        <x:f>IF(C687="P0",0,IF(D687&lt;=3,0.15,IF(D687&lt;=14,0.25,IF(D687&lt;=45,0.35,0.5))))</x:f>
        <x:v>0.35</x:v>
      </x:c>
      <x:c r="P687" s="47" t="n">
        <x:f>J687*O687</x:f>
        <x:v>8624</x:v>
      </x:c>
      <x:c r="Q687" s="46" t="n">
        <x:f>IF(C687="P0",0,IF(D687&lt;=3,0.05,IF(D687&lt;=14,0.1,IF(D687&lt;=45,0.15,0.2))))</x:f>
        <x:v>0.15</x:v>
      </x:c>
      <x:c r="R687" s="47" t="n">
        <x:f>J687*Q687</x:f>
        <x:v>3696</x:v>
      </x:c>
      <x:c r="S687" s="20" t="str">
        <x:f>IF(D687&lt;E687,"closed",IF(D687&lt;'Paths'!$N$14,"initial","expanded"))</x:f>
        <x:v>expanded</x:v>
      </x:c>
      <x:c r="T687" s="72"/>
    </x:row>
    <x:row r="688">
      <x:c r="C688" s="20" t="str">
        <x:v>P7</x:v>
      </x:c>
      <x:c r="D688" s="20" t="n">
        <x:v>44</x:v>
      </x:c>
      <x:c r="E688" s="45" t="n">
        <x:f>IF('Controls'!$D$7="Reference",'Paths'!$J$14,'Paths'!$K$14)</x:f>
        <x:v>6</x:v>
      </x:c>
      <x:c r="F688" s="47" t="n">
        <x:f>IF(D688&lt;'Paths'!$N$14,IF('Controls'!$D$7="Reference",'Paths'!$L$14,'Paths'!$M$14),IF('Controls'!$D$7="Reference",'Paths'!$O$14,'Paths'!$P$14))</x:f>
        <x:v>28000</x:v>
      </x:c>
      <x:c r="G688" s="46" t="n">
        <x:f>IF('Controls'!$D$7="Reference",1,IF(OR(D688=6,D688=7,D688=21,D688=46),'Paths'!$U$14,1))</x:f>
        <x:v>1</x:v>
      </x:c>
      <x:c r="H688" s="46" t="n">
        <x:f>IF('Controls'!$D$7="Reference",1,IF(OR(AND(D688&gt;=14,D688&lt;=16),AND(D688&gt;=34,D688&lt;=35),AND(D688&gt;=61,D688&lt;=63)),'Paths'!$V$14,1))</x:f>
        <x:v>1</x:v>
      </x:c>
      <x:c r="I688" s="46" t="n">
        <x:f>'Paths'!$W$14</x:f>
        <x:v>0.88</x:v>
      </x:c>
      <x:c r="J688" s="47" t="n">
        <x:f>IF(D688&lt;E688,0,MIN(F688*G688*H688*I688,IF('Paths'!$T$14&gt;0,MAX(0,'Paths'!$T$14-K687),1000000000)))</x:f>
        <x:v>24640</x:v>
      </x:c>
      <x:c r="K688" s="47" t="n">
        <x:f>K687+J688</x:f>
        <x:v>834416</x:v>
      </x:c>
      <x:c r="L688" s="46" t="n">
        <x:f>IF(C688="P0",1,IF(D688&lt;=3,0.8,IF(D688&lt;=14,0.65,IF(D688&lt;=45,0.5,0.3))))</x:f>
        <x:v>0.5</x:v>
      </x:c>
      <x:c r="M688" s="47" t="n">
        <x:f>J688*L688</x:f>
        <x:v>12320</x:v>
      </x:c>
      <x:c r="N688" s="47" t="n">
        <x:f>N687+M688</x:f>
        <x:v>436849.6</x:v>
      </x:c>
      <x:c r="O688" s="46" t="n">
        <x:f>IF(C688="P0",0,IF(D688&lt;=3,0.15,IF(D688&lt;=14,0.25,IF(D688&lt;=45,0.35,0.5))))</x:f>
        <x:v>0.35</x:v>
      </x:c>
      <x:c r="P688" s="47" t="n">
        <x:f>J688*O688</x:f>
        <x:v>8624</x:v>
      </x:c>
      <x:c r="Q688" s="46" t="n">
        <x:f>IF(C688="P0",0,IF(D688&lt;=3,0.05,IF(D688&lt;=14,0.1,IF(D688&lt;=45,0.15,0.2))))</x:f>
        <x:v>0.15</x:v>
      </x:c>
      <x:c r="R688" s="47" t="n">
        <x:f>J688*Q688</x:f>
        <x:v>3696</x:v>
      </x:c>
      <x:c r="S688" s="20" t="str">
        <x:f>IF(D688&lt;E688,"closed",IF(D688&lt;'Paths'!$N$14,"initial","expanded"))</x:f>
        <x:v>expanded</x:v>
      </x:c>
      <x:c r="T688" s="72"/>
    </x:row>
    <x:row r="689">
      <x:c r="C689" s="20" t="str">
        <x:v>P7</x:v>
      </x:c>
      <x:c r="D689" s="20" t="n">
        <x:v>45</x:v>
      </x:c>
      <x:c r="E689" s="45" t="n">
        <x:f>IF('Controls'!$D$7="Reference",'Paths'!$J$14,'Paths'!$K$14)</x:f>
        <x:v>6</x:v>
      </x:c>
      <x:c r="F689" s="47" t="n">
        <x:f>IF(D689&lt;'Paths'!$N$14,IF('Controls'!$D$7="Reference",'Paths'!$L$14,'Paths'!$M$14),IF('Controls'!$D$7="Reference",'Paths'!$O$14,'Paths'!$P$14))</x:f>
        <x:v>28000</x:v>
      </x:c>
      <x:c r="G689" s="46" t="n">
        <x:f>IF('Controls'!$D$7="Reference",1,IF(OR(D689=6,D689=7,D689=21,D689=46),'Paths'!$U$14,1))</x:f>
        <x:v>1</x:v>
      </x:c>
      <x:c r="H689" s="46" t="n">
        <x:f>IF('Controls'!$D$7="Reference",1,IF(OR(AND(D689&gt;=14,D689&lt;=16),AND(D689&gt;=34,D689&lt;=35),AND(D689&gt;=61,D689&lt;=63)),'Paths'!$V$14,1))</x:f>
        <x:v>1</x:v>
      </x:c>
      <x:c r="I689" s="46" t="n">
        <x:f>'Paths'!$W$14</x:f>
        <x:v>0.88</x:v>
      </x:c>
      <x:c r="J689" s="47" t="n">
        <x:f>IF(D689&lt;E689,0,MIN(F689*G689*H689*I689,IF('Paths'!$T$14&gt;0,MAX(0,'Paths'!$T$14-K688),1000000000)))</x:f>
        <x:v>24640</x:v>
      </x:c>
      <x:c r="K689" s="47" t="n">
        <x:f>K688+J689</x:f>
        <x:v>859056</x:v>
      </x:c>
      <x:c r="L689" s="46" t="n">
        <x:f>IF(C689="P0",1,IF(D689&lt;=3,0.8,IF(D689&lt;=14,0.65,IF(D689&lt;=45,0.5,0.3))))</x:f>
        <x:v>0.5</x:v>
      </x:c>
      <x:c r="M689" s="47" t="n">
        <x:f>J689*L689</x:f>
        <x:v>12320</x:v>
      </x:c>
      <x:c r="N689" s="47" t="n">
        <x:f>N688+M689</x:f>
        <x:v>449169.6</x:v>
      </x:c>
      <x:c r="O689" s="46" t="n">
        <x:f>IF(C689="P0",0,IF(D689&lt;=3,0.15,IF(D689&lt;=14,0.25,IF(D689&lt;=45,0.35,0.5))))</x:f>
        <x:v>0.35</x:v>
      </x:c>
      <x:c r="P689" s="47" t="n">
        <x:f>J689*O689</x:f>
        <x:v>8624</x:v>
      </x:c>
      <x:c r="Q689" s="46" t="n">
        <x:f>IF(C689="P0",0,IF(D689&lt;=3,0.05,IF(D689&lt;=14,0.1,IF(D689&lt;=45,0.15,0.2))))</x:f>
        <x:v>0.15</x:v>
      </x:c>
      <x:c r="R689" s="47" t="n">
        <x:f>J689*Q689</x:f>
        <x:v>3696</x:v>
      </x:c>
      <x:c r="S689" s="20" t="str">
        <x:f>IF(D689&lt;E689,"closed",IF(D689&lt;'Paths'!$N$14,"initial","expanded"))</x:f>
        <x:v>expanded</x:v>
      </x:c>
      <x:c r="T689" s="72"/>
    </x:row>
    <x:row r="690">
      <x:c r="C690" s="20" t="str">
        <x:v>P7</x:v>
      </x:c>
      <x:c r="D690" s="20" t="n">
        <x:v>46</x:v>
      </x:c>
      <x:c r="E690" s="45" t="n">
        <x:f>IF('Controls'!$D$7="Reference",'Paths'!$J$14,'Paths'!$K$14)</x:f>
        <x:v>6</x:v>
      </x:c>
      <x:c r="F690" s="47" t="n">
        <x:f>IF(D690&lt;'Paths'!$N$14,IF('Controls'!$D$7="Reference",'Paths'!$L$14,'Paths'!$M$14),IF('Controls'!$D$7="Reference",'Paths'!$O$14,'Paths'!$P$14))</x:f>
        <x:v>28000</x:v>
      </x:c>
      <x:c r="G690" s="46" t="n">
        <x:f>IF('Controls'!$D$7="Reference",1,IF(OR(D690=6,D690=7,D690=21,D690=46),'Paths'!$U$14,1))</x:f>
        <x:v>0.55</x:v>
      </x:c>
      <x:c r="H690" s="46" t="n">
        <x:f>IF('Controls'!$D$7="Reference",1,IF(OR(AND(D690&gt;=14,D690&lt;=16),AND(D690&gt;=34,D690&lt;=35),AND(D690&gt;=61,D690&lt;=63)),'Paths'!$V$14,1))</x:f>
        <x:v>1</x:v>
      </x:c>
      <x:c r="I690" s="46" t="n">
        <x:f>'Paths'!$W$14</x:f>
        <x:v>0.88</x:v>
      </x:c>
      <x:c r="J690" s="47" t="n">
        <x:f>IF(D690&lt;E690,0,MIN(F690*G690*H690*I690,IF('Paths'!$T$14&gt;0,MAX(0,'Paths'!$T$14-K689),1000000000)))</x:f>
        <x:v>13552.000000000002</x:v>
      </x:c>
      <x:c r="K690" s="47" t="n">
        <x:f>K689+J690</x:f>
        <x:v>872608</x:v>
      </x:c>
      <x:c r="L690" s="46" t="n">
        <x:f>IF(C690="P0",1,IF(D690&lt;=3,0.8,IF(D690&lt;=14,0.65,IF(D690&lt;=45,0.5,0.3))))</x:f>
        <x:v>0.3</x:v>
      </x:c>
      <x:c r="M690" s="47" t="n">
        <x:f>J690*L690</x:f>
        <x:v>4065.6000000000004</x:v>
      </x:c>
      <x:c r="N690" s="47" t="n">
        <x:f>N689+M690</x:f>
        <x:v>453235.19999999995</x:v>
      </x:c>
      <x:c r="O690" s="46" t="n">
        <x:f>IF(C690="P0",0,IF(D690&lt;=3,0.15,IF(D690&lt;=14,0.25,IF(D690&lt;=45,0.35,0.5))))</x:f>
        <x:v>0.5</x:v>
      </x:c>
      <x:c r="P690" s="47" t="n">
        <x:f>J690*O690</x:f>
        <x:v>6776.000000000001</x:v>
      </x:c>
      <x:c r="Q690" s="46" t="n">
        <x:f>IF(C690="P0",0,IF(D690&lt;=3,0.05,IF(D690&lt;=14,0.1,IF(D690&lt;=45,0.15,0.2))))</x:f>
        <x:v>0.2</x:v>
      </x:c>
      <x:c r="R690" s="47" t="n">
        <x:f>J690*Q690</x:f>
        <x:v>2710.4000000000005</x:v>
      </x:c>
      <x:c r="S690" s="20" t="str">
        <x:f>IF(D690&lt;E690,"closed",IF(D690&lt;'Paths'!$N$14,"initial","expanded"))</x:f>
        <x:v>expanded</x:v>
      </x:c>
      <x:c r="T690" s="72"/>
    </x:row>
    <x:row r="691">
      <x:c r="C691" s="20" t="str">
        <x:v>P7</x:v>
      </x:c>
      <x:c r="D691" s="20" t="n">
        <x:v>47</x:v>
      </x:c>
      <x:c r="E691" s="45" t="n">
        <x:f>IF('Controls'!$D$7="Reference",'Paths'!$J$14,'Paths'!$K$14)</x:f>
        <x:v>6</x:v>
      </x:c>
      <x:c r="F691" s="47" t="n">
        <x:f>IF(D691&lt;'Paths'!$N$14,IF('Controls'!$D$7="Reference",'Paths'!$L$14,'Paths'!$M$14),IF('Controls'!$D$7="Reference",'Paths'!$O$14,'Paths'!$P$14))</x:f>
        <x:v>28000</x:v>
      </x:c>
      <x:c r="G691" s="46" t="n">
        <x:f>IF('Controls'!$D$7="Reference",1,IF(OR(D691=6,D691=7,D691=21,D691=46),'Paths'!$U$14,1))</x:f>
        <x:v>1</x:v>
      </x:c>
      <x:c r="H691" s="46" t="n">
        <x:f>IF('Controls'!$D$7="Reference",1,IF(OR(AND(D691&gt;=14,D691&lt;=16),AND(D691&gt;=34,D691&lt;=35),AND(D691&gt;=61,D691&lt;=63)),'Paths'!$V$14,1))</x:f>
        <x:v>1</x:v>
      </x:c>
      <x:c r="I691" s="46" t="n">
        <x:f>'Paths'!$W$14</x:f>
        <x:v>0.88</x:v>
      </x:c>
      <x:c r="J691" s="47" t="n">
        <x:f>IF(D691&lt;E691,0,MIN(F691*G691*H691*I691,IF('Paths'!$T$14&gt;0,MAX(0,'Paths'!$T$14-K690),1000000000)))</x:f>
        <x:v>24640</x:v>
      </x:c>
      <x:c r="K691" s="47" t="n">
        <x:f>K690+J691</x:f>
        <x:v>897248</x:v>
      </x:c>
      <x:c r="L691" s="46" t="n">
        <x:f>IF(C691="P0",1,IF(D691&lt;=3,0.8,IF(D691&lt;=14,0.65,IF(D691&lt;=45,0.5,0.3))))</x:f>
        <x:v>0.3</x:v>
      </x:c>
      <x:c r="M691" s="47" t="n">
        <x:f>J691*L691</x:f>
        <x:v>7392</x:v>
      </x:c>
      <x:c r="N691" s="47" t="n">
        <x:f>N690+M691</x:f>
        <x:v>460627.19999999995</x:v>
      </x:c>
      <x:c r="O691" s="46" t="n">
        <x:f>IF(C691="P0",0,IF(D691&lt;=3,0.15,IF(D691&lt;=14,0.25,IF(D691&lt;=45,0.35,0.5))))</x:f>
        <x:v>0.5</x:v>
      </x:c>
      <x:c r="P691" s="47" t="n">
        <x:f>J691*O691</x:f>
        <x:v>12320</x:v>
      </x:c>
      <x:c r="Q691" s="46" t="n">
        <x:f>IF(C691="P0",0,IF(D691&lt;=3,0.05,IF(D691&lt;=14,0.1,IF(D691&lt;=45,0.15,0.2))))</x:f>
        <x:v>0.2</x:v>
      </x:c>
      <x:c r="R691" s="47" t="n">
        <x:f>J691*Q691</x:f>
        <x:v>4928</x:v>
      </x:c>
      <x:c r="S691" s="20" t="str">
        <x:f>IF(D691&lt;E691,"closed",IF(D691&lt;'Paths'!$N$14,"initial","expanded"))</x:f>
        <x:v>expanded</x:v>
      </x:c>
      <x:c r="T691" s="72"/>
    </x:row>
    <x:row r="692">
      <x:c r="C692" s="20" t="str">
        <x:v>P7</x:v>
      </x:c>
      <x:c r="D692" s="20" t="n">
        <x:v>48</x:v>
      </x:c>
      <x:c r="E692" s="45" t="n">
        <x:f>IF('Controls'!$D$7="Reference",'Paths'!$J$14,'Paths'!$K$14)</x:f>
        <x:v>6</x:v>
      </x:c>
      <x:c r="F692" s="47" t="n">
        <x:f>IF(D692&lt;'Paths'!$N$14,IF('Controls'!$D$7="Reference",'Paths'!$L$14,'Paths'!$M$14),IF('Controls'!$D$7="Reference",'Paths'!$O$14,'Paths'!$P$14))</x:f>
        <x:v>28000</x:v>
      </x:c>
      <x:c r="G692" s="46" t="n">
        <x:f>IF('Controls'!$D$7="Reference",1,IF(OR(D692=6,D692=7,D692=21,D692=46),'Paths'!$U$14,1))</x:f>
        <x:v>1</x:v>
      </x:c>
      <x:c r="H692" s="46" t="n">
        <x:f>IF('Controls'!$D$7="Reference",1,IF(OR(AND(D692&gt;=14,D692&lt;=16),AND(D692&gt;=34,D692&lt;=35),AND(D692&gt;=61,D692&lt;=63)),'Paths'!$V$14,1))</x:f>
        <x:v>1</x:v>
      </x:c>
      <x:c r="I692" s="46" t="n">
        <x:f>'Paths'!$W$14</x:f>
        <x:v>0.88</x:v>
      </x:c>
      <x:c r="J692" s="47" t="n">
        <x:f>IF(D692&lt;E692,0,MIN(F692*G692*H692*I692,IF('Paths'!$T$14&gt;0,MAX(0,'Paths'!$T$14-K691),1000000000)))</x:f>
        <x:v>24640</x:v>
      </x:c>
      <x:c r="K692" s="47" t="n">
        <x:f>K691+J692</x:f>
        <x:v>921888</x:v>
      </x:c>
      <x:c r="L692" s="46" t="n">
        <x:f>IF(C692="P0",1,IF(D692&lt;=3,0.8,IF(D692&lt;=14,0.65,IF(D692&lt;=45,0.5,0.3))))</x:f>
        <x:v>0.3</x:v>
      </x:c>
      <x:c r="M692" s="47" t="n">
        <x:f>J692*L692</x:f>
        <x:v>7392</x:v>
      </x:c>
      <x:c r="N692" s="47" t="n">
        <x:f>N691+M692</x:f>
        <x:v>468019.19999999995</x:v>
      </x:c>
      <x:c r="O692" s="46" t="n">
        <x:f>IF(C692="P0",0,IF(D692&lt;=3,0.15,IF(D692&lt;=14,0.25,IF(D692&lt;=45,0.35,0.5))))</x:f>
        <x:v>0.5</x:v>
      </x:c>
      <x:c r="P692" s="47" t="n">
        <x:f>J692*O692</x:f>
        <x:v>12320</x:v>
      </x:c>
      <x:c r="Q692" s="46" t="n">
        <x:f>IF(C692="P0",0,IF(D692&lt;=3,0.05,IF(D692&lt;=14,0.1,IF(D692&lt;=45,0.15,0.2))))</x:f>
        <x:v>0.2</x:v>
      </x:c>
      <x:c r="R692" s="47" t="n">
        <x:f>J692*Q692</x:f>
        <x:v>4928</x:v>
      </x:c>
      <x:c r="S692" s="20" t="str">
        <x:f>IF(D692&lt;E692,"closed",IF(D692&lt;'Paths'!$N$14,"initial","expanded"))</x:f>
        <x:v>expanded</x:v>
      </x:c>
      <x:c r="T692" s="72"/>
    </x:row>
    <x:row r="693">
      <x:c r="C693" s="20" t="str">
        <x:v>P7</x:v>
      </x:c>
      <x:c r="D693" s="20" t="n">
        <x:v>49</x:v>
      </x:c>
      <x:c r="E693" s="45" t="n">
        <x:f>IF('Controls'!$D$7="Reference",'Paths'!$J$14,'Paths'!$K$14)</x:f>
        <x:v>6</x:v>
      </x:c>
      <x:c r="F693" s="47" t="n">
        <x:f>IF(D693&lt;'Paths'!$N$14,IF('Controls'!$D$7="Reference",'Paths'!$L$14,'Paths'!$M$14),IF('Controls'!$D$7="Reference",'Paths'!$O$14,'Paths'!$P$14))</x:f>
        <x:v>28000</x:v>
      </x:c>
      <x:c r="G693" s="46" t="n">
        <x:f>IF('Controls'!$D$7="Reference",1,IF(OR(D693=6,D693=7,D693=21,D693=46),'Paths'!$U$14,1))</x:f>
        <x:v>1</x:v>
      </x:c>
      <x:c r="H693" s="46" t="n">
        <x:f>IF('Controls'!$D$7="Reference",1,IF(OR(AND(D693&gt;=14,D693&lt;=16),AND(D693&gt;=34,D693&lt;=35),AND(D693&gt;=61,D693&lt;=63)),'Paths'!$V$14,1))</x:f>
        <x:v>1</x:v>
      </x:c>
      <x:c r="I693" s="46" t="n">
        <x:f>'Paths'!$W$14</x:f>
        <x:v>0.88</x:v>
      </x:c>
      <x:c r="J693" s="47" t="n">
        <x:f>IF(D693&lt;E693,0,MIN(F693*G693*H693*I693,IF('Paths'!$T$14&gt;0,MAX(0,'Paths'!$T$14-K692),1000000000)))</x:f>
        <x:v>24640</x:v>
      </x:c>
      <x:c r="K693" s="47" t="n">
        <x:f>K692+J693</x:f>
        <x:v>946528</x:v>
      </x:c>
      <x:c r="L693" s="46" t="n">
        <x:f>IF(C693="P0",1,IF(D693&lt;=3,0.8,IF(D693&lt;=14,0.65,IF(D693&lt;=45,0.5,0.3))))</x:f>
        <x:v>0.3</x:v>
      </x:c>
      <x:c r="M693" s="47" t="n">
        <x:f>J693*L693</x:f>
        <x:v>7392</x:v>
      </x:c>
      <x:c r="N693" s="47" t="n">
        <x:f>N692+M693</x:f>
        <x:v>475411.19999999995</x:v>
      </x:c>
      <x:c r="O693" s="46" t="n">
        <x:f>IF(C693="P0",0,IF(D693&lt;=3,0.15,IF(D693&lt;=14,0.25,IF(D693&lt;=45,0.35,0.5))))</x:f>
        <x:v>0.5</x:v>
      </x:c>
      <x:c r="P693" s="47" t="n">
        <x:f>J693*O693</x:f>
        <x:v>12320</x:v>
      </x:c>
      <x:c r="Q693" s="46" t="n">
        <x:f>IF(C693="P0",0,IF(D693&lt;=3,0.05,IF(D693&lt;=14,0.1,IF(D693&lt;=45,0.15,0.2))))</x:f>
        <x:v>0.2</x:v>
      </x:c>
      <x:c r="R693" s="47" t="n">
        <x:f>J693*Q693</x:f>
        <x:v>4928</x:v>
      </x:c>
      <x:c r="S693" s="20" t="str">
        <x:f>IF(D693&lt;E693,"closed",IF(D693&lt;'Paths'!$N$14,"initial","expanded"))</x:f>
        <x:v>expanded</x:v>
      </x:c>
      <x:c r="T693" s="72"/>
    </x:row>
    <x:row r="694">
      <x:c r="C694" s="20" t="str">
        <x:v>P7</x:v>
      </x:c>
      <x:c r="D694" s="20" t="n">
        <x:v>50</x:v>
      </x:c>
      <x:c r="E694" s="45" t="n">
        <x:f>IF('Controls'!$D$7="Reference",'Paths'!$J$14,'Paths'!$K$14)</x:f>
        <x:v>6</x:v>
      </x:c>
      <x:c r="F694" s="47" t="n">
        <x:f>IF(D694&lt;'Paths'!$N$14,IF('Controls'!$D$7="Reference",'Paths'!$L$14,'Paths'!$M$14),IF('Controls'!$D$7="Reference",'Paths'!$O$14,'Paths'!$P$14))</x:f>
        <x:v>28000</x:v>
      </x:c>
      <x:c r="G694" s="46" t="n">
        <x:f>IF('Controls'!$D$7="Reference",1,IF(OR(D694=6,D694=7,D694=21,D694=46),'Paths'!$U$14,1))</x:f>
        <x:v>1</x:v>
      </x:c>
      <x:c r="H694" s="46" t="n">
        <x:f>IF('Controls'!$D$7="Reference",1,IF(OR(AND(D694&gt;=14,D694&lt;=16),AND(D694&gt;=34,D694&lt;=35),AND(D694&gt;=61,D694&lt;=63)),'Paths'!$V$14,1))</x:f>
        <x:v>1</x:v>
      </x:c>
      <x:c r="I694" s="46" t="n">
        <x:f>'Paths'!$W$14</x:f>
        <x:v>0.88</x:v>
      </x:c>
      <x:c r="J694" s="47" t="n">
        <x:f>IF(D694&lt;E694,0,MIN(F694*G694*H694*I694,IF('Paths'!$T$14&gt;0,MAX(0,'Paths'!$T$14-K693),1000000000)))</x:f>
        <x:v>24640</x:v>
      </x:c>
      <x:c r="K694" s="47" t="n">
        <x:f>K693+J694</x:f>
        <x:v>971168</x:v>
      </x:c>
      <x:c r="L694" s="46" t="n">
        <x:f>IF(C694="P0",1,IF(D694&lt;=3,0.8,IF(D694&lt;=14,0.65,IF(D694&lt;=45,0.5,0.3))))</x:f>
        <x:v>0.3</x:v>
      </x:c>
      <x:c r="M694" s="47" t="n">
        <x:f>J694*L694</x:f>
        <x:v>7392</x:v>
      </x:c>
      <x:c r="N694" s="47" t="n">
        <x:f>N693+M694</x:f>
        <x:v>482803.19999999995</x:v>
      </x:c>
      <x:c r="O694" s="46" t="n">
        <x:f>IF(C694="P0",0,IF(D694&lt;=3,0.15,IF(D694&lt;=14,0.25,IF(D694&lt;=45,0.35,0.5))))</x:f>
        <x:v>0.5</x:v>
      </x:c>
      <x:c r="P694" s="47" t="n">
        <x:f>J694*O694</x:f>
        <x:v>12320</x:v>
      </x:c>
      <x:c r="Q694" s="46" t="n">
        <x:f>IF(C694="P0",0,IF(D694&lt;=3,0.05,IF(D694&lt;=14,0.1,IF(D694&lt;=45,0.15,0.2))))</x:f>
        <x:v>0.2</x:v>
      </x:c>
      <x:c r="R694" s="47" t="n">
        <x:f>J694*Q694</x:f>
        <x:v>4928</x:v>
      </x:c>
      <x:c r="S694" s="20" t="str">
        <x:f>IF(D694&lt;E694,"closed",IF(D694&lt;'Paths'!$N$14,"initial","expanded"))</x:f>
        <x:v>expanded</x:v>
      </x:c>
      <x:c r="T694" s="72"/>
    </x:row>
    <x:row r="695">
      <x:c r="C695" s="20" t="str">
        <x:v>P7</x:v>
      </x:c>
      <x:c r="D695" s="20" t="n">
        <x:v>51</x:v>
      </x:c>
      <x:c r="E695" s="45" t="n">
        <x:f>IF('Controls'!$D$7="Reference",'Paths'!$J$14,'Paths'!$K$14)</x:f>
        <x:v>6</x:v>
      </x:c>
      <x:c r="F695" s="47" t="n">
        <x:f>IF(D695&lt;'Paths'!$N$14,IF('Controls'!$D$7="Reference",'Paths'!$L$14,'Paths'!$M$14),IF('Controls'!$D$7="Reference",'Paths'!$O$14,'Paths'!$P$14))</x:f>
        <x:v>28000</x:v>
      </x:c>
      <x:c r="G695" s="46" t="n">
        <x:f>IF('Controls'!$D$7="Reference",1,IF(OR(D695=6,D695=7,D695=21,D695=46),'Paths'!$U$14,1))</x:f>
        <x:v>1</x:v>
      </x:c>
      <x:c r="H695" s="46" t="n">
        <x:f>IF('Controls'!$D$7="Reference",1,IF(OR(AND(D695&gt;=14,D695&lt;=16),AND(D695&gt;=34,D695&lt;=35),AND(D695&gt;=61,D695&lt;=63)),'Paths'!$V$14,1))</x:f>
        <x:v>1</x:v>
      </x:c>
      <x:c r="I695" s="46" t="n">
        <x:f>'Paths'!$W$14</x:f>
        <x:v>0.88</x:v>
      </x:c>
      <x:c r="J695" s="47" t="n">
        <x:f>IF(D695&lt;E695,0,MIN(F695*G695*H695*I695,IF('Paths'!$T$14&gt;0,MAX(0,'Paths'!$T$14-K694),1000000000)))</x:f>
        <x:v>24640</x:v>
      </x:c>
      <x:c r="K695" s="47" t="n">
        <x:f>K694+J695</x:f>
        <x:v>995808</x:v>
      </x:c>
      <x:c r="L695" s="46" t="n">
        <x:f>IF(C695="P0",1,IF(D695&lt;=3,0.8,IF(D695&lt;=14,0.65,IF(D695&lt;=45,0.5,0.3))))</x:f>
        <x:v>0.3</x:v>
      </x:c>
      <x:c r="M695" s="47" t="n">
        <x:f>J695*L695</x:f>
        <x:v>7392</x:v>
      </x:c>
      <x:c r="N695" s="47" t="n">
        <x:f>N694+M695</x:f>
        <x:v>490195.19999999995</x:v>
      </x:c>
      <x:c r="O695" s="46" t="n">
        <x:f>IF(C695="P0",0,IF(D695&lt;=3,0.15,IF(D695&lt;=14,0.25,IF(D695&lt;=45,0.35,0.5))))</x:f>
        <x:v>0.5</x:v>
      </x:c>
      <x:c r="P695" s="47" t="n">
        <x:f>J695*O695</x:f>
        <x:v>12320</x:v>
      </x:c>
      <x:c r="Q695" s="46" t="n">
        <x:f>IF(C695="P0",0,IF(D695&lt;=3,0.05,IF(D695&lt;=14,0.1,IF(D695&lt;=45,0.15,0.2))))</x:f>
        <x:v>0.2</x:v>
      </x:c>
      <x:c r="R695" s="47" t="n">
        <x:f>J695*Q695</x:f>
        <x:v>4928</x:v>
      </x:c>
      <x:c r="S695" s="20" t="str">
        <x:f>IF(D695&lt;E695,"closed",IF(D695&lt;'Paths'!$N$14,"initial","expanded"))</x:f>
        <x:v>expanded</x:v>
      </x:c>
      <x:c r="T695" s="72"/>
    </x:row>
    <x:row r="696">
      <x:c r="C696" s="20" t="str">
        <x:v>P7</x:v>
      </x:c>
      <x:c r="D696" s="20" t="n">
        <x:v>52</x:v>
      </x:c>
      <x:c r="E696" s="45" t="n">
        <x:f>IF('Controls'!$D$7="Reference",'Paths'!$J$14,'Paths'!$K$14)</x:f>
        <x:v>6</x:v>
      </x:c>
      <x:c r="F696" s="47" t="n">
        <x:f>IF(D696&lt;'Paths'!$N$14,IF('Controls'!$D$7="Reference",'Paths'!$L$14,'Paths'!$M$14),IF('Controls'!$D$7="Reference",'Paths'!$O$14,'Paths'!$P$14))</x:f>
        <x:v>28000</x:v>
      </x:c>
      <x:c r="G696" s="46" t="n">
        <x:f>IF('Controls'!$D$7="Reference",1,IF(OR(D696=6,D696=7,D696=21,D696=46),'Paths'!$U$14,1))</x:f>
        <x:v>1</x:v>
      </x:c>
      <x:c r="H696" s="46" t="n">
        <x:f>IF('Controls'!$D$7="Reference",1,IF(OR(AND(D696&gt;=14,D696&lt;=16),AND(D696&gt;=34,D696&lt;=35),AND(D696&gt;=61,D696&lt;=63)),'Paths'!$V$14,1))</x:f>
        <x:v>1</x:v>
      </x:c>
      <x:c r="I696" s="46" t="n">
        <x:f>'Paths'!$W$14</x:f>
        <x:v>0.88</x:v>
      </x:c>
      <x:c r="J696" s="47" t="n">
        <x:f>IF(D696&lt;E696,0,MIN(F696*G696*H696*I696,IF('Paths'!$T$14&gt;0,MAX(0,'Paths'!$T$14-K695),1000000000)))</x:f>
        <x:v>24640</x:v>
      </x:c>
      <x:c r="K696" s="47" t="n">
        <x:f>K695+J696</x:f>
        <x:v>1020448</x:v>
      </x:c>
      <x:c r="L696" s="46" t="n">
        <x:f>IF(C696="P0",1,IF(D696&lt;=3,0.8,IF(D696&lt;=14,0.65,IF(D696&lt;=45,0.5,0.3))))</x:f>
        <x:v>0.3</x:v>
      </x:c>
      <x:c r="M696" s="47" t="n">
        <x:f>J696*L696</x:f>
        <x:v>7392</x:v>
      </x:c>
      <x:c r="N696" s="47" t="n">
        <x:f>N695+M696</x:f>
        <x:v>497587.19999999995</x:v>
      </x:c>
      <x:c r="O696" s="46" t="n">
        <x:f>IF(C696="P0",0,IF(D696&lt;=3,0.15,IF(D696&lt;=14,0.25,IF(D696&lt;=45,0.35,0.5))))</x:f>
        <x:v>0.5</x:v>
      </x:c>
      <x:c r="P696" s="47" t="n">
        <x:f>J696*O696</x:f>
        <x:v>12320</x:v>
      </x:c>
      <x:c r="Q696" s="46" t="n">
        <x:f>IF(C696="P0",0,IF(D696&lt;=3,0.05,IF(D696&lt;=14,0.1,IF(D696&lt;=45,0.15,0.2))))</x:f>
        <x:v>0.2</x:v>
      </x:c>
      <x:c r="R696" s="47" t="n">
        <x:f>J696*Q696</x:f>
        <x:v>4928</x:v>
      </x:c>
      <x:c r="S696" s="20" t="str">
        <x:f>IF(D696&lt;E696,"closed",IF(D696&lt;'Paths'!$N$14,"initial","expanded"))</x:f>
        <x:v>expanded</x:v>
      </x:c>
      <x:c r="T696" s="72"/>
    </x:row>
    <x:row r="697">
      <x:c r="C697" s="20" t="str">
        <x:v>P7</x:v>
      </x:c>
      <x:c r="D697" s="20" t="n">
        <x:v>53</x:v>
      </x:c>
      <x:c r="E697" s="45" t="n">
        <x:f>IF('Controls'!$D$7="Reference",'Paths'!$J$14,'Paths'!$K$14)</x:f>
        <x:v>6</x:v>
      </x:c>
      <x:c r="F697" s="47" t="n">
        <x:f>IF(D697&lt;'Paths'!$N$14,IF('Controls'!$D$7="Reference",'Paths'!$L$14,'Paths'!$M$14),IF('Controls'!$D$7="Reference",'Paths'!$O$14,'Paths'!$P$14))</x:f>
        <x:v>28000</x:v>
      </x:c>
      <x:c r="G697" s="46" t="n">
        <x:f>IF('Controls'!$D$7="Reference",1,IF(OR(D697=6,D697=7,D697=21,D697=46),'Paths'!$U$14,1))</x:f>
        <x:v>1</x:v>
      </x:c>
      <x:c r="H697" s="46" t="n">
        <x:f>IF('Controls'!$D$7="Reference",1,IF(OR(AND(D697&gt;=14,D697&lt;=16),AND(D697&gt;=34,D697&lt;=35),AND(D697&gt;=61,D697&lt;=63)),'Paths'!$V$14,1))</x:f>
        <x:v>1</x:v>
      </x:c>
      <x:c r="I697" s="46" t="n">
        <x:f>'Paths'!$W$14</x:f>
        <x:v>0.88</x:v>
      </x:c>
      <x:c r="J697" s="47" t="n">
        <x:f>IF(D697&lt;E697,0,MIN(F697*G697*H697*I697,IF('Paths'!$T$14&gt;0,MAX(0,'Paths'!$T$14-K696),1000000000)))</x:f>
        <x:v>24640</x:v>
      </x:c>
      <x:c r="K697" s="47" t="n">
        <x:f>K696+J697</x:f>
        <x:v>1045088</x:v>
      </x:c>
      <x:c r="L697" s="46" t="n">
        <x:f>IF(C697="P0",1,IF(D697&lt;=3,0.8,IF(D697&lt;=14,0.65,IF(D697&lt;=45,0.5,0.3))))</x:f>
        <x:v>0.3</x:v>
      </x:c>
      <x:c r="M697" s="47" t="n">
        <x:f>J697*L697</x:f>
        <x:v>7392</x:v>
      </x:c>
      <x:c r="N697" s="47" t="n">
        <x:f>N696+M697</x:f>
        <x:v>504979.19999999995</x:v>
      </x:c>
      <x:c r="O697" s="46" t="n">
        <x:f>IF(C697="P0",0,IF(D697&lt;=3,0.15,IF(D697&lt;=14,0.25,IF(D697&lt;=45,0.35,0.5))))</x:f>
        <x:v>0.5</x:v>
      </x:c>
      <x:c r="P697" s="47" t="n">
        <x:f>J697*O697</x:f>
        <x:v>12320</x:v>
      </x:c>
      <x:c r="Q697" s="46" t="n">
        <x:f>IF(C697="P0",0,IF(D697&lt;=3,0.05,IF(D697&lt;=14,0.1,IF(D697&lt;=45,0.15,0.2))))</x:f>
        <x:v>0.2</x:v>
      </x:c>
      <x:c r="R697" s="47" t="n">
        <x:f>J697*Q697</x:f>
        <x:v>4928</x:v>
      </x:c>
      <x:c r="S697" s="20" t="str">
        <x:f>IF(D697&lt;E697,"closed",IF(D697&lt;'Paths'!$N$14,"initial","expanded"))</x:f>
        <x:v>expanded</x:v>
      </x:c>
      <x:c r="T697" s="72"/>
    </x:row>
    <x:row r="698">
      <x:c r="C698" s="20" t="str">
        <x:v>P7</x:v>
      </x:c>
      <x:c r="D698" s="20" t="n">
        <x:v>54</x:v>
      </x:c>
      <x:c r="E698" s="45" t="n">
        <x:f>IF('Controls'!$D$7="Reference",'Paths'!$J$14,'Paths'!$K$14)</x:f>
        <x:v>6</x:v>
      </x:c>
      <x:c r="F698" s="47" t="n">
        <x:f>IF(D698&lt;'Paths'!$N$14,IF('Controls'!$D$7="Reference",'Paths'!$L$14,'Paths'!$M$14),IF('Controls'!$D$7="Reference",'Paths'!$O$14,'Paths'!$P$14))</x:f>
        <x:v>28000</x:v>
      </x:c>
      <x:c r="G698" s="46" t="n">
        <x:f>IF('Controls'!$D$7="Reference",1,IF(OR(D698=6,D698=7,D698=21,D698=46),'Paths'!$U$14,1))</x:f>
        <x:v>1</x:v>
      </x:c>
      <x:c r="H698" s="46" t="n">
        <x:f>IF('Controls'!$D$7="Reference",1,IF(OR(AND(D698&gt;=14,D698&lt;=16),AND(D698&gt;=34,D698&lt;=35),AND(D698&gt;=61,D698&lt;=63)),'Paths'!$V$14,1))</x:f>
        <x:v>1</x:v>
      </x:c>
      <x:c r="I698" s="46" t="n">
        <x:f>'Paths'!$W$14</x:f>
        <x:v>0.88</x:v>
      </x:c>
      <x:c r="J698" s="47" t="n">
        <x:f>IF(D698&lt;E698,0,MIN(F698*G698*H698*I698,IF('Paths'!$T$14&gt;0,MAX(0,'Paths'!$T$14-K697),1000000000)))</x:f>
        <x:v>24640</x:v>
      </x:c>
      <x:c r="K698" s="47" t="n">
        <x:f>K697+J698</x:f>
        <x:v>1069728</x:v>
      </x:c>
      <x:c r="L698" s="46" t="n">
        <x:f>IF(C698="P0",1,IF(D698&lt;=3,0.8,IF(D698&lt;=14,0.65,IF(D698&lt;=45,0.5,0.3))))</x:f>
        <x:v>0.3</x:v>
      </x:c>
      <x:c r="M698" s="47" t="n">
        <x:f>J698*L698</x:f>
        <x:v>7392</x:v>
      </x:c>
      <x:c r="N698" s="47" t="n">
        <x:f>N697+M698</x:f>
        <x:v>512371.19999999995</x:v>
      </x:c>
      <x:c r="O698" s="46" t="n">
        <x:f>IF(C698="P0",0,IF(D698&lt;=3,0.15,IF(D698&lt;=14,0.25,IF(D698&lt;=45,0.35,0.5))))</x:f>
        <x:v>0.5</x:v>
      </x:c>
      <x:c r="P698" s="47" t="n">
        <x:f>J698*O698</x:f>
        <x:v>12320</x:v>
      </x:c>
      <x:c r="Q698" s="46" t="n">
        <x:f>IF(C698="P0",0,IF(D698&lt;=3,0.05,IF(D698&lt;=14,0.1,IF(D698&lt;=45,0.15,0.2))))</x:f>
        <x:v>0.2</x:v>
      </x:c>
      <x:c r="R698" s="47" t="n">
        <x:f>J698*Q698</x:f>
        <x:v>4928</x:v>
      </x:c>
      <x:c r="S698" s="20" t="str">
        <x:f>IF(D698&lt;E698,"closed",IF(D698&lt;'Paths'!$N$14,"initial","expanded"))</x:f>
        <x:v>expanded</x:v>
      </x:c>
      <x:c r="T698" s="72"/>
    </x:row>
    <x:row r="699">
      <x:c r="C699" s="20" t="str">
        <x:v>P7</x:v>
      </x:c>
      <x:c r="D699" s="20" t="n">
        <x:v>55</x:v>
      </x:c>
      <x:c r="E699" s="45" t="n">
        <x:f>IF('Controls'!$D$7="Reference",'Paths'!$J$14,'Paths'!$K$14)</x:f>
        <x:v>6</x:v>
      </x:c>
      <x:c r="F699" s="47" t="n">
        <x:f>IF(D699&lt;'Paths'!$N$14,IF('Controls'!$D$7="Reference",'Paths'!$L$14,'Paths'!$M$14),IF('Controls'!$D$7="Reference",'Paths'!$O$14,'Paths'!$P$14))</x:f>
        <x:v>28000</x:v>
      </x:c>
      <x:c r="G699" s="46" t="n">
        <x:f>IF('Controls'!$D$7="Reference",1,IF(OR(D699=6,D699=7,D699=21,D699=46),'Paths'!$U$14,1))</x:f>
        <x:v>1</x:v>
      </x:c>
      <x:c r="H699" s="46" t="n">
        <x:f>IF('Controls'!$D$7="Reference",1,IF(OR(AND(D699&gt;=14,D699&lt;=16),AND(D699&gt;=34,D699&lt;=35),AND(D699&gt;=61,D699&lt;=63)),'Paths'!$V$14,1))</x:f>
        <x:v>1</x:v>
      </x:c>
      <x:c r="I699" s="46" t="n">
        <x:f>'Paths'!$W$14</x:f>
        <x:v>0.88</x:v>
      </x:c>
      <x:c r="J699" s="47" t="n">
        <x:f>IF(D699&lt;E699,0,MIN(F699*G699*H699*I699,IF('Paths'!$T$14&gt;0,MAX(0,'Paths'!$T$14-K698),1000000000)))</x:f>
        <x:v>24640</x:v>
      </x:c>
      <x:c r="K699" s="47" t="n">
        <x:f>K698+J699</x:f>
        <x:v>1094368</x:v>
      </x:c>
      <x:c r="L699" s="46" t="n">
        <x:f>IF(C699="P0",1,IF(D699&lt;=3,0.8,IF(D699&lt;=14,0.65,IF(D699&lt;=45,0.5,0.3))))</x:f>
        <x:v>0.3</x:v>
      </x:c>
      <x:c r="M699" s="47" t="n">
        <x:f>J699*L699</x:f>
        <x:v>7392</x:v>
      </x:c>
      <x:c r="N699" s="47" t="n">
        <x:f>N698+M699</x:f>
        <x:v>519763.19999999995</x:v>
      </x:c>
      <x:c r="O699" s="46" t="n">
        <x:f>IF(C699="P0",0,IF(D699&lt;=3,0.15,IF(D699&lt;=14,0.25,IF(D699&lt;=45,0.35,0.5))))</x:f>
        <x:v>0.5</x:v>
      </x:c>
      <x:c r="P699" s="47" t="n">
        <x:f>J699*O699</x:f>
        <x:v>12320</x:v>
      </x:c>
      <x:c r="Q699" s="46" t="n">
        <x:f>IF(C699="P0",0,IF(D699&lt;=3,0.05,IF(D699&lt;=14,0.1,IF(D699&lt;=45,0.15,0.2))))</x:f>
        <x:v>0.2</x:v>
      </x:c>
      <x:c r="R699" s="47" t="n">
        <x:f>J699*Q699</x:f>
        <x:v>4928</x:v>
      </x:c>
      <x:c r="S699" s="20" t="str">
        <x:f>IF(D699&lt;E699,"closed",IF(D699&lt;'Paths'!$N$14,"initial","expanded"))</x:f>
        <x:v>expanded</x:v>
      </x:c>
      <x:c r="T699" s="72"/>
    </x:row>
    <x:row r="700">
      <x:c r="C700" s="20" t="str">
        <x:v>P7</x:v>
      </x:c>
      <x:c r="D700" s="20" t="n">
        <x:v>56</x:v>
      </x:c>
      <x:c r="E700" s="45" t="n">
        <x:f>IF('Controls'!$D$7="Reference",'Paths'!$J$14,'Paths'!$K$14)</x:f>
        <x:v>6</x:v>
      </x:c>
      <x:c r="F700" s="47" t="n">
        <x:f>IF(D700&lt;'Paths'!$N$14,IF('Controls'!$D$7="Reference",'Paths'!$L$14,'Paths'!$M$14),IF('Controls'!$D$7="Reference",'Paths'!$O$14,'Paths'!$P$14))</x:f>
        <x:v>28000</x:v>
      </x:c>
      <x:c r="G700" s="46" t="n">
        <x:f>IF('Controls'!$D$7="Reference",1,IF(OR(D700=6,D700=7,D700=21,D700=46),'Paths'!$U$14,1))</x:f>
        <x:v>1</x:v>
      </x:c>
      <x:c r="H700" s="46" t="n">
        <x:f>IF('Controls'!$D$7="Reference",1,IF(OR(AND(D700&gt;=14,D700&lt;=16),AND(D700&gt;=34,D700&lt;=35),AND(D700&gt;=61,D700&lt;=63)),'Paths'!$V$14,1))</x:f>
        <x:v>1</x:v>
      </x:c>
      <x:c r="I700" s="46" t="n">
        <x:f>'Paths'!$W$14</x:f>
        <x:v>0.88</x:v>
      </x:c>
      <x:c r="J700" s="47" t="n">
        <x:f>IF(D700&lt;E700,0,MIN(F700*G700*H700*I700,IF('Paths'!$T$14&gt;0,MAX(0,'Paths'!$T$14-K699),1000000000)))</x:f>
        <x:v>24640</x:v>
      </x:c>
      <x:c r="K700" s="47" t="n">
        <x:f>K699+J700</x:f>
        <x:v>1119008</x:v>
      </x:c>
      <x:c r="L700" s="46" t="n">
        <x:f>IF(C700="P0",1,IF(D700&lt;=3,0.8,IF(D700&lt;=14,0.65,IF(D700&lt;=45,0.5,0.3))))</x:f>
        <x:v>0.3</x:v>
      </x:c>
      <x:c r="M700" s="47" t="n">
        <x:f>J700*L700</x:f>
        <x:v>7392</x:v>
      </x:c>
      <x:c r="N700" s="47" t="n">
        <x:f>N699+M700</x:f>
        <x:v>527155.2</x:v>
      </x:c>
      <x:c r="O700" s="46" t="n">
        <x:f>IF(C700="P0",0,IF(D700&lt;=3,0.15,IF(D700&lt;=14,0.25,IF(D700&lt;=45,0.35,0.5))))</x:f>
        <x:v>0.5</x:v>
      </x:c>
      <x:c r="P700" s="47" t="n">
        <x:f>J700*O700</x:f>
        <x:v>12320</x:v>
      </x:c>
      <x:c r="Q700" s="46" t="n">
        <x:f>IF(C700="P0",0,IF(D700&lt;=3,0.05,IF(D700&lt;=14,0.1,IF(D700&lt;=45,0.15,0.2))))</x:f>
        <x:v>0.2</x:v>
      </x:c>
      <x:c r="R700" s="47" t="n">
        <x:f>J700*Q700</x:f>
        <x:v>4928</x:v>
      </x:c>
      <x:c r="S700" s="20" t="str">
        <x:f>IF(D700&lt;E700,"closed",IF(D700&lt;'Paths'!$N$14,"initial","expanded"))</x:f>
        <x:v>expanded</x:v>
      </x:c>
      <x:c r="T700" s="72"/>
    </x:row>
    <x:row r="701">
      <x:c r="C701" s="20" t="str">
        <x:v>P7</x:v>
      </x:c>
      <x:c r="D701" s="20" t="n">
        <x:v>57</x:v>
      </x:c>
      <x:c r="E701" s="45" t="n">
        <x:f>IF('Controls'!$D$7="Reference",'Paths'!$J$14,'Paths'!$K$14)</x:f>
        <x:v>6</x:v>
      </x:c>
      <x:c r="F701" s="47" t="n">
        <x:f>IF(D701&lt;'Paths'!$N$14,IF('Controls'!$D$7="Reference",'Paths'!$L$14,'Paths'!$M$14),IF('Controls'!$D$7="Reference",'Paths'!$O$14,'Paths'!$P$14))</x:f>
        <x:v>28000</x:v>
      </x:c>
      <x:c r="G701" s="46" t="n">
        <x:f>IF('Controls'!$D$7="Reference",1,IF(OR(D701=6,D701=7,D701=21,D701=46),'Paths'!$U$14,1))</x:f>
        <x:v>1</x:v>
      </x:c>
      <x:c r="H701" s="46" t="n">
        <x:f>IF('Controls'!$D$7="Reference",1,IF(OR(AND(D701&gt;=14,D701&lt;=16),AND(D701&gt;=34,D701&lt;=35),AND(D701&gt;=61,D701&lt;=63)),'Paths'!$V$14,1))</x:f>
        <x:v>1</x:v>
      </x:c>
      <x:c r="I701" s="46" t="n">
        <x:f>'Paths'!$W$14</x:f>
        <x:v>0.88</x:v>
      </x:c>
      <x:c r="J701" s="47" t="n">
        <x:f>IF(D701&lt;E701,0,MIN(F701*G701*H701*I701,IF('Paths'!$T$14&gt;0,MAX(0,'Paths'!$T$14-K700),1000000000)))</x:f>
        <x:v>24640</x:v>
      </x:c>
      <x:c r="K701" s="47" t="n">
        <x:f>K700+J701</x:f>
        <x:v>1143648</x:v>
      </x:c>
      <x:c r="L701" s="46" t="n">
        <x:f>IF(C701="P0",1,IF(D701&lt;=3,0.8,IF(D701&lt;=14,0.65,IF(D701&lt;=45,0.5,0.3))))</x:f>
        <x:v>0.3</x:v>
      </x:c>
      <x:c r="M701" s="47" t="n">
        <x:f>J701*L701</x:f>
        <x:v>7392</x:v>
      </x:c>
      <x:c r="N701" s="47" t="n">
        <x:f>N700+M701</x:f>
        <x:v>534547.2</x:v>
      </x:c>
      <x:c r="O701" s="46" t="n">
        <x:f>IF(C701="P0",0,IF(D701&lt;=3,0.15,IF(D701&lt;=14,0.25,IF(D701&lt;=45,0.35,0.5))))</x:f>
        <x:v>0.5</x:v>
      </x:c>
      <x:c r="P701" s="47" t="n">
        <x:f>J701*O701</x:f>
        <x:v>12320</x:v>
      </x:c>
      <x:c r="Q701" s="46" t="n">
        <x:f>IF(C701="P0",0,IF(D701&lt;=3,0.05,IF(D701&lt;=14,0.1,IF(D701&lt;=45,0.15,0.2))))</x:f>
        <x:v>0.2</x:v>
      </x:c>
      <x:c r="R701" s="47" t="n">
        <x:f>J701*Q701</x:f>
        <x:v>4928</x:v>
      </x:c>
      <x:c r="S701" s="20" t="str">
        <x:f>IF(D701&lt;E701,"closed",IF(D701&lt;'Paths'!$N$14,"initial","expanded"))</x:f>
        <x:v>expanded</x:v>
      </x:c>
      <x:c r="T701" s="72"/>
    </x:row>
    <x:row r="702">
      <x:c r="C702" s="20" t="str">
        <x:v>P7</x:v>
      </x:c>
      <x:c r="D702" s="20" t="n">
        <x:v>58</x:v>
      </x:c>
      <x:c r="E702" s="45" t="n">
        <x:f>IF('Controls'!$D$7="Reference",'Paths'!$J$14,'Paths'!$K$14)</x:f>
        <x:v>6</x:v>
      </x:c>
      <x:c r="F702" s="47" t="n">
        <x:f>IF(D702&lt;'Paths'!$N$14,IF('Controls'!$D$7="Reference",'Paths'!$L$14,'Paths'!$M$14),IF('Controls'!$D$7="Reference",'Paths'!$O$14,'Paths'!$P$14))</x:f>
        <x:v>28000</x:v>
      </x:c>
      <x:c r="G702" s="46" t="n">
        <x:f>IF('Controls'!$D$7="Reference",1,IF(OR(D702=6,D702=7,D702=21,D702=46),'Paths'!$U$14,1))</x:f>
        <x:v>1</x:v>
      </x:c>
      <x:c r="H702" s="46" t="n">
        <x:f>IF('Controls'!$D$7="Reference",1,IF(OR(AND(D702&gt;=14,D702&lt;=16),AND(D702&gt;=34,D702&lt;=35),AND(D702&gt;=61,D702&lt;=63)),'Paths'!$V$14,1))</x:f>
        <x:v>1</x:v>
      </x:c>
      <x:c r="I702" s="46" t="n">
        <x:f>'Paths'!$W$14</x:f>
        <x:v>0.88</x:v>
      </x:c>
      <x:c r="J702" s="47" t="n">
        <x:f>IF(D702&lt;E702,0,MIN(F702*G702*H702*I702,IF('Paths'!$T$14&gt;0,MAX(0,'Paths'!$T$14-K701),1000000000)))</x:f>
        <x:v>24640</x:v>
      </x:c>
      <x:c r="K702" s="47" t="n">
        <x:f>K701+J702</x:f>
        <x:v>1168288</x:v>
      </x:c>
      <x:c r="L702" s="46" t="n">
        <x:f>IF(C702="P0",1,IF(D702&lt;=3,0.8,IF(D702&lt;=14,0.65,IF(D702&lt;=45,0.5,0.3))))</x:f>
        <x:v>0.3</x:v>
      </x:c>
      <x:c r="M702" s="47" t="n">
        <x:f>J702*L702</x:f>
        <x:v>7392</x:v>
      </x:c>
      <x:c r="N702" s="47" t="n">
        <x:f>N701+M702</x:f>
        <x:v>541939.2</x:v>
      </x:c>
      <x:c r="O702" s="46" t="n">
        <x:f>IF(C702="P0",0,IF(D702&lt;=3,0.15,IF(D702&lt;=14,0.25,IF(D702&lt;=45,0.35,0.5))))</x:f>
        <x:v>0.5</x:v>
      </x:c>
      <x:c r="P702" s="47" t="n">
        <x:f>J702*O702</x:f>
        <x:v>12320</x:v>
      </x:c>
      <x:c r="Q702" s="46" t="n">
        <x:f>IF(C702="P0",0,IF(D702&lt;=3,0.05,IF(D702&lt;=14,0.1,IF(D702&lt;=45,0.15,0.2))))</x:f>
        <x:v>0.2</x:v>
      </x:c>
      <x:c r="R702" s="47" t="n">
        <x:f>J702*Q702</x:f>
        <x:v>4928</x:v>
      </x:c>
      <x:c r="S702" s="20" t="str">
        <x:f>IF(D702&lt;E702,"closed",IF(D702&lt;'Paths'!$N$14,"initial","expanded"))</x:f>
        <x:v>expanded</x:v>
      </x:c>
      <x:c r="T702" s="72"/>
    </x:row>
    <x:row r="703">
      <x:c r="C703" s="20" t="str">
        <x:v>P7</x:v>
      </x:c>
      <x:c r="D703" s="20" t="n">
        <x:v>59</x:v>
      </x:c>
      <x:c r="E703" s="45" t="n">
        <x:f>IF('Controls'!$D$7="Reference",'Paths'!$J$14,'Paths'!$K$14)</x:f>
        <x:v>6</x:v>
      </x:c>
      <x:c r="F703" s="47" t="n">
        <x:f>IF(D703&lt;'Paths'!$N$14,IF('Controls'!$D$7="Reference",'Paths'!$L$14,'Paths'!$M$14),IF('Controls'!$D$7="Reference",'Paths'!$O$14,'Paths'!$P$14))</x:f>
        <x:v>28000</x:v>
      </x:c>
      <x:c r="G703" s="46" t="n">
        <x:f>IF('Controls'!$D$7="Reference",1,IF(OR(D703=6,D703=7,D703=21,D703=46),'Paths'!$U$14,1))</x:f>
        <x:v>1</x:v>
      </x:c>
      <x:c r="H703" s="46" t="n">
        <x:f>IF('Controls'!$D$7="Reference",1,IF(OR(AND(D703&gt;=14,D703&lt;=16),AND(D703&gt;=34,D703&lt;=35),AND(D703&gt;=61,D703&lt;=63)),'Paths'!$V$14,1))</x:f>
        <x:v>1</x:v>
      </x:c>
      <x:c r="I703" s="46" t="n">
        <x:f>'Paths'!$W$14</x:f>
        <x:v>0.88</x:v>
      </x:c>
      <x:c r="J703" s="47" t="n">
        <x:f>IF(D703&lt;E703,0,MIN(F703*G703*H703*I703,IF('Paths'!$T$14&gt;0,MAX(0,'Paths'!$T$14-K702),1000000000)))</x:f>
        <x:v>24640</x:v>
      </x:c>
      <x:c r="K703" s="47" t="n">
        <x:f>K702+J703</x:f>
        <x:v>1192928</x:v>
      </x:c>
      <x:c r="L703" s="46" t="n">
        <x:f>IF(C703="P0",1,IF(D703&lt;=3,0.8,IF(D703&lt;=14,0.65,IF(D703&lt;=45,0.5,0.3))))</x:f>
        <x:v>0.3</x:v>
      </x:c>
      <x:c r="M703" s="47" t="n">
        <x:f>J703*L703</x:f>
        <x:v>7392</x:v>
      </x:c>
      <x:c r="N703" s="47" t="n">
        <x:f>N702+M703</x:f>
        <x:v>549331.2</x:v>
      </x:c>
      <x:c r="O703" s="46" t="n">
        <x:f>IF(C703="P0",0,IF(D703&lt;=3,0.15,IF(D703&lt;=14,0.25,IF(D703&lt;=45,0.35,0.5))))</x:f>
        <x:v>0.5</x:v>
      </x:c>
      <x:c r="P703" s="47" t="n">
        <x:f>J703*O703</x:f>
        <x:v>12320</x:v>
      </x:c>
      <x:c r="Q703" s="46" t="n">
        <x:f>IF(C703="P0",0,IF(D703&lt;=3,0.05,IF(D703&lt;=14,0.1,IF(D703&lt;=45,0.15,0.2))))</x:f>
        <x:v>0.2</x:v>
      </x:c>
      <x:c r="R703" s="47" t="n">
        <x:f>J703*Q703</x:f>
        <x:v>4928</x:v>
      </x:c>
      <x:c r="S703" s="20" t="str">
        <x:f>IF(D703&lt;E703,"closed",IF(D703&lt;'Paths'!$N$14,"initial","expanded"))</x:f>
        <x:v>expanded</x:v>
      </x:c>
      <x:c r="T703" s="72"/>
    </x:row>
    <x:row r="704">
      <x:c r="C704" s="20" t="str">
        <x:v>P7</x:v>
      </x:c>
      <x:c r="D704" s="20" t="n">
        <x:v>60</x:v>
      </x:c>
      <x:c r="E704" s="45" t="n">
        <x:f>IF('Controls'!$D$7="Reference",'Paths'!$J$14,'Paths'!$K$14)</x:f>
        <x:v>6</x:v>
      </x:c>
      <x:c r="F704" s="47" t="n">
        <x:f>IF(D704&lt;'Paths'!$N$14,IF('Controls'!$D$7="Reference",'Paths'!$L$14,'Paths'!$M$14),IF('Controls'!$D$7="Reference",'Paths'!$O$14,'Paths'!$P$14))</x:f>
        <x:v>28000</x:v>
      </x:c>
      <x:c r="G704" s="46" t="n">
        <x:f>IF('Controls'!$D$7="Reference",1,IF(OR(D704=6,D704=7,D704=21,D704=46),'Paths'!$U$14,1))</x:f>
        <x:v>1</x:v>
      </x:c>
      <x:c r="H704" s="46" t="n">
        <x:f>IF('Controls'!$D$7="Reference",1,IF(OR(AND(D704&gt;=14,D704&lt;=16),AND(D704&gt;=34,D704&lt;=35),AND(D704&gt;=61,D704&lt;=63)),'Paths'!$V$14,1))</x:f>
        <x:v>1</x:v>
      </x:c>
      <x:c r="I704" s="46" t="n">
        <x:f>'Paths'!$W$14</x:f>
        <x:v>0.88</x:v>
      </x:c>
      <x:c r="J704" s="47" t="n">
        <x:f>IF(D704&lt;E704,0,MIN(F704*G704*H704*I704,IF('Paths'!$T$14&gt;0,MAX(0,'Paths'!$T$14-K703),1000000000)))</x:f>
        <x:v>24640</x:v>
      </x:c>
      <x:c r="K704" s="47" t="n">
        <x:f>K703+J704</x:f>
        <x:v>1217568</x:v>
      </x:c>
      <x:c r="L704" s="46" t="n">
        <x:f>IF(C704="P0",1,IF(D704&lt;=3,0.8,IF(D704&lt;=14,0.65,IF(D704&lt;=45,0.5,0.3))))</x:f>
        <x:v>0.3</x:v>
      </x:c>
      <x:c r="M704" s="47" t="n">
        <x:f>J704*L704</x:f>
        <x:v>7392</x:v>
      </x:c>
      <x:c r="N704" s="47" t="n">
        <x:f>N703+M704</x:f>
        <x:v>556723.2</x:v>
      </x:c>
      <x:c r="O704" s="46" t="n">
        <x:f>IF(C704="P0",0,IF(D704&lt;=3,0.15,IF(D704&lt;=14,0.25,IF(D704&lt;=45,0.35,0.5))))</x:f>
        <x:v>0.5</x:v>
      </x:c>
      <x:c r="P704" s="47" t="n">
        <x:f>J704*O704</x:f>
        <x:v>12320</x:v>
      </x:c>
      <x:c r="Q704" s="46" t="n">
        <x:f>IF(C704="P0",0,IF(D704&lt;=3,0.05,IF(D704&lt;=14,0.1,IF(D704&lt;=45,0.15,0.2))))</x:f>
        <x:v>0.2</x:v>
      </x:c>
      <x:c r="R704" s="47" t="n">
        <x:f>J704*Q704</x:f>
        <x:v>4928</x:v>
      </x:c>
      <x:c r="S704" s="20" t="str">
        <x:f>IF(D704&lt;E704,"closed",IF(D704&lt;'Paths'!$N$14,"initial","expanded"))</x:f>
        <x:v>expanded</x:v>
      </x:c>
      <x:c r="T704" s="72"/>
    </x:row>
    <x:row r="705">
      <x:c r="C705" s="20" t="str">
        <x:v>P7</x:v>
      </x:c>
      <x:c r="D705" s="20" t="n">
        <x:v>61</x:v>
      </x:c>
      <x:c r="E705" s="45" t="n">
        <x:f>IF('Controls'!$D$7="Reference",'Paths'!$J$14,'Paths'!$K$14)</x:f>
        <x:v>6</x:v>
      </x:c>
      <x:c r="F705" s="47" t="n">
        <x:f>IF(D705&lt;'Paths'!$N$14,IF('Controls'!$D$7="Reference",'Paths'!$L$14,'Paths'!$M$14),IF('Controls'!$D$7="Reference",'Paths'!$O$14,'Paths'!$P$14))</x:f>
        <x:v>28000</x:v>
      </x:c>
      <x:c r="G705" s="46" t="n">
        <x:f>IF('Controls'!$D$7="Reference",1,IF(OR(D705=6,D705=7,D705=21,D705=46),'Paths'!$U$14,1))</x:f>
        <x:v>1</x:v>
      </x:c>
      <x:c r="H705" s="46" t="n">
        <x:f>IF('Controls'!$D$7="Reference",1,IF(OR(AND(D705&gt;=14,D705&lt;=16),AND(D705&gt;=34,D705&lt;=35),AND(D705&gt;=61,D705&lt;=63)),'Paths'!$V$14,1))</x:f>
        <x:v>0.75</x:v>
      </x:c>
      <x:c r="I705" s="46" t="n">
        <x:f>'Paths'!$W$14</x:f>
        <x:v>0.88</x:v>
      </x:c>
      <x:c r="J705" s="47" t="n">
        <x:f>IF(D705&lt;E705,0,MIN(F705*G705*H705*I705,IF('Paths'!$T$14&gt;0,MAX(0,'Paths'!$T$14-K704),1000000000)))</x:f>
        <x:v>18480</x:v>
      </x:c>
      <x:c r="K705" s="47" t="n">
        <x:f>K704+J705</x:f>
        <x:v>1236048</x:v>
      </x:c>
      <x:c r="L705" s="46" t="n">
        <x:f>IF(C705="P0",1,IF(D705&lt;=3,0.8,IF(D705&lt;=14,0.65,IF(D705&lt;=45,0.5,0.3))))</x:f>
        <x:v>0.3</x:v>
      </x:c>
      <x:c r="M705" s="47" t="n">
        <x:f>J705*L705</x:f>
        <x:v>5544</x:v>
      </x:c>
      <x:c r="N705" s="47" t="n">
        <x:f>N704+M705</x:f>
        <x:v>562267.2</x:v>
      </x:c>
      <x:c r="O705" s="46" t="n">
        <x:f>IF(C705="P0",0,IF(D705&lt;=3,0.15,IF(D705&lt;=14,0.25,IF(D705&lt;=45,0.35,0.5))))</x:f>
        <x:v>0.5</x:v>
      </x:c>
      <x:c r="P705" s="47" t="n">
        <x:f>J705*O705</x:f>
        <x:v>9240</x:v>
      </x:c>
      <x:c r="Q705" s="46" t="n">
        <x:f>IF(C705="P0",0,IF(D705&lt;=3,0.05,IF(D705&lt;=14,0.1,IF(D705&lt;=45,0.15,0.2))))</x:f>
        <x:v>0.2</x:v>
      </x:c>
      <x:c r="R705" s="47" t="n">
        <x:f>J705*Q705</x:f>
        <x:v>3696</x:v>
      </x:c>
      <x:c r="S705" s="20" t="str">
        <x:f>IF(D705&lt;E705,"closed",IF(D705&lt;'Paths'!$N$14,"initial","expanded"))</x:f>
        <x:v>expanded</x:v>
      </x:c>
      <x:c r="T705" s="72"/>
    </x:row>
    <x:row r="706">
      <x:c r="C706" s="20" t="str">
        <x:v>P7</x:v>
      </x:c>
      <x:c r="D706" s="20" t="n">
        <x:v>62</x:v>
      </x:c>
      <x:c r="E706" s="45" t="n">
        <x:f>IF('Controls'!$D$7="Reference",'Paths'!$J$14,'Paths'!$K$14)</x:f>
        <x:v>6</x:v>
      </x:c>
      <x:c r="F706" s="47" t="n">
        <x:f>IF(D706&lt;'Paths'!$N$14,IF('Controls'!$D$7="Reference",'Paths'!$L$14,'Paths'!$M$14),IF('Controls'!$D$7="Reference",'Paths'!$O$14,'Paths'!$P$14))</x:f>
        <x:v>28000</x:v>
      </x:c>
      <x:c r="G706" s="46" t="n">
        <x:f>IF('Controls'!$D$7="Reference",1,IF(OR(D706=6,D706=7,D706=21,D706=46),'Paths'!$U$14,1))</x:f>
        <x:v>1</x:v>
      </x:c>
      <x:c r="H706" s="46" t="n">
        <x:f>IF('Controls'!$D$7="Reference",1,IF(OR(AND(D706&gt;=14,D706&lt;=16),AND(D706&gt;=34,D706&lt;=35),AND(D706&gt;=61,D706&lt;=63)),'Paths'!$V$14,1))</x:f>
        <x:v>0.75</x:v>
      </x:c>
      <x:c r="I706" s="46" t="n">
        <x:f>'Paths'!$W$14</x:f>
        <x:v>0.88</x:v>
      </x:c>
      <x:c r="J706" s="47" t="n">
        <x:f>IF(D706&lt;E706,0,MIN(F706*G706*H706*I706,IF('Paths'!$T$14&gt;0,MAX(0,'Paths'!$T$14-K705),1000000000)))</x:f>
        <x:v>18480</x:v>
      </x:c>
      <x:c r="K706" s="47" t="n">
        <x:f>K705+J706</x:f>
        <x:v>1254528</x:v>
      </x:c>
      <x:c r="L706" s="46" t="n">
        <x:f>IF(C706="P0",1,IF(D706&lt;=3,0.8,IF(D706&lt;=14,0.65,IF(D706&lt;=45,0.5,0.3))))</x:f>
        <x:v>0.3</x:v>
      </x:c>
      <x:c r="M706" s="47" t="n">
        <x:f>J706*L706</x:f>
        <x:v>5544</x:v>
      </x:c>
      <x:c r="N706" s="47" t="n">
        <x:f>N705+M706</x:f>
        <x:v>567811.2</x:v>
      </x:c>
      <x:c r="O706" s="46" t="n">
        <x:f>IF(C706="P0",0,IF(D706&lt;=3,0.15,IF(D706&lt;=14,0.25,IF(D706&lt;=45,0.35,0.5))))</x:f>
        <x:v>0.5</x:v>
      </x:c>
      <x:c r="P706" s="47" t="n">
        <x:f>J706*O706</x:f>
        <x:v>9240</x:v>
      </x:c>
      <x:c r="Q706" s="46" t="n">
        <x:f>IF(C706="P0",0,IF(D706&lt;=3,0.05,IF(D706&lt;=14,0.1,IF(D706&lt;=45,0.15,0.2))))</x:f>
        <x:v>0.2</x:v>
      </x:c>
      <x:c r="R706" s="47" t="n">
        <x:f>J706*Q706</x:f>
        <x:v>3696</x:v>
      </x:c>
      <x:c r="S706" s="20" t="str">
        <x:f>IF(D706&lt;E706,"closed",IF(D706&lt;'Paths'!$N$14,"initial","expanded"))</x:f>
        <x:v>expanded</x:v>
      </x:c>
      <x:c r="T706" s="72"/>
    </x:row>
    <x:row r="707">
      <x:c r="C707" s="20" t="str">
        <x:v>P7</x:v>
      </x:c>
      <x:c r="D707" s="20" t="n">
        <x:v>63</x:v>
      </x:c>
      <x:c r="E707" s="45" t="n">
        <x:f>IF('Controls'!$D$7="Reference",'Paths'!$J$14,'Paths'!$K$14)</x:f>
        <x:v>6</x:v>
      </x:c>
      <x:c r="F707" s="47" t="n">
        <x:f>IF(D707&lt;'Paths'!$N$14,IF('Controls'!$D$7="Reference",'Paths'!$L$14,'Paths'!$M$14),IF('Controls'!$D$7="Reference",'Paths'!$O$14,'Paths'!$P$14))</x:f>
        <x:v>28000</x:v>
      </x:c>
      <x:c r="G707" s="46" t="n">
        <x:f>IF('Controls'!$D$7="Reference",1,IF(OR(D707=6,D707=7,D707=21,D707=46),'Paths'!$U$14,1))</x:f>
        <x:v>1</x:v>
      </x:c>
      <x:c r="H707" s="46" t="n">
        <x:f>IF('Controls'!$D$7="Reference",1,IF(OR(AND(D707&gt;=14,D707&lt;=16),AND(D707&gt;=34,D707&lt;=35),AND(D707&gt;=61,D707&lt;=63)),'Paths'!$V$14,1))</x:f>
        <x:v>0.75</x:v>
      </x:c>
      <x:c r="I707" s="46" t="n">
        <x:f>'Paths'!$W$14</x:f>
        <x:v>0.88</x:v>
      </x:c>
      <x:c r="J707" s="47" t="n">
        <x:f>IF(D707&lt;E707,0,MIN(F707*G707*H707*I707,IF('Paths'!$T$14&gt;0,MAX(0,'Paths'!$T$14-K706),1000000000)))</x:f>
        <x:v>18480</x:v>
      </x:c>
      <x:c r="K707" s="47" t="n">
        <x:f>K706+J707</x:f>
        <x:v>1273008</x:v>
      </x:c>
      <x:c r="L707" s="46" t="n">
        <x:f>IF(C707="P0",1,IF(D707&lt;=3,0.8,IF(D707&lt;=14,0.65,IF(D707&lt;=45,0.5,0.3))))</x:f>
        <x:v>0.3</x:v>
      </x:c>
      <x:c r="M707" s="47" t="n">
        <x:f>J707*L707</x:f>
        <x:v>5544</x:v>
      </x:c>
      <x:c r="N707" s="47" t="n">
        <x:f>N706+M707</x:f>
        <x:v>573355.2</x:v>
      </x:c>
      <x:c r="O707" s="46" t="n">
        <x:f>IF(C707="P0",0,IF(D707&lt;=3,0.15,IF(D707&lt;=14,0.25,IF(D707&lt;=45,0.35,0.5))))</x:f>
        <x:v>0.5</x:v>
      </x:c>
      <x:c r="P707" s="47" t="n">
        <x:f>J707*O707</x:f>
        <x:v>9240</x:v>
      </x:c>
      <x:c r="Q707" s="46" t="n">
        <x:f>IF(C707="P0",0,IF(D707&lt;=3,0.05,IF(D707&lt;=14,0.1,IF(D707&lt;=45,0.15,0.2))))</x:f>
        <x:v>0.2</x:v>
      </x:c>
      <x:c r="R707" s="47" t="n">
        <x:f>J707*Q707</x:f>
        <x:v>3696</x:v>
      </x:c>
      <x:c r="S707" s="20" t="str">
        <x:f>IF(D707&lt;E707,"closed",IF(D707&lt;'Paths'!$N$14,"initial","expanded"))</x:f>
        <x:v>expanded</x:v>
      </x:c>
      <x:c r="T707" s="72"/>
    </x:row>
    <x:row r="708">
      <x:c r="C708" s="20" t="str">
        <x:v>P7</x:v>
      </x:c>
      <x:c r="D708" s="20" t="n">
        <x:v>64</x:v>
      </x:c>
      <x:c r="E708" s="45" t="n">
        <x:f>IF('Controls'!$D$7="Reference",'Paths'!$J$14,'Paths'!$K$14)</x:f>
        <x:v>6</x:v>
      </x:c>
      <x:c r="F708" s="47" t="n">
        <x:f>IF(D708&lt;'Paths'!$N$14,IF('Controls'!$D$7="Reference",'Paths'!$L$14,'Paths'!$M$14),IF('Controls'!$D$7="Reference",'Paths'!$O$14,'Paths'!$P$14))</x:f>
        <x:v>28000</x:v>
      </x:c>
      <x:c r="G708" s="46" t="n">
        <x:f>IF('Controls'!$D$7="Reference",1,IF(OR(D708=6,D708=7,D708=21,D708=46),'Paths'!$U$14,1))</x:f>
        <x:v>1</x:v>
      </x:c>
      <x:c r="H708" s="46" t="n">
        <x:f>IF('Controls'!$D$7="Reference",1,IF(OR(AND(D708&gt;=14,D708&lt;=16),AND(D708&gt;=34,D708&lt;=35),AND(D708&gt;=61,D708&lt;=63)),'Paths'!$V$14,1))</x:f>
        <x:v>1</x:v>
      </x:c>
      <x:c r="I708" s="46" t="n">
        <x:f>'Paths'!$W$14</x:f>
        <x:v>0.88</x:v>
      </x:c>
      <x:c r="J708" s="47" t="n">
        <x:f>IF(D708&lt;E708,0,MIN(F708*G708*H708*I708,IF('Paths'!$T$14&gt;0,MAX(0,'Paths'!$T$14-K707),1000000000)))</x:f>
        <x:v>24640</x:v>
      </x:c>
      <x:c r="K708" s="47" t="n">
        <x:f>K707+J708</x:f>
        <x:v>1297648</x:v>
      </x:c>
      <x:c r="L708" s="46" t="n">
        <x:f>IF(C708="P0",1,IF(D708&lt;=3,0.8,IF(D708&lt;=14,0.65,IF(D708&lt;=45,0.5,0.3))))</x:f>
        <x:v>0.3</x:v>
      </x:c>
      <x:c r="M708" s="47" t="n">
        <x:f>J708*L708</x:f>
        <x:v>7392</x:v>
      </x:c>
      <x:c r="N708" s="47" t="n">
        <x:f>N707+M708</x:f>
        <x:v>580747.2</x:v>
      </x:c>
      <x:c r="O708" s="46" t="n">
        <x:f>IF(C708="P0",0,IF(D708&lt;=3,0.15,IF(D708&lt;=14,0.25,IF(D708&lt;=45,0.35,0.5))))</x:f>
        <x:v>0.5</x:v>
      </x:c>
      <x:c r="P708" s="47" t="n">
        <x:f>J708*O708</x:f>
        <x:v>12320</x:v>
      </x:c>
      <x:c r="Q708" s="46" t="n">
        <x:f>IF(C708="P0",0,IF(D708&lt;=3,0.05,IF(D708&lt;=14,0.1,IF(D708&lt;=45,0.15,0.2))))</x:f>
        <x:v>0.2</x:v>
      </x:c>
      <x:c r="R708" s="47" t="n">
        <x:f>J708*Q708</x:f>
        <x:v>4928</x:v>
      </x:c>
      <x:c r="S708" s="20" t="str">
        <x:f>IF(D708&lt;E708,"closed",IF(D708&lt;'Paths'!$N$14,"initial","expanded"))</x:f>
        <x:v>expanded</x:v>
      </x:c>
      <x:c r="T708" s="72"/>
    </x:row>
    <x:row r="709">
      <x:c r="C709" s="20" t="str">
        <x:v>P7</x:v>
      </x:c>
      <x:c r="D709" s="20" t="n">
        <x:v>65</x:v>
      </x:c>
      <x:c r="E709" s="45" t="n">
        <x:f>IF('Controls'!$D$7="Reference",'Paths'!$J$14,'Paths'!$K$14)</x:f>
        <x:v>6</x:v>
      </x:c>
      <x:c r="F709" s="47" t="n">
        <x:f>IF(D709&lt;'Paths'!$N$14,IF('Controls'!$D$7="Reference",'Paths'!$L$14,'Paths'!$M$14),IF('Controls'!$D$7="Reference",'Paths'!$O$14,'Paths'!$P$14))</x:f>
        <x:v>28000</x:v>
      </x:c>
      <x:c r="G709" s="46" t="n">
        <x:f>IF('Controls'!$D$7="Reference",1,IF(OR(D709=6,D709=7,D709=21,D709=46),'Paths'!$U$14,1))</x:f>
        <x:v>1</x:v>
      </x:c>
      <x:c r="H709" s="46" t="n">
        <x:f>IF('Controls'!$D$7="Reference",1,IF(OR(AND(D709&gt;=14,D709&lt;=16),AND(D709&gt;=34,D709&lt;=35),AND(D709&gt;=61,D709&lt;=63)),'Paths'!$V$14,1))</x:f>
        <x:v>1</x:v>
      </x:c>
      <x:c r="I709" s="46" t="n">
        <x:f>'Paths'!$W$14</x:f>
        <x:v>0.88</x:v>
      </x:c>
      <x:c r="J709" s="47" t="n">
        <x:f>IF(D709&lt;E709,0,MIN(F709*G709*H709*I709,IF('Paths'!$T$14&gt;0,MAX(0,'Paths'!$T$14-K708),1000000000)))</x:f>
        <x:v>24640</x:v>
      </x:c>
      <x:c r="K709" s="47" t="n">
        <x:f>K708+J709</x:f>
        <x:v>1322288</x:v>
      </x:c>
      <x:c r="L709" s="46" t="n">
        <x:f>IF(C709="P0",1,IF(D709&lt;=3,0.8,IF(D709&lt;=14,0.65,IF(D709&lt;=45,0.5,0.3))))</x:f>
        <x:v>0.3</x:v>
      </x:c>
      <x:c r="M709" s="47" t="n">
        <x:f>J709*L709</x:f>
        <x:v>7392</x:v>
      </x:c>
      <x:c r="N709" s="47" t="n">
        <x:f>N708+M709</x:f>
        <x:v>588139.2</x:v>
      </x:c>
      <x:c r="O709" s="46" t="n">
        <x:f>IF(C709="P0",0,IF(D709&lt;=3,0.15,IF(D709&lt;=14,0.25,IF(D709&lt;=45,0.35,0.5))))</x:f>
        <x:v>0.5</x:v>
      </x:c>
      <x:c r="P709" s="47" t="n">
        <x:f>J709*O709</x:f>
        <x:v>12320</x:v>
      </x:c>
      <x:c r="Q709" s="46" t="n">
        <x:f>IF(C709="P0",0,IF(D709&lt;=3,0.05,IF(D709&lt;=14,0.1,IF(D709&lt;=45,0.15,0.2))))</x:f>
        <x:v>0.2</x:v>
      </x:c>
      <x:c r="R709" s="47" t="n">
        <x:f>J709*Q709</x:f>
        <x:v>4928</x:v>
      </x:c>
      <x:c r="S709" s="20" t="str">
        <x:f>IF(D709&lt;E709,"closed",IF(D709&lt;'Paths'!$N$14,"initial","expanded"))</x:f>
        <x:v>expanded</x:v>
      </x:c>
      <x:c r="T709" s="72"/>
    </x:row>
    <x:row r="710">
      <x:c r="C710" s="20" t="str">
        <x:v>P7</x:v>
      </x:c>
      <x:c r="D710" s="20" t="n">
        <x:v>66</x:v>
      </x:c>
      <x:c r="E710" s="45" t="n">
        <x:f>IF('Controls'!$D$7="Reference",'Paths'!$J$14,'Paths'!$K$14)</x:f>
        <x:v>6</x:v>
      </x:c>
      <x:c r="F710" s="47" t="n">
        <x:f>IF(D710&lt;'Paths'!$N$14,IF('Controls'!$D$7="Reference",'Paths'!$L$14,'Paths'!$M$14),IF('Controls'!$D$7="Reference",'Paths'!$O$14,'Paths'!$P$14))</x:f>
        <x:v>28000</x:v>
      </x:c>
      <x:c r="G710" s="46" t="n">
        <x:f>IF('Controls'!$D$7="Reference",1,IF(OR(D710=6,D710=7,D710=21,D710=46),'Paths'!$U$14,1))</x:f>
        <x:v>1</x:v>
      </x:c>
      <x:c r="H710" s="46" t="n">
        <x:f>IF('Controls'!$D$7="Reference",1,IF(OR(AND(D710&gt;=14,D710&lt;=16),AND(D710&gt;=34,D710&lt;=35),AND(D710&gt;=61,D710&lt;=63)),'Paths'!$V$14,1))</x:f>
        <x:v>1</x:v>
      </x:c>
      <x:c r="I710" s="46" t="n">
        <x:f>'Paths'!$W$14</x:f>
        <x:v>0.88</x:v>
      </x:c>
      <x:c r="J710" s="47" t="n">
        <x:f>IF(D710&lt;E710,0,MIN(F710*G710*H710*I710,IF('Paths'!$T$14&gt;0,MAX(0,'Paths'!$T$14-K709),1000000000)))</x:f>
        <x:v>24640</x:v>
      </x:c>
      <x:c r="K710" s="47" t="n">
        <x:f>K709+J710</x:f>
        <x:v>1346928</x:v>
      </x:c>
      <x:c r="L710" s="46" t="n">
        <x:f>IF(C710="P0",1,IF(D710&lt;=3,0.8,IF(D710&lt;=14,0.65,IF(D710&lt;=45,0.5,0.3))))</x:f>
        <x:v>0.3</x:v>
      </x:c>
      <x:c r="M710" s="47" t="n">
        <x:f>J710*L710</x:f>
        <x:v>7392</x:v>
      </x:c>
      <x:c r="N710" s="47" t="n">
        <x:f>N709+M710</x:f>
        <x:v>595531.2</x:v>
      </x:c>
      <x:c r="O710" s="46" t="n">
        <x:f>IF(C710="P0",0,IF(D710&lt;=3,0.15,IF(D710&lt;=14,0.25,IF(D710&lt;=45,0.35,0.5))))</x:f>
        <x:v>0.5</x:v>
      </x:c>
      <x:c r="P710" s="47" t="n">
        <x:f>J710*O710</x:f>
        <x:v>12320</x:v>
      </x:c>
      <x:c r="Q710" s="46" t="n">
        <x:f>IF(C710="P0",0,IF(D710&lt;=3,0.05,IF(D710&lt;=14,0.1,IF(D710&lt;=45,0.15,0.2))))</x:f>
        <x:v>0.2</x:v>
      </x:c>
      <x:c r="R710" s="47" t="n">
        <x:f>J710*Q710</x:f>
        <x:v>4928</x:v>
      </x:c>
      <x:c r="S710" s="20" t="str">
        <x:f>IF(D710&lt;E710,"closed",IF(D710&lt;'Paths'!$N$14,"initial","expanded"))</x:f>
        <x:v>expanded</x:v>
      </x:c>
      <x:c r="T710" s="72"/>
    </x:row>
    <x:row r="711">
      <x:c r="C711" s="20" t="str">
        <x:v>P7</x:v>
      </x:c>
      <x:c r="D711" s="20" t="n">
        <x:v>67</x:v>
      </x:c>
      <x:c r="E711" s="45" t="n">
        <x:f>IF('Controls'!$D$7="Reference",'Paths'!$J$14,'Paths'!$K$14)</x:f>
        <x:v>6</x:v>
      </x:c>
      <x:c r="F711" s="47" t="n">
        <x:f>IF(D711&lt;'Paths'!$N$14,IF('Controls'!$D$7="Reference",'Paths'!$L$14,'Paths'!$M$14),IF('Controls'!$D$7="Reference",'Paths'!$O$14,'Paths'!$P$14))</x:f>
        <x:v>28000</x:v>
      </x:c>
      <x:c r="G711" s="46" t="n">
        <x:f>IF('Controls'!$D$7="Reference",1,IF(OR(D711=6,D711=7,D711=21,D711=46),'Paths'!$U$14,1))</x:f>
        <x:v>1</x:v>
      </x:c>
      <x:c r="H711" s="46" t="n">
        <x:f>IF('Controls'!$D$7="Reference",1,IF(OR(AND(D711&gt;=14,D711&lt;=16),AND(D711&gt;=34,D711&lt;=35),AND(D711&gt;=61,D711&lt;=63)),'Paths'!$V$14,1))</x:f>
        <x:v>1</x:v>
      </x:c>
      <x:c r="I711" s="46" t="n">
        <x:f>'Paths'!$W$14</x:f>
        <x:v>0.88</x:v>
      </x:c>
      <x:c r="J711" s="47" t="n">
        <x:f>IF(D711&lt;E711,0,MIN(F711*G711*H711*I711,IF('Paths'!$T$14&gt;0,MAX(0,'Paths'!$T$14-K710),1000000000)))</x:f>
        <x:v>24640</x:v>
      </x:c>
      <x:c r="K711" s="47" t="n">
        <x:f>K710+J711</x:f>
        <x:v>1371568</x:v>
      </x:c>
      <x:c r="L711" s="46" t="n">
        <x:f>IF(C711="P0",1,IF(D711&lt;=3,0.8,IF(D711&lt;=14,0.65,IF(D711&lt;=45,0.5,0.3))))</x:f>
        <x:v>0.3</x:v>
      </x:c>
      <x:c r="M711" s="47" t="n">
        <x:f>J711*L711</x:f>
        <x:v>7392</x:v>
      </x:c>
      <x:c r="N711" s="47" t="n">
        <x:f>N710+M711</x:f>
        <x:v>602923.2</x:v>
      </x:c>
      <x:c r="O711" s="46" t="n">
        <x:f>IF(C711="P0",0,IF(D711&lt;=3,0.15,IF(D711&lt;=14,0.25,IF(D711&lt;=45,0.35,0.5))))</x:f>
        <x:v>0.5</x:v>
      </x:c>
      <x:c r="P711" s="47" t="n">
        <x:f>J711*O711</x:f>
        <x:v>12320</x:v>
      </x:c>
      <x:c r="Q711" s="46" t="n">
        <x:f>IF(C711="P0",0,IF(D711&lt;=3,0.05,IF(D711&lt;=14,0.1,IF(D711&lt;=45,0.15,0.2))))</x:f>
        <x:v>0.2</x:v>
      </x:c>
      <x:c r="R711" s="47" t="n">
        <x:f>J711*Q711</x:f>
        <x:v>4928</x:v>
      </x:c>
      <x:c r="S711" s="20" t="str">
        <x:f>IF(D711&lt;E711,"closed",IF(D711&lt;'Paths'!$N$14,"initial","expanded"))</x:f>
        <x:v>expanded</x:v>
      </x:c>
      <x:c r="T711" s="72"/>
    </x:row>
    <x:row r="712">
      <x:c r="C712" s="20" t="str">
        <x:v>P7</x:v>
      </x:c>
      <x:c r="D712" s="20" t="n">
        <x:v>68</x:v>
      </x:c>
      <x:c r="E712" s="45" t="n">
        <x:f>IF('Controls'!$D$7="Reference",'Paths'!$J$14,'Paths'!$K$14)</x:f>
        <x:v>6</x:v>
      </x:c>
      <x:c r="F712" s="47" t="n">
        <x:f>IF(D712&lt;'Paths'!$N$14,IF('Controls'!$D$7="Reference",'Paths'!$L$14,'Paths'!$M$14),IF('Controls'!$D$7="Reference",'Paths'!$O$14,'Paths'!$P$14))</x:f>
        <x:v>28000</x:v>
      </x:c>
      <x:c r="G712" s="46" t="n">
        <x:f>IF('Controls'!$D$7="Reference",1,IF(OR(D712=6,D712=7,D712=21,D712=46),'Paths'!$U$14,1))</x:f>
        <x:v>1</x:v>
      </x:c>
      <x:c r="H712" s="46" t="n">
        <x:f>IF('Controls'!$D$7="Reference",1,IF(OR(AND(D712&gt;=14,D712&lt;=16),AND(D712&gt;=34,D712&lt;=35),AND(D712&gt;=61,D712&lt;=63)),'Paths'!$V$14,1))</x:f>
        <x:v>1</x:v>
      </x:c>
      <x:c r="I712" s="46" t="n">
        <x:f>'Paths'!$W$14</x:f>
        <x:v>0.88</x:v>
      </x:c>
      <x:c r="J712" s="47" t="n">
        <x:f>IF(D712&lt;E712,0,MIN(F712*G712*H712*I712,IF('Paths'!$T$14&gt;0,MAX(0,'Paths'!$T$14-K711),1000000000)))</x:f>
        <x:v>24640</x:v>
      </x:c>
      <x:c r="K712" s="47" t="n">
        <x:f>K711+J712</x:f>
        <x:v>1396208</x:v>
      </x:c>
      <x:c r="L712" s="46" t="n">
        <x:f>IF(C712="P0",1,IF(D712&lt;=3,0.8,IF(D712&lt;=14,0.65,IF(D712&lt;=45,0.5,0.3))))</x:f>
        <x:v>0.3</x:v>
      </x:c>
      <x:c r="M712" s="47" t="n">
        <x:f>J712*L712</x:f>
        <x:v>7392</x:v>
      </x:c>
      <x:c r="N712" s="47" t="n">
        <x:f>N711+M712</x:f>
        <x:v>610315.2</x:v>
      </x:c>
      <x:c r="O712" s="46" t="n">
        <x:f>IF(C712="P0",0,IF(D712&lt;=3,0.15,IF(D712&lt;=14,0.25,IF(D712&lt;=45,0.35,0.5))))</x:f>
        <x:v>0.5</x:v>
      </x:c>
      <x:c r="P712" s="47" t="n">
        <x:f>J712*O712</x:f>
        <x:v>12320</x:v>
      </x:c>
      <x:c r="Q712" s="46" t="n">
        <x:f>IF(C712="P0",0,IF(D712&lt;=3,0.05,IF(D712&lt;=14,0.1,IF(D712&lt;=45,0.15,0.2))))</x:f>
        <x:v>0.2</x:v>
      </x:c>
      <x:c r="R712" s="47" t="n">
        <x:f>J712*Q712</x:f>
        <x:v>4928</x:v>
      </x:c>
      <x:c r="S712" s="20" t="str">
        <x:f>IF(D712&lt;E712,"closed",IF(D712&lt;'Paths'!$N$14,"initial","expanded"))</x:f>
        <x:v>expanded</x:v>
      </x:c>
      <x:c r="T712" s="72"/>
    </x:row>
    <x:row r="713">
      <x:c r="C713" s="20" t="str">
        <x:v>P7</x:v>
      </x:c>
      <x:c r="D713" s="20" t="n">
        <x:v>69</x:v>
      </x:c>
      <x:c r="E713" s="45" t="n">
        <x:f>IF('Controls'!$D$7="Reference",'Paths'!$J$14,'Paths'!$K$14)</x:f>
        <x:v>6</x:v>
      </x:c>
      <x:c r="F713" s="47" t="n">
        <x:f>IF(D713&lt;'Paths'!$N$14,IF('Controls'!$D$7="Reference",'Paths'!$L$14,'Paths'!$M$14),IF('Controls'!$D$7="Reference",'Paths'!$O$14,'Paths'!$P$14))</x:f>
        <x:v>28000</x:v>
      </x:c>
      <x:c r="G713" s="46" t="n">
        <x:f>IF('Controls'!$D$7="Reference",1,IF(OR(D713=6,D713=7,D713=21,D713=46),'Paths'!$U$14,1))</x:f>
        <x:v>1</x:v>
      </x:c>
      <x:c r="H713" s="46" t="n">
        <x:f>IF('Controls'!$D$7="Reference",1,IF(OR(AND(D713&gt;=14,D713&lt;=16),AND(D713&gt;=34,D713&lt;=35),AND(D713&gt;=61,D713&lt;=63)),'Paths'!$V$14,1))</x:f>
        <x:v>1</x:v>
      </x:c>
      <x:c r="I713" s="46" t="n">
        <x:f>'Paths'!$W$14</x:f>
        <x:v>0.88</x:v>
      </x:c>
      <x:c r="J713" s="47" t="n">
        <x:f>IF(D713&lt;E713,0,MIN(F713*G713*H713*I713,IF('Paths'!$T$14&gt;0,MAX(0,'Paths'!$T$14-K712),1000000000)))</x:f>
        <x:v>24640</x:v>
      </x:c>
      <x:c r="K713" s="47" t="n">
        <x:f>K712+J713</x:f>
        <x:v>1420848</x:v>
      </x:c>
      <x:c r="L713" s="46" t="n">
        <x:f>IF(C713="P0",1,IF(D713&lt;=3,0.8,IF(D713&lt;=14,0.65,IF(D713&lt;=45,0.5,0.3))))</x:f>
        <x:v>0.3</x:v>
      </x:c>
      <x:c r="M713" s="47" t="n">
        <x:f>J713*L713</x:f>
        <x:v>7392</x:v>
      </x:c>
      <x:c r="N713" s="47" t="n">
        <x:f>N712+M713</x:f>
        <x:v>617707.2</x:v>
      </x:c>
      <x:c r="O713" s="46" t="n">
        <x:f>IF(C713="P0",0,IF(D713&lt;=3,0.15,IF(D713&lt;=14,0.25,IF(D713&lt;=45,0.35,0.5))))</x:f>
        <x:v>0.5</x:v>
      </x:c>
      <x:c r="P713" s="47" t="n">
        <x:f>J713*O713</x:f>
        <x:v>12320</x:v>
      </x:c>
      <x:c r="Q713" s="46" t="n">
        <x:f>IF(C713="P0",0,IF(D713&lt;=3,0.05,IF(D713&lt;=14,0.1,IF(D713&lt;=45,0.15,0.2))))</x:f>
        <x:v>0.2</x:v>
      </x:c>
      <x:c r="R713" s="47" t="n">
        <x:f>J713*Q713</x:f>
        <x:v>4928</x:v>
      </x:c>
      <x:c r="S713" s="20" t="str">
        <x:f>IF(D713&lt;E713,"closed",IF(D713&lt;'Paths'!$N$14,"initial","expanded"))</x:f>
        <x:v>expanded</x:v>
      </x:c>
      <x:c r="T713" s="72"/>
    </x:row>
    <x:row r="714">
      <x:c r="C714" s="20" t="str">
        <x:v>P7</x:v>
      </x:c>
      <x:c r="D714" s="20" t="n">
        <x:v>70</x:v>
      </x:c>
      <x:c r="E714" s="45" t="n">
        <x:f>IF('Controls'!$D$7="Reference",'Paths'!$J$14,'Paths'!$K$14)</x:f>
        <x:v>6</x:v>
      </x:c>
      <x:c r="F714" s="47" t="n">
        <x:f>IF(D714&lt;'Paths'!$N$14,IF('Controls'!$D$7="Reference",'Paths'!$L$14,'Paths'!$M$14),IF('Controls'!$D$7="Reference",'Paths'!$O$14,'Paths'!$P$14))</x:f>
        <x:v>28000</x:v>
      </x:c>
      <x:c r="G714" s="46" t="n">
        <x:f>IF('Controls'!$D$7="Reference",1,IF(OR(D714=6,D714=7,D714=21,D714=46),'Paths'!$U$14,1))</x:f>
        <x:v>1</x:v>
      </x:c>
      <x:c r="H714" s="46" t="n">
        <x:f>IF('Controls'!$D$7="Reference",1,IF(OR(AND(D714&gt;=14,D714&lt;=16),AND(D714&gt;=34,D714&lt;=35),AND(D714&gt;=61,D714&lt;=63)),'Paths'!$V$14,1))</x:f>
        <x:v>1</x:v>
      </x:c>
      <x:c r="I714" s="46" t="n">
        <x:f>'Paths'!$W$14</x:f>
        <x:v>0.88</x:v>
      </x:c>
      <x:c r="J714" s="47" t="n">
        <x:f>IF(D714&lt;E714,0,MIN(F714*G714*H714*I714,IF('Paths'!$T$14&gt;0,MAX(0,'Paths'!$T$14-K713),1000000000)))</x:f>
        <x:v>24640</x:v>
      </x:c>
      <x:c r="K714" s="47" t="n">
        <x:f>K713+J714</x:f>
        <x:v>1445488</x:v>
      </x:c>
      <x:c r="L714" s="46" t="n">
        <x:f>IF(C714="P0",1,IF(D714&lt;=3,0.8,IF(D714&lt;=14,0.65,IF(D714&lt;=45,0.5,0.3))))</x:f>
        <x:v>0.3</x:v>
      </x:c>
      <x:c r="M714" s="47" t="n">
        <x:f>J714*L714</x:f>
        <x:v>7392</x:v>
      </x:c>
      <x:c r="N714" s="47" t="n">
        <x:f>N713+M714</x:f>
        <x:v>625099.2</x:v>
      </x:c>
      <x:c r="O714" s="46" t="n">
        <x:f>IF(C714="P0",0,IF(D714&lt;=3,0.15,IF(D714&lt;=14,0.25,IF(D714&lt;=45,0.35,0.5))))</x:f>
        <x:v>0.5</x:v>
      </x:c>
      <x:c r="P714" s="47" t="n">
        <x:f>J714*O714</x:f>
        <x:v>12320</x:v>
      </x:c>
      <x:c r="Q714" s="46" t="n">
        <x:f>IF(C714="P0",0,IF(D714&lt;=3,0.05,IF(D714&lt;=14,0.1,IF(D714&lt;=45,0.15,0.2))))</x:f>
        <x:v>0.2</x:v>
      </x:c>
      <x:c r="R714" s="47" t="n">
        <x:f>J714*Q714</x:f>
        <x:v>4928</x:v>
      </x:c>
      <x:c r="S714" s="20" t="str">
        <x:f>IF(D714&lt;E714,"closed",IF(D714&lt;'Paths'!$N$14,"initial","expanded"))</x:f>
        <x:v>expanded</x:v>
      </x:c>
      <x:c r="T714" s="72"/>
    </x:row>
    <x:row r="715">
      <x:c r="C715" s="20" t="str">
        <x:v>P7</x:v>
      </x:c>
      <x:c r="D715" s="20" t="n">
        <x:v>71</x:v>
      </x:c>
      <x:c r="E715" s="45" t="n">
        <x:f>IF('Controls'!$D$7="Reference",'Paths'!$J$14,'Paths'!$K$14)</x:f>
        <x:v>6</x:v>
      </x:c>
      <x:c r="F715" s="47" t="n">
        <x:f>IF(D715&lt;'Paths'!$N$14,IF('Controls'!$D$7="Reference",'Paths'!$L$14,'Paths'!$M$14),IF('Controls'!$D$7="Reference",'Paths'!$O$14,'Paths'!$P$14))</x:f>
        <x:v>28000</x:v>
      </x:c>
      <x:c r="G715" s="46" t="n">
        <x:f>IF('Controls'!$D$7="Reference",1,IF(OR(D715=6,D715=7,D715=21,D715=46),'Paths'!$U$14,1))</x:f>
        <x:v>1</x:v>
      </x:c>
      <x:c r="H715" s="46" t="n">
        <x:f>IF('Controls'!$D$7="Reference",1,IF(OR(AND(D715&gt;=14,D715&lt;=16),AND(D715&gt;=34,D715&lt;=35),AND(D715&gt;=61,D715&lt;=63)),'Paths'!$V$14,1))</x:f>
        <x:v>1</x:v>
      </x:c>
      <x:c r="I715" s="46" t="n">
        <x:f>'Paths'!$W$14</x:f>
        <x:v>0.88</x:v>
      </x:c>
      <x:c r="J715" s="47" t="n">
        <x:f>IF(D715&lt;E715,0,MIN(F715*G715*H715*I715,IF('Paths'!$T$14&gt;0,MAX(0,'Paths'!$T$14-K714),1000000000)))</x:f>
        <x:v>24640</x:v>
      </x:c>
      <x:c r="K715" s="47" t="n">
        <x:f>K714+J715</x:f>
        <x:v>1470128</x:v>
      </x:c>
      <x:c r="L715" s="46" t="n">
        <x:f>IF(C715="P0",1,IF(D715&lt;=3,0.8,IF(D715&lt;=14,0.65,IF(D715&lt;=45,0.5,0.3))))</x:f>
        <x:v>0.3</x:v>
      </x:c>
      <x:c r="M715" s="47" t="n">
        <x:f>J715*L715</x:f>
        <x:v>7392</x:v>
      </x:c>
      <x:c r="N715" s="47" t="n">
        <x:f>N714+M715</x:f>
        <x:v>632491.2</x:v>
      </x:c>
      <x:c r="O715" s="46" t="n">
        <x:f>IF(C715="P0",0,IF(D715&lt;=3,0.15,IF(D715&lt;=14,0.25,IF(D715&lt;=45,0.35,0.5))))</x:f>
        <x:v>0.5</x:v>
      </x:c>
      <x:c r="P715" s="47" t="n">
        <x:f>J715*O715</x:f>
        <x:v>12320</x:v>
      </x:c>
      <x:c r="Q715" s="46" t="n">
        <x:f>IF(C715="P0",0,IF(D715&lt;=3,0.05,IF(D715&lt;=14,0.1,IF(D715&lt;=45,0.15,0.2))))</x:f>
        <x:v>0.2</x:v>
      </x:c>
      <x:c r="R715" s="47" t="n">
        <x:f>J715*Q715</x:f>
        <x:v>4928</x:v>
      </x:c>
      <x:c r="S715" s="20" t="str">
        <x:f>IF(D715&lt;E715,"closed",IF(D715&lt;'Paths'!$N$14,"initial","expanded"))</x:f>
        <x:v>expanded</x:v>
      </x:c>
      <x:c r="T715" s="72"/>
    </x:row>
    <x:row r="716">
      <x:c r="C716" s="20" t="str">
        <x:v>P7</x:v>
      </x:c>
      <x:c r="D716" s="20" t="n">
        <x:v>72</x:v>
      </x:c>
      <x:c r="E716" s="45" t="n">
        <x:f>IF('Controls'!$D$7="Reference",'Paths'!$J$14,'Paths'!$K$14)</x:f>
        <x:v>6</x:v>
      </x:c>
      <x:c r="F716" s="47" t="n">
        <x:f>IF(D716&lt;'Paths'!$N$14,IF('Controls'!$D$7="Reference",'Paths'!$L$14,'Paths'!$M$14),IF('Controls'!$D$7="Reference",'Paths'!$O$14,'Paths'!$P$14))</x:f>
        <x:v>28000</x:v>
      </x:c>
      <x:c r="G716" s="46" t="n">
        <x:f>IF('Controls'!$D$7="Reference",1,IF(OR(D716=6,D716=7,D716=21,D716=46),'Paths'!$U$14,1))</x:f>
        <x:v>1</x:v>
      </x:c>
      <x:c r="H716" s="46" t="n">
        <x:f>IF('Controls'!$D$7="Reference",1,IF(OR(AND(D716&gt;=14,D716&lt;=16),AND(D716&gt;=34,D716&lt;=35),AND(D716&gt;=61,D716&lt;=63)),'Paths'!$V$14,1))</x:f>
        <x:v>1</x:v>
      </x:c>
      <x:c r="I716" s="46" t="n">
        <x:f>'Paths'!$W$14</x:f>
        <x:v>0.88</x:v>
      </x:c>
      <x:c r="J716" s="47" t="n">
        <x:f>IF(D716&lt;E716,0,MIN(F716*G716*H716*I716,IF('Paths'!$T$14&gt;0,MAX(0,'Paths'!$T$14-K715),1000000000)))</x:f>
        <x:v>24640</x:v>
      </x:c>
      <x:c r="K716" s="47" t="n">
        <x:f>K715+J716</x:f>
        <x:v>1494768</x:v>
      </x:c>
      <x:c r="L716" s="46" t="n">
        <x:f>IF(C716="P0",1,IF(D716&lt;=3,0.8,IF(D716&lt;=14,0.65,IF(D716&lt;=45,0.5,0.3))))</x:f>
        <x:v>0.3</x:v>
      </x:c>
      <x:c r="M716" s="47" t="n">
        <x:f>J716*L716</x:f>
        <x:v>7392</x:v>
      </x:c>
      <x:c r="N716" s="47" t="n">
        <x:f>N715+M716</x:f>
        <x:v>639883.2</x:v>
      </x:c>
      <x:c r="O716" s="46" t="n">
        <x:f>IF(C716="P0",0,IF(D716&lt;=3,0.15,IF(D716&lt;=14,0.25,IF(D716&lt;=45,0.35,0.5))))</x:f>
        <x:v>0.5</x:v>
      </x:c>
      <x:c r="P716" s="47" t="n">
        <x:f>J716*O716</x:f>
        <x:v>12320</x:v>
      </x:c>
      <x:c r="Q716" s="46" t="n">
        <x:f>IF(C716="P0",0,IF(D716&lt;=3,0.05,IF(D716&lt;=14,0.1,IF(D716&lt;=45,0.15,0.2))))</x:f>
        <x:v>0.2</x:v>
      </x:c>
      <x:c r="R716" s="47" t="n">
        <x:f>J716*Q716</x:f>
        <x:v>4928</x:v>
      </x:c>
      <x:c r="S716" s="20" t="str">
        <x:f>IF(D716&lt;E716,"closed",IF(D716&lt;'Paths'!$N$14,"initial","expanded"))</x:f>
        <x:v>expanded</x:v>
      </x:c>
      <x:c r="T716" s="72"/>
    </x:row>
    <x:row r="717">
      <x:c r="C717" s="20" t="str">
        <x:v>P7</x:v>
      </x:c>
      <x:c r="D717" s="20" t="n">
        <x:v>73</x:v>
      </x:c>
      <x:c r="E717" s="45" t="n">
        <x:f>IF('Controls'!$D$7="Reference",'Paths'!$J$14,'Paths'!$K$14)</x:f>
        <x:v>6</x:v>
      </x:c>
      <x:c r="F717" s="47" t="n">
        <x:f>IF(D717&lt;'Paths'!$N$14,IF('Controls'!$D$7="Reference",'Paths'!$L$14,'Paths'!$M$14),IF('Controls'!$D$7="Reference",'Paths'!$O$14,'Paths'!$P$14))</x:f>
        <x:v>28000</x:v>
      </x:c>
      <x:c r="G717" s="46" t="n">
        <x:f>IF('Controls'!$D$7="Reference",1,IF(OR(D717=6,D717=7,D717=21,D717=46),'Paths'!$U$14,1))</x:f>
        <x:v>1</x:v>
      </x:c>
      <x:c r="H717" s="46" t="n">
        <x:f>IF('Controls'!$D$7="Reference",1,IF(OR(AND(D717&gt;=14,D717&lt;=16),AND(D717&gt;=34,D717&lt;=35),AND(D717&gt;=61,D717&lt;=63)),'Paths'!$V$14,1))</x:f>
        <x:v>1</x:v>
      </x:c>
      <x:c r="I717" s="46" t="n">
        <x:f>'Paths'!$W$14</x:f>
        <x:v>0.88</x:v>
      </x:c>
      <x:c r="J717" s="47" t="n">
        <x:f>IF(D717&lt;E717,0,MIN(F717*G717*H717*I717,IF('Paths'!$T$14&gt;0,MAX(0,'Paths'!$T$14-K716),1000000000)))</x:f>
        <x:v>24640</x:v>
      </x:c>
      <x:c r="K717" s="47" t="n">
        <x:f>K716+J717</x:f>
        <x:v>1519408</x:v>
      </x:c>
      <x:c r="L717" s="46" t="n">
        <x:f>IF(C717="P0",1,IF(D717&lt;=3,0.8,IF(D717&lt;=14,0.65,IF(D717&lt;=45,0.5,0.3))))</x:f>
        <x:v>0.3</x:v>
      </x:c>
      <x:c r="M717" s="47" t="n">
        <x:f>J717*L717</x:f>
        <x:v>7392</x:v>
      </x:c>
      <x:c r="N717" s="47" t="n">
        <x:f>N716+M717</x:f>
        <x:v>647275.2</x:v>
      </x:c>
      <x:c r="O717" s="46" t="n">
        <x:f>IF(C717="P0",0,IF(D717&lt;=3,0.15,IF(D717&lt;=14,0.25,IF(D717&lt;=45,0.35,0.5))))</x:f>
        <x:v>0.5</x:v>
      </x:c>
      <x:c r="P717" s="47" t="n">
        <x:f>J717*O717</x:f>
        <x:v>12320</x:v>
      </x:c>
      <x:c r="Q717" s="46" t="n">
        <x:f>IF(C717="P0",0,IF(D717&lt;=3,0.05,IF(D717&lt;=14,0.1,IF(D717&lt;=45,0.15,0.2))))</x:f>
        <x:v>0.2</x:v>
      </x:c>
      <x:c r="R717" s="47" t="n">
        <x:f>J717*Q717</x:f>
        <x:v>4928</x:v>
      </x:c>
      <x:c r="S717" s="20" t="str">
        <x:f>IF(D717&lt;E717,"closed",IF(D717&lt;'Paths'!$N$14,"initial","expanded"))</x:f>
        <x:v>expanded</x:v>
      </x:c>
      <x:c r="T717" s="72"/>
    </x:row>
    <x:row r="718">
      <x:c r="C718" s="20" t="str">
        <x:v>P7</x:v>
      </x:c>
      <x:c r="D718" s="20" t="n">
        <x:v>74</x:v>
      </x:c>
      <x:c r="E718" s="45" t="n">
        <x:f>IF('Controls'!$D$7="Reference",'Paths'!$J$14,'Paths'!$K$14)</x:f>
        <x:v>6</x:v>
      </x:c>
      <x:c r="F718" s="47" t="n">
        <x:f>IF(D718&lt;'Paths'!$N$14,IF('Controls'!$D$7="Reference",'Paths'!$L$14,'Paths'!$M$14),IF('Controls'!$D$7="Reference",'Paths'!$O$14,'Paths'!$P$14))</x:f>
        <x:v>28000</x:v>
      </x:c>
      <x:c r="G718" s="46" t="n">
        <x:f>IF('Controls'!$D$7="Reference",1,IF(OR(D718=6,D718=7,D718=21,D718=46),'Paths'!$U$14,1))</x:f>
        <x:v>1</x:v>
      </x:c>
      <x:c r="H718" s="46" t="n">
        <x:f>IF('Controls'!$D$7="Reference",1,IF(OR(AND(D718&gt;=14,D718&lt;=16),AND(D718&gt;=34,D718&lt;=35),AND(D718&gt;=61,D718&lt;=63)),'Paths'!$V$14,1))</x:f>
        <x:v>1</x:v>
      </x:c>
      <x:c r="I718" s="46" t="n">
        <x:f>'Paths'!$W$14</x:f>
        <x:v>0.88</x:v>
      </x:c>
      <x:c r="J718" s="47" t="n">
        <x:f>IF(D718&lt;E718,0,MIN(F718*G718*H718*I718,IF('Paths'!$T$14&gt;0,MAX(0,'Paths'!$T$14-K717),1000000000)))</x:f>
        <x:v>24640</x:v>
      </x:c>
      <x:c r="K718" s="47" t="n">
        <x:f>K717+J718</x:f>
        <x:v>1544048</x:v>
      </x:c>
      <x:c r="L718" s="46" t="n">
        <x:f>IF(C718="P0",1,IF(D718&lt;=3,0.8,IF(D718&lt;=14,0.65,IF(D718&lt;=45,0.5,0.3))))</x:f>
        <x:v>0.3</x:v>
      </x:c>
      <x:c r="M718" s="47" t="n">
        <x:f>J718*L718</x:f>
        <x:v>7392</x:v>
      </x:c>
      <x:c r="N718" s="47" t="n">
        <x:f>N717+M718</x:f>
        <x:v>654667.2</x:v>
      </x:c>
      <x:c r="O718" s="46" t="n">
        <x:f>IF(C718="P0",0,IF(D718&lt;=3,0.15,IF(D718&lt;=14,0.25,IF(D718&lt;=45,0.35,0.5))))</x:f>
        <x:v>0.5</x:v>
      </x:c>
      <x:c r="P718" s="47" t="n">
        <x:f>J718*O718</x:f>
        <x:v>12320</x:v>
      </x:c>
      <x:c r="Q718" s="46" t="n">
        <x:f>IF(C718="P0",0,IF(D718&lt;=3,0.05,IF(D718&lt;=14,0.1,IF(D718&lt;=45,0.15,0.2))))</x:f>
        <x:v>0.2</x:v>
      </x:c>
      <x:c r="R718" s="47" t="n">
        <x:f>J718*Q718</x:f>
        <x:v>4928</x:v>
      </x:c>
      <x:c r="S718" s="20" t="str">
        <x:f>IF(D718&lt;E718,"closed",IF(D718&lt;'Paths'!$N$14,"initial","expanded"))</x:f>
        <x:v>expanded</x:v>
      </x:c>
      <x:c r="T718" s="72"/>
    </x:row>
    <x:row r="719">
      <x:c r="C719" s="20" t="str">
        <x:v>P7</x:v>
      </x:c>
      <x:c r="D719" s="20" t="n">
        <x:v>75</x:v>
      </x:c>
      <x:c r="E719" s="45" t="n">
        <x:f>IF('Controls'!$D$7="Reference",'Paths'!$J$14,'Paths'!$K$14)</x:f>
        <x:v>6</x:v>
      </x:c>
      <x:c r="F719" s="47" t="n">
        <x:f>IF(D719&lt;'Paths'!$N$14,IF('Controls'!$D$7="Reference",'Paths'!$L$14,'Paths'!$M$14),IF('Controls'!$D$7="Reference",'Paths'!$O$14,'Paths'!$P$14))</x:f>
        <x:v>28000</x:v>
      </x:c>
      <x:c r="G719" s="46" t="n">
        <x:f>IF('Controls'!$D$7="Reference",1,IF(OR(D719=6,D719=7,D719=21,D719=46),'Paths'!$U$14,1))</x:f>
        <x:v>1</x:v>
      </x:c>
      <x:c r="H719" s="46" t="n">
        <x:f>IF('Controls'!$D$7="Reference",1,IF(OR(AND(D719&gt;=14,D719&lt;=16),AND(D719&gt;=34,D719&lt;=35),AND(D719&gt;=61,D719&lt;=63)),'Paths'!$V$14,1))</x:f>
        <x:v>1</x:v>
      </x:c>
      <x:c r="I719" s="46" t="n">
        <x:f>'Paths'!$W$14</x:f>
        <x:v>0.88</x:v>
      </x:c>
      <x:c r="J719" s="47" t="n">
        <x:f>IF(D719&lt;E719,0,MIN(F719*G719*H719*I719,IF('Paths'!$T$14&gt;0,MAX(0,'Paths'!$T$14-K718),1000000000)))</x:f>
        <x:v>24640</x:v>
      </x:c>
      <x:c r="K719" s="47" t="n">
        <x:f>K718+J719</x:f>
        <x:v>1568688</x:v>
      </x:c>
      <x:c r="L719" s="46" t="n">
        <x:f>IF(C719="P0",1,IF(D719&lt;=3,0.8,IF(D719&lt;=14,0.65,IF(D719&lt;=45,0.5,0.3))))</x:f>
        <x:v>0.3</x:v>
      </x:c>
      <x:c r="M719" s="47" t="n">
        <x:f>J719*L719</x:f>
        <x:v>7392</x:v>
      </x:c>
      <x:c r="N719" s="47" t="n">
        <x:f>N718+M719</x:f>
        <x:v>662059.2</x:v>
      </x:c>
      <x:c r="O719" s="46" t="n">
        <x:f>IF(C719="P0",0,IF(D719&lt;=3,0.15,IF(D719&lt;=14,0.25,IF(D719&lt;=45,0.35,0.5))))</x:f>
        <x:v>0.5</x:v>
      </x:c>
      <x:c r="P719" s="47" t="n">
        <x:f>J719*O719</x:f>
        <x:v>12320</x:v>
      </x:c>
      <x:c r="Q719" s="46" t="n">
        <x:f>IF(C719="P0",0,IF(D719&lt;=3,0.05,IF(D719&lt;=14,0.1,IF(D719&lt;=45,0.15,0.2))))</x:f>
        <x:v>0.2</x:v>
      </x:c>
      <x:c r="R719" s="47" t="n">
        <x:f>J719*Q719</x:f>
        <x:v>4928</x:v>
      </x:c>
      <x:c r="S719" s="20" t="str">
        <x:f>IF(D719&lt;E719,"closed",IF(D719&lt;'Paths'!$N$14,"initial","expanded"))</x:f>
        <x:v>expanded</x:v>
      </x:c>
      <x:c r="T719" s="72"/>
    </x:row>
    <x:row r="720">
      <x:c r="C720" s="20" t="str">
        <x:v>P7</x:v>
      </x:c>
      <x:c r="D720" s="20" t="n">
        <x:v>76</x:v>
      </x:c>
      <x:c r="E720" s="45" t="n">
        <x:f>IF('Controls'!$D$7="Reference",'Paths'!$J$14,'Paths'!$K$14)</x:f>
        <x:v>6</x:v>
      </x:c>
      <x:c r="F720" s="47" t="n">
        <x:f>IF(D720&lt;'Paths'!$N$14,IF('Controls'!$D$7="Reference",'Paths'!$L$14,'Paths'!$M$14),IF('Controls'!$D$7="Reference",'Paths'!$O$14,'Paths'!$P$14))</x:f>
        <x:v>28000</x:v>
      </x:c>
      <x:c r="G720" s="46" t="n">
        <x:f>IF('Controls'!$D$7="Reference",1,IF(OR(D720=6,D720=7,D720=21,D720=46),'Paths'!$U$14,1))</x:f>
        <x:v>1</x:v>
      </x:c>
      <x:c r="H720" s="46" t="n">
        <x:f>IF('Controls'!$D$7="Reference",1,IF(OR(AND(D720&gt;=14,D720&lt;=16),AND(D720&gt;=34,D720&lt;=35),AND(D720&gt;=61,D720&lt;=63)),'Paths'!$V$14,1))</x:f>
        <x:v>1</x:v>
      </x:c>
      <x:c r="I720" s="46" t="n">
        <x:f>'Paths'!$W$14</x:f>
        <x:v>0.88</x:v>
      </x:c>
      <x:c r="J720" s="47" t="n">
        <x:f>IF(D720&lt;E720,0,MIN(F720*G720*H720*I720,IF('Paths'!$T$14&gt;0,MAX(0,'Paths'!$T$14-K719),1000000000)))</x:f>
        <x:v>24640</x:v>
      </x:c>
      <x:c r="K720" s="47" t="n">
        <x:f>K719+J720</x:f>
        <x:v>1593328</x:v>
      </x:c>
      <x:c r="L720" s="46" t="n">
        <x:f>IF(C720="P0",1,IF(D720&lt;=3,0.8,IF(D720&lt;=14,0.65,IF(D720&lt;=45,0.5,0.3))))</x:f>
        <x:v>0.3</x:v>
      </x:c>
      <x:c r="M720" s="47" t="n">
        <x:f>J720*L720</x:f>
        <x:v>7392</x:v>
      </x:c>
      <x:c r="N720" s="47" t="n">
        <x:f>N719+M720</x:f>
        <x:v>669451.2</x:v>
      </x:c>
      <x:c r="O720" s="46" t="n">
        <x:f>IF(C720="P0",0,IF(D720&lt;=3,0.15,IF(D720&lt;=14,0.25,IF(D720&lt;=45,0.35,0.5))))</x:f>
        <x:v>0.5</x:v>
      </x:c>
      <x:c r="P720" s="47" t="n">
        <x:f>J720*O720</x:f>
        <x:v>12320</x:v>
      </x:c>
      <x:c r="Q720" s="46" t="n">
        <x:f>IF(C720="P0",0,IF(D720&lt;=3,0.05,IF(D720&lt;=14,0.1,IF(D720&lt;=45,0.15,0.2))))</x:f>
        <x:v>0.2</x:v>
      </x:c>
      <x:c r="R720" s="47" t="n">
        <x:f>J720*Q720</x:f>
        <x:v>4928</x:v>
      </x:c>
      <x:c r="S720" s="20" t="str">
        <x:f>IF(D720&lt;E720,"closed",IF(D720&lt;'Paths'!$N$14,"initial","expanded"))</x:f>
        <x:v>expanded</x:v>
      </x:c>
      <x:c r="T720" s="72"/>
    </x:row>
    <x:row r="721">
      <x:c r="C721" s="20" t="str">
        <x:v>P7</x:v>
      </x:c>
      <x:c r="D721" s="20" t="n">
        <x:v>77</x:v>
      </x:c>
      <x:c r="E721" s="45" t="n">
        <x:f>IF('Controls'!$D$7="Reference",'Paths'!$J$14,'Paths'!$K$14)</x:f>
        <x:v>6</x:v>
      </x:c>
      <x:c r="F721" s="47" t="n">
        <x:f>IF(D721&lt;'Paths'!$N$14,IF('Controls'!$D$7="Reference",'Paths'!$L$14,'Paths'!$M$14),IF('Controls'!$D$7="Reference",'Paths'!$O$14,'Paths'!$P$14))</x:f>
        <x:v>28000</x:v>
      </x:c>
      <x:c r="G721" s="46" t="n">
        <x:f>IF('Controls'!$D$7="Reference",1,IF(OR(D721=6,D721=7,D721=21,D721=46),'Paths'!$U$14,1))</x:f>
        <x:v>1</x:v>
      </x:c>
      <x:c r="H721" s="46" t="n">
        <x:f>IF('Controls'!$D$7="Reference",1,IF(OR(AND(D721&gt;=14,D721&lt;=16),AND(D721&gt;=34,D721&lt;=35),AND(D721&gt;=61,D721&lt;=63)),'Paths'!$V$14,1))</x:f>
        <x:v>1</x:v>
      </x:c>
      <x:c r="I721" s="46" t="n">
        <x:f>'Paths'!$W$14</x:f>
        <x:v>0.88</x:v>
      </x:c>
      <x:c r="J721" s="47" t="n">
        <x:f>IF(D721&lt;E721,0,MIN(F721*G721*H721*I721,IF('Paths'!$T$14&gt;0,MAX(0,'Paths'!$T$14-K720),1000000000)))</x:f>
        <x:v>24640</x:v>
      </x:c>
      <x:c r="K721" s="47" t="n">
        <x:f>K720+J721</x:f>
        <x:v>1617968</x:v>
      </x:c>
      <x:c r="L721" s="46" t="n">
        <x:f>IF(C721="P0",1,IF(D721&lt;=3,0.8,IF(D721&lt;=14,0.65,IF(D721&lt;=45,0.5,0.3))))</x:f>
        <x:v>0.3</x:v>
      </x:c>
      <x:c r="M721" s="47" t="n">
        <x:f>J721*L721</x:f>
        <x:v>7392</x:v>
      </x:c>
      <x:c r="N721" s="47" t="n">
        <x:f>N720+M721</x:f>
        <x:v>676843.2</x:v>
      </x:c>
      <x:c r="O721" s="46" t="n">
        <x:f>IF(C721="P0",0,IF(D721&lt;=3,0.15,IF(D721&lt;=14,0.25,IF(D721&lt;=45,0.35,0.5))))</x:f>
        <x:v>0.5</x:v>
      </x:c>
      <x:c r="P721" s="47" t="n">
        <x:f>J721*O721</x:f>
        <x:v>12320</x:v>
      </x:c>
      <x:c r="Q721" s="46" t="n">
        <x:f>IF(C721="P0",0,IF(D721&lt;=3,0.05,IF(D721&lt;=14,0.1,IF(D721&lt;=45,0.15,0.2))))</x:f>
        <x:v>0.2</x:v>
      </x:c>
      <x:c r="R721" s="47" t="n">
        <x:f>J721*Q721</x:f>
        <x:v>4928</x:v>
      </x:c>
      <x:c r="S721" s="20" t="str">
        <x:f>IF(D721&lt;E721,"closed",IF(D721&lt;'Paths'!$N$14,"initial","expanded"))</x:f>
        <x:v>expanded</x:v>
      </x:c>
      <x:c r="T721" s="72"/>
    </x:row>
    <x:row r="722">
      <x:c r="C722" s="20" t="str">
        <x:v>P7</x:v>
      </x:c>
      <x:c r="D722" s="20" t="n">
        <x:v>78</x:v>
      </x:c>
      <x:c r="E722" s="45" t="n">
        <x:f>IF('Controls'!$D$7="Reference",'Paths'!$J$14,'Paths'!$K$14)</x:f>
        <x:v>6</x:v>
      </x:c>
      <x:c r="F722" s="47" t="n">
        <x:f>IF(D722&lt;'Paths'!$N$14,IF('Controls'!$D$7="Reference",'Paths'!$L$14,'Paths'!$M$14),IF('Controls'!$D$7="Reference",'Paths'!$O$14,'Paths'!$P$14))</x:f>
        <x:v>28000</x:v>
      </x:c>
      <x:c r="G722" s="46" t="n">
        <x:f>IF('Controls'!$D$7="Reference",1,IF(OR(D722=6,D722=7,D722=21,D722=46),'Paths'!$U$14,1))</x:f>
        <x:v>1</x:v>
      </x:c>
      <x:c r="H722" s="46" t="n">
        <x:f>IF('Controls'!$D$7="Reference",1,IF(OR(AND(D722&gt;=14,D722&lt;=16),AND(D722&gt;=34,D722&lt;=35),AND(D722&gt;=61,D722&lt;=63)),'Paths'!$V$14,1))</x:f>
        <x:v>1</x:v>
      </x:c>
      <x:c r="I722" s="46" t="n">
        <x:f>'Paths'!$W$14</x:f>
        <x:v>0.88</x:v>
      </x:c>
      <x:c r="J722" s="47" t="n">
        <x:f>IF(D722&lt;E722,0,MIN(F722*G722*H722*I722,IF('Paths'!$T$14&gt;0,MAX(0,'Paths'!$T$14-K721),1000000000)))</x:f>
        <x:v>24640</x:v>
      </x:c>
      <x:c r="K722" s="47" t="n">
        <x:f>K721+J722</x:f>
        <x:v>1642608</x:v>
      </x:c>
      <x:c r="L722" s="46" t="n">
        <x:f>IF(C722="P0",1,IF(D722&lt;=3,0.8,IF(D722&lt;=14,0.65,IF(D722&lt;=45,0.5,0.3))))</x:f>
        <x:v>0.3</x:v>
      </x:c>
      <x:c r="M722" s="47" t="n">
        <x:f>J722*L722</x:f>
        <x:v>7392</x:v>
      </x:c>
      <x:c r="N722" s="47" t="n">
        <x:f>N721+M722</x:f>
        <x:v>684235.2</x:v>
      </x:c>
      <x:c r="O722" s="46" t="n">
        <x:f>IF(C722="P0",0,IF(D722&lt;=3,0.15,IF(D722&lt;=14,0.25,IF(D722&lt;=45,0.35,0.5))))</x:f>
        <x:v>0.5</x:v>
      </x:c>
      <x:c r="P722" s="47" t="n">
        <x:f>J722*O722</x:f>
        <x:v>12320</x:v>
      </x:c>
      <x:c r="Q722" s="46" t="n">
        <x:f>IF(C722="P0",0,IF(D722&lt;=3,0.05,IF(D722&lt;=14,0.1,IF(D722&lt;=45,0.15,0.2))))</x:f>
        <x:v>0.2</x:v>
      </x:c>
      <x:c r="R722" s="47" t="n">
        <x:f>J722*Q722</x:f>
        <x:v>4928</x:v>
      </x:c>
      <x:c r="S722" s="20" t="str">
        <x:f>IF(D722&lt;E722,"closed",IF(D722&lt;'Paths'!$N$14,"initial","expanded"))</x:f>
        <x:v>expanded</x:v>
      </x:c>
      <x:c r="T722" s="72"/>
    </x:row>
    <x:row r="723">
      <x:c r="C723" s="20" t="str">
        <x:v>P7</x:v>
      </x:c>
      <x:c r="D723" s="20" t="n">
        <x:v>79</x:v>
      </x:c>
      <x:c r="E723" s="45" t="n">
        <x:f>IF('Controls'!$D$7="Reference",'Paths'!$J$14,'Paths'!$K$14)</x:f>
        <x:v>6</x:v>
      </x:c>
      <x:c r="F723" s="47" t="n">
        <x:f>IF(D723&lt;'Paths'!$N$14,IF('Controls'!$D$7="Reference",'Paths'!$L$14,'Paths'!$M$14),IF('Controls'!$D$7="Reference",'Paths'!$O$14,'Paths'!$P$14))</x:f>
        <x:v>28000</x:v>
      </x:c>
      <x:c r="G723" s="46" t="n">
        <x:f>IF('Controls'!$D$7="Reference",1,IF(OR(D723=6,D723=7,D723=21,D723=46),'Paths'!$U$14,1))</x:f>
        <x:v>1</x:v>
      </x:c>
      <x:c r="H723" s="46" t="n">
        <x:f>IF('Controls'!$D$7="Reference",1,IF(OR(AND(D723&gt;=14,D723&lt;=16),AND(D723&gt;=34,D723&lt;=35),AND(D723&gt;=61,D723&lt;=63)),'Paths'!$V$14,1))</x:f>
        <x:v>1</x:v>
      </x:c>
      <x:c r="I723" s="46" t="n">
        <x:f>'Paths'!$W$14</x:f>
        <x:v>0.88</x:v>
      </x:c>
      <x:c r="J723" s="47" t="n">
        <x:f>IF(D723&lt;E723,0,MIN(F723*G723*H723*I723,IF('Paths'!$T$14&gt;0,MAX(0,'Paths'!$T$14-K722),1000000000)))</x:f>
        <x:v>24640</x:v>
      </x:c>
      <x:c r="K723" s="47" t="n">
        <x:f>K722+J723</x:f>
        <x:v>1667248</x:v>
      </x:c>
      <x:c r="L723" s="46" t="n">
        <x:f>IF(C723="P0",1,IF(D723&lt;=3,0.8,IF(D723&lt;=14,0.65,IF(D723&lt;=45,0.5,0.3))))</x:f>
        <x:v>0.3</x:v>
      </x:c>
      <x:c r="M723" s="47" t="n">
        <x:f>J723*L723</x:f>
        <x:v>7392</x:v>
      </x:c>
      <x:c r="N723" s="47" t="n">
        <x:f>N722+M723</x:f>
        <x:v>691627.2</x:v>
      </x:c>
      <x:c r="O723" s="46" t="n">
        <x:f>IF(C723="P0",0,IF(D723&lt;=3,0.15,IF(D723&lt;=14,0.25,IF(D723&lt;=45,0.35,0.5))))</x:f>
        <x:v>0.5</x:v>
      </x:c>
      <x:c r="P723" s="47" t="n">
        <x:f>J723*O723</x:f>
        <x:v>12320</x:v>
      </x:c>
      <x:c r="Q723" s="46" t="n">
        <x:f>IF(C723="P0",0,IF(D723&lt;=3,0.05,IF(D723&lt;=14,0.1,IF(D723&lt;=45,0.15,0.2))))</x:f>
        <x:v>0.2</x:v>
      </x:c>
      <x:c r="R723" s="47" t="n">
        <x:f>J723*Q723</x:f>
        <x:v>4928</x:v>
      </x:c>
      <x:c r="S723" s="20" t="str">
        <x:f>IF(D723&lt;E723,"closed",IF(D723&lt;'Paths'!$N$14,"initial","expanded"))</x:f>
        <x:v>expanded</x:v>
      </x:c>
      <x:c r="T723" s="72"/>
    </x:row>
    <x:row r="724">
      <x:c r="C724" s="20" t="str">
        <x:v>P7</x:v>
      </x:c>
      <x:c r="D724" s="20" t="n">
        <x:v>80</x:v>
      </x:c>
      <x:c r="E724" s="45" t="n">
        <x:f>IF('Controls'!$D$7="Reference",'Paths'!$J$14,'Paths'!$K$14)</x:f>
        <x:v>6</x:v>
      </x:c>
      <x:c r="F724" s="47" t="n">
        <x:f>IF(D724&lt;'Paths'!$N$14,IF('Controls'!$D$7="Reference",'Paths'!$L$14,'Paths'!$M$14),IF('Controls'!$D$7="Reference",'Paths'!$O$14,'Paths'!$P$14))</x:f>
        <x:v>28000</x:v>
      </x:c>
      <x:c r="G724" s="46" t="n">
        <x:f>IF('Controls'!$D$7="Reference",1,IF(OR(D724=6,D724=7,D724=21,D724=46),'Paths'!$U$14,1))</x:f>
        <x:v>1</x:v>
      </x:c>
      <x:c r="H724" s="46" t="n">
        <x:f>IF('Controls'!$D$7="Reference",1,IF(OR(AND(D724&gt;=14,D724&lt;=16),AND(D724&gt;=34,D724&lt;=35),AND(D724&gt;=61,D724&lt;=63)),'Paths'!$V$14,1))</x:f>
        <x:v>1</x:v>
      </x:c>
      <x:c r="I724" s="46" t="n">
        <x:f>'Paths'!$W$14</x:f>
        <x:v>0.88</x:v>
      </x:c>
      <x:c r="J724" s="47" t="n">
        <x:f>IF(D724&lt;E724,0,MIN(F724*G724*H724*I724,IF('Paths'!$T$14&gt;0,MAX(0,'Paths'!$T$14-K723),1000000000)))</x:f>
        <x:v>24640</x:v>
      </x:c>
      <x:c r="K724" s="47" t="n">
        <x:f>K723+J724</x:f>
        <x:v>1691888</x:v>
      </x:c>
      <x:c r="L724" s="46" t="n">
        <x:f>IF(C724="P0",1,IF(D724&lt;=3,0.8,IF(D724&lt;=14,0.65,IF(D724&lt;=45,0.5,0.3))))</x:f>
        <x:v>0.3</x:v>
      </x:c>
      <x:c r="M724" s="47" t="n">
        <x:f>J724*L724</x:f>
        <x:v>7392</x:v>
      </x:c>
      <x:c r="N724" s="47" t="n">
        <x:f>N723+M724</x:f>
        <x:v>699019.2</x:v>
      </x:c>
      <x:c r="O724" s="46" t="n">
        <x:f>IF(C724="P0",0,IF(D724&lt;=3,0.15,IF(D724&lt;=14,0.25,IF(D724&lt;=45,0.35,0.5))))</x:f>
        <x:v>0.5</x:v>
      </x:c>
      <x:c r="P724" s="47" t="n">
        <x:f>J724*O724</x:f>
        <x:v>12320</x:v>
      </x:c>
      <x:c r="Q724" s="46" t="n">
        <x:f>IF(C724="P0",0,IF(D724&lt;=3,0.05,IF(D724&lt;=14,0.1,IF(D724&lt;=45,0.15,0.2))))</x:f>
        <x:v>0.2</x:v>
      </x:c>
      <x:c r="R724" s="47" t="n">
        <x:f>J724*Q724</x:f>
        <x:v>4928</x:v>
      </x:c>
      <x:c r="S724" s="20" t="str">
        <x:f>IF(D724&lt;E724,"closed",IF(D724&lt;'Paths'!$N$14,"initial","expanded"))</x:f>
        <x:v>expanded</x:v>
      </x:c>
      <x:c r="T724" s="72"/>
    </x:row>
    <x:row r="725">
      <x:c r="C725" s="20" t="str">
        <x:v>P7</x:v>
      </x:c>
      <x:c r="D725" s="20" t="n">
        <x:v>81</x:v>
      </x:c>
      <x:c r="E725" s="45" t="n">
        <x:f>IF('Controls'!$D$7="Reference",'Paths'!$J$14,'Paths'!$K$14)</x:f>
        <x:v>6</x:v>
      </x:c>
      <x:c r="F725" s="47" t="n">
        <x:f>IF(D725&lt;'Paths'!$N$14,IF('Controls'!$D$7="Reference",'Paths'!$L$14,'Paths'!$M$14),IF('Controls'!$D$7="Reference",'Paths'!$O$14,'Paths'!$P$14))</x:f>
        <x:v>28000</x:v>
      </x:c>
      <x:c r="G725" s="46" t="n">
        <x:f>IF('Controls'!$D$7="Reference",1,IF(OR(D725=6,D725=7,D725=21,D725=46),'Paths'!$U$14,1))</x:f>
        <x:v>1</x:v>
      </x:c>
      <x:c r="H725" s="46" t="n">
        <x:f>IF('Controls'!$D$7="Reference",1,IF(OR(AND(D725&gt;=14,D725&lt;=16),AND(D725&gt;=34,D725&lt;=35),AND(D725&gt;=61,D725&lt;=63)),'Paths'!$V$14,1))</x:f>
        <x:v>1</x:v>
      </x:c>
      <x:c r="I725" s="46" t="n">
        <x:f>'Paths'!$W$14</x:f>
        <x:v>0.88</x:v>
      </x:c>
      <x:c r="J725" s="47" t="n">
        <x:f>IF(D725&lt;E725,0,MIN(F725*G725*H725*I725,IF('Paths'!$T$14&gt;0,MAX(0,'Paths'!$T$14-K724),1000000000)))</x:f>
        <x:v>24640</x:v>
      </x:c>
      <x:c r="K725" s="47" t="n">
        <x:f>K724+J725</x:f>
        <x:v>1716528</x:v>
      </x:c>
      <x:c r="L725" s="46" t="n">
        <x:f>IF(C725="P0",1,IF(D725&lt;=3,0.8,IF(D725&lt;=14,0.65,IF(D725&lt;=45,0.5,0.3))))</x:f>
        <x:v>0.3</x:v>
      </x:c>
      <x:c r="M725" s="47" t="n">
        <x:f>J725*L725</x:f>
        <x:v>7392</x:v>
      </x:c>
      <x:c r="N725" s="47" t="n">
        <x:f>N724+M725</x:f>
        <x:v>706411.2</x:v>
      </x:c>
      <x:c r="O725" s="46" t="n">
        <x:f>IF(C725="P0",0,IF(D725&lt;=3,0.15,IF(D725&lt;=14,0.25,IF(D725&lt;=45,0.35,0.5))))</x:f>
        <x:v>0.5</x:v>
      </x:c>
      <x:c r="P725" s="47" t="n">
        <x:f>J725*O725</x:f>
        <x:v>12320</x:v>
      </x:c>
      <x:c r="Q725" s="46" t="n">
        <x:f>IF(C725="P0",0,IF(D725&lt;=3,0.05,IF(D725&lt;=14,0.1,IF(D725&lt;=45,0.15,0.2))))</x:f>
        <x:v>0.2</x:v>
      </x:c>
      <x:c r="R725" s="47" t="n">
        <x:f>J725*Q725</x:f>
        <x:v>4928</x:v>
      </x:c>
      <x:c r="S725" s="20" t="str">
        <x:f>IF(D725&lt;E725,"closed",IF(D725&lt;'Paths'!$N$14,"initial","expanded"))</x:f>
        <x:v>expanded</x:v>
      </x:c>
      <x:c r="T725" s="72"/>
    </x:row>
    <x:row r="726">
      <x:c r="C726" s="20" t="str">
        <x:v>P7</x:v>
      </x:c>
      <x:c r="D726" s="20" t="n">
        <x:v>82</x:v>
      </x:c>
      <x:c r="E726" s="45" t="n">
        <x:f>IF('Controls'!$D$7="Reference",'Paths'!$J$14,'Paths'!$K$14)</x:f>
        <x:v>6</x:v>
      </x:c>
      <x:c r="F726" s="47" t="n">
        <x:f>IF(D726&lt;'Paths'!$N$14,IF('Controls'!$D$7="Reference",'Paths'!$L$14,'Paths'!$M$14),IF('Controls'!$D$7="Reference",'Paths'!$O$14,'Paths'!$P$14))</x:f>
        <x:v>28000</x:v>
      </x:c>
      <x:c r="G726" s="46" t="n">
        <x:f>IF('Controls'!$D$7="Reference",1,IF(OR(D726=6,D726=7,D726=21,D726=46),'Paths'!$U$14,1))</x:f>
        <x:v>1</x:v>
      </x:c>
      <x:c r="H726" s="46" t="n">
        <x:f>IF('Controls'!$D$7="Reference",1,IF(OR(AND(D726&gt;=14,D726&lt;=16),AND(D726&gt;=34,D726&lt;=35),AND(D726&gt;=61,D726&lt;=63)),'Paths'!$V$14,1))</x:f>
        <x:v>1</x:v>
      </x:c>
      <x:c r="I726" s="46" t="n">
        <x:f>'Paths'!$W$14</x:f>
        <x:v>0.88</x:v>
      </x:c>
      <x:c r="J726" s="47" t="n">
        <x:f>IF(D726&lt;E726,0,MIN(F726*G726*H726*I726,IF('Paths'!$T$14&gt;0,MAX(0,'Paths'!$T$14-K725),1000000000)))</x:f>
        <x:v>24640</x:v>
      </x:c>
      <x:c r="K726" s="47" t="n">
        <x:f>K725+J726</x:f>
        <x:v>1741168</x:v>
      </x:c>
      <x:c r="L726" s="46" t="n">
        <x:f>IF(C726="P0",1,IF(D726&lt;=3,0.8,IF(D726&lt;=14,0.65,IF(D726&lt;=45,0.5,0.3))))</x:f>
        <x:v>0.3</x:v>
      </x:c>
      <x:c r="M726" s="47" t="n">
        <x:f>J726*L726</x:f>
        <x:v>7392</x:v>
      </x:c>
      <x:c r="N726" s="47" t="n">
        <x:f>N725+M726</x:f>
        <x:v>713803.2</x:v>
      </x:c>
      <x:c r="O726" s="46" t="n">
        <x:f>IF(C726="P0",0,IF(D726&lt;=3,0.15,IF(D726&lt;=14,0.25,IF(D726&lt;=45,0.35,0.5))))</x:f>
        <x:v>0.5</x:v>
      </x:c>
      <x:c r="P726" s="47" t="n">
        <x:f>J726*O726</x:f>
        <x:v>12320</x:v>
      </x:c>
      <x:c r="Q726" s="46" t="n">
        <x:f>IF(C726="P0",0,IF(D726&lt;=3,0.05,IF(D726&lt;=14,0.1,IF(D726&lt;=45,0.15,0.2))))</x:f>
        <x:v>0.2</x:v>
      </x:c>
      <x:c r="R726" s="47" t="n">
        <x:f>J726*Q726</x:f>
        <x:v>4928</x:v>
      </x:c>
      <x:c r="S726" s="20" t="str">
        <x:f>IF(D726&lt;E726,"closed",IF(D726&lt;'Paths'!$N$14,"initial","expanded"))</x:f>
        <x:v>expanded</x:v>
      </x:c>
      <x:c r="T726" s="72"/>
    </x:row>
    <x:row r="727">
      <x:c r="C727" s="20" t="str">
        <x:v>P7</x:v>
      </x:c>
      <x:c r="D727" s="20" t="n">
        <x:v>83</x:v>
      </x:c>
      <x:c r="E727" s="45" t="n">
        <x:f>IF('Controls'!$D$7="Reference",'Paths'!$J$14,'Paths'!$K$14)</x:f>
        <x:v>6</x:v>
      </x:c>
      <x:c r="F727" s="47" t="n">
        <x:f>IF(D727&lt;'Paths'!$N$14,IF('Controls'!$D$7="Reference",'Paths'!$L$14,'Paths'!$M$14),IF('Controls'!$D$7="Reference",'Paths'!$O$14,'Paths'!$P$14))</x:f>
        <x:v>28000</x:v>
      </x:c>
      <x:c r="G727" s="46" t="n">
        <x:f>IF('Controls'!$D$7="Reference",1,IF(OR(D727=6,D727=7,D727=21,D727=46),'Paths'!$U$14,1))</x:f>
        <x:v>1</x:v>
      </x:c>
      <x:c r="H727" s="46" t="n">
        <x:f>IF('Controls'!$D$7="Reference",1,IF(OR(AND(D727&gt;=14,D727&lt;=16),AND(D727&gt;=34,D727&lt;=35),AND(D727&gt;=61,D727&lt;=63)),'Paths'!$V$14,1))</x:f>
        <x:v>1</x:v>
      </x:c>
      <x:c r="I727" s="46" t="n">
        <x:f>'Paths'!$W$14</x:f>
        <x:v>0.88</x:v>
      </x:c>
      <x:c r="J727" s="47" t="n">
        <x:f>IF(D727&lt;E727,0,MIN(F727*G727*H727*I727,IF('Paths'!$T$14&gt;0,MAX(0,'Paths'!$T$14-K726),1000000000)))</x:f>
        <x:v>24640</x:v>
      </x:c>
      <x:c r="K727" s="47" t="n">
        <x:f>K726+J727</x:f>
        <x:v>1765808</x:v>
      </x:c>
      <x:c r="L727" s="46" t="n">
        <x:f>IF(C727="P0",1,IF(D727&lt;=3,0.8,IF(D727&lt;=14,0.65,IF(D727&lt;=45,0.5,0.3))))</x:f>
        <x:v>0.3</x:v>
      </x:c>
      <x:c r="M727" s="47" t="n">
        <x:f>J727*L727</x:f>
        <x:v>7392</x:v>
      </x:c>
      <x:c r="N727" s="47" t="n">
        <x:f>N726+M727</x:f>
        <x:v>721195.2</x:v>
      </x:c>
      <x:c r="O727" s="46" t="n">
        <x:f>IF(C727="P0",0,IF(D727&lt;=3,0.15,IF(D727&lt;=14,0.25,IF(D727&lt;=45,0.35,0.5))))</x:f>
        <x:v>0.5</x:v>
      </x:c>
      <x:c r="P727" s="47" t="n">
        <x:f>J727*O727</x:f>
        <x:v>12320</x:v>
      </x:c>
      <x:c r="Q727" s="46" t="n">
        <x:f>IF(C727="P0",0,IF(D727&lt;=3,0.05,IF(D727&lt;=14,0.1,IF(D727&lt;=45,0.15,0.2))))</x:f>
        <x:v>0.2</x:v>
      </x:c>
      <x:c r="R727" s="47" t="n">
        <x:f>J727*Q727</x:f>
        <x:v>4928</x:v>
      </x:c>
      <x:c r="S727" s="20" t="str">
        <x:f>IF(D727&lt;E727,"closed",IF(D727&lt;'Paths'!$N$14,"initial","expanded"))</x:f>
        <x:v>expanded</x:v>
      </x:c>
      <x:c r="T727" s="72"/>
    </x:row>
    <x:row r="728">
      <x:c r="C728" s="20" t="str">
        <x:v>P7</x:v>
      </x:c>
      <x:c r="D728" s="20" t="n">
        <x:v>84</x:v>
      </x:c>
      <x:c r="E728" s="45" t="n">
        <x:f>IF('Controls'!$D$7="Reference",'Paths'!$J$14,'Paths'!$K$14)</x:f>
        <x:v>6</x:v>
      </x:c>
      <x:c r="F728" s="47" t="n">
        <x:f>IF(D728&lt;'Paths'!$N$14,IF('Controls'!$D$7="Reference",'Paths'!$L$14,'Paths'!$M$14),IF('Controls'!$D$7="Reference",'Paths'!$O$14,'Paths'!$P$14))</x:f>
        <x:v>28000</x:v>
      </x:c>
      <x:c r="G728" s="46" t="n">
        <x:f>IF('Controls'!$D$7="Reference",1,IF(OR(D728=6,D728=7,D728=21,D728=46),'Paths'!$U$14,1))</x:f>
        <x:v>1</x:v>
      </x:c>
      <x:c r="H728" s="46" t="n">
        <x:f>IF('Controls'!$D$7="Reference",1,IF(OR(AND(D728&gt;=14,D728&lt;=16),AND(D728&gt;=34,D728&lt;=35),AND(D728&gt;=61,D728&lt;=63)),'Paths'!$V$14,1))</x:f>
        <x:v>1</x:v>
      </x:c>
      <x:c r="I728" s="46" t="n">
        <x:f>'Paths'!$W$14</x:f>
        <x:v>0.88</x:v>
      </x:c>
      <x:c r="J728" s="47" t="n">
        <x:f>IF(D728&lt;E728,0,MIN(F728*G728*H728*I728,IF('Paths'!$T$14&gt;0,MAX(0,'Paths'!$T$14-K727),1000000000)))</x:f>
        <x:v>24640</x:v>
      </x:c>
      <x:c r="K728" s="47" t="n">
        <x:f>K727+J728</x:f>
        <x:v>1790448</x:v>
      </x:c>
      <x:c r="L728" s="46" t="n">
        <x:f>IF(C728="P0",1,IF(D728&lt;=3,0.8,IF(D728&lt;=14,0.65,IF(D728&lt;=45,0.5,0.3))))</x:f>
        <x:v>0.3</x:v>
      </x:c>
      <x:c r="M728" s="47" t="n">
        <x:f>J728*L728</x:f>
        <x:v>7392</x:v>
      </x:c>
      <x:c r="N728" s="47" t="n">
        <x:f>N727+M728</x:f>
        <x:v>728587.2</x:v>
      </x:c>
      <x:c r="O728" s="46" t="n">
        <x:f>IF(C728="P0",0,IF(D728&lt;=3,0.15,IF(D728&lt;=14,0.25,IF(D728&lt;=45,0.35,0.5))))</x:f>
        <x:v>0.5</x:v>
      </x:c>
      <x:c r="P728" s="47" t="n">
        <x:f>J728*O728</x:f>
        <x:v>12320</x:v>
      </x:c>
      <x:c r="Q728" s="46" t="n">
        <x:f>IF(C728="P0",0,IF(D728&lt;=3,0.05,IF(D728&lt;=14,0.1,IF(D728&lt;=45,0.15,0.2))))</x:f>
        <x:v>0.2</x:v>
      </x:c>
      <x:c r="R728" s="47" t="n">
        <x:f>J728*Q728</x:f>
        <x:v>4928</x:v>
      </x:c>
      <x:c r="S728" s="20" t="str">
        <x:f>IF(D728&lt;E728,"closed",IF(D728&lt;'Paths'!$N$14,"initial","expanded"))</x:f>
        <x:v>expanded</x:v>
      </x:c>
      <x:c r="T728" s="72"/>
    </x:row>
    <x:row r="729">
      <x:c r="C729" s="20" t="str">
        <x:v>P7</x:v>
      </x:c>
      <x:c r="D729" s="20" t="n">
        <x:v>85</x:v>
      </x:c>
      <x:c r="E729" s="45" t="n">
        <x:f>IF('Controls'!$D$7="Reference",'Paths'!$J$14,'Paths'!$K$14)</x:f>
        <x:v>6</x:v>
      </x:c>
      <x:c r="F729" s="47" t="n">
        <x:f>IF(D729&lt;'Paths'!$N$14,IF('Controls'!$D$7="Reference",'Paths'!$L$14,'Paths'!$M$14),IF('Controls'!$D$7="Reference",'Paths'!$O$14,'Paths'!$P$14))</x:f>
        <x:v>28000</x:v>
      </x:c>
      <x:c r="G729" s="46" t="n">
        <x:f>IF('Controls'!$D$7="Reference",1,IF(OR(D729=6,D729=7,D729=21,D729=46),'Paths'!$U$14,1))</x:f>
        <x:v>1</x:v>
      </x:c>
      <x:c r="H729" s="46" t="n">
        <x:f>IF('Controls'!$D$7="Reference",1,IF(OR(AND(D729&gt;=14,D729&lt;=16),AND(D729&gt;=34,D729&lt;=35),AND(D729&gt;=61,D729&lt;=63)),'Paths'!$V$14,1))</x:f>
        <x:v>1</x:v>
      </x:c>
      <x:c r="I729" s="46" t="n">
        <x:f>'Paths'!$W$14</x:f>
        <x:v>0.88</x:v>
      </x:c>
      <x:c r="J729" s="47" t="n">
        <x:f>IF(D729&lt;E729,0,MIN(F729*G729*H729*I729,IF('Paths'!$T$14&gt;0,MAX(0,'Paths'!$T$14-K728),1000000000)))</x:f>
        <x:v>24640</x:v>
      </x:c>
      <x:c r="K729" s="47" t="n">
        <x:f>K728+J729</x:f>
        <x:v>1815088</x:v>
      </x:c>
      <x:c r="L729" s="46" t="n">
        <x:f>IF(C729="P0",1,IF(D729&lt;=3,0.8,IF(D729&lt;=14,0.65,IF(D729&lt;=45,0.5,0.3))))</x:f>
        <x:v>0.3</x:v>
      </x:c>
      <x:c r="M729" s="47" t="n">
        <x:f>J729*L729</x:f>
        <x:v>7392</x:v>
      </x:c>
      <x:c r="N729" s="47" t="n">
        <x:f>N728+M729</x:f>
        <x:v>735979.2</x:v>
      </x:c>
      <x:c r="O729" s="46" t="n">
        <x:f>IF(C729="P0",0,IF(D729&lt;=3,0.15,IF(D729&lt;=14,0.25,IF(D729&lt;=45,0.35,0.5))))</x:f>
        <x:v>0.5</x:v>
      </x:c>
      <x:c r="P729" s="47" t="n">
        <x:f>J729*O729</x:f>
        <x:v>12320</x:v>
      </x:c>
      <x:c r="Q729" s="46" t="n">
        <x:f>IF(C729="P0",0,IF(D729&lt;=3,0.05,IF(D729&lt;=14,0.1,IF(D729&lt;=45,0.15,0.2))))</x:f>
        <x:v>0.2</x:v>
      </x:c>
      <x:c r="R729" s="47" t="n">
        <x:f>J729*Q729</x:f>
        <x:v>4928</x:v>
      </x:c>
      <x:c r="S729" s="20" t="str">
        <x:f>IF(D729&lt;E729,"closed",IF(D729&lt;'Paths'!$N$14,"initial","expanded"))</x:f>
        <x:v>expanded</x:v>
      </x:c>
      <x:c r="T729" s="72"/>
    </x:row>
    <x:row r="730">
      <x:c r="C730" s="20" t="str">
        <x:v>P7</x:v>
      </x:c>
      <x:c r="D730" s="20" t="n">
        <x:v>86</x:v>
      </x:c>
      <x:c r="E730" s="45" t="n">
        <x:f>IF('Controls'!$D$7="Reference",'Paths'!$J$14,'Paths'!$K$14)</x:f>
        <x:v>6</x:v>
      </x:c>
      <x:c r="F730" s="47" t="n">
        <x:f>IF(D730&lt;'Paths'!$N$14,IF('Controls'!$D$7="Reference",'Paths'!$L$14,'Paths'!$M$14),IF('Controls'!$D$7="Reference",'Paths'!$O$14,'Paths'!$P$14))</x:f>
        <x:v>28000</x:v>
      </x:c>
      <x:c r="G730" s="46" t="n">
        <x:f>IF('Controls'!$D$7="Reference",1,IF(OR(D730=6,D730=7,D730=21,D730=46),'Paths'!$U$14,1))</x:f>
        <x:v>1</x:v>
      </x:c>
      <x:c r="H730" s="46" t="n">
        <x:f>IF('Controls'!$D$7="Reference",1,IF(OR(AND(D730&gt;=14,D730&lt;=16),AND(D730&gt;=34,D730&lt;=35),AND(D730&gt;=61,D730&lt;=63)),'Paths'!$V$14,1))</x:f>
        <x:v>1</x:v>
      </x:c>
      <x:c r="I730" s="46" t="n">
        <x:f>'Paths'!$W$14</x:f>
        <x:v>0.88</x:v>
      </x:c>
      <x:c r="J730" s="47" t="n">
        <x:f>IF(D730&lt;E730,0,MIN(F730*G730*H730*I730,IF('Paths'!$T$14&gt;0,MAX(0,'Paths'!$T$14-K729),1000000000)))</x:f>
        <x:v>24640</x:v>
      </x:c>
      <x:c r="K730" s="47" t="n">
        <x:f>K729+J730</x:f>
        <x:v>1839728</x:v>
      </x:c>
      <x:c r="L730" s="46" t="n">
        <x:f>IF(C730="P0",1,IF(D730&lt;=3,0.8,IF(D730&lt;=14,0.65,IF(D730&lt;=45,0.5,0.3))))</x:f>
        <x:v>0.3</x:v>
      </x:c>
      <x:c r="M730" s="47" t="n">
        <x:f>J730*L730</x:f>
        <x:v>7392</x:v>
      </x:c>
      <x:c r="N730" s="47" t="n">
        <x:f>N729+M730</x:f>
        <x:v>743371.2</x:v>
      </x:c>
      <x:c r="O730" s="46" t="n">
        <x:f>IF(C730="P0",0,IF(D730&lt;=3,0.15,IF(D730&lt;=14,0.25,IF(D730&lt;=45,0.35,0.5))))</x:f>
        <x:v>0.5</x:v>
      </x:c>
      <x:c r="P730" s="47" t="n">
        <x:f>J730*O730</x:f>
        <x:v>12320</x:v>
      </x:c>
      <x:c r="Q730" s="46" t="n">
        <x:f>IF(C730="P0",0,IF(D730&lt;=3,0.05,IF(D730&lt;=14,0.1,IF(D730&lt;=45,0.15,0.2))))</x:f>
        <x:v>0.2</x:v>
      </x:c>
      <x:c r="R730" s="47" t="n">
        <x:f>J730*Q730</x:f>
        <x:v>4928</x:v>
      </x:c>
      <x:c r="S730" s="20" t="str">
        <x:f>IF(D730&lt;E730,"closed",IF(D730&lt;'Paths'!$N$14,"initial","expanded"))</x:f>
        <x:v>expanded</x:v>
      </x:c>
      <x:c r="T730" s="72"/>
    </x:row>
    <x:row r="731">
      <x:c r="C731" s="20" t="str">
        <x:v>P7</x:v>
      </x:c>
      <x:c r="D731" s="20" t="n">
        <x:v>87</x:v>
      </x:c>
      <x:c r="E731" s="45" t="n">
        <x:f>IF('Controls'!$D$7="Reference",'Paths'!$J$14,'Paths'!$K$14)</x:f>
        <x:v>6</x:v>
      </x:c>
      <x:c r="F731" s="47" t="n">
        <x:f>IF(D731&lt;'Paths'!$N$14,IF('Controls'!$D$7="Reference",'Paths'!$L$14,'Paths'!$M$14),IF('Controls'!$D$7="Reference",'Paths'!$O$14,'Paths'!$P$14))</x:f>
        <x:v>28000</x:v>
      </x:c>
      <x:c r="G731" s="46" t="n">
        <x:f>IF('Controls'!$D$7="Reference",1,IF(OR(D731=6,D731=7,D731=21,D731=46),'Paths'!$U$14,1))</x:f>
        <x:v>1</x:v>
      </x:c>
      <x:c r="H731" s="46" t="n">
        <x:f>IF('Controls'!$D$7="Reference",1,IF(OR(AND(D731&gt;=14,D731&lt;=16),AND(D731&gt;=34,D731&lt;=35),AND(D731&gt;=61,D731&lt;=63)),'Paths'!$V$14,1))</x:f>
        <x:v>1</x:v>
      </x:c>
      <x:c r="I731" s="46" t="n">
        <x:f>'Paths'!$W$14</x:f>
        <x:v>0.88</x:v>
      </x:c>
      <x:c r="J731" s="47" t="n">
        <x:f>IF(D731&lt;E731,0,MIN(F731*G731*H731*I731,IF('Paths'!$T$14&gt;0,MAX(0,'Paths'!$T$14-K730),1000000000)))</x:f>
        <x:v>24640</x:v>
      </x:c>
      <x:c r="K731" s="47" t="n">
        <x:f>K730+J731</x:f>
        <x:v>1864368</x:v>
      </x:c>
      <x:c r="L731" s="46" t="n">
        <x:f>IF(C731="P0",1,IF(D731&lt;=3,0.8,IF(D731&lt;=14,0.65,IF(D731&lt;=45,0.5,0.3))))</x:f>
        <x:v>0.3</x:v>
      </x:c>
      <x:c r="M731" s="47" t="n">
        <x:f>J731*L731</x:f>
        <x:v>7392</x:v>
      </x:c>
      <x:c r="N731" s="47" t="n">
        <x:f>N730+M731</x:f>
        <x:v>750763.2</x:v>
      </x:c>
      <x:c r="O731" s="46" t="n">
        <x:f>IF(C731="P0",0,IF(D731&lt;=3,0.15,IF(D731&lt;=14,0.25,IF(D731&lt;=45,0.35,0.5))))</x:f>
        <x:v>0.5</x:v>
      </x:c>
      <x:c r="P731" s="47" t="n">
        <x:f>J731*O731</x:f>
        <x:v>12320</x:v>
      </x:c>
      <x:c r="Q731" s="46" t="n">
        <x:f>IF(C731="P0",0,IF(D731&lt;=3,0.05,IF(D731&lt;=14,0.1,IF(D731&lt;=45,0.15,0.2))))</x:f>
        <x:v>0.2</x:v>
      </x:c>
      <x:c r="R731" s="47" t="n">
        <x:f>J731*Q731</x:f>
        <x:v>4928</x:v>
      </x:c>
      <x:c r="S731" s="20" t="str">
        <x:f>IF(D731&lt;E731,"closed",IF(D731&lt;'Paths'!$N$14,"initial","expanded"))</x:f>
        <x:v>expanded</x:v>
      </x:c>
      <x:c r="T731" s="72"/>
    </x:row>
    <x:row r="732">
      <x:c r="C732" s="20" t="str">
        <x:v>P7</x:v>
      </x:c>
      <x:c r="D732" s="20" t="n">
        <x:v>88</x:v>
      </x:c>
      <x:c r="E732" s="45" t="n">
        <x:f>IF('Controls'!$D$7="Reference",'Paths'!$J$14,'Paths'!$K$14)</x:f>
        <x:v>6</x:v>
      </x:c>
      <x:c r="F732" s="47" t="n">
        <x:f>IF(D732&lt;'Paths'!$N$14,IF('Controls'!$D$7="Reference",'Paths'!$L$14,'Paths'!$M$14),IF('Controls'!$D$7="Reference",'Paths'!$O$14,'Paths'!$P$14))</x:f>
        <x:v>28000</x:v>
      </x:c>
      <x:c r="G732" s="46" t="n">
        <x:f>IF('Controls'!$D$7="Reference",1,IF(OR(D732=6,D732=7,D732=21,D732=46),'Paths'!$U$14,1))</x:f>
        <x:v>1</x:v>
      </x:c>
      <x:c r="H732" s="46" t="n">
        <x:f>IF('Controls'!$D$7="Reference",1,IF(OR(AND(D732&gt;=14,D732&lt;=16),AND(D732&gt;=34,D732&lt;=35),AND(D732&gt;=61,D732&lt;=63)),'Paths'!$V$14,1))</x:f>
        <x:v>1</x:v>
      </x:c>
      <x:c r="I732" s="46" t="n">
        <x:f>'Paths'!$W$14</x:f>
        <x:v>0.88</x:v>
      </x:c>
      <x:c r="J732" s="47" t="n">
        <x:f>IF(D732&lt;E732,0,MIN(F732*G732*H732*I732,IF('Paths'!$T$14&gt;0,MAX(0,'Paths'!$T$14-K731),1000000000)))</x:f>
        <x:v>24640</x:v>
      </x:c>
      <x:c r="K732" s="47" t="n">
        <x:f>K731+J732</x:f>
        <x:v>1889008</x:v>
      </x:c>
      <x:c r="L732" s="46" t="n">
        <x:f>IF(C732="P0",1,IF(D732&lt;=3,0.8,IF(D732&lt;=14,0.65,IF(D732&lt;=45,0.5,0.3))))</x:f>
        <x:v>0.3</x:v>
      </x:c>
      <x:c r="M732" s="47" t="n">
        <x:f>J732*L732</x:f>
        <x:v>7392</x:v>
      </x:c>
      <x:c r="N732" s="47" t="n">
        <x:f>N731+M732</x:f>
        <x:v>758155.2</x:v>
      </x:c>
      <x:c r="O732" s="46" t="n">
        <x:f>IF(C732="P0",0,IF(D732&lt;=3,0.15,IF(D732&lt;=14,0.25,IF(D732&lt;=45,0.35,0.5))))</x:f>
        <x:v>0.5</x:v>
      </x:c>
      <x:c r="P732" s="47" t="n">
        <x:f>J732*O732</x:f>
        <x:v>12320</x:v>
      </x:c>
      <x:c r="Q732" s="46" t="n">
        <x:f>IF(C732="P0",0,IF(D732&lt;=3,0.05,IF(D732&lt;=14,0.1,IF(D732&lt;=45,0.15,0.2))))</x:f>
        <x:v>0.2</x:v>
      </x:c>
      <x:c r="R732" s="47" t="n">
        <x:f>J732*Q732</x:f>
        <x:v>4928</x:v>
      </x:c>
      <x:c r="S732" s="20" t="str">
        <x:f>IF(D732&lt;E732,"closed",IF(D732&lt;'Paths'!$N$14,"initial","expanded"))</x:f>
        <x:v>expanded</x:v>
      </x:c>
      <x:c r="T732" s="72"/>
    </x:row>
    <x:row r="733">
      <x:c r="C733" s="20" t="str">
        <x:v>P7</x:v>
      </x:c>
      <x:c r="D733" s="20" t="n">
        <x:v>89</x:v>
      </x:c>
      <x:c r="E733" s="45" t="n">
        <x:f>IF('Controls'!$D$7="Reference",'Paths'!$J$14,'Paths'!$K$14)</x:f>
        <x:v>6</x:v>
      </x:c>
      <x:c r="F733" s="47" t="n">
        <x:f>IF(D733&lt;'Paths'!$N$14,IF('Controls'!$D$7="Reference",'Paths'!$L$14,'Paths'!$M$14),IF('Controls'!$D$7="Reference",'Paths'!$O$14,'Paths'!$P$14))</x:f>
        <x:v>28000</x:v>
      </x:c>
      <x:c r="G733" s="46" t="n">
        <x:f>IF('Controls'!$D$7="Reference",1,IF(OR(D733=6,D733=7,D733=21,D733=46),'Paths'!$U$14,1))</x:f>
        <x:v>1</x:v>
      </x:c>
      <x:c r="H733" s="46" t="n">
        <x:f>IF('Controls'!$D$7="Reference",1,IF(OR(AND(D733&gt;=14,D733&lt;=16),AND(D733&gt;=34,D733&lt;=35),AND(D733&gt;=61,D733&lt;=63)),'Paths'!$V$14,1))</x:f>
        <x:v>1</x:v>
      </x:c>
      <x:c r="I733" s="46" t="n">
        <x:f>'Paths'!$W$14</x:f>
        <x:v>0.88</x:v>
      </x:c>
      <x:c r="J733" s="47" t="n">
        <x:f>IF(D733&lt;E733,0,MIN(F733*G733*H733*I733,IF('Paths'!$T$14&gt;0,MAX(0,'Paths'!$T$14-K732),1000000000)))</x:f>
        <x:v>24640</x:v>
      </x:c>
      <x:c r="K733" s="47" t="n">
        <x:f>K732+J733</x:f>
        <x:v>1913648</x:v>
      </x:c>
      <x:c r="L733" s="46" t="n">
        <x:f>IF(C733="P0",1,IF(D733&lt;=3,0.8,IF(D733&lt;=14,0.65,IF(D733&lt;=45,0.5,0.3))))</x:f>
        <x:v>0.3</x:v>
      </x:c>
      <x:c r="M733" s="47" t="n">
        <x:f>J733*L733</x:f>
        <x:v>7392</x:v>
      </x:c>
      <x:c r="N733" s="47" t="n">
        <x:f>N732+M733</x:f>
        <x:v>765547.2</x:v>
      </x:c>
      <x:c r="O733" s="46" t="n">
        <x:f>IF(C733="P0",0,IF(D733&lt;=3,0.15,IF(D733&lt;=14,0.25,IF(D733&lt;=45,0.35,0.5))))</x:f>
        <x:v>0.5</x:v>
      </x:c>
      <x:c r="P733" s="47" t="n">
        <x:f>J733*O733</x:f>
        <x:v>12320</x:v>
      </x:c>
      <x:c r="Q733" s="46" t="n">
        <x:f>IF(C733="P0",0,IF(D733&lt;=3,0.05,IF(D733&lt;=14,0.1,IF(D733&lt;=45,0.15,0.2))))</x:f>
        <x:v>0.2</x:v>
      </x:c>
      <x:c r="R733" s="47" t="n">
        <x:f>J733*Q733</x:f>
        <x:v>4928</x:v>
      </x:c>
      <x:c r="S733" s="20" t="str">
        <x:f>IF(D733&lt;E733,"closed",IF(D733&lt;'Paths'!$N$14,"initial","expanded"))</x:f>
        <x:v>expanded</x:v>
      </x:c>
      <x:c r="T733" s="72"/>
    </x:row>
    <x:row r="734">
      <x:c r="C734" s="20" t="str">
        <x:v>P7</x:v>
      </x:c>
      <x:c r="D734" s="20" t="n">
        <x:v>90</x:v>
      </x:c>
      <x:c r="E734" s="45" t="n">
        <x:f>IF('Controls'!$D$7="Reference",'Paths'!$J$14,'Paths'!$K$14)</x:f>
        <x:v>6</x:v>
      </x:c>
      <x:c r="F734" s="47" t="n">
        <x:f>IF(D734&lt;'Paths'!$N$14,IF('Controls'!$D$7="Reference",'Paths'!$L$14,'Paths'!$M$14),IF('Controls'!$D$7="Reference",'Paths'!$O$14,'Paths'!$P$14))</x:f>
        <x:v>28000</x:v>
      </x:c>
      <x:c r="G734" s="46" t="n">
        <x:f>IF('Controls'!$D$7="Reference",1,IF(OR(D734=6,D734=7,D734=21,D734=46),'Paths'!$U$14,1))</x:f>
        <x:v>1</x:v>
      </x:c>
      <x:c r="H734" s="46" t="n">
        <x:f>IF('Controls'!$D$7="Reference",1,IF(OR(AND(D734&gt;=14,D734&lt;=16),AND(D734&gt;=34,D734&lt;=35),AND(D734&gt;=61,D734&lt;=63)),'Paths'!$V$14,1))</x:f>
        <x:v>1</x:v>
      </x:c>
      <x:c r="I734" s="46" t="n">
        <x:f>'Paths'!$W$14</x:f>
        <x:v>0.88</x:v>
      </x:c>
      <x:c r="J734" s="47" t="n">
        <x:f>IF(D734&lt;E734,0,MIN(F734*G734*H734*I734,IF('Paths'!$T$14&gt;0,MAX(0,'Paths'!$T$14-K733),1000000000)))</x:f>
        <x:v>24640</x:v>
      </x:c>
      <x:c r="K734" s="47" t="n">
        <x:f>K733+J734</x:f>
        <x:v>1938288</x:v>
      </x:c>
      <x:c r="L734" s="46" t="n">
        <x:f>IF(C734="P0",1,IF(D734&lt;=3,0.8,IF(D734&lt;=14,0.65,IF(D734&lt;=45,0.5,0.3))))</x:f>
        <x:v>0.3</x:v>
      </x:c>
      <x:c r="M734" s="47" t="n">
        <x:f>J734*L734</x:f>
        <x:v>7392</x:v>
      </x:c>
      <x:c r="N734" s="47" t="n">
        <x:f>N733+M734</x:f>
        <x:v>772939.2</x:v>
      </x:c>
      <x:c r="O734" s="46" t="n">
        <x:f>IF(C734="P0",0,IF(D734&lt;=3,0.15,IF(D734&lt;=14,0.25,IF(D734&lt;=45,0.35,0.5))))</x:f>
        <x:v>0.5</x:v>
      </x:c>
      <x:c r="P734" s="47" t="n">
        <x:f>J734*O734</x:f>
        <x:v>12320</x:v>
      </x:c>
      <x:c r="Q734" s="46" t="n">
        <x:f>IF(C734="P0",0,IF(D734&lt;=3,0.05,IF(D734&lt;=14,0.1,IF(D734&lt;=45,0.15,0.2))))</x:f>
        <x:v>0.2</x:v>
      </x:c>
      <x:c r="R734" s="47" t="n">
        <x:f>J734*Q734</x:f>
        <x:v>4928</x:v>
      </x:c>
      <x:c r="S734" s="20" t="str">
        <x:f>IF(D734&lt;E734,"closed",IF(D734&lt;'Paths'!$N$14,"initial","expanded"))</x:f>
        <x:v>expanded</x:v>
      </x:c>
      <x:c r="T734" s="72"/>
    </x:row>
    <x:row r="735">
      <x:c r="C735" s="20" t="str">
        <x:v>P8</x:v>
      </x:c>
      <x:c r="D735" s="20" t="n">
        <x:v>0</x:v>
      </x:c>
      <x:c r="E735" s="45" t="n">
        <x:f>IF('Controls'!$D$7="Reference",'Paths'!$J$15,'Paths'!$K$15)</x:f>
        <x:v>7</x:v>
      </x:c>
      <x:c r="F735" s="47" t="n">
        <x:f>IF(D735&lt;'Paths'!$N$15,IF('Controls'!$D$7="Reference",'Paths'!$L$15,'Paths'!$M$15),IF('Controls'!$D$7="Reference",'Paths'!$O$15,'Paths'!$P$15))</x:f>
        <x:v>16000</x:v>
      </x:c>
      <x:c r="G735" s="46" t="n">
        <x:f>IF('Controls'!$D$7="Reference",1,IF(OR(D735=6,D735=7,D735=21,D735=46),'Paths'!$U$15,1))</x:f>
        <x:v>1</x:v>
      </x:c>
      <x:c r="H735" s="46" t="n">
        <x:f>IF('Controls'!$D$7="Reference",1,IF(OR(AND(D735&gt;=14,D735&lt;=16),AND(D735&gt;=34,D735&lt;=35),AND(D735&gt;=61,D735&lt;=63)),'Paths'!$V$15,1))</x:f>
        <x:v>1</x:v>
      </x:c>
      <x:c r="I735" s="46" t="n">
        <x:f>'Paths'!$W$15</x:f>
        <x:v>0.9</x:v>
      </x:c>
      <x:c r="J735" s="47" t="n">
        <x:f>IF(D735&lt;E735,0,MIN(F735*G735*H735*I735,IF('Paths'!$T$15&gt;0,MAX(0,'Paths'!$T$15-0),1000000000)))</x:f>
        <x:v>0</x:v>
      </x:c>
      <x:c r="K735" s="47" t="n">
        <x:f>0+J735</x:f>
        <x:v>0</x:v>
      </x:c>
      <x:c r="L735" s="46" t="n">
        <x:f>IF(C735="P0",1,IF(D735&lt;=3,0.8,IF(D735&lt;=14,0.65,IF(D735&lt;=45,0.5,0.3))))</x:f>
        <x:v>0.8</x:v>
      </x:c>
      <x:c r="M735" s="47" t="n">
        <x:f>J735*L735</x:f>
        <x:v>0</x:v>
      </x:c>
      <x:c r="N735" s="47" t="n">
        <x:f>0+M735</x:f>
        <x:v>0</x:v>
      </x:c>
      <x:c r="O735" s="46" t="n">
        <x:f>IF(C735="P0",0,IF(D735&lt;=3,0.15,IF(D735&lt;=14,0.25,IF(D735&lt;=45,0.35,0.5))))</x:f>
        <x:v>0.15</x:v>
      </x:c>
      <x:c r="P735" s="47" t="n">
        <x:f>J735*O735</x:f>
        <x:v>0</x:v>
      </x:c>
      <x:c r="Q735" s="46" t="n">
        <x:f>IF(C735="P0",0,IF(D735&lt;=3,0.05,IF(D735&lt;=14,0.1,IF(D735&lt;=45,0.15,0.2))))</x:f>
        <x:v>0.05</x:v>
      </x:c>
      <x:c r="R735" s="47" t="n">
        <x:f>J735*Q735</x:f>
        <x:v>0</x:v>
      </x:c>
      <x:c r="S735" s="20" t="str">
        <x:f>IF(D735&lt;E735,"closed",IF(D735&lt;'Paths'!$N$15,"initial","expanded"))</x:f>
        <x:v>closed</x:v>
      </x:c>
      <x:c r="T735" s="72"/>
    </x:row>
    <x:row r="736">
      <x:c r="C736" s="20" t="str">
        <x:v>P8</x:v>
      </x:c>
      <x:c r="D736" s="20" t="n">
        <x:v>1</x:v>
      </x:c>
      <x:c r="E736" s="45" t="n">
        <x:f>IF('Controls'!$D$7="Reference",'Paths'!$J$15,'Paths'!$K$15)</x:f>
        <x:v>7</x:v>
      </x:c>
      <x:c r="F736" s="47" t="n">
        <x:f>IF(D736&lt;'Paths'!$N$15,IF('Controls'!$D$7="Reference",'Paths'!$L$15,'Paths'!$M$15),IF('Controls'!$D$7="Reference",'Paths'!$O$15,'Paths'!$P$15))</x:f>
        <x:v>16000</x:v>
      </x:c>
      <x:c r="G736" s="46" t="n">
        <x:f>IF('Controls'!$D$7="Reference",1,IF(OR(D736=6,D736=7,D736=21,D736=46),'Paths'!$U$15,1))</x:f>
        <x:v>1</x:v>
      </x:c>
      <x:c r="H736" s="46" t="n">
        <x:f>IF('Controls'!$D$7="Reference",1,IF(OR(AND(D736&gt;=14,D736&lt;=16),AND(D736&gt;=34,D736&lt;=35),AND(D736&gt;=61,D736&lt;=63)),'Paths'!$V$15,1))</x:f>
        <x:v>1</x:v>
      </x:c>
      <x:c r="I736" s="46" t="n">
        <x:f>'Paths'!$W$15</x:f>
        <x:v>0.9</x:v>
      </x:c>
      <x:c r="J736" s="47" t="n">
        <x:f>IF(D736&lt;E736,0,MIN(F736*G736*H736*I736,IF('Paths'!$T$15&gt;0,MAX(0,'Paths'!$T$15-K735),1000000000)))</x:f>
        <x:v>0</x:v>
      </x:c>
      <x:c r="K736" s="47" t="n">
        <x:f>K735+J736</x:f>
        <x:v>0</x:v>
      </x:c>
      <x:c r="L736" s="46" t="n">
        <x:f>IF(C736="P0",1,IF(D736&lt;=3,0.8,IF(D736&lt;=14,0.65,IF(D736&lt;=45,0.5,0.3))))</x:f>
        <x:v>0.8</x:v>
      </x:c>
      <x:c r="M736" s="47" t="n">
        <x:f>J736*L736</x:f>
        <x:v>0</x:v>
      </x:c>
      <x:c r="N736" s="47" t="n">
        <x:f>N735+M736</x:f>
        <x:v>0</x:v>
      </x:c>
      <x:c r="O736" s="46" t="n">
        <x:f>IF(C736="P0",0,IF(D736&lt;=3,0.15,IF(D736&lt;=14,0.25,IF(D736&lt;=45,0.35,0.5))))</x:f>
        <x:v>0.15</x:v>
      </x:c>
      <x:c r="P736" s="47" t="n">
        <x:f>J736*O736</x:f>
        <x:v>0</x:v>
      </x:c>
      <x:c r="Q736" s="46" t="n">
        <x:f>IF(C736="P0",0,IF(D736&lt;=3,0.05,IF(D736&lt;=14,0.1,IF(D736&lt;=45,0.15,0.2))))</x:f>
        <x:v>0.05</x:v>
      </x:c>
      <x:c r="R736" s="47" t="n">
        <x:f>J736*Q736</x:f>
        <x:v>0</x:v>
      </x:c>
      <x:c r="S736" s="20" t="str">
        <x:f>IF(D736&lt;E736,"closed",IF(D736&lt;'Paths'!$N$15,"initial","expanded"))</x:f>
        <x:v>closed</x:v>
      </x:c>
      <x:c r="T736" s="72"/>
    </x:row>
    <x:row r="737">
      <x:c r="C737" s="20" t="str">
        <x:v>P8</x:v>
      </x:c>
      <x:c r="D737" s="20" t="n">
        <x:v>2</x:v>
      </x:c>
      <x:c r="E737" s="45" t="n">
        <x:f>IF('Controls'!$D$7="Reference",'Paths'!$J$15,'Paths'!$K$15)</x:f>
        <x:v>7</x:v>
      </x:c>
      <x:c r="F737" s="47" t="n">
        <x:f>IF(D737&lt;'Paths'!$N$15,IF('Controls'!$D$7="Reference",'Paths'!$L$15,'Paths'!$M$15),IF('Controls'!$D$7="Reference",'Paths'!$O$15,'Paths'!$P$15))</x:f>
        <x:v>16000</x:v>
      </x:c>
      <x:c r="G737" s="46" t="n">
        <x:f>IF('Controls'!$D$7="Reference",1,IF(OR(D737=6,D737=7,D737=21,D737=46),'Paths'!$U$15,1))</x:f>
        <x:v>1</x:v>
      </x:c>
      <x:c r="H737" s="46" t="n">
        <x:f>IF('Controls'!$D$7="Reference",1,IF(OR(AND(D737&gt;=14,D737&lt;=16),AND(D737&gt;=34,D737&lt;=35),AND(D737&gt;=61,D737&lt;=63)),'Paths'!$V$15,1))</x:f>
        <x:v>1</x:v>
      </x:c>
      <x:c r="I737" s="46" t="n">
        <x:f>'Paths'!$W$15</x:f>
        <x:v>0.9</x:v>
      </x:c>
      <x:c r="J737" s="47" t="n">
        <x:f>IF(D737&lt;E737,0,MIN(F737*G737*H737*I737,IF('Paths'!$T$15&gt;0,MAX(0,'Paths'!$T$15-K736),1000000000)))</x:f>
        <x:v>0</x:v>
      </x:c>
      <x:c r="K737" s="47" t="n">
        <x:f>K736+J737</x:f>
        <x:v>0</x:v>
      </x:c>
      <x:c r="L737" s="46" t="n">
        <x:f>IF(C737="P0",1,IF(D737&lt;=3,0.8,IF(D737&lt;=14,0.65,IF(D737&lt;=45,0.5,0.3))))</x:f>
        <x:v>0.8</x:v>
      </x:c>
      <x:c r="M737" s="47" t="n">
        <x:f>J737*L737</x:f>
        <x:v>0</x:v>
      </x:c>
      <x:c r="N737" s="47" t="n">
        <x:f>N736+M737</x:f>
        <x:v>0</x:v>
      </x:c>
      <x:c r="O737" s="46" t="n">
        <x:f>IF(C737="P0",0,IF(D737&lt;=3,0.15,IF(D737&lt;=14,0.25,IF(D737&lt;=45,0.35,0.5))))</x:f>
        <x:v>0.15</x:v>
      </x:c>
      <x:c r="P737" s="47" t="n">
        <x:f>J737*O737</x:f>
        <x:v>0</x:v>
      </x:c>
      <x:c r="Q737" s="46" t="n">
        <x:f>IF(C737="P0",0,IF(D737&lt;=3,0.05,IF(D737&lt;=14,0.1,IF(D737&lt;=45,0.15,0.2))))</x:f>
        <x:v>0.05</x:v>
      </x:c>
      <x:c r="R737" s="47" t="n">
        <x:f>J737*Q737</x:f>
        <x:v>0</x:v>
      </x:c>
      <x:c r="S737" s="20" t="str">
        <x:f>IF(D737&lt;E737,"closed",IF(D737&lt;'Paths'!$N$15,"initial","expanded"))</x:f>
        <x:v>closed</x:v>
      </x:c>
      <x:c r="T737" s="72"/>
    </x:row>
    <x:row r="738">
      <x:c r="C738" s="20" t="str">
        <x:v>P8</x:v>
      </x:c>
      <x:c r="D738" s="20" t="n">
        <x:v>3</x:v>
      </x:c>
      <x:c r="E738" s="45" t="n">
        <x:f>IF('Controls'!$D$7="Reference",'Paths'!$J$15,'Paths'!$K$15)</x:f>
        <x:v>7</x:v>
      </x:c>
      <x:c r="F738" s="47" t="n">
        <x:f>IF(D738&lt;'Paths'!$N$15,IF('Controls'!$D$7="Reference",'Paths'!$L$15,'Paths'!$M$15),IF('Controls'!$D$7="Reference",'Paths'!$O$15,'Paths'!$P$15))</x:f>
        <x:v>16000</x:v>
      </x:c>
      <x:c r="G738" s="46" t="n">
        <x:f>IF('Controls'!$D$7="Reference",1,IF(OR(D738=6,D738=7,D738=21,D738=46),'Paths'!$U$15,1))</x:f>
        <x:v>1</x:v>
      </x:c>
      <x:c r="H738" s="46" t="n">
        <x:f>IF('Controls'!$D$7="Reference",1,IF(OR(AND(D738&gt;=14,D738&lt;=16),AND(D738&gt;=34,D738&lt;=35),AND(D738&gt;=61,D738&lt;=63)),'Paths'!$V$15,1))</x:f>
        <x:v>1</x:v>
      </x:c>
      <x:c r="I738" s="46" t="n">
        <x:f>'Paths'!$W$15</x:f>
        <x:v>0.9</x:v>
      </x:c>
      <x:c r="J738" s="47" t="n">
        <x:f>IF(D738&lt;E738,0,MIN(F738*G738*H738*I738,IF('Paths'!$T$15&gt;0,MAX(0,'Paths'!$T$15-K737),1000000000)))</x:f>
        <x:v>0</x:v>
      </x:c>
      <x:c r="K738" s="47" t="n">
        <x:f>K737+J738</x:f>
        <x:v>0</x:v>
      </x:c>
      <x:c r="L738" s="46" t="n">
        <x:f>IF(C738="P0",1,IF(D738&lt;=3,0.8,IF(D738&lt;=14,0.65,IF(D738&lt;=45,0.5,0.3))))</x:f>
        <x:v>0.8</x:v>
      </x:c>
      <x:c r="M738" s="47" t="n">
        <x:f>J738*L738</x:f>
        <x:v>0</x:v>
      </x:c>
      <x:c r="N738" s="47" t="n">
        <x:f>N737+M738</x:f>
        <x:v>0</x:v>
      </x:c>
      <x:c r="O738" s="46" t="n">
        <x:f>IF(C738="P0",0,IF(D738&lt;=3,0.15,IF(D738&lt;=14,0.25,IF(D738&lt;=45,0.35,0.5))))</x:f>
        <x:v>0.15</x:v>
      </x:c>
      <x:c r="P738" s="47" t="n">
        <x:f>J738*O738</x:f>
        <x:v>0</x:v>
      </x:c>
      <x:c r="Q738" s="46" t="n">
        <x:f>IF(C738="P0",0,IF(D738&lt;=3,0.05,IF(D738&lt;=14,0.1,IF(D738&lt;=45,0.15,0.2))))</x:f>
        <x:v>0.05</x:v>
      </x:c>
      <x:c r="R738" s="47" t="n">
        <x:f>J738*Q738</x:f>
        <x:v>0</x:v>
      </x:c>
      <x:c r="S738" s="20" t="str">
        <x:f>IF(D738&lt;E738,"closed",IF(D738&lt;'Paths'!$N$15,"initial","expanded"))</x:f>
        <x:v>closed</x:v>
      </x:c>
      <x:c r="T738" s="72"/>
    </x:row>
    <x:row r="739">
      <x:c r="C739" s="20" t="str">
        <x:v>P8</x:v>
      </x:c>
      <x:c r="D739" s="20" t="n">
        <x:v>4</x:v>
      </x:c>
      <x:c r="E739" s="45" t="n">
        <x:f>IF('Controls'!$D$7="Reference",'Paths'!$J$15,'Paths'!$K$15)</x:f>
        <x:v>7</x:v>
      </x:c>
      <x:c r="F739" s="47" t="n">
        <x:f>IF(D739&lt;'Paths'!$N$15,IF('Controls'!$D$7="Reference",'Paths'!$L$15,'Paths'!$M$15),IF('Controls'!$D$7="Reference",'Paths'!$O$15,'Paths'!$P$15))</x:f>
        <x:v>16000</x:v>
      </x:c>
      <x:c r="G739" s="46" t="n">
        <x:f>IF('Controls'!$D$7="Reference",1,IF(OR(D739=6,D739=7,D739=21,D739=46),'Paths'!$U$15,1))</x:f>
        <x:v>1</x:v>
      </x:c>
      <x:c r="H739" s="46" t="n">
        <x:f>IF('Controls'!$D$7="Reference",1,IF(OR(AND(D739&gt;=14,D739&lt;=16),AND(D739&gt;=34,D739&lt;=35),AND(D739&gt;=61,D739&lt;=63)),'Paths'!$V$15,1))</x:f>
        <x:v>1</x:v>
      </x:c>
      <x:c r="I739" s="46" t="n">
        <x:f>'Paths'!$W$15</x:f>
        <x:v>0.9</x:v>
      </x:c>
      <x:c r="J739" s="47" t="n">
        <x:f>IF(D739&lt;E739,0,MIN(F739*G739*H739*I739,IF('Paths'!$T$15&gt;0,MAX(0,'Paths'!$T$15-K738),1000000000)))</x:f>
        <x:v>0</x:v>
      </x:c>
      <x:c r="K739" s="47" t="n">
        <x:f>K738+J739</x:f>
        <x:v>0</x:v>
      </x:c>
      <x:c r="L739" s="46" t="n">
        <x:f>IF(C739="P0",1,IF(D739&lt;=3,0.8,IF(D739&lt;=14,0.65,IF(D739&lt;=45,0.5,0.3))))</x:f>
        <x:v>0.65</x:v>
      </x:c>
      <x:c r="M739" s="47" t="n">
        <x:f>J739*L739</x:f>
        <x:v>0</x:v>
      </x:c>
      <x:c r="N739" s="47" t="n">
        <x:f>N738+M739</x:f>
        <x:v>0</x:v>
      </x:c>
      <x:c r="O739" s="46" t="n">
        <x:f>IF(C739="P0",0,IF(D739&lt;=3,0.15,IF(D739&lt;=14,0.25,IF(D739&lt;=45,0.35,0.5))))</x:f>
        <x:v>0.25</x:v>
      </x:c>
      <x:c r="P739" s="47" t="n">
        <x:f>J739*O739</x:f>
        <x:v>0</x:v>
      </x:c>
      <x:c r="Q739" s="46" t="n">
        <x:f>IF(C739="P0",0,IF(D739&lt;=3,0.05,IF(D739&lt;=14,0.1,IF(D739&lt;=45,0.15,0.2))))</x:f>
        <x:v>0.1</x:v>
      </x:c>
      <x:c r="R739" s="47" t="n">
        <x:f>J739*Q739</x:f>
        <x:v>0</x:v>
      </x:c>
      <x:c r="S739" s="20" t="str">
        <x:f>IF(D739&lt;E739,"closed",IF(D739&lt;'Paths'!$N$15,"initial","expanded"))</x:f>
        <x:v>closed</x:v>
      </x:c>
      <x:c r="T739" s="72"/>
    </x:row>
    <x:row r="740">
      <x:c r="C740" s="20" t="str">
        <x:v>P8</x:v>
      </x:c>
      <x:c r="D740" s="20" t="n">
        <x:v>5</x:v>
      </x:c>
      <x:c r="E740" s="45" t="n">
        <x:f>IF('Controls'!$D$7="Reference",'Paths'!$J$15,'Paths'!$K$15)</x:f>
        <x:v>7</x:v>
      </x:c>
      <x:c r="F740" s="47" t="n">
        <x:f>IF(D740&lt;'Paths'!$N$15,IF('Controls'!$D$7="Reference",'Paths'!$L$15,'Paths'!$M$15),IF('Controls'!$D$7="Reference",'Paths'!$O$15,'Paths'!$P$15))</x:f>
        <x:v>16000</x:v>
      </x:c>
      <x:c r="G740" s="46" t="n">
        <x:f>IF('Controls'!$D$7="Reference",1,IF(OR(D740=6,D740=7,D740=21,D740=46),'Paths'!$U$15,1))</x:f>
        <x:v>1</x:v>
      </x:c>
      <x:c r="H740" s="46" t="n">
        <x:f>IF('Controls'!$D$7="Reference",1,IF(OR(AND(D740&gt;=14,D740&lt;=16),AND(D740&gt;=34,D740&lt;=35),AND(D740&gt;=61,D740&lt;=63)),'Paths'!$V$15,1))</x:f>
        <x:v>1</x:v>
      </x:c>
      <x:c r="I740" s="46" t="n">
        <x:f>'Paths'!$W$15</x:f>
        <x:v>0.9</x:v>
      </x:c>
      <x:c r="J740" s="47" t="n">
        <x:f>IF(D740&lt;E740,0,MIN(F740*G740*H740*I740,IF('Paths'!$T$15&gt;0,MAX(0,'Paths'!$T$15-K739),1000000000)))</x:f>
        <x:v>0</x:v>
      </x:c>
      <x:c r="K740" s="47" t="n">
        <x:f>K739+J740</x:f>
        <x:v>0</x:v>
      </x:c>
      <x:c r="L740" s="46" t="n">
        <x:f>IF(C740="P0",1,IF(D740&lt;=3,0.8,IF(D740&lt;=14,0.65,IF(D740&lt;=45,0.5,0.3))))</x:f>
        <x:v>0.65</x:v>
      </x:c>
      <x:c r="M740" s="47" t="n">
        <x:f>J740*L740</x:f>
        <x:v>0</x:v>
      </x:c>
      <x:c r="N740" s="47" t="n">
        <x:f>N739+M740</x:f>
        <x:v>0</x:v>
      </x:c>
      <x:c r="O740" s="46" t="n">
        <x:f>IF(C740="P0",0,IF(D740&lt;=3,0.15,IF(D740&lt;=14,0.25,IF(D740&lt;=45,0.35,0.5))))</x:f>
        <x:v>0.25</x:v>
      </x:c>
      <x:c r="P740" s="47" t="n">
        <x:f>J740*O740</x:f>
        <x:v>0</x:v>
      </x:c>
      <x:c r="Q740" s="46" t="n">
        <x:f>IF(C740="P0",0,IF(D740&lt;=3,0.05,IF(D740&lt;=14,0.1,IF(D740&lt;=45,0.15,0.2))))</x:f>
        <x:v>0.1</x:v>
      </x:c>
      <x:c r="R740" s="47" t="n">
        <x:f>J740*Q740</x:f>
        <x:v>0</x:v>
      </x:c>
      <x:c r="S740" s="20" t="str">
        <x:f>IF(D740&lt;E740,"closed",IF(D740&lt;'Paths'!$N$15,"initial","expanded"))</x:f>
        <x:v>closed</x:v>
      </x:c>
      <x:c r="T740" s="72"/>
    </x:row>
    <x:row r="741">
      <x:c r="C741" s="20" t="str">
        <x:v>P8</x:v>
      </x:c>
      <x:c r="D741" s="20" t="n">
        <x:v>6</x:v>
      </x:c>
      <x:c r="E741" s="45" t="n">
        <x:f>IF('Controls'!$D$7="Reference",'Paths'!$J$15,'Paths'!$K$15)</x:f>
        <x:v>7</x:v>
      </x:c>
      <x:c r="F741" s="47" t="n">
        <x:f>IF(D741&lt;'Paths'!$N$15,IF('Controls'!$D$7="Reference",'Paths'!$L$15,'Paths'!$M$15),IF('Controls'!$D$7="Reference",'Paths'!$O$15,'Paths'!$P$15))</x:f>
        <x:v>16000</x:v>
      </x:c>
      <x:c r="G741" s="46" t="n">
        <x:f>IF('Controls'!$D$7="Reference",1,IF(OR(D741=6,D741=7,D741=21,D741=46),'Paths'!$U$15,1))</x:f>
        <x:v>0.25</x:v>
      </x:c>
      <x:c r="H741" s="46" t="n">
        <x:f>IF('Controls'!$D$7="Reference",1,IF(OR(AND(D741&gt;=14,D741&lt;=16),AND(D741&gt;=34,D741&lt;=35),AND(D741&gt;=61,D741&lt;=63)),'Paths'!$V$15,1))</x:f>
        <x:v>1</x:v>
      </x:c>
      <x:c r="I741" s="46" t="n">
        <x:f>'Paths'!$W$15</x:f>
        <x:v>0.9</x:v>
      </x:c>
      <x:c r="J741" s="47" t="n">
        <x:f>IF(D741&lt;E741,0,MIN(F741*G741*H741*I741,IF('Paths'!$T$15&gt;0,MAX(0,'Paths'!$T$15-K740),1000000000)))</x:f>
        <x:v>0</x:v>
      </x:c>
      <x:c r="K741" s="47" t="n">
        <x:f>K740+J741</x:f>
        <x:v>0</x:v>
      </x:c>
      <x:c r="L741" s="46" t="n">
        <x:f>IF(C741="P0",1,IF(D741&lt;=3,0.8,IF(D741&lt;=14,0.65,IF(D741&lt;=45,0.5,0.3))))</x:f>
        <x:v>0.65</x:v>
      </x:c>
      <x:c r="M741" s="47" t="n">
        <x:f>J741*L741</x:f>
        <x:v>0</x:v>
      </x:c>
      <x:c r="N741" s="47" t="n">
        <x:f>N740+M741</x:f>
        <x:v>0</x:v>
      </x:c>
      <x:c r="O741" s="46" t="n">
        <x:f>IF(C741="P0",0,IF(D741&lt;=3,0.15,IF(D741&lt;=14,0.25,IF(D741&lt;=45,0.35,0.5))))</x:f>
        <x:v>0.25</x:v>
      </x:c>
      <x:c r="P741" s="47" t="n">
        <x:f>J741*O741</x:f>
        <x:v>0</x:v>
      </x:c>
      <x:c r="Q741" s="46" t="n">
        <x:f>IF(C741="P0",0,IF(D741&lt;=3,0.05,IF(D741&lt;=14,0.1,IF(D741&lt;=45,0.15,0.2))))</x:f>
        <x:v>0.1</x:v>
      </x:c>
      <x:c r="R741" s="47" t="n">
        <x:f>J741*Q741</x:f>
        <x:v>0</x:v>
      </x:c>
      <x:c r="S741" s="20" t="str">
        <x:f>IF(D741&lt;E741,"closed",IF(D741&lt;'Paths'!$N$15,"initial","expanded"))</x:f>
        <x:v>closed</x:v>
      </x:c>
      <x:c r="T741" s="72"/>
    </x:row>
    <x:row r="742">
      <x:c r="C742" s="20" t="str">
        <x:v>P8</x:v>
      </x:c>
      <x:c r="D742" s="20" t="n">
        <x:v>7</x:v>
      </x:c>
      <x:c r="E742" s="45" t="n">
        <x:f>IF('Controls'!$D$7="Reference",'Paths'!$J$15,'Paths'!$K$15)</x:f>
        <x:v>7</x:v>
      </x:c>
      <x:c r="F742" s="47" t="n">
        <x:f>IF(D742&lt;'Paths'!$N$15,IF('Controls'!$D$7="Reference",'Paths'!$L$15,'Paths'!$M$15),IF('Controls'!$D$7="Reference",'Paths'!$O$15,'Paths'!$P$15))</x:f>
        <x:v>16000</x:v>
      </x:c>
      <x:c r="G742" s="46" t="n">
        <x:f>IF('Controls'!$D$7="Reference",1,IF(OR(D742=6,D742=7,D742=21,D742=46),'Paths'!$U$15,1))</x:f>
        <x:v>0.25</x:v>
      </x:c>
      <x:c r="H742" s="46" t="n">
        <x:f>IF('Controls'!$D$7="Reference",1,IF(OR(AND(D742&gt;=14,D742&lt;=16),AND(D742&gt;=34,D742&lt;=35),AND(D742&gt;=61,D742&lt;=63)),'Paths'!$V$15,1))</x:f>
        <x:v>1</x:v>
      </x:c>
      <x:c r="I742" s="46" t="n">
        <x:f>'Paths'!$W$15</x:f>
        <x:v>0.9</x:v>
      </x:c>
      <x:c r="J742" s="47" t="n">
        <x:f>IF(D742&lt;E742,0,MIN(F742*G742*H742*I742,IF('Paths'!$T$15&gt;0,MAX(0,'Paths'!$T$15-K741),1000000000)))</x:f>
        <x:v>3600</x:v>
      </x:c>
      <x:c r="K742" s="47" t="n">
        <x:f>K741+J742</x:f>
        <x:v>3600</x:v>
      </x:c>
      <x:c r="L742" s="46" t="n">
        <x:f>IF(C742="P0",1,IF(D742&lt;=3,0.8,IF(D742&lt;=14,0.65,IF(D742&lt;=45,0.5,0.3))))</x:f>
        <x:v>0.65</x:v>
      </x:c>
      <x:c r="M742" s="47" t="n">
        <x:f>J742*L742</x:f>
        <x:v>2340</x:v>
      </x:c>
      <x:c r="N742" s="47" t="n">
        <x:f>N741+M742</x:f>
        <x:v>2340</x:v>
      </x:c>
      <x:c r="O742" s="46" t="n">
        <x:f>IF(C742="P0",0,IF(D742&lt;=3,0.15,IF(D742&lt;=14,0.25,IF(D742&lt;=45,0.35,0.5))))</x:f>
        <x:v>0.25</x:v>
      </x:c>
      <x:c r="P742" s="47" t="n">
        <x:f>J742*O742</x:f>
        <x:v>900</x:v>
      </x:c>
      <x:c r="Q742" s="46" t="n">
        <x:f>IF(C742="P0",0,IF(D742&lt;=3,0.05,IF(D742&lt;=14,0.1,IF(D742&lt;=45,0.15,0.2))))</x:f>
        <x:v>0.1</x:v>
      </x:c>
      <x:c r="R742" s="47" t="n">
        <x:f>J742*Q742</x:f>
        <x:v>360</x:v>
      </x:c>
      <x:c r="S742" s="20" t="str">
        <x:f>IF(D742&lt;E742,"closed",IF(D742&lt;'Paths'!$N$15,"initial","expanded"))</x:f>
        <x:v>initial</x:v>
      </x:c>
      <x:c r="T742" s="72"/>
    </x:row>
    <x:row r="743">
      <x:c r="C743" s="20" t="str">
        <x:v>P8</x:v>
      </x:c>
      <x:c r="D743" s="20" t="n">
        <x:v>8</x:v>
      </x:c>
      <x:c r="E743" s="45" t="n">
        <x:f>IF('Controls'!$D$7="Reference",'Paths'!$J$15,'Paths'!$K$15)</x:f>
        <x:v>7</x:v>
      </x:c>
      <x:c r="F743" s="47" t="n">
        <x:f>IF(D743&lt;'Paths'!$N$15,IF('Controls'!$D$7="Reference",'Paths'!$L$15,'Paths'!$M$15),IF('Controls'!$D$7="Reference",'Paths'!$O$15,'Paths'!$P$15))</x:f>
        <x:v>16000</x:v>
      </x:c>
      <x:c r="G743" s="46" t="n">
        <x:f>IF('Controls'!$D$7="Reference",1,IF(OR(D743=6,D743=7,D743=21,D743=46),'Paths'!$U$15,1))</x:f>
        <x:v>1</x:v>
      </x:c>
      <x:c r="H743" s="46" t="n">
        <x:f>IF('Controls'!$D$7="Reference",1,IF(OR(AND(D743&gt;=14,D743&lt;=16),AND(D743&gt;=34,D743&lt;=35),AND(D743&gt;=61,D743&lt;=63)),'Paths'!$V$15,1))</x:f>
        <x:v>1</x:v>
      </x:c>
      <x:c r="I743" s="46" t="n">
        <x:f>'Paths'!$W$15</x:f>
        <x:v>0.9</x:v>
      </x:c>
      <x:c r="J743" s="47" t="n">
        <x:f>IF(D743&lt;E743,0,MIN(F743*G743*H743*I743,IF('Paths'!$T$15&gt;0,MAX(0,'Paths'!$T$15-K742),1000000000)))</x:f>
        <x:v>14400</x:v>
      </x:c>
      <x:c r="K743" s="47" t="n">
        <x:f>K742+J743</x:f>
        <x:v>18000</x:v>
      </x:c>
      <x:c r="L743" s="46" t="n">
        <x:f>IF(C743="P0",1,IF(D743&lt;=3,0.8,IF(D743&lt;=14,0.65,IF(D743&lt;=45,0.5,0.3))))</x:f>
        <x:v>0.65</x:v>
      </x:c>
      <x:c r="M743" s="47" t="n">
        <x:f>J743*L743</x:f>
        <x:v>9360</x:v>
      </x:c>
      <x:c r="N743" s="47" t="n">
        <x:f>N742+M743</x:f>
        <x:v>11700</x:v>
      </x:c>
      <x:c r="O743" s="46" t="n">
        <x:f>IF(C743="P0",0,IF(D743&lt;=3,0.15,IF(D743&lt;=14,0.25,IF(D743&lt;=45,0.35,0.5))))</x:f>
        <x:v>0.25</x:v>
      </x:c>
      <x:c r="P743" s="47" t="n">
        <x:f>J743*O743</x:f>
        <x:v>3600</x:v>
      </x:c>
      <x:c r="Q743" s="46" t="n">
        <x:f>IF(C743="P0",0,IF(D743&lt;=3,0.05,IF(D743&lt;=14,0.1,IF(D743&lt;=45,0.15,0.2))))</x:f>
        <x:v>0.1</x:v>
      </x:c>
      <x:c r="R743" s="47" t="n">
        <x:f>J743*Q743</x:f>
        <x:v>1440</x:v>
      </x:c>
      <x:c r="S743" s="20" t="str">
        <x:f>IF(D743&lt;E743,"closed",IF(D743&lt;'Paths'!$N$15,"initial","expanded"))</x:f>
        <x:v>initial</x:v>
      </x:c>
      <x:c r="T743" s="72"/>
    </x:row>
    <x:row r="744">
      <x:c r="C744" s="20" t="str">
        <x:v>P8</x:v>
      </x:c>
      <x:c r="D744" s="20" t="n">
        <x:v>9</x:v>
      </x:c>
      <x:c r="E744" s="45" t="n">
        <x:f>IF('Controls'!$D$7="Reference",'Paths'!$J$15,'Paths'!$K$15)</x:f>
        <x:v>7</x:v>
      </x:c>
      <x:c r="F744" s="47" t="n">
        <x:f>IF(D744&lt;'Paths'!$N$15,IF('Controls'!$D$7="Reference",'Paths'!$L$15,'Paths'!$M$15),IF('Controls'!$D$7="Reference",'Paths'!$O$15,'Paths'!$P$15))</x:f>
        <x:v>16000</x:v>
      </x:c>
      <x:c r="G744" s="46" t="n">
        <x:f>IF('Controls'!$D$7="Reference",1,IF(OR(D744=6,D744=7,D744=21,D744=46),'Paths'!$U$15,1))</x:f>
        <x:v>1</x:v>
      </x:c>
      <x:c r="H744" s="46" t="n">
        <x:f>IF('Controls'!$D$7="Reference",1,IF(OR(AND(D744&gt;=14,D744&lt;=16),AND(D744&gt;=34,D744&lt;=35),AND(D744&gt;=61,D744&lt;=63)),'Paths'!$V$15,1))</x:f>
        <x:v>1</x:v>
      </x:c>
      <x:c r="I744" s="46" t="n">
        <x:f>'Paths'!$W$15</x:f>
        <x:v>0.9</x:v>
      </x:c>
      <x:c r="J744" s="47" t="n">
        <x:f>IF(D744&lt;E744,0,MIN(F744*G744*H744*I744,IF('Paths'!$T$15&gt;0,MAX(0,'Paths'!$T$15-K743),1000000000)))</x:f>
        <x:v>14400</x:v>
      </x:c>
      <x:c r="K744" s="47" t="n">
        <x:f>K743+J744</x:f>
        <x:v>32400</x:v>
      </x:c>
      <x:c r="L744" s="46" t="n">
        <x:f>IF(C744="P0",1,IF(D744&lt;=3,0.8,IF(D744&lt;=14,0.65,IF(D744&lt;=45,0.5,0.3))))</x:f>
        <x:v>0.65</x:v>
      </x:c>
      <x:c r="M744" s="47" t="n">
        <x:f>J744*L744</x:f>
        <x:v>9360</x:v>
      </x:c>
      <x:c r="N744" s="47" t="n">
        <x:f>N743+M744</x:f>
        <x:v>21060</x:v>
      </x:c>
      <x:c r="O744" s="46" t="n">
        <x:f>IF(C744="P0",0,IF(D744&lt;=3,0.15,IF(D744&lt;=14,0.25,IF(D744&lt;=45,0.35,0.5))))</x:f>
        <x:v>0.25</x:v>
      </x:c>
      <x:c r="P744" s="47" t="n">
        <x:f>J744*O744</x:f>
        <x:v>3600</x:v>
      </x:c>
      <x:c r="Q744" s="46" t="n">
        <x:f>IF(C744="P0",0,IF(D744&lt;=3,0.05,IF(D744&lt;=14,0.1,IF(D744&lt;=45,0.15,0.2))))</x:f>
        <x:v>0.1</x:v>
      </x:c>
      <x:c r="R744" s="47" t="n">
        <x:f>J744*Q744</x:f>
        <x:v>1440</x:v>
      </x:c>
      <x:c r="S744" s="20" t="str">
        <x:f>IF(D744&lt;E744,"closed",IF(D744&lt;'Paths'!$N$15,"initial","expanded"))</x:f>
        <x:v>initial</x:v>
      </x:c>
      <x:c r="T744" s="72"/>
    </x:row>
    <x:row r="745">
      <x:c r="C745" s="20" t="str">
        <x:v>P8</x:v>
      </x:c>
      <x:c r="D745" s="20" t="n">
        <x:v>10</x:v>
      </x:c>
      <x:c r="E745" s="45" t="n">
        <x:f>IF('Controls'!$D$7="Reference",'Paths'!$J$15,'Paths'!$K$15)</x:f>
        <x:v>7</x:v>
      </x:c>
      <x:c r="F745" s="47" t="n">
        <x:f>IF(D745&lt;'Paths'!$N$15,IF('Controls'!$D$7="Reference",'Paths'!$L$15,'Paths'!$M$15),IF('Controls'!$D$7="Reference",'Paths'!$O$15,'Paths'!$P$15))</x:f>
        <x:v>16000</x:v>
      </x:c>
      <x:c r="G745" s="46" t="n">
        <x:f>IF('Controls'!$D$7="Reference",1,IF(OR(D745=6,D745=7,D745=21,D745=46),'Paths'!$U$15,1))</x:f>
        <x:v>1</x:v>
      </x:c>
      <x:c r="H745" s="46" t="n">
        <x:f>IF('Controls'!$D$7="Reference",1,IF(OR(AND(D745&gt;=14,D745&lt;=16),AND(D745&gt;=34,D745&lt;=35),AND(D745&gt;=61,D745&lt;=63)),'Paths'!$V$15,1))</x:f>
        <x:v>1</x:v>
      </x:c>
      <x:c r="I745" s="46" t="n">
        <x:f>'Paths'!$W$15</x:f>
        <x:v>0.9</x:v>
      </x:c>
      <x:c r="J745" s="47" t="n">
        <x:f>IF(D745&lt;E745,0,MIN(F745*G745*H745*I745,IF('Paths'!$T$15&gt;0,MAX(0,'Paths'!$T$15-K744),1000000000)))</x:f>
        <x:v>14400</x:v>
      </x:c>
      <x:c r="K745" s="47" t="n">
        <x:f>K744+J745</x:f>
        <x:v>46800</x:v>
      </x:c>
      <x:c r="L745" s="46" t="n">
        <x:f>IF(C745="P0",1,IF(D745&lt;=3,0.8,IF(D745&lt;=14,0.65,IF(D745&lt;=45,0.5,0.3))))</x:f>
        <x:v>0.65</x:v>
      </x:c>
      <x:c r="M745" s="47" t="n">
        <x:f>J745*L745</x:f>
        <x:v>9360</x:v>
      </x:c>
      <x:c r="N745" s="47" t="n">
        <x:f>N744+M745</x:f>
        <x:v>30420</x:v>
      </x:c>
      <x:c r="O745" s="46" t="n">
        <x:f>IF(C745="P0",0,IF(D745&lt;=3,0.15,IF(D745&lt;=14,0.25,IF(D745&lt;=45,0.35,0.5))))</x:f>
        <x:v>0.25</x:v>
      </x:c>
      <x:c r="P745" s="47" t="n">
        <x:f>J745*O745</x:f>
        <x:v>3600</x:v>
      </x:c>
      <x:c r="Q745" s="46" t="n">
        <x:f>IF(C745="P0",0,IF(D745&lt;=3,0.05,IF(D745&lt;=14,0.1,IF(D745&lt;=45,0.15,0.2))))</x:f>
        <x:v>0.1</x:v>
      </x:c>
      <x:c r="R745" s="47" t="n">
        <x:f>J745*Q745</x:f>
        <x:v>1440</x:v>
      </x:c>
      <x:c r="S745" s="20" t="str">
        <x:f>IF(D745&lt;E745,"closed",IF(D745&lt;'Paths'!$N$15,"initial","expanded"))</x:f>
        <x:v>initial</x:v>
      </x:c>
      <x:c r="T745" s="72"/>
    </x:row>
    <x:row r="746">
      <x:c r="C746" s="20" t="str">
        <x:v>P8</x:v>
      </x:c>
      <x:c r="D746" s="20" t="n">
        <x:v>11</x:v>
      </x:c>
      <x:c r="E746" s="45" t="n">
        <x:f>IF('Controls'!$D$7="Reference",'Paths'!$J$15,'Paths'!$K$15)</x:f>
        <x:v>7</x:v>
      </x:c>
      <x:c r="F746" s="47" t="n">
        <x:f>IF(D746&lt;'Paths'!$N$15,IF('Controls'!$D$7="Reference",'Paths'!$L$15,'Paths'!$M$15),IF('Controls'!$D$7="Reference",'Paths'!$O$15,'Paths'!$P$15))</x:f>
        <x:v>16000</x:v>
      </x:c>
      <x:c r="G746" s="46" t="n">
        <x:f>IF('Controls'!$D$7="Reference",1,IF(OR(D746=6,D746=7,D746=21,D746=46),'Paths'!$U$15,1))</x:f>
        <x:v>1</x:v>
      </x:c>
      <x:c r="H746" s="46" t="n">
        <x:f>IF('Controls'!$D$7="Reference",1,IF(OR(AND(D746&gt;=14,D746&lt;=16),AND(D746&gt;=34,D746&lt;=35),AND(D746&gt;=61,D746&lt;=63)),'Paths'!$V$15,1))</x:f>
        <x:v>1</x:v>
      </x:c>
      <x:c r="I746" s="46" t="n">
        <x:f>'Paths'!$W$15</x:f>
        <x:v>0.9</x:v>
      </x:c>
      <x:c r="J746" s="47" t="n">
        <x:f>IF(D746&lt;E746,0,MIN(F746*G746*H746*I746,IF('Paths'!$T$15&gt;0,MAX(0,'Paths'!$T$15-K745),1000000000)))</x:f>
        <x:v>14400</x:v>
      </x:c>
      <x:c r="K746" s="47" t="n">
        <x:f>K745+J746</x:f>
        <x:v>61200</x:v>
      </x:c>
      <x:c r="L746" s="46" t="n">
        <x:f>IF(C746="P0",1,IF(D746&lt;=3,0.8,IF(D746&lt;=14,0.65,IF(D746&lt;=45,0.5,0.3))))</x:f>
        <x:v>0.65</x:v>
      </x:c>
      <x:c r="M746" s="47" t="n">
        <x:f>J746*L746</x:f>
        <x:v>9360</x:v>
      </x:c>
      <x:c r="N746" s="47" t="n">
        <x:f>N745+M746</x:f>
        <x:v>39780</x:v>
      </x:c>
      <x:c r="O746" s="46" t="n">
        <x:f>IF(C746="P0",0,IF(D746&lt;=3,0.15,IF(D746&lt;=14,0.25,IF(D746&lt;=45,0.35,0.5))))</x:f>
        <x:v>0.25</x:v>
      </x:c>
      <x:c r="P746" s="47" t="n">
        <x:f>J746*O746</x:f>
        <x:v>3600</x:v>
      </x:c>
      <x:c r="Q746" s="46" t="n">
        <x:f>IF(C746="P0",0,IF(D746&lt;=3,0.05,IF(D746&lt;=14,0.1,IF(D746&lt;=45,0.15,0.2))))</x:f>
        <x:v>0.1</x:v>
      </x:c>
      <x:c r="R746" s="47" t="n">
        <x:f>J746*Q746</x:f>
        <x:v>1440</x:v>
      </x:c>
      <x:c r="S746" s="20" t="str">
        <x:f>IF(D746&lt;E746,"closed",IF(D746&lt;'Paths'!$N$15,"initial","expanded"))</x:f>
        <x:v>initial</x:v>
      </x:c>
      <x:c r="T746" s="72"/>
    </x:row>
    <x:row r="747">
      <x:c r="C747" s="20" t="str">
        <x:v>P8</x:v>
      </x:c>
      <x:c r="D747" s="20" t="n">
        <x:v>12</x:v>
      </x:c>
      <x:c r="E747" s="45" t="n">
        <x:f>IF('Controls'!$D$7="Reference",'Paths'!$J$15,'Paths'!$K$15)</x:f>
        <x:v>7</x:v>
      </x:c>
      <x:c r="F747" s="47" t="n">
        <x:f>IF(D747&lt;'Paths'!$N$15,IF('Controls'!$D$7="Reference",'Paths'!$L$15,'Paths'!$M$15),IF('Controls'!$D$7="Reference",'Paths'!$O$15,'Paths'!$P$15))</x:f>
        <x:v>16000</x:v>
      </x:c>
      <x:c r="G747" s="46" t="n">
        <x:f>IF('Controls'!$D$7="Reference",1,IF(OR(D747=6,D747=7,D747=21,D747=46),'Paths'!$U$15,1))</x:f>
        <x:v>1</x:v>
      </x:c>
      <x:c r="H747" s="46" t="n">
        <x:f>IF('Controls'!$D$7="Reference",1,IF(OR(AND(D747&gt;=14,D747&lt;=16),AND(D747&gt;=34,D747&lt;=35),AND(D747&gt;=61,D747&lt;=63)),'Paths'!$V$15,1))</x:f>
        <x:v>1</x:v>
      </x:c>
      <x:c r="I747" s="46" t="n">
        <x:f>'Paths'!$W$15</x:f>
        <x:v>0.9</x:v>
      </x:c>
      <x:c r="J747" s="47" t="n">
        <x:f>IF(D747&lt;E747,0,MIN(F747*G747*H747*I747,IF('Paths'!$T$15&gt;0,MAX(0,'Paths'!$T$15-K746),1000000000)))</x:f>
        <x:v>14400</x:v>
      </x:c>
      <x:c r="K747" s="47" t="n">
        <x:f>K746+J747</x:f>
        <x:v>75600</x:v>
      </x:c>
      <x:c r="L747" s="46" t="n">
        <x:f>IF(C747="P0",1,IF(D747&lt;=3,0.8,IF(D747&lt;=14,0.65,IF(D747&lt;=45,0.5,0.3))))</x:f>
        <x:v>0.65</x:v>
      </x:c>
      <x:c r="M747" s="47" t="n">
        <x:f>J747*L747</x:f>
        <x:v>9360</x:v>
      </x:c>
      <x:c r="N747" s="47" t="n">
        <x:f>N746+M747</x:f>
        <x:v>49140</x:v>
      </x:c>
      <x:c r="O747" s="46" t="n">
        <x:f>IF(C747="P0",0,IF(D747&lt;=3,0.15,IF(D747&lt;=14,0.25,IF(D747&lt;=45,0.35,0.5))))</x:f>
        <x:v>0.25</x:v>
      </x:c>
      <x:c r="P747" s="47" t="n">
        <x:f>J747*O747</x:f>
        <x:v>3600</x:v>
      </x:c>
      <x:c r="Q747" s="46" t="n">
        <x:f>IF(C747="P0",0,IF(D747&lt;=3,0.05,IF(D747&lt;=14,0.1,IF(D747&lt;=45,0.15,0.2))))</x:f>
        <x:v>0.1</x:v>
      </x:c>
      <x:c r="R747" s="47" t="n">
        <x:f>J747*Q747</x:f>
        <x:v>1440</x:v>
      </x:c>
      <x:c r="S747" s="20" t="str">
        <x:f>IF(D747&lt;E747,"closed",IF(D747&lt;'Paths'!$N$15,"initial","expanded"))</x:f>
        <x:v>initial</x:v>
      </x:c>
      <x:c r="T747" s="72"/>
    </x:row>
    <x:row r="748">
      <x:c r="C748" s="20" t="str">
        <x:v>P8</x:v>
      </x:c>
      <x:c r="D748" s="20" t="n">
        <x:v>13</x:v>
      </x:c>
      <x:c r="E748" s="45" t="n">
        <x:f>IF('Controls'!$D$7="Reference",'Paths'!$J$15,'Paths'!$K$15)</x:f>
        <x:v>7</x:v>
      </x:c>
      <x:c r="F748" s="47" t="n">
        <x:f>IF(D748&lt;'Paths'!$N$15,IF('Controls'!$D$7="Reference",'Paths'!$L$15,'Paths'!$M$15),IF('Controls'!$D$7="Reference",'Paths'!$O$15,'Paths'!$P$15))</x:f>
        <x:v>16000</x:v>
      </x:c>
      <x:c r="G748" s="46" t="n">
        <x:f>IF('Controls'!$D$7="Reference",1,IF(OR(D748=6,D748=7,D748=21,D748=46),'Paths'!$U$15,1))</x:f>
        <x:v>1</x:v>
      </x:c>
      <x:c r="H748" s="46" t="n">
        <x:f>IF('Controls'!$D$7="Reference",1,IF(OR(AND(D748&gt;=14,D748&lt;=16),AND(D748&gt;=34,D748&lt;=35),AND(D748&gt;=61,D748&lt;=63)),'Paths'!$V$15,1))</x:f>
        <x:v>1</x:v>
      </x:c>
      <x:c r="I748" s="46" t="n">
        <x:f>'Paths'!$W$15</x:f>
        <x:v>0.9</x:v>
      </x:c>
      <x:c r="J748" s="47" t="n">
        <x:f>IF(D748&lt;E748,0,MIN(F748*G748*H748*I748,IF('Paths'!$T$15&gt;0,MAX(0,'Paths'!$T$15-K747),1000000000)))</x:f>
        <x:v>14400</x:v>
      </x:c>
      <x:c r="K748" s="47" t="n">
        <x:f>K747+J748</x:f>
        <x:v>90000</x:v>
      </x:c>
      <x:c r="L748" s="46" t="n">
        <x:f>IF(C748="P0",1,IF(D748&lt;=3,0.8,IF(D748&lt;=14,0.65,IF(D748&lt;=45,0.5,0.3))))</x:f>
        <x:v>0.65</x:v>
      </x:c>
      <x:c r="M748" s="47" t="n">
        <x:f>J748*L748</x:f>
        <x:v>9360</x:v>
      </x:c>
      <x:c r="N748" s="47" t="n">
        <x:f>N747+M748</x:f>
        <x:v>58500</x:v>
      </x:c>
      <x:c r="O748" s="46" t="n">
        <x:f>IF(C748="P0",0,IF(D748&lt;=3,0.15,IF(D748&lt;=14,0.25,IF(D748&lt;=45,0.35,0.5))))</x:f>
        <x:v>0.25</x:v>
      </x:c>
      <x:c r="P748" s="47" t="n">
        <x:f>J748*O748</x:f>
        <x:v>3600</x:v>
      </x:c>
      <x:c r="Q748" s="46" t="n">
        <x:f>IF(C748="P0",0,IF(D748&lt;=3,0.05,IF(D748&lt;=14,0.1,IF(D748&lt;=45,0.15,0.2))))</x:f>
        <x:v>0.1</x:v>
      </x:c>
      <x:c r="R748" s="47" t="n">
        <x:f>J748*Q748</x:f>
        <x:v>1440</x:v>
      </x:c>
      <x:c r="S748" s="20" t="str">
        <x:f>IF(D748&lt;E748,"closed",IF(D748&lt;'Paths'!$N$15,"initial","expanded"))</x:f>
        <x:v>initial</x:v>
      </x:c>
      <x:c r="T748" s="72"/>
    </x:row>
    <x:row r="749">
      <x:c r="C749" s="20" t="str">
        <x:v>P8</x:v>
      </x:c>
      <x:c r="D749" s="20" t="n">
        <x:v>14</x:v>
      </x:c>
      <x:c r="E749" s="45" t="n">
        <x:f>IF('Controls'!$D$7="Reference",'Paths'!$J$15,'Paths'!$K$15)</x:f>
        <x:v>7</x:v>
      </x:c>
      <x:c r="F749" s="47" t="n">
        <x:f>IF(D749&lt;'Paths'!$N$15,IF('Controls'!$D$7="Reference",'Paths'!$L$15,'Paths'!$M$15),IF('Controls'!$D$7="Reference",'Paths'!$O$15,'Paths'!$P$15))</x:f>
        <x:v>16000</x:v>
      </x:c>
      <x:c r="G749" s="46" t="n">
        <x:f>IF('Controls'!$D$7="Reference",1,IF(OR(D749=6,D749=7,D749=21,D749=46),'Paths'!$U$15,1))</x:f>
        <x:v>1</x:v>
      </x:c>
      <x:c r="H749" s="46" t="n">
        <x:f>IF('Controls'!$D$7="Reference",1,IF(OR(AND(D749&gt;=14,D749&lt;=16),AND(D749&gt;=34,D749&lt;=35),AND(D749&gt;=61,D749&lt;=63)),'Paths'!$V$15,1))</x:f>
        <x:v>0.25</x:v>
      </x:c>
      <x:c r="I749" s="46" t="n">
        <x:f>'Paths'!$W$15</x:f>
        <x:v>0.9</x:v>
      </x:c>
      <x:c r="J749" s="47" t="n">
        <x:f>IF(D749&lt;E749,0,MIN(F749*G749*H749*I749,IF('Paths'!$T$15&gt;0,MAX(0,'Paths'!$T$15-K748),1000000000)))</x:f>
        <x:v>3600</x:v>
      </x:c>
      <x:c r="K749" s="47" t="n">
        <x:f>K748+J749</x:f>
        <x:v>93600</x:v>
      </x:c>
      <x:c r="L749" s="46" t="n">
        <x:f>IF(C749="P0",1,IF(D749&lt;=3,0.8,IF(D749&lt;=14,0.65,IF(D749&lt;=45,0.5,0.3))))</x:f>
        <x:v>0.65</x:v>
      </x:c>
      <x:c r="M749" s="47" t="n">
        <x:f>J749*L749</x:f>
        <x:v>2340</x:v>
      </x:c>
      <x:c r="N749" s="47" t="n">
        <x:f>N748+M749</x:f>
        <x:v>60840</x:v>
      </x:c>
      <x:c r="O749" s="46" t="n">
        <x:f>IF(C749="P0",0,IF(D749&lt;=3,0.15,IF(D749&lt;=14,0.25,IF(D749&lt;=45,0.35,0.5))))</x:f>
        <x:v>0.25</x:v>
      </x:c>
      <x:c r="P749" s="47" t="n">
        <x:f>J749*O749</x:f>
        <x:v>900</x:v>
      </x:c>
      <x:c r="Q749" s="46" t="n">
        <x:f>IF(C749="P0",0,IF(D749&lt;=3,0.05,IF(D749&lt;=14,0.1,IF(D749&lt;=45,0.15,0.2))))</x:f>
        <x:v>0.1</x:v>
      </x:c>
      <x:c r="R749" s="47" t="n">
        <x:f>J749*Q749</x:f>
        <x:v>360</x:v>
      </x:c>
      <x:c r="S749" s="20" t="str">
        <x:f>IF(D749&lt;E749,"closed",IF(D749&lt;'Paths'!$N$15,"initial","expanded"))</x:f>
        <x:v>initial</x:v>
      </x:c>
      <x:c r="T749" s="72"/>
    </x:row>
    <x:row r="750">
      <x:c r="C750" s="20" t="str">
        <x:v>P8</x:v>
      </x:c>
      <x:c r="D750" s="20" t="n">
        <x:v>15</x:v>
      </x:c>
      <x:c r="E750" s="45" t="n">
        <x:f>IF('Controls'!$D$7="Reference",'Paths'!$J$15,'Paths'!$K$15)</x:f>
        <x:v>7</x:v>
      </x:c>
      <x:c r="F750" s="47" t="n">
        <x:f>IF(D750&lt;'Paths'!$N$15,IF('Controls'!$D$7="Reference",'Paths'!$L$15,'Paths'!$M$15),IF('Controls'!$D$7="Reference",'Paths'!$O$15,'Paths'!$P$15))</x:f>
        <x:v>16000</x:v>
      </x:c>
      <x:c r="G750" s="46" t="n">
        <x:f>IF('Controls'!$D$7="Reference",1,IF(OR(D750=6,D750=7,D750=21,D750=46),'Paths'!$U$15,1))</x:f>
        <x:v>1</x:v>
      </x:c>
      <x:c r="H750" s="46" t="n">
        <x:f>IF('Controls'!$D$7="Reference",1,IF(OR(AND(D750&gt;=14,D750&lt;=16),AND(D750&gt;=34,D750&lt;=35),AND(D750&gt;=61,D750&lt;=63)),'Paths'!$V$15,1))</x:f>
        <x:v>0.25</x:v>
      </x:c>
      <x:c r="I750" s="46" t="n">
        <x:f>'Paths'!$W$15</x:f>
        <x:v>0.9</x:v>
      </x:c>
      <x:c r="J750" s="47" t="n">
        <x:f>IF(D750&lt;E750,0,MIN(F750*G750*H750*I750,IF('Paths'!$T$15&gt;0,MAX(0,'Paths'!$T$15-K749),1000000000)))</x:f>
        <x:v>3600</x:v>
      </x:c>
      <x:c r="K750" s="47" t="n">
        <x:f>K749+J750</x:f>
        <x:v>97200</x:v>
      </x:c>
      <x:c r="L750" s="46" t="n">
        <x:f>IF(C750="P0",1,IF(D750&lt;=3,0.8,IF(D750&lt;=14,0.65,IF(D750&lt;=45,0.5,0.3))))</x:f>
        <x:v>0.5</x:v>
      </x:c>
      <x:c r="M750" s="47" t="n">
        <x:f>J750*L750</x:f>
        <x:v>1800</x:v>
      </x:c>
      <x:c r="N750" s="47" t="n">
        <x:f>N749+M750</x:f>
        <x:v>62640</x:v>
      </x:c>
      <x:c r="O750" s="46" t="n">
        <x:f>IF(C750="P0",0,IF(D750&lt;=3,0.15,IF(D750&lt;=14,0.25,IF(D750&lt;=45,0.35,0.5))))</x:f>
        <x:v>0.35</x:v>
      </x:c>
      <x:c r="P750" s="47" t="n">
        <x:f>J750*O750</x:f>
        <x:v>1260</x:v>
      </x:c>
      <x:c r="Q750" s="46" t="n">
        <x:f>IF(C750="P0",0,IF(D750&lt;=3,0.05,IF(D750&lt;=14,0.1,IF(D750&lt;=45,0.15,0.2))))</x:f>
        <x:v>0.15</x:v>
      </x:c>
      <x:c r="R750" s="47" t="n">
        <x:f>J750*Q750</x:f>
        <x:v>540</x:v>
      </x:c>
      <x:c r="S750" s="20" t="str">
        <x:f>IF(D750&lt;E750,"closed",IF(D750&lt;'Paths'!$N$15,"initial","expanded"))</x:f>
        <x:v>initial</x:v>
      </x:c>
      <x:c r="T750" s="72"/>
    </x:row>
    <x:row r="751">
      <x:c r="C751" s="20" t="str">
        <x:v>P8</x:v>
      </x:c>
      <x:c r="D751" s="20" t="n">
        <x:v>16</x:v>
      </x:c>
      <x:c r="E751" s="45" t="n">
        <x:f>IF('Controls'!$D$7="Reference",'Paths'!$J$15,'Paths'!$K$15)</x:f>
        <x:v>7</x:v>
      </x:c>
      <x:c r="F751" s="47" t="n">
        <x:f>IF(D751&lt;'Paths'!$N$15,IF('Controls'!$D$7="Reference",'Paths'!$L$15,'Paths'!$M$15),IF('Controls'!$D$7="Reference",'Paths'!$O$15,'Paths'!$P$15))</x:f>
        <x:v>16000</x:v>
      </x:c>
      <x:c r="G751" s="46" t="n">
        <x:f>IF('Controls'!$D$7="Reference",1,IF(OR(D751=6,D751=7,D751=21,D751=46),'Paths'!$U$15,1))</x:f>
        <x:v>1</x:v>
      </x:c>
      <x:c r="H751" s="46" t="n">
        <x:f>IF('Controls'!$D$7="Reference",1,IF(OR(AND(D751&gt;=14,D751&lt;=16),AND(D751&gt;=34,D751&lt;=35),AND(D751&gt;=61,D751&lt;=63)),'Paths'!$V$15,1))</x:f>
        <x:v>0.25</x:v>
      </x:c>
      <x:c r="I751" s="46" t="n">
        <x:f>'Paths'!$W$15</x:f>
        <x:v>0.9</x:v>
      </x:c>
      <x:c r="J751" s="47" t="n">
        <x:f>IF(D751&lt;E751,0,MIN(F751*G751*H751*I751,IF('Paths'!$T$15&gt;0,MAX(0,'Paths'!$T$15-K750),1000000000)))</x:f>
        <x:v>3600</x:v>
      </x:c>
      <x:c r="K751" s="47" t="n">
        <x:f>K750+J751</x:f>
        <x:v>100800</x:v>
      </x:c>
      <x:c r="L751" s="46" t="n">
        <x:f>IF(C751="P0",1,IF(D751&lt;=3,0.8,IF(D751&lt;=14,0.65,IF(D751&lt;=45,0.5,0.3))))</x:f>
        <x:v>0.5</x:v>
      </x:c>
      <x:c r="M751" s="47" t="n">
        <x:f>J751*L751</x:f>
        <x:v>1800</x:v>
      </x:c>
      <x:c r="N751" s="47" t="n">
        <x:f>N750+M751</x:f>
        <x:v>64440</x:v>
      </x:c>
      <x:c r="O751" s="46" t="n">
        <x:f>IF(C751="P0",0,IF(D751&lt;=3,0.15,IF(D751&lt;=14,0.25,IF(D751&lt;=45,0.35,0.5))))</x:f>
        <x:v>0.35</x:v>
      </x:c>
      <x:c r="P751" s="47" t="n">
        <x:f>J751*O751</x:f>
        <x:v>1260</x:v>
      </x:c>
      <x:c r="Q751" s="46" t="n">
        <x:f>IF(C751="P0",0,IF(D751&lt;=3,0.05,IF(D751&lt;=14,0.1,IF(D751&lt;=45,0.15,0.2))))</x:f>
        <x:v>0.15</x:v>
      </x:c>
      <x:c r="R751" s="47" t="n">
        <x:f>J751*Q751</x:f>
        <x:v>540</x:v>
      </x:c>
      <x:c r="S751" s="20" t="str">
        <x:f>IF(D751&lt;E751,"closed",IF(D751&lt;'Paths'!$N$15,"initial","expanded"))</x:f>
        <x:v>initial</x:v>
      </x:c>
      <x:c r="T751" s="72"/>
    </x:row>
    <x:row r="752">
      <x:c r="C752" s="20" t="str">
        <x:v>P8</x:v>
      </x:c>
      <x:c r="D752" s="20" t="n">
        <x:v>17</x:v>
      </x:c>
      <x:c r="E752" s="45" t="n">
        <x:f>IF('Controls'!$D$7="Reference",'Paths'!$J$15,'Paths'!$K$15)</x:f>
        <x:v>7</x:v>
      </x:c>
      <x:c r="F752" s="47" t="n">
        <x:f>IF(D752&lt;'Paths'!$N$15,IF('Controls'!$D$7="Reference",'Paths'!$L$15,'Paths'!$M$15),IF('Controls'!$D$7="Reference",'Paths'!$O$15,'Paths'!$P$15))</x:f>
        <x:v>16000</x:v>
      </x:c>
      <x:c r="G752" s="46" t="n">
        <x:f>IF('Controls'!$D$7="Reference",1,IF(OR(D752=6,D752=7,D752=21,D752=46),'Paths'!$U$15,1))</x:f>
        <x:v>1</x:v>
      </x:c>
      <x:c r="H752" s="46" t="n">
        <x:f>IF('Controls'!$D$7="Reference",1,IF(OR(AND(D752&gt;=14,D752&lt;=16),AND(D752&gt;=34,D752&lt;=35),AND(D752&gt;=61,D752&lt;=63)),'Paths'!$V$15,1))</x:f>
        <x:v>1</x:v>
      </x:c>
      <x:c r="I752" s="46" t="n">
        <x:f>'Paths'!$W$15</x:f>
        <x:v>0.9</x:v>
      </x:c>
      <x:c r="J752" s="47" t="n">
        <x:f>IF(D752&lt;E752,0,MIN(F752*G752*H752*I752,IF('Paths'!$T$15&gt;0,MAX(0,'Paths'!$T$15-K751),1000000000)))</x:f>
        <x:v>14400</x:v>
      </x:c>
      <x:c r="K752" s="47" t="n">
        <x:f>K751+J752</x:f>
        <x:v>115200</x:v>
      </x:c>
      <x:c r="L752" s="46" t="n">
        <x:f>IF(C752="P0",1,IF(D752&lt;=3,0.8,IF(D752&lt;=14,0.65,IF(D752&lt;=45,0.5,0.3))))</x:f>
        <x:v>0.5</x:v>
      </x:c>
      <x:c r="M752" s="47" t="n">
        <x:f>J752*L752</x:f>
        <x:v>7200</x:v>
      </x:c>
      <x:c r="N752" s="47" t="n">
        <x:f>N751+M752</x:f>
        <x:v>71640</x:v>
      </x:c>
      <x:c r="O752" s="46" t="n">
        <x:f>IF(C752="P0",0,IF(D752&lt;=3,0.15,IF(D752&lt;=14,0.25,IF(D752&lt;=45,0.35,0.5))))</x:f>
        <x:v>0.35</x:v>
      </x:c>
      <x:c r="P752" s="47" t="n">
        <x:f>J752*O752</x:f>
        <x:v>5040</x:v>
      </x:c>
      <x:c r="Q752" s="46" t="n">
        <x:f>IF(C752="P0",0,IF(D752&lt;=3,0.05,IF(D752&lt;=14,0.1,IF(D752&lt;=45,0.15,0.2))))</x:f>
        <x:v>0.15</x:v>
      </x:c>
      <x:c r="R752" s="47" t="n">
        <x:f>J752*Q752</x:f>
        <x:v>2160</x:v>
      </x:c>
      <x:c r="S752" s="20" t="str">
        <x:f>IF(D752&lt;E752,"closed",IF(D752&lt;'Paths'!$N$15,"initial","expanded"))</x:f>
        <x:v>initial</x:v>
      </x:c>
      <x:c r="T752" s="72"/>
    </x:row>
    <x:row r="753">
      <x:c r="C753" s="20" t="str">
        <x:v>P8</x:v>
      </x:c>
      <x:c r="D753" s="20" t="n">
        <x:v>18</x:v>
      </x:c>
      <x:c r="E753" s="45" t="n">
        <x:f>IF('Controls'!$D$7="Reference",'Paths'!$J$15,'Paths'!$K$15)</x:f>
        <x:v>7</x:v>
      </x:c>
      <x:c r="F753" s="47" t="n">
        <x:f>IF(D753&lt;'Paths'!$N$15,IF('Controls'!$D$7="Reference",'Paths'!$L$15,'Paths'!$M$15),IF('Controls'!$D$7="Reference",'Paths'!$O$15,'Paths'!$P$15))</x:f>
        <x:v>32000</x:v>
      </x:c>
      <x:c r="G753" s="46" t="n">
        <x:f>IF('Controls'!$D$7="Reference",1,IF(OR(D753=6,D753=7,D753=21,D753=46),'Paths'!$U$15,1))</x:f>
        <x:v>1</x:v>
      </x:c>
      <x:c r="H753" s="46" t="n">
        <x:f>IF('Controls'!$D$7="Reference",1,IF(OR(AND(D753&gt;=14,D753&lt;=16),AND(D753&gt;=34,D753&lt;=35),AND(D753&gt;=61,D753&lt;=63)),'Paths'!$V$15,1))</x:f>
        <x:v>1</x:v>
      </x:c>
      <x:c r="I753" s="46" t="n">
        <x:f>'Paths'!$W$15</x:f>
        <x:v>0.9</x:v>
      </x:c>
      <x:c r="J753" s="47" t="n">
        <x:f>IF(D753&lt;E753,0,MIN(F753*G753*H753*I753,IF('Paths'!$T$15&gt;0,MAX(0,'Paths'!$T$15-K752),1000000000)))</x:f>
        <x:v>28800</x:v>
      </x:c>
      <x:c r="K753" s="47" t="n">
        <x:f>K752+J753</x:f>
        <x:v>144000</x:v>
      </x:c>
      <x:c r="L753" s="46" t="n">
        <x:f>IF(C753="P0",1,IF(D753&lt;=3,0.8,IF(D753&lt;=14,0.65,IF(D753&lt;=45,0.5,0.3))))</x:f>
        <x:v>0.5</x:v>
      </x:c>
      <x:c r="M753" s="47" t="n">
        <x:f>J753*L753</x:f>
        <x:v>14400</x:v>
      </x:c>
      <x:c r="N753" s="47" t="n">
        <x:f>N752+M753</x:f>
        <x:v>86040</x:v>
      </x:c>
      <x:c r="O753" s="46" t="n">
        <x:f>IF(C753="P0",0,IF(D753&lt;=3,0.15,IF(D753&lt;=14,0.25,IF(D753&lt;=45,0.35,0.5))))</x:f>
        <x:v>0.35</x:v>
      </x:c>
      <x:c r="P753" s="47" t="n">
        <x:f>J753*O753</x:f>
        <x:v>10080</x:v>
      </x:c>
      <x:c r="Q753" s="46" t="n">
        <x:f>IF(C753="P0",0,IF(D753&lt;=3,0.05,IF(D753&lt;=14,0.1,IF(D753&lt;=45,0.15,0.2))))</x:f>
        <x:v>0.15</x:v>
      </x:c>
      <x:c r="R753" s="47" t="n">
        <x:f>J753*Q753</x:f>
        <x:v>4320</x:v>
      </x:c>
      <x:c r="S753" s="20" t="str">
        <x:f>IF(D753&lt;E753,"closed",IF(D753&lt;'Paths'!$N$15,"initial","expanded"))</x:f>
        <x:v>expanded</x:v>
      </x:c>
      <x:c r="T753" s="72"/>
    </x:row>
    <x:row r="754">
      <x:c r="C754" s="20" t="str">
        <x:v>P8</x:v>
      </x:c>
      <x:c r="D754" s="20" t="n">
        <x:v>19</x:v>
      </x:c>
      <x:c r="E754" s="45" t="n">
        <x:f>IF('Controls'!$D$7="Reference",'Paths'!$J$15,'Paths'!$K$15)</x:f>
        <x:v>7</x:v>
      </x:c>
      <x:c r="F754" s="47" t="n">
        <x:f>IF(D754&lt;'Paths'!$N$15,IF('Controls'!$D$7="Reference",'Paths'!$L$15,'Paths'!$M$15),IF('Controls'!$D$7="Reference",'Paths'!$O$15,'Paths'!$P$15))</x:f>
        <x:v>32000</x:v>
      </x:c>
      <x:c r="G754" s="46" t="n">
        <x:f>IF('Controls'!$D$7="Reference",1,IF(OR(D754=6,D754=7,D754=21,D754=46),'Paths'!$U$15,1))</x:f>
        <x:v>1</x:v>
      </x:c>
      <x:c r="H754" s="46" t="n">
        <x:f>IF('Controls'!$D$7="Reference",1,IF(OR(AND(D754&gt;=14,D754&lt;=16),AND(D754&gt;=34,D754&lt;=35),AND(D754&gt;=61,D754&lt;=63)),'Paths'!$V$15,1))</x:f>
        <x:v>1</x:v>
      </x:c>
      <x:c r="I754" s="46" t="n">
        <x:f>'Paths'!$W$15</x:f>
        <x:v>0.9</x:v>
      </x:c>
      <x:c r="J754" s="47" t="n">
        <x:f>IF(D754&lt;E754,0,MIN(F754*G754*H754*I754,IF('Paths'!$T$15&gt;0,MAX(0,'Paths'!$T$15-K753),1000000000)))</x:f>
        <x:v>28800</x:v>
      </x:c>
      <x:c r="K754" s="47" t="n">
        <x:f>K753+J754</x:f>
        <x:v>172800</x:v>
      </x:c>
      <x:c r="L754" s="46" t="n">
        <x:f>IF(C754="P0",1,IF(D754&lt;=3,0.8,IF(D754&lt;=14,0.65,IF(D754&lt;=45,0.5,0.3))))</x:f>
        <x:v>0.5</x:v>
      </x:c>
      <x:c r="M754" s="47" t="n">
        <x:f>J754*L754</x:f>
        <x:v>14400</x:v>
      </x:c>
      <x:c r="N754" s="47" t="n">
        <x:f>N753+M754</x:f>
        <x:v>100440</x:v>
      </x:c>
      <x:c r="O754" s="46" t="n">
        <x:f>IF(C754="P0",0,IF(D754&lt;=3,0.15,IF(D754&lt;=14,0.25,IF(D754&lt;=45,0.35,0.5))))</x:f>
        <x:v>0.35</x:v>
      </x:c>
      <x:c r="P754" s="47" t="n">
        <x:f>J754*O754</x:f>
        <x:v>10080</x:v>
      </x:c>
      <x:c r="Q754" s="46" t="n">
        <x:f>IF(C754="P0",0,IF(D754&lt;=3,0.05,IF(D754&lt;=14,0.1,IF(D754&lt;=45,0.15,0.2))))</x:f>
        <x:v>0.15</x:v>
      </x:c>
      <x:c r="R754" s="47" t="n">
        <x:f>J754*Q754</x:f>
        <x:v>4320</x:v>
      </x:c>
      <x:c r="S754" s="20" t="str">
        <x:f>IF(D754&lt;E754,"closed",IF(D754&lt;'Paths'!$N$15,"initial","expanded"))</x:f>
        <x:v>expanded</x:v>
      </x:c>
      <x:c r="T754" s="72"/>
    </x:row>
    <x:row r="755">
      <x:c r="C755" s="20" t="str">
        <x:v>P8</x:v>
      </x:c>
      <x:c r="D755" s="20" t="n">
        <x:v>20</x:v>
      </x:c>
      <x:c r="E755" s="45" t="n">
        <x:f>IF('Controls'!$D$7="Reference",'Paths'!$J$15,'Paths'!$K$15)</x:f>
        <x:v>7</x:v>
      </x:c>
      <x:c r="F755" s="47" t="n">
        <x:f>IF(D755&lt;'Paths'!$N$15,IF('Controls'!$D$7="Reference",'Paths'!$L$15,'Paths'!$M$15),IF('Controls'!$D$7="Reference",'Paths'!$O$15,'Paths'!$P$15))</x:f>
        <x:v>32000</x:v>
      </x:c>
      <x:c r="G755" s="46" t="n">
        <x:f>IF('Controls'!$D$7="Reference",1,IF(OR(D755=6,D755=7,D755=21,D755=46),'Paths'!$U$15,1))</x:f>
        <x:v>1</x:v>
      </x:c>
      <x:c r="H755" s="46" t="n">
        <x:f>IF('Controls'!$D$7="Reference",1,IF(OR(AND(D755&gt;=14,D755&lt;=16),AND(D755&gt;=34,D755&lt;=35),AND(D755&gt;=61,D755&lt;=63)),'Paths'!$V$15,1))</x:f>
        <x:v>1</x:v>
      </x:c>
      <x:c r="I755" s="46" t="n">
        <x:f>'Paths'!$W$15</x:f>
        <x:v>0.9</x:v>
      </x:c>
      <x:c r="J755" s="47" t="n">
        <x:f>IF(D755&lt;E755,0,MIN(F755*G755*H755*I755,IF('Paths'!$T$15&gt;0,MAX(0,'Paths'!$T$15-K754),1000000000)))</x:f>
        <x:v>28800</x:v>
      </x:c>
      <x:c r="K755" s="47" t="n">
        <x:f>K754+J755</x:f>
        <x:v>201600</x:v>
      </x:c>
      <x:c r="L755" s="46" t="n">
        <x:f>IF(C755="P0",1,IF(D755&lt;=3,0.8,IF(D755&lt;=14,0.65,IF(D755&lt;=45,0.5,0.3))))</x:f>
        <x:v>0.5</x:v>
      </x:c>
      <x:c r="M755" s="47" t="n">
        <x:f>J755*L755</x:f>
        <x:v>14400</x:v>
      </x:c>
      <x:c r="N755" s="47" t="n">
        <x:f>N754+M755</x:f>
        <x:v>114840</x:v>
      </x:c>
      <x:c r="O755" s="46" t="n">
        <x:f>IF(C755="P0",0,IF(D755&lt;=3,0.15,IF(D755&lt;=14,0.25,IF(D755&lt;=45,0.35,0.5))))</x:f>
        <x:v>0.35</x:v>
      </x:c>
      <x:c r="P755" s="47" t="n">
        <x:f>J755*O755</x:f>
        <x:v>10080</x:v>
      </x:c>
      <x:c r="Q755" s="46" t="n">
        <x:f>IF(C755="P0",0,IF(D755&lt;=3,0.05,IF(D755&lt;=14,0.1,IF(D755&lt;=45,0.15,0.2))))</x:f>
        <x:v>0.15</x:v>
      </x:c>
      <x:c r="R755" s="47" t="n">
        <x:f>J755*Q755</x:f>
        <x:v>4320</x:v>
      </x:c>
      <x:c r="S755" s="20" t="str">
        <x:f>IF(D755&lt;E755,"closed",IF(D755&lt;'Paths'!$N$15,"initial","expanded"))</x:f>
        <x:v>expanded</x:v>
      </x:c>
      <x:c r="T755" s="72"/>
    </x:row>
    <x:row r="756">
      <x:c r="C756" s="20" t="str">
        <x:v>P8</x:v>
      </x:c>
      <x:c r="D756" s="20" t="n">
        <x:v>21</x:v>
      </x:c>
      <x:c r="E756" s="45" t="n">
        <x:f>IF('Controls'!$D$7="Reference",'Paths'!$J$15,'Paths'!$K$15)</x:f>
        <x:v>7</x:v>
      </x:c>
      <x:c r="F756" s="47" t="n">
        <x:f>IF(D756&lt;'Paths'!$N$15,IF('Controls'!$D$7="Reference",'Paths'!$L$15,'Paths'!$M$15),IF('Controls'!$D$7="Reference",'Paths'!$O$15,'Paths'!$P$15))</x:f>
        <x:v>32000</x:v>
      </x:c>
      <x:c r="G756" s="46" t="n">
        <x:f>IF('Controls'!$D$7="Reference",1,IF(OR(D756=6,D756=7,D756=21,D756=46),'Paths'!$U$15,1))</x:f>
        <x:v>0.25</x:v>
      </x:c>
      <x:c r="H756" s="46" t="n">
        <x:f>IF('Controls'!$D$7="Reference",1,IF(OR(AND(D756&gt;=14,D756&lt;=16),AND(D756&gt;=34,D756&lt;=35),AND(D756&gt;=61,D756&lt;=63)),'Paths'!$V$15,1))</x:f>
        <x:v>1</x:v>
      </x:c>
      <x:c r="I756" s="46" t="n">
        <x:f>'Paths'!$W$15</x:f>
        <x:v>0.9</x:v>
      </x:c>
      <x:c r="J756" s="47" t="n">
        <x:f>IF(D756&lt;E756,0,MIN(F756*G756*H756*I756,IF('Paths'!$T$15&gt;0,MAX(0,'Paths'!$T$15-K755),1000000000)))</x:f>
        <x:v>7200</x:v>
      </x:c>
      <x:c r="K756" s="47" t="n">
        <x:f>K755+J756</x:f>
        <x:v>208800</x:v>
      </x:c>
      <x:c r="L756" s="46" t="n">
        <x:f>IF(C756="P0",1,IF(D756&lt;=3,0.8,IF(D756&lt;=14,0.65,IF(D756&lt;=45,0.5,0.3))))</x:f>
        <x:v>0.5</x:v>
      </x:c>
      <x:c r="M756" s="47" t="n">
        <x:f>J756*L756</x:f>
        <x:v>3600</x:v>
      </x:c>
      <x:c r="N756" s="47" t="n">
        <x:f>N755+M756</x:f>
        <x:v>118440</x:v>
      </x:c>
      <x:c r="O756" s="46" t="n">
        <x:f>IF(C756="P0",0,IF(D756&lt;=3,0.15,IF(D756&lt;=14,0.25,IF(D756&lt;=45,0.35,0.5))))</x:f>
        <x:v>0.35</x:v>
      </x:c>
      <x:c r="P756" s="47" t="n">
        <x:f>J756*O756</x:f>
        <x:v>2520</x:v>
      </x:c>
      <x:c r="Q756" s="46" t="n">
        <x:f>IF(C756="P0",0,IF(D756&lt;=3,0.05,IF(D756&lt;=14,0.1,IF(D756&lt;=45,0.15,0.2))))</x:f>
        <x:v>0.15</x:v>
      </x:c>
      <x:c r="R756" s="47" t="n">
        <x:f>J756*Q756</x:f>
        <x:v>1080</x:v>
      </x:c>
      <x:c r="S756" s="20" t="str">
        <x:f>IF(D756&lt;E756,"closed",IF(D756&lt;'Paths'!$N$15,"initial","expanded"))</x:f>
        <x:v>expanded</x:v>
      </x:c>
      <x:c r="T756" s="72"/>
    </x:row>
    <x:row r="757">
      <x:c r="C757" s="20" t="str">
        <x:v>P8</x:v>
      </x:c>
      <x:c r="D757" s="20" t="n">
        <x:v>22</x:v>
      </x:c>
      <x:c r="E757" s="45" t="n">
        <x:f>IF('Controls'!$D$7="Reference",'Paths'!$J$15,'Paths'!$K$15)</x:f>
        <x:v>7</x:v>
      </x:c>
      <x:c r="F757" s="47" t="n">
        <x:f>IF(D757&lt;'Paths'!$N$15,IF('Controls'!$D$7="Reference",'Paths'!$L$15,'Paths'!$M$15),IF('Controls'!$D$7="Reference",'Paths'!$O$15,'Paths'!$P$15))</x:f>
        <x:v>32000</x:v>
      </x:c>
      <x:c r="G757" s="46" t="n">
        <x:f>IF('Controls'!$D$7="Reference",1,IF(OR(D757=6,D757=7,D757=21,D757=46),'Paths'!$U$15,1))</x:f>
        <x:v>1</x:v>
      </x:c>
      <x:c r="H757" s="46" t="n">
        <x:f>IF('Controls'!$D$7="Reference",1,IF(OR(AND(D757&gt;=14,D757&lt;=16),AND(D757&gt;=34,D757&lt;=35),AND(D757&gt;=61,D757&lt;=63)),'Paths'!$V$15,1))</x:f>
        <x:v>1</x:v>
      </x:c>
      <x:c r="I757" s="46" t="n">
        <x:f>'Paths'!$W$15</x:f>
        <x:v>0.9</x:v>
      </x:c>
      <x:c r="J757" s="47" t="n">
        <x:f>IF(D757&lt;E757,0,MIN(F757*G757*H757*I757,IF('Paths'!$T$15&gt;0,MAX(0,'Paths'!$T$15-K756),1000000000)))</x:f>
        <x:v>28800</x:v>
      </x:c>
      <x:c r="K757" s="47" t="n">
        <x:f>K756+J757</x:f>
        <x:v>237600</x:v>
      </x:c>
      <x:c r="L757" s="46" t="n">
        <x:f>IF(C757="P0",1,IF(D757&lt;=3,0.8,IF(D757&lt;=14,0.65,IF(D757&lt;=45,0.5,0.3))))</x:f>
        <x:v>0.5</x:v>
      </x:c>
      <x:c r="M757" s="47" t="n">
        <x:f>J757*L757</x:f>
        <x:v>14400</x:v>
      </x:c>
      <x:c r="N757" s="47" t="n">
        <x:f>N756+M757</x:f>
        <x:v>132840</x:v>
      </x:c>
      <x:c r="O757" s="46" t="n">
        <x:f>IF(C757="P0",0,IF(D757&lt;=3,0.15,IF(D757&lt;=14,0.25,IF(D757&lt;=45,0.35,0.5))))</x:f>
        <x:v>0.35</x:v>
      </x:c>
      <x:c r="P757" s="47" t="n">
        <x:f>J757*O757</x:f>
        <x:v>10080</x:v>
      </x:c>
      <x:c r="Q757" s="46" t="n">
        <x:f>IF(C757="P0",0,IF(D757&lt;=3,0.05,IF(D757&lt;=14,0.1,IF(D757&lt;=45,0.15,0.2))))</x:f>
        <x:v>0.15</x:v>
      </x:c>
      <x:c r="R757" s="47" t="n">
        <x:f>J757*Q757</x:f>
        <x:v>4320</x:v>
      </x:c>
      <x:c r="S757" s="20" t="str">
        <x:f>IF(D757&lt;E757,"closed",IF(D757&lt;'Paths'!$N$15,"initial","expanded"))</x:f>
        <x:v>expanded</x:v>
      </x:c>
      <x:c r="T757" s="72"/>
    </x:row>
    <x:row r="758">
      <x:c r="C758" s="20" t="str">
        <x:v>P8</x:v>
      </x:c>
      <x:c r="D758" s="20" t="n">
        <x:v>23</x:v>
      </x:c>
      <x:c r="E758" s="45" t="n">
        <x:f>IF('Controls'!$D$7="Reference",'Paths'!$J$15,'Paths'!$K$15)</x:f>
        <x:v>7</x:v>
      </x:c>
      <x:c r="F758" s="47" t="n">
        <x:f>IF(D758&lt;'Paths'!$N$15,IF('Controls'!$D$7="Reference",'Paths'!$L$15,'Paths'!$M$15),IF('Controls'!$D$7="Reference",'Paths'!$O$15,'Paths'!$P$15))</x:f>
        <x:v>32000</x:v>
      </x:c>
      <x:c r="G758" s="46" t="n">
        <x:f>IF('Controls'!$D$7="Reference",1,IF(OR(D758=6,D758=7,D758=21,D758=46),'Paths'!$U$15,1))</x:f>
        <x:v>1</x:v>
      </x:c>
      <x:c r="H758" s="46" t="n">
        <x:f>IF('Controls'!$D$7="Reference",1,IF(OR(AND(D758&gt;=14,D758&lt;=16),AND(D758&gt;=34,D758&lt;=35),AND(D758&gt;=61,D758&lt;=63)),'Paths'!$V$15,1))</x:f>
        <x:v>1</x:v>
      </x:c>
      <x:c r="I758" s="46" t="n">
        <x:f>'Paths'!$W$15</x:f>
        <x:v>0.9</x:v>
      </x:c>
      <x:c r="J758" s="47" t="n">
        <x:f>IF(D758&lt;E758,0,MIN(F758*G758*H758*I758,IF('Paths'!$T$15&gt;0,MAX(0,'Paths'!$T$15-K757),1000000000)))</x:f>
        <x:v>28800</x:v>
      </x:c>
      <x:c r="K758" s="47" t="n">
        <x:f>K757+J758</x:f>
        <x:v>266400</x:v>
      </x:c>
      <x:c r="L758" s="46" t="n">
        <x:f>IF(C758="P0",1,IF(D758&lt;=3,0.8,IF(D758&lt;=14,0.65,IF(D758&lt;=45,0.5,0.3))))</x:f>
        <x:v>0.5</x:v>
      </x:c>
      <x:c r="M758" s="47" t="n">
        <x:f>J758*L758</x:f>
        <x:v>14400</x:v>
      </x:c>
      <x:c r="N758" s="47" t="n">
        <x:f>N757+M758</x:f>
        <x:v>147240</x:v>
      </x:c>
      <x:c r="O758" s="46" t="n">
        <x:f>IF(C758="P0",0,IF(D758&lt;=3,0.15,IF(D758&lt;=14,0.25,IF(D758&lt;=45,0.35,0.5))))</x:f>
        <x:v>0.35</x:v>
      </x:c>
      <x:c r="P758" s="47" t="n">
        <x:f>J758*O758</x:f>
        <x:v>10080</x:v>
      </x:c>
      <x:c r="Q758" s="46" t="n">
        <x:f>IF(C758="P0",0,IF(D758&lt;=3,0.05,IF(D758&lt;=14,0.1,IF(D758&lt;=45,0.15,0.2))))</x:f>
        <x:v>0.15</x:v>
      </x:c>
      <x:c r="R758" s="47" t="n">
        <x:f>J758*Q758</x:f>
        <x:v>4320</x:v>
      </x:c>
      <x:c r="S758" s="20" t="str">
        <x:f>IF(D758&lt;E758,"closed",IF(D758&lt;'Paths'!$N$15,"initial","expanded"))</x:f>
        <x:v>expanded</x:v>
      </x:c>
      <x:c r="T758" s="72"/>
    </x:row>
    <x:row r="759">
      <x:c r="C759" s="20" t="str">
        <x:v>P8</x:v>
      </x:c>
      <x:c r="D759" s="20" t="n">
        <x:v>24</x:v>
      </x:c>
      <x:c r="E759" s="45" t="n">
        <x:f>IF('Controls'!$D$7="Reference",'Paths'!$J$15,'Paths'!$K$15)</x:f>
        <x:v>7</x:v>
      </x:c>
      <x:c r="F759" s="47" t="n">
        <x:f>IF(D759&lt;'Paths'!$N$15,IF('Controls'!$D$7="Reference",'Paths'!$L$15,'Paths'!$M$15),IF('Controls'!$D$7="Reference",'Paths'!$O$15,'Paths'!$P$15))</x:f>
        <x:v>32000</x:v>
      </x:c>
      <x:c r="G759" s="46" t="n">
        <x:f>IF('Controls'!$D$7="Reference",1,IF(OR(D759=6,D759=7,D759=21,D759=46),'Paths'!$U$15,1))</x:f>
        <x:v>1</x:v>
      </x:c>
      <x:c r="H759" s="46" t="n">
        <x:f>IF('Controls'!$D$7="Reference",1,IF(OR(AND(D759&gt;=14,D759&lt;=16),AND(D759&gt;=34,D759&lt;=35),AND(D759&gt;=61,D759&lt;=63)),'Paths'!$V$15,1))</x:f>
        <x:v>1</x:v>
      </x:c>
      <x:c r="I759" s="46" t="n">
        <x:f>'Paths'!$W$15</x:f>
        <x:v>0.9</x:v>
      </x:c>
      <x:c r="J759" s="47" t="n">
        <x:f>IF(D759&lt;E759,0,MIN(F759*G759*H759*I759,IF('Paths'!$T$15&gt;0,MAX(0,'Paths'!$T$15-K758),1000000000)))</x:f>
        <x:v>28800</x:v>
      </x:c>
      <x:c r="K759" s="47" t="n">
        <x:f>K758+J759</x:f>
        <x:v>295200</x:v>
      </x:c>
      <x:c r="L759" s="46" t="n">
        <x:f>IF(C759="P0",1,IF(D759&lt;=3,0.8,IF(D759&lt;=14,0.65,IF(D759&lt;=45,0.5,0.3))))</x:f>
        <x:v>0.5</x:v>
      </x:c>
      <x:c r="M759" s="47" t="n">
        <x:f>J759*L759</x:f>
        <x:v>14400</x:v>
      </x:c>
      <x:c r="N759" s="47" t="n">
        <x:f>N758+M759</x:f>
        <x:v>161640</x:v>
      </x:c>
      <x:c r="O759" s="46" t="n">
        <x:f>IF(C759="P0",0,IF(D759&lt;=3,0.15,IF(D759&lt;=14,0.25,IF(D759&lt;=45,0.35,0.5))))</x:f>
        <x:v>0.35</x:v>
      </x:c>
      <x:c r="P759" s="47" t="n">
        <x:f>J759*O759</x:f>
        <x:v>10080</x:v>
      </x:c>
      <x:c r="Q759" s="46" t="n">
        <x:f>IF(C759="P0",0,IF(D759&lt;=3,0.05,IF(D759&lt;=14,0.1,IF(D759&lt;=45,0.15,0.2))))</x:f>
        <x:v>0.15</x:v>
      </x:c>
      <x:c r="R759" s="47" t="n">
        <x:f>J759*Q759</x:f>
        <x:v>4320</x:v>
      </x:c>
      <x:c r="S759" s="20" t="str">
        <x:f>IF(D759&lt;E759,"closed",IF(D759&lt;'Paths'!$N$15,"initial","expanded"))</x:f>
        <x:v>expanded</x:v>
      </x:c>
      <x:c r="T759" s="72"/>
    </x:row>
    <x:row r="760">
      <x:c r="C760" s="20" t="str">
        <x:v>P8</x:v>
      </x:c>
      <x:c r="D760" s="20" t="n">
        <x:v>25</x:v>
      </x:c>
      <x:c r="E760" s="45" t="n">
        <x:f>IF('Controls'!$D$7="Reference",'Paths'!$J$15,'Paths'!$K$15)</x:f>
        <x:v>7</x:v>
      </x:c>
      <x:c r="F760" s="47" t="n">
        <x:f>IF(D760&lt;'Paths'!$N$15,IF('Controls'!$D$7="Reference",'Paths'!$L$15,'Paths'!$M$15),IF('Controls'!$D$7="Reference",'Paths'!$O$15,'Paths'!$P$15))</x:f>
        <x:v>32000</x:v>
      </x:c>
      <x:c r="G760" s="46" t="n">
        <x:f>IF('Controls'!$D$7="Reference",1,IF(OR(D760=6,D760=7,D760=21,D760=46),'Paths'!$U$15,1))</x:f>
        <x:v>1</x:v>
      </x:c>
      <x:c r="H760" s="46" t="n">
        <x:f>IF('Controls'!$D$7="Reference",1,IF(OR(AND(D760&gt;=14,D760&lt;=16),AND(D760&gt;=34,D760&lt;=35),AND(D760&gt;=61,D760&lt;=63)),'Paths'!$V$15,1))</x:f>
        <x:v>1</x:v>
      </x:c>
      <x:c r="I760" s="46" t="n">
        <x:f>'Paths'!$W$15</x:f>
        <x:v>0.9</x:v>
      </x:c>
      <x:c r="J760" s="47" t="n">
        <x:f>IF(D760&lt;E760,0,MIN(F760*G760*H760*I760,IF('Paths'!$T$15&gt;0,MAX(0,'Paths'!$T$15-K759),1000000000)))</x:f>
        <x:v>28800</x:v>
      </x:c>
      <x:c r="K760" s="47" t="n">
        <x:f>K759+J760</x:f>
        <x:v>324000</x:v>
      </x:c>
      <x:c r="L760" s="46" t="n">
        <x:f>IF(C760="P0",1,IF(D760&lt;=3,0.8,IF(D760&lt;=14,0.65,IF(D760&lt;=45,0.5,0.3))))</x:f>
        <x:v>0.5</x:v>
      </x:c>
      <x:c r="M760" s="47" t="n">
        <x:f>J760*L760</x:f>
        <x:v>14400</x:v>
      </x:c>
      <x:c r="N760" s="47" t="n">
        <x:f>N759+M760</x:f>
        <x:v>176040</x:v>
      </x:c>
      <x:c r="O760" s="46" t="n">
        <x:f>IF(C760="P0",0,IF(D760&lt;=3,0.15,IF(D760&lt;=14,0.25,IF(D760&lt;=45,0.35,0.5))))</x:f>
        <x:v>0.35</x:v>
      </x:c>
      <x:c r="P760" s="47" t="n">
        <x:f>J760*O760</x:f>
        <x:v>10080</x:v>
      </x:c>
      <x:c r="Q760" s="46" t="n">
        <x:f>IF(C760="P0",0,IF(D760&lt;=3,0.05,IF(D760&lt;=14,0.1,IF(D760&lt;=45,0.15,0.2))))</x:f>
        <x:v>0.15</x:v>
      </x:c>
      <x:c r="R760" s="47" t="n">
        <x:f>J760*Q760</x:f>
        <x:v>4320</x:v>
      </x:c>
      <x:c r="S760" s="20" t="str">
        <x:f>IF(D760&lt;E760,"closed",IF(D760&lt;'Paths'!$N$15,"initial","expanded"))</x:f>
        <x:v>expanded</x:v>
      </x:c>
      <x:c r="T760" s="72"/>
    </x:row>
    <x:row r="761">
      <x:c r="C761" s="20" t="str">
        <x:v>P8</x:v>
      </x:c>
      <x:c r="D761" s="20" t="n">
        <x:v>26</x:v>
      </x:c>
      <x:c r="E761" s="45" t="n">
        <x:f>IF('Controls'!$D$7="Reference",'Paths'!$J$15,'Paths'!$K$15)</x:f>
        <x:v>7</x:v>
      </x:c>
      <x:c r="F761" s="47" t="n">
        <x:f>IF(D761&lt;'Paths'!$N$15,IF('Controls'!$D$7="Reference",'Paths'!$L$15,'Paths'!$M$15),IF('Controls'!$D$7="Reference",'Paths'!$O$15,'Paths'!$P$15))</x:f>
        <x:v>32000</x:v>
      </x:c>
      <x:c r="G761" s="46" t="n">
        <x:f>IF('Controls'!$D$7="Reference",1,IF(OR(D761=6,D761=7,D761=21,D761=46),'Paths'!$U$15,1))</x:f>
        <x:v>1</x:v>
      </x:c>
      <x:c r="H761" s="46" t="n">
        <x:f>IF('Controls'!$D$7="Reference",1,IF(OR(AND(D761&gt;=14,D761&lt;=16),AND(D761&gt;=34,D761&lt;=35),AND(D761&gt;=61,D761&lt;=63)),'Paths'!$V$15,1))</x:f>
        <x:v>1</x:v>
      </x:c>
      <x:c r="I761" s="46" t="n">
        <x:f>'Paths'!$W$15</x:f>
        <x:v>0.9</x:v>
      </x:c>
      <x:c r="J761" s="47" t="n">
        <x:f>IF(D761&lt;E761,0,MIN(F761*G761*H761*I761,IF('Paths'!$T$15&gt;0,MAX(0,'Paths'!$T$15-K760),1000000000)))</x:f>
        <x:v>28800</x:v>
      </x:c>
      <x:c r="K761" s="47" t="n">
        <x:f>K760+J761</x:f>
        <x:v>352800</x:v>
      </x:c>
      <x:c r="L761" s="46" t="n">
        <x:f>IF(C761="P0",1,IF(D761&lt;=3,0.8,IF(D761&lt;=14,0.65,IF(D761&lt;=45,0.5,0.3))))</x:f>
        <x:v>0.5</x:v>
      </x:c>
      <x:c r="M761" s="47" t="n">
        <x:f>J761*L761</x:f>
        <x:v>14400</x:v>
      </x:c>
      <x:c r="N761" s="47" t="n">
        <x:f>N760+M761</x:f>
        <x:v>190440</x:v>
      </x:c>
      <x:c r="O761" s="46" t="n">
        <x:f>IF(C761="P0",0,IF(D761&lt;=3,0.15,IF(D761&lt;=14,0.25,IF(D761&lt;=45,0.35,0.5))))</x:f>
        <x:v>0.35</x:v>
      </x:c>
      <x:c r="P761" s="47" t="n">
        <x:f>J761*O761</x:f>
        <x:v>10080</x:v>
      </x:c>
      <x:c r="Q761" s="46" t="n">
        <x:f>IF(C761="P0",0,IF(D761&lt;=3,0.05,IF(D761&lt;=14,0.1,IF(D761&lt;=45,0.15,0.2))))</x:f>
        <x:v>0.15</x:v>
      </x:c>
      <x:c r="R761" s="47" t="n">
        <x:f>J761*Q761</x:f>
        <x:v>4320</x:v>
      </x:c>
      <x:c r="S761" s="20" t="str">
        <x:f>IF(D761&lt;E761,"closed",IF(D761&lt;'Paths'!$N$15,"initial","expanded"))</x:f>
        <x:v>expanded</x:v>
      </x:c>
      <x:c r="T761" s="72"/>
    </x:row>
    <x:row r="762">
      <x:c r="C762" s="20" t="str">
        <x:v>P8</x:v>
      </x:c>
      <x:c r="D762" s="20" t="n">
        <x:v>27</x:v>
      </x:c>
      <x:c r="E762" s="45" t="n">
        <x:f>IF('Controls'!$D$7="Reference",'Paths'!$J$15,'Paths'!$K$15)</x:f>
        <x:v>7</x:v>
      </x:c>
      <x:c r="F762" s="47" t="n">
        <x:f>IF(D762&lt;'Paths'!$N$15,IF('Controls'!$D$7="Reference",'Paths'!$L$15,'Paths'!$M$15),IF('Controls'!$D$7="Reference",'Paths'!$O$15,'Paths'!$P$15))</x:f>
        <x:v>32000</x:v>
      </x:c>
      <x:c r="G762" s="46" t="n">
        <x:f>IF('Controls'!$D$7="Reference",1,IF(OR(D762=6,D762=7,D762=21,D762=46),'Paths'!$U$15,1))</x:f>
        <x:v>1</x:v>
      </x:c>
      <x:c r="H762" s="46" t="n">
        <x:f>IF('Controls'!$D$7="Reference",1,IF(OR(AND(D762&gt;=14,D762&lt;=16),AND(D762&gt;=34,D762&lt;=35),AND(D762&gt;=61,D762&lt;=63)),'Paths'!$V$15,1))</x:f>
        <x:v>1</x:v>
      </x:c>
      <x:c r="I762" s="46" t="n">
        <x:f>'Paths'!$W$15</x:f>
        <x:v>0.9</x:v>
      </x:c>
      <x:c r="J762" s="47" t="n">
        <x:f>IF(D762&lt;E762,0,MIN(F762*G762*H762*I762,IF('Paths'!$T$15&gt;0,MAX(0,'Paths'!$T$15-K761),1000000000)))</x:f>
        <x:v>28800</x:v>
      </x:c>
      <x:c r="K762" s="47" t="n">
        <x:f>K761+J762</x:f>
        <x:v>381600</x:v>
      </x:c>
      <x:c r="L762" s="46" t="n">
        <x:f>IF(C762="P0",1,IF(D762&lt;=3,0.8,IF(D762&lt;=14,0.65,IF(D762&lt;=45,0.5,0.3))))</x:f>
        <x:v>0.5</x:v>
      </x:c>
      <x:c r="M762" s="47" t="n">
        <x:f>J762*L762</x:f>
        <x:v>14400</x:v>
      </x:c>
      <x:c r="N762" s="47" t="n">
        <x:f>N761+M762</x:f>
        <x:v>204840</x:v>
      </x:c>
      <x:c r="O762" s="46" t="n">
        <x:f>IF(C762="P0",0,IF(D762&lt;=3,0.15,IF(D762&lt;=14,0.25,IF(D762&lt;=45,0.35,0.5))))</x:f>
        <x:v>0.35</x:v>
      </x:c>
      <x:c r="P762" s="47" t="n">
        <x:f>J762*O762</x:f>
        <x:v>10080</x:v>
      </x:c>
      <x:c r="Q762" s="46" t="n">
        <x:f>IF(C762="P0",0,IF(D762&lt;=3,0.05,IF(D762&lt;=14,0.1,IF(D762&lt;=45,0.15,0.2))))</x:f>
        <x:v>0.15</x:v>
      </x:c>
      <x:c r="R762" s="47" t="n">
        <x:f>J762*Q762</x:f>
        <x:v>4320</x:v>
      </x:c>
      <x:c r="S762" s="20" t="str">
        <x:f>IF(D762&lt;E762,"closed",IF(D762&lt;'Paths'!$N$15,"initial","expanded"))</x:f>
        <x:v>expanded</x:v>
      </x:c>
      <x:c r="T762" s="72"/>
    </x:row>
    <x:row r="763">
      <x:c r="C763" s="20" t="str">
        <x:v>P8</x:v>
      </x:c>
      <x:c r="D763" s="20" t="n">
        <x:v>28</x:v>
      </x:c>
      <x:c r="E763" s="45" t="n">
        <x:f>IF('Controls'!$D$7="Reference",'Paths'!$J$15,'Paths'!$K$15)</x:f>
        <x:v>7</x:v>
      </x:c>
      <x:c r="F763" s="47" t="n">
        <x:f>IF(D763&lt;'Paths'!$N$15,IF('Controls'!$D$7="Reference",'Paths'!$L$15,'Paths'!$M$15),IF('Controls'!$D$7="Reference",'Paths'!$O$15,'Paths'!$P$15))</x:f>
        <x:v>32000</x:v>
      </x:c>
      <x:c r="G763" s="46" t="n">
        <x:f>IF('Controls'!$D$7="Reference",1,IF(OR(D763=6,D763=7,D763=21,D763=46),'Paths'!$U$15,1))</x:f>
        <x:v>1</x:v>
      </x:c>
      <x:c r="H763" s="46" t="n">
        <x:f>IF('Controls'!$D$7="Reference",1,IF(OR(AND(D763&gt;=14,D763&lt;=16),AND(D763&gt;=34,D763&lt;=35),AND(D763&gt;=61,D763&lt;=63)),'Paths'!$V$15,1))</x:f>
        <x:v>1</x:v>
      </x:c>
      <x:c r="I763" s="46" t="n">
        <x:f>'Paths'!$W$15</x:f>
        <x:v>0.9</x:v>
      </x:c>
      <x:c r="J763" s="47" t="n">
        <x:f>IF(D763&lt;E763,0,MIN(F763*G763*H763*I763,IF('Paths'!$T$15&gt;0,MAX(0,'Paths'!$T$15-K762),1000000000)))</x:f>
        <x:v>28800</x:v>
      </x:c>
      <x:c r="K763" s="47" t="n">
        <x:f>K762+J763</x:f>
        <x:v>410400</x:v>
      </x:c>
      <x:c r="L763" s="46" t="n">
        <x:f>IF(C763="P0",1,IF(D763&lt;=3,0.8,IF(D763&lt;=14,0.65,IF(D763&lt;=45,0.5,0.3))))</x:f>
        <x:v>0.5</x:v>
      </x:c>
      <x:c r="M763" s="47" t="n">
        <x:f>J763*L763</x:f>
        <x:v>14400</x:v>
      </x:c>
      <x:c r="N763" s="47" t="n">
        <x:f>N762+M763</x:f>
        <x:v>219240</x:v>
      </x:c>
      <x:c r="O763" s="46" t="n">
        <x:f>IF(C763="P0",0,IF(D763&lt;=3,0.15,IF(D763&lt;=14,0.25,IF(D763&lt;=45,0.35,0.5))))</x:f>
        <x:v>0.35</x:v>
      </x:c>
      <x:c r="P763" s="47" t="n">
        <x:f>J763*O763</x:f>
        <x:v>10080</x:v>
      </x:c>
      <x:c r="Q763" s="46" t="n">
        <x:f>IF(C763="P0",0,IF(D763&lt;=3,0.05,IF(D763&lt;=14,0.1,IF(D763&lt;=45,0.15,0.2))))</x:f>
        <x:v>0.15</x:v>
      </x:c>
      <x:c r="R763" s="47" t="n">
        <x:f>J763*Q763</x:f>
        <x:v>4320</x:v>
      </x:c>
      <x:c r="S763" s="20" t="str">
        <x:f>IF(D763&lt;E763,"closed",IF(D763&lt;'Paths'!$N$15,"initial","expanded"))</x:f>
        <x:v>expanded</x:v>
      </x:c>
      <x:c r="T763" s="72"/>
    </x:row>
    <x:row r="764">
      <x:c r="C764" s="20" t="str">
        <x:v>P8</x:v>
      </x:c>
      <x:c r="D764" s="20" t="n">
        <x:v>29</x:v>
      </x:c>
      <x:c r="E764" s="45" t="n">
        <x:f>IF('Controls'!$D$7="Reference",'Paths'!$J$15,'Paths'!$K$15)</x:f>
        <x:v>7</x:v>
      </x:c>
      <x:c r="F764" s="47" t="n">
        <x:f>IF(D764&lt;'Paths'!$N$15,IF('Controls'!$D$7="Reference",'Paths'!$L$15,'Paths'!$M$15),IF('Controls'!$D$7="Reference",'Paths'!$O$15,'Paths'!$P$15))</x:f>
        <x:v>32000</x:v>
      </x:c>
      <x:c r="G764" s="46" t="n">
        <x:f>IF('Controls'!$D$7="Reference",1,IF(OR(D764=6,D764=7,D764=21,D764=46),'Paths'!$U$15,1))</x:f>
        <x:v>1</x:v>
      </x:c>
      <x:c r="H764" s="46" t="n">
        <x:f>IF('Controls'!$D$7="Reference",1,IF(OR(AND(D764&gt;=14,D764&lt;=16),AND(D764&gt;=34,D764&lt;=35),AND(D764&gt;=61,D764&lt;=63)),'Paths'!$V$15,1))</x:f>
        <x:v>1</x:v>
      </x:c>
      <x:c r="I764" s="46" t="n">
        <x:f>'Paths'!$W$15</x:f>
        <x:v>0.9</x:v>
      </x:c>
      <x:c r="J764" s="47" t="n">
        <x:f>IF(D764&lt;E764,0,MIN(F764*G764*H764*I764,IF('Paths'!$T$15&gt;0,MAX(0,'Paths'!$T$15-K763),1000000000)))</x:f>
        <x:v>28800</x:v>
      </x:c>
      <x:c r="K764" s="47" t="n">
        <x:f>K763+J764</x:f>
        <x:v>439200</x:v>
      </x:c>
      <x:c r="L764" s="46" t="n">
        <x:f>IF(C764="P0",1,IF(D764&lt;=3,0.8,IF(D764&lt;=14,0.65,IF(D764&lt;=45,0.5,0.3))))</x:f>
        <x:v>0.5</x:v>
      </x:c>
      <x:c r="M764" s="47" t="n">
        <x:f>J764*L764</x:f>
        <x:v>14400</x:v>
      </x:c>
      <x:c r="N764" s="47" t="n">
        <x:f>N763+M764</x:f>
        <x:v>233640</x:v>
      </x:c>
      <x:c r="O764" s="46" t="n">
        <x:f>IF(C764="P0",0,IF(D764&lt;=3,0.15,IF(D764&lt;=14,0.25,IF(D764&lt;=45,0.35,0.5))))</x:f>
        <x:v>0.35</x:v>
      </x:c>
      <x:c r="P764" s="47" t="n">
        <x:f>J764*O764</x:f>
        <x:v>10080</x:v>
      </x:c>
      <x:c r="Q764" s="46" t="n">
        <x:f>IF(C764="P0",0,IF(D764&lt;=3,0.05,IF(D764&lt;=14,0.1,IF(D764&lt;=45,0.15,0.2))))</x:f>
        <x:v>0.15</x:v>
      </x:c>
      <x:c r="R764" s="47" t="n">
        <x:f>J764*Q764</x:f>
        <x:v>4320</x:v>
      </x:c>
      <x:c r="S764" s="20" t="str">
        <x:f>IF(D764&lt;E764,"closed",IF(D764&lt;'Paths'!$N$15,"initial","expanded"))</x:f>
        <x:v>expanded</x:v>
      </x:c>
      <x:c r="T764" s="72"/>
    </x:row>
    <x:row r="765">
      <x:c r="C765" s="20" t="str">
        <x:v>P8</x:v>
      </x:c>
      <x:c r="D765" s="20" t="n">
        <x:v>30</x:v>
      </x:c>
      <x:c r="E765" s="45" t="n">
        <x:f>IF('Controls'!$D$7="Reference",'Paths'!$J$15,'Paths'!$K$15)</x:f>
        <x:v>7</x:v>
      </x:c>
      <x:c r="F765" s="47" t="n">
        <x:f>IF(D765&lt;'Paths'!$N$15,IF('Controls'!$D$7="Reference",'Paths'!$L$15,'Paths'!$M$15),IF('Controls'!$D$7="Reference",'Paths'!$O$15,'Paths'!$P$15))</x:f>
        <x:v>32000</x:v>
      </x:c>
      <x:c r="G765" s="46" t="n">
        <x:f>IF('Controls'!$D$7="Reference",1,IF(OR(D765=6,D765=7,D765=21,D765=46),'Paths'!$U$15,1))</x:f>
        <x:v>1</x:v>
      </x:c>
      <x:c r="H765" s="46" t="n">
        <x:f>IF('Controls'!$D$7="Reference",1,IF(OR(AND(D765&gt;=14,D765&lt;=16),AND(D765&gt;=34,D765&lt;=35),AND(D765&gt;=61,D765&lt;=63)),'Paths'!$V$15,1))</x:f>
        <x:v>1</x:v>
      </x:c>
      <x:c r="I765" s="46" t="n">
        <x:f>'Paths'!$W$15</x:f>
        <x:v>0.9</x:v>
      </x:c>
      <x:c r="J765" s="47" t="n">
        <x:f>IF(D765&lt;E765,0,MIN(F765*G765*H765*I765,IF('Paths'!$T$15&gt;0,MAX(0,'Paths'!$T$15-K764),1000000000)))</x:f>
        <x:v>28800</x:v>
      </x:c>
      <x:c r="K765" s="47" t="n">
        <x:f>K764+J765</x:f>
        <x:v>468000</x:v>
      </x:c>
      <x:c r="L765" s="46" t="n">
        <x:f>IF(C765="P0",1,IF(D765&lt;=3,0.8,IF(D765&lt;=14,0.65,IF(D765&lt;=45,0.5,0.3))))</x:f>
        <x:v>0.5</x:v>
      </x:c>
      <x:c r="M765" s="47" t="n">
        <x:f>J765*L765</x:f>
        <x:v>14400</x:v>
      </x:c>
      <x:c r="N765" s="47" t="n">
        <x:f>N764+M765</x:f>
        <x:v>248040</x:v>
      </x:c>
      <x:c r="O765" s="46" t="n">
        <x:f>IF(C765="P0",0,IF(D765&lt;=3,0.15,IF(D765&lt;=14,0.25,IF(D765&lt;=45,0.35,0.5))))</x:f>
        <x:v>0.35</x:v>
      </x:c>
      <x:c r="P765" s="47" t="n">
        <x:f>J765*O765</x:f>
        <x:v>10080</x:v>
      </x:c>
      <x:c r="Q765" s="46" t="n">
        <x:f>IF(C765="P0",0,IF(D765&lt;=3,0.05,IF(D765&lt;=14,0.1,IF(D765&lt;=45,0.15,0.2))))</x:f>
        <x:v>0.15</x:v>
      </x:c>
      <x:c r="R765" s="47" t="n">
        <x:f>J765*Q765</x:f>
        <x:v>4320</x:v>
      </x:c>
      <x:c r="S765" s="20" t="str">
        <x:f>IF(D765&lt;E765,"closed",IF(D765&lt;'Paths'!$N$15,"initial","expanded"))</x:f>
        <x:v>expanded</x:v>
      </x:c>
      <x:c r="T765" s="72"/>
    </x:row>
    <x:row r="766">
      <x:c r="C766" s="20" t="str">
        <x:v>P8</x:v>
      </x:c>
      <x:c r="D766" s="20" t="n">
        <x:v>31</x:v>
      </x:c>
      <x:c r="E766" s="45" t="n">
        <x:f>IF('Controls'!$D$7="Reference",'Paths'!$J$15,'Paths'!$K$15)</x:f>
        <x:v>7</x:v>
      </x:c>
      <x:c r="F766" s="47" t="n">
        <x:f>IF(D766&lt;'Paths'!$N$15,IF('Controls'!$D$7="Reference",'Paths'!$L$15,'Paths'!$M$15),IF('Controls'!$D$7="Reference",'Paths'!$O$15,'Paths'!$P$15))</x:f>
        <x:v>32000</x:v>
      </x:c>
      <x:c r="G766" s="46" t="n">
        <x:f>IF('Controls'!$D$7="Reference",1,IF(OR(D766=6,D766=7,D766=21,D766=46),'Paths'!$U$15,1))</x:f>
        <x:v>1</x:v>
      </x:c>
      <x:c r="H766" s="46" t="n">
        <x:f>IF('Controls'!$D$7="Reference",1,IF(OR(AND(D766&gt;=14,D766&lt;=16),AND(D766&gt;=34,D766&lt;=35),AND(D766&gt;=61,D766&lt;=63)),'Paths'!$V$15,1))</x:f>
        <x:v>1</x:v>
      </x:c>
      <x:c r="I766" s="46" t="n">
        <x:f>'Paths'!$W$15</x:f>
        <x:v>0.9</x:v>
      </x:c>
      <x:c r="J766" s="47" t="n">
        <x:f>IF(D766&lt;E766,0,MIN(F766*G766*H766*I766,IF('Paths'!$T$15&gt;0,MAX(0,'Paths'!$T$15-K765),1000000000)))</x:f>
        <x:v>28800</x:v>
      </x:c>
      <x:c r="K766" s="47" t="n">
        <x:f>K765+J766</x:f>
        <x:v>496800</x:v>
      </x:c>
      <x:c r="L766" s="46" t="n">
        <x:f>IF(C766="P0",1,IF(D766&lt;=3,0.8,IF(D766&lt;=14,0.65,IF(D766&lt;=45,0.5,0.3))))</x:f>
        <x:v>0.5</x:v>
      </x:c>
      <x:c r="M766" s="47" t="n">
        <x:f>J766*L766</x:f>
        <x:v>14400</x:v>
      </x:c>
      <x:c r="N766" s="47" t="n">
        <x:f>N765+M766</x:f>
        <x:v>262440</x:v>
      </x:c>
      <x:c r="O766" s="46" t="n">
        <x:f>IF(C766="P0",0,IF(D766&lt;=3,0.15,IF(D766&lt;=14,0.25,IF(D766&lt;=45,0.35,0.5))))</x:f>
        <x:v>0.35</x:v>
      </x:c>
      <x:c r="P766" s="47" t="n">
        <x:f>J766*O766</x:f>
        <x:v>10080</x:v>
      </x:c>
      <x:c r="Q766" s="46" t="n">
        <x:f>IF(C766="P0",0,IF(D766&lt;=3,0.05,IF(D766&lt;=14,0.1,IF(D766&lt;=45,0.15,0.2))))</x:f>
        <x:v>0.15</x:v>
      </x:c>
      <x:c r="R766" s="47" t="n">
        <x:f>J766*Q766</x:f>
        <x:v>4320</x:v>
      </x:c>
      <x:c r="S766" s="20" t="str">
        <x:f>IF(D766&lt;E766,"closed",IF(D766&lt;'Paths'!$N$15,"initial","expanded"))</x:f>
        <x:v>expanded</x:v>
      </x:c>
      <x:c r="T766" s="72"/>
    </x:row>
    <x:row r="767">
      <x:c r="C767" s="20" t="str">
        <x:v>P8</x:v>
      </x:c>
      <x:c r="D767" s="20" t="n">
        <x:v>32</x:v>
      </x:c>
      <x:c r="E767" s="45" t="n">
        <x:f>IF('Controls'!$D$7="Reference",'Paths'!$J$15,'Paths'!$K$15)</x:f>
        <x:v>7</x:v>
      </x:c>
      <x:c r="F767" s="47" t="n">
        <x:f>IF(D767&lt;'Paths'!$N$15,IF('Controls'!$D$7="Reference",'Paths'!$L$15,'Paths'!$M$15),IF('Controls'!$D$7="Reference",'Paths'!$O$15,'Paths'!$P$15))</x:f>
        <x:v>32000</x:v>
      </x:c>
      <x:c r="G767" s="46" t="n">
        <x:f>IF('Controls'!$D$7="Reference",1,IF(OR(D767=6,D767=7,D767=21,D767=46),'Paths'!$U$15,1))</x:f>
        <x:v>1</x:v>
      </x:c>
      <x:c r="H767" s="46" t="n">
        <x:f>IF('Controls'!$D$7="Reference",1,IF(OR(AND(D767&gt;=14,D767&lt;=16),AND(D767&gt;=34,D767&lt;=35),AND(D767&gt;=61,D767&lt;=63)),'Paths'!$V$15,1))</x:f>
        <x:v>1</x:v>
      </x:c>
      <x:c r="I767" s="46" t="n">
        <x:f>'Paths'!$W$15</x:f>
        <x:v>0.9</x:v>
      </x:c>
      <x:c r="J767" s="47" t="n">
        <x:f>IF(D767&lt;E767,0,MIN(F767*G767*H767*I767,IF('Paths'!$T$15&gt;0,MAX(0,'Paths'!$T$15-K766),1000000000)))</x:f>
        <x:v>28800</x:v>
      </x:c>
      <x:c r="K767" s="47" t="n">
        <x:f>K766+J767</x:f>
        <x:v>525600</x:v>
      </x:c>
      <x:c r="L767" s="46" t="n">
        <x:f>IF(C767="P0",1,IF(D767&lt;=3,0.8,IF(D767&lt;=14,0.65,IF(D767&lt;=45,0.5,0.3))))</x:f>
        <x:v>0.5</x:v>
      </x:c>
      <x:c r="M767" s="47" t="n">
        <x:f>J767*L767</x:f>
        <x:v>14400</x:v>
      </x:c>
      <x:c r="N767" s="47" t="n">
        <x:f>N766+M767</x:f>
        <x:v>276840</x:v>
      </x:c>
      <x:c r="O767" s="46" t="n">
        <x:f>IF(C767="P0",0,IF(D767&lt;=3,0.15,IF(D767&lt;=14,0.25,IF(D767&lt;=45,0.35,0.5))))</x:f>
        <x:v>0.35</x:v>
      </x:c>
      <x:c r="P767" s="47" t="n">
        <x:f>J767*O767</x:f>
        <x:v>10080</x:v>
      </x:c>
      <x:c r="Q767" s="46" t="n">
        <x:f>IF(C767="P0",0,IF(D767&lt;=3,0.05,IF(D767&lt;=14,0.1,IF(D767&lt;=45,0.15,0.2))))</x:f>
        <x:v>0.15</x:v>
      </x:c>
      <x:c r="R767" s="47" t="n">
        <x:f>J767*Q767</x:f>
        <x:v>4320</x:v>
      </x:c>
      <x:c r="S767" s="20" t="str">
        <x:f>IF(D767&lt;E767,"closed",IF(D767&lt;'Paths'!$N$15,"initial","expanded"))</x:f>
        <x:v>expanded</x:v>
      </x:c>
      <x:c r="T767" s="72"/>
    </x:row>
    <x:row r="768">
      <x:c r="C768" s="20" t="str">
        <x:v>P8</x:v>
      </x:c>
      <x:c r="D768" s="20" t="n">
        <x:v>33</x:v>
      </x:c>
      <x:c r="E768" s="45" t="n">
        <x:f>IF('Controls'!$D$7="Reference",'Paths'!$J$15,'Paths'!$K$15)</x:f>
        <x:v>7</x:v>
      </x:c>
      <x:c r="F768" s="47" t="n">
        <x:f>IF(D768&lt;'Paths'!$N$15,IF('Controls'!$D$7="Reference",'Paths'!$L$15,'Paths'!$M$15),IF('Controls'!$D$7="Reference",'Paths'!$O$15,'Paths'!$P$15))</x:f>
        <x:v>32000</x:v>
      </x:c>
      <x:c r="G768" s="46" t="n">
        <x:f>IF('Controls'!$D$7="Reference",1,IF(OR(D768=6,D768=7,D768=21,D768=46),'Paths'!$U$15,1))</x:f>
        <x:v>1</x:v>
      </x:c>
      <x:c r="H768" s="46" t="n">
        <x:f>IF('Controls'!$D$7="Reference",1,IF(OR(AND(D768&gt;=14,D768&lt;=16),AND(D768&gt;=34,D768&lt;=35),AND(D768&gt;=61,D768&lt;=63)),'Paths'!$V$15,1))</x:f>
        <x:v>1</x:v>
      </x:c>
      <x:c r="I768" s="46" t="n">
        <x:f>'Paths'!$W$15</x:f>
        <x:v>0.9</x:v>
      </x:c>
      <x:c r="J768" s="47" t="n">
        <x:f>IF(D768&lt;E768,0,MIN(F768*G768*H768*I768,IF('Paths'!$T$15&gt;0,MAX(0,'Paths'!$T$15-K767),1000000000)))</x:f>
        <x:v>28800</x:v>
      </x:c>
      <x:c r="K768" s="47" t="n">
        <x:f>K767+J768</x:f>
        <x:v>554400</x:v>
      </x:c>
      <x:c r="L768" s="46" t="n">
        <x:f>IF(C768="P0",1,IF(D768&lt;=3,0.8,IF(D768&lt;=14,0.65,IF(D768&lt;=45,0.5,0.3))))</x:f>
        <x:v>0.5</x:v>
      </x:c>
      <x:c r="M768" s="47" t="n">
        <x:f>J768*L768</x:f>
        <x:v>14400</x:v>
      </x:c>
      <x:c r="N768" s="47" t="n">
        <x:f>N767+M768</x:f>
        <x:v>291240</x:v>
      </x:c>
      <x:c r="O768" s="46" t="n">
        <x:f>IF(C768="P0",0,IF(D768&lt;=3,0.15,IF(D768&lt;=14,0.25,IF(D768&lt;=45,0.35,0.5))))</x:f>
        <x:v>0.35</x:v>
      </x:c>
      <x:c r="P768" s="47" t="n">
        <x:f>J768*O768</x:f>
        <x:v>10080</x:v>
      </x:c>
      <x:c r="Q768" s="46" t="n">
        <x:f>IF(C768="P0",0,IF(D768&lt;=3,0.05,IF(D768&lt;=14,0.1,IF(D768&lt;=45,0.15,0.2))))</x:f>
        <x:v>0.15</x:v>
      </x:c>
      <x:c r="R768" s="47" t="n">
        <x:f>J768*Q768</x:f>
        <x:v>4320</x:v>
      </x:c>
      <x:c r="S768" s="20" t="str">
        <x:f>IF(D768&lt;E768,"closed",IF(D768&lt;'Paths'!$N$15,"initial","expanded"))</x:f>
        <x:v>expanded</x:v>
      </x:c>
      <x:c r="T768" s="72"/>
    </x:row>
    <x:row r="769">
      <x:c r="C769" s="20" t="str">
        <x:v>P8</x:v>
      </x:c>
      <x:c r="D769" s="20" t="n">
        <x:v>34</x:v>
      </x:c>
      <x:c r="E769" s="45" t="n">
        <x:f>IF('Controls'!$D$7="Reference",'Paths'!$J$15,'Paths'!$K$15)</x:f>
        <x:v>7</x:v>
      </x:c>
      <x:c r="F769" s="47" t="n">
        <x:f>IF(D769&lt;'Paths'!$N$15,IF('Controls'!$D$7="Reference",'Paths'!$L$15,'Paths'!$M$15),IF('Controls'!$D$7="Reference",'Paths'!$O$15,'Paths'!$P$15))</x:f>
        <x:v>32000</x:v>
      </x:c>
      <x:c r="G769" s="46" t="n">
        <x:f>IF('Controls'!$D$7="Reference",1,IF(OR(D769=6,D769=7,D769=21,D769=46),'Paths'!$U$15,1))</x:f>
        <x:v>1</x:v>
      </x:c>
      <x:c r="H769" s="46" t="n">
        <x:f>IF('Controls'!$D$7="Reference",1,IF(OR(AND(D769&gt;=14,D769&lt;=16),AND(D769&gt;=34,D769&lt;=35),AND(D769&gt;=61,D769&lt;=63)),'Paths'!$V$15,1))</x:f>
        <x:v>0.25</x:v>
      </x:c>
      <x:c r="I769" s="46" t="n">
        <x:f>'Paths'!$W$15</x:f>
        <x:v>0.9</x:v>
      </x:c>
      <x:c r="J769" s="47" t="n">
        <x:f>IF(D769&lt;E769,0,MIN(F769*G769*H769*I769,IF('Paths'!$T$15&gt;0,MAX(0,'Paths'!$T$15-K768),1000000000)))</x:f>
        <x:v>7200</x:v>
      </x:c>
      <x:c r="K769" s="47" t="n">
        <x:f>K768+J769</x:f>
        <x:v>561600</x:v>
      </x:c>
      <x:c r="L769" s="46" t="n">
        <x:f>IF(C769="P0",1,IF(D769&lt;=3,0.8,IF(D769&lt;=14,0.65,IF(D769&lt;=45,0.5,0.3))))</x:f>
        <x:v>0.5</x:v>
      </x:c>
      <x:c r="M769" s="47" t="n">
        <x:f>J769*L769</x:f>
        <x:v>3600</x:v>
      </x:c>
      <x:c r="N769" s="47" t="n">
        <x:f>N768+M769</x:f>
        <x:v>294840</x:v>
      </x:c>
      <x:c r="O769" s="46" t="n">
        <x:f>IF(C769="P0",0,IF(D769&lt;=3,0.15,IF(D769&lt;=14,0.25,IF(D769&lt;=45,0.35,0.5))))</x:f>
        <x:v>0.35</x:v>
      </x:c>
      <x:c r="P769" s="47" t="n">
        <x:f>J769*O769</x:f>
        <x:v>2520</x:v>
      </x:c>
      <x:c r="Q769" s="46" t="n">
        <x:f>IF(C769="P0",0,IF(D769&lt;=3,0.05,IF(D769&lt;=14,0.1,IF(D769&lt;=45,0.15,0.2))))</x:f>
        <x:v>0.15</x:v>
      </x:c>
      <x:c r="R769" s="47" t="n">
        <x:f>J769*Q769</x:f>
        <x:v>1080</x:v>
      </x:c>
      <x:c r="S769" s="20" t="str">
        <x:f>IF(D769&lt;E769,"closed",IF(D769&lt;'Paths'!$N$15,"initial","expanded"))</x:f>
        <x:v>expanded</x:v>
      </x:c>
      <x:c r="T769" s="72"/>
    </x:row>
    <x:row r="770">
      <x:c r="C770" s="20" t="str">
        <x:v>P8</x:v>
      </x:c>
      <x:c r="D770" s="20" t="n">
        <x:v>35</x:v>
      </x:c>
      <x:c r="E770" s="45" t="n">
        <x:f>IF('Controls'!$D$7="Reference",'Paths'!$J$15,'Paths'!$K$15)</x:f>
        <x:v>7</x:v>
      </x:c>
      <x:c r="F770" s="47" t="n">
        <x:f>IF(D770&lt;'Paths'!$N$15,IF('Controls'!$D$7="Reference",'Paths'!$L$15,'Paths'!$M$15),IF('Controls'!$D$7="Reference",'Paths'!$O$15,'Paths'!$P$15))</x:f>
        <x:v>32000</x:v>
      </x:c>
      <x:c r="G770" s="46" t="n">
        <x:f>IF('Controls'!$D$7="Reference",1,IF(OR(D770=6,D770=7,D770=21,D770=46),'Paths'!$U$15,1))</x:f>
        <x:v>1</x:v>
      </x:c>
      <x:c r="H770" s="46" t="n">
        <x:f>IF('Controls'!$D$7="Reference",1,IF(OR(AND(D770&gt;=14,D770&lt;=16),AND(D770&gt;=34,D770&lt;=35),AND(D770&gt;=61,D770&lt;=63)),'Paths'!$V$15,1))</x:f>
        <x:v>0.25</x:v>
      </x:c>
      <x:c r="I770" s="46" t="n">
        <x:f>'Paths'!$W$15</x:f>
        <x:v>0.9</x:v>
      </x:c>
      <x:c r="J770" s="47" t="n">
        <x:f>IF(D770&lt;E770,0,MIN(F770*G770*H770*I770,IF('Paths'!$T$15&gt;0,MAX(0,'Paths'!$T$15-K769),1000000000)))</x:f>
        <x:v>7200</x:v>
      </x:c>
      <x:c r="K770" s="47" t="n">
        <x:f>K769+J770</x:f>
        <x:v>568800</x:v>
      </x:c>
      <x:c r="L770" s="46" t="n">
        <x:f>IF(C770="P0",1,IF(D770&lt;=3,0.8,IF(D770&lt;=14,0.65,IF(D770&lt;=45,0.5,0.3))))</x:f>
        <x:v>0.5</x:v>
      </x:c>
      <x:c r="M770" s="47" t="n">
        <x:f>J770*L770</x:f>
        <x:v>3600</x:v>
      </x:c>
      <x:c r="N770" s="47" t="n">
        <x:f>N769+M770</x:f>
        <x:v>298440</x:v>
      </x:c>
      <x:c r="O770" s="46" t="n">
        <x:f>IF(C770="P0",0,IF(D770&lt;=3,0.15,IF(D770&lt;=14,0.25,IF(D770&lt;=45,0.35,0.5))))</x:f>
        <x:v>0.35</x:v>
      </x:c>
      <x:c r="P770" s="47" t="n">
        <x:f>J770*O770</x:f>
        <x:v>2520</x:v>
      </x:c>
      <x:c r="Q770" s="46" t="n">
        <x:f>IF(C770="P0",0,IF(D770&lt;=3,0.05,IF(D770&lt;=14,0.1,IF(D770&lt;=45,0.15,0.2))))</x:f>
        <x:v>0.15</x:v>
      </x:c>
      <x:c r="R770" s="47" t="n">
        <x:f>J770*Q770</x:f>
        <x:v>1080</x:v>
      </x:c>
      <x:c r="S770" s="20" t="str">
        <x:f>IF(D770&lt;E770,"closed",IF(D770&lt;'Paths'!$N$15,"initial","expanded"))</x:f>
        <x:v>expanded</x:v>
      </x:c>
      <x:c r="T770" s="72"/>
    </x:row>
    <x:row r="771">
      <x:c r="C771" s="20" t="str">
        <x:v>P8</x:v>
      </x:c>
      <x:c r="D771" s="20" t="n">
        <x:v>36</x:v>
      </x:c>
      <x:c r="E771" s="45" t="n">
        <x:f>IF('Controls'!$D$7="Reference",'Paths'!$J$15,'Paths'!$K$15)</x:f>
        <x:v>7</x:v>
      </x:c>
      <x:c r="F771" s="47" t="n">
        <x:f>IF(D771&lt;'Paths'!$N$15,IF('Controls'!$D$7="Reference",'Paths'!$L$15,'Paths'!$M$15),IF('Controls'!$D$7="Reference",'Paths'!$O$15,'Paths'!$P$15))</x:f>
        <x:v>32000</x:v>
      </x:c>
      <x:c r="G771" s="46" t="n">
        <x:f>IF('Controls'!$D$7="Reference",1,IF(OR(D771=6,D771=7,D771=21,D771=46),'Paths'!$U$15,1))</x:f>
        <x:v>1</x:v>
      </x:c>
      <x:c r="H771" s="46" t="n">
        <x:f>IF('Controls'!$D$7="Reference",1,IF(OR(AND(D771&gt;=14,D771&lt;=16),AND(D771&gt;=34,D771&lt;=35),AND(D771&gt;=61,D771&lt;=63)),'Paths'!$V$15,1))</x:f>
        <x:v>1</x:v>
      </x:c>
      <x:c r="I771" s="46" t="n">
        <x:f>'Paths'!$W$15</x:f>
        <x:v>0.9</x:v>
      </x:c>
      <x:c r="J771" s="47" t="n">
        <x:f>IF(D771&lt;E771,0,MIN(F771*G771*H771*I771,IF('Paths'!$T$15&gt;0,MAX(0,'Paths'!$T$15-K770),1000000000)))</x:f>
        <x:v>28800</x:v>
      </x:c>
      <x:c r="K771" s="47" t="n">
        <x:f>K770+J771</x:f>
        <x:v>597600</x:v>
      </x:c>
      <x:c r="L771" s="46" t="n">
        <x:f>IF(C771="P0",1,IF(D771&lt;=3,0.8,IF(D771&lt;=14,0.65,IF(D771&lt;=45,0.5,0.3))))</x:f>
        <x:v>0.5</x:v>
      </x:c>
      <x:c r="M771" s="47" t="n">
        <x:f>J771*L771</x:f>
        <x:v>14400</x:v>
      </x:c>
      <x:c r="N771" s="47" t="n">
        <x:f>N770+M771</x:f>
        <x:v>312840</x:v>
      </x:c>
      <x:c r="O771" s="46" t="n">
        <x:f>IF(C771="P0",0,IF(D771&lt;=3,0.15,IF(D771&lt;=14,0.25,IF(D771&lt;=45,0.35,0.5))))</x:f>
        <x:v>0.35</x:v>
      </x:c>
      <x:c r="P771" s="47" t="n">
        <x:f>J771*O771</x:f>
        <x:v>10080</x:v>
      </x:c>
      <x:c r="Q771" s="46" t="n">
        <x:f>IF(C771="P0",0,IF(D771&lt;=3,0.05,IF(D771&lt;=14,0.1,IF(D771&lt;=45,0.15,0.2))))</x:f>
        <x:v>0.15</x:v>
      </x:c>
      <x:c r="R771" s="47" t="n">
        <x:f>J771*Q771</x:f>
        <x:v>4320</x:v>
      </x:c>
      <x:c r="S771" s="20" t="str">
        <x:f>IF(D771&lt;E771,"closed",IF(D771&lt;'Paths'!$N$15,"initial","expanded"))</x:f>
        <x:v>expanded</x:v>
      </x:c>
      <x:c r="T771" s="72"/>
    </x:row>
    <x:row r="772">
      <x:c r="C772" s="20" t="str">
        <x:v>P8</x:v>
      </x:c>
      <x:c r="D772" s="20" t="n">
        <x:v>37</x:v>
      </x:c>
      <x:c r="E772" s="45" t="n">
        <x:f>IF('Controls'!$D$7="Reference",'Paths'!$J$15,'Paths'!$K$15)</x:f>
        <x:v>7</x:v>
      </x:c>
      <x:c r="F772" s="47" t="n">
        <x:f>IF(D772&lt;'Paths'!$N$15,IF('Controls'!$D$7="Reference",'Paths'!$L$15,'Paths'!$M$15),IF('Controls'!$D$7="Reference",'Paths'!$O$15,'Paths'!$P$15))</x:f>
        <x:v>32000</x:v>
      </x:c>
      <x:c r="G772" s="46" t="n">
        <x:f>IF('Controls'!$D$7="Reference",1,IF(OR(D772=6,D772=7,D772=21,D772=46),'Paths'!$U$15,1))</x:f>
        <x:v>1</x:v>
      </x:c>
      <x:c r="H772" s="46" t="n">
        <x:f>IF('Controls'!$D$7="Reference",1,IF(OR(AND(D772&gt;=14,D772&lt;=16),AND(D772&gt;=34,D772&lt;=35),AND(D772&gt;=61,D772&lt;=63)),'Paths'!$V$15,1))</x:f>
        <x:v>1</x:v>
      </x:c>
      <x:c r="I772" s="46" t="n">
        <x:f>'Paths'!$W$15</x:f>
        <x:v>0.9</x:v>
      </x:c>
      <x:c r="J772" s="47" t="n">
        <x:f>IF(D772&lt;E772,0,MIN(F772*G772*H772*I772,IF('Paths'!$T$15&gt;0,MAX(0,'Paths'!$T$15-K771),1000000000)))</x:f>
        <x:v>28800</x:v>
      </x:c>
      <x:c r="K772" s="47" t="n">
        <x:f>K771+J772</x:f>
        <x:v>626400</x:v>
      </x:c>
      <x:c r="L772" s="46" t="n">
        <x:f>IF(C772="P0",1,IF(D772&lt;=3,0.8,IF(D772&lt;=14,0.65,IF(D772&lt;=45,0.5,0.3))))</x:f>
        <x:v>0.5</x:v>
      </x:c>
      <x:c r="M772" s="47" t="n">
        <x:f>J772*L772</x:f>
        <x:v>14400</x:v>
      </x:c>
      <x:c r="N772" s="47" t="n">
        <x:f>N771+M772</x:f>
        <x:v>327240</x:v>
      </x:c>
      <x:c r="O772" s="46" t="n">
        <x:f>IF(C772="P0",0,IF(D772&lt;=3,0.15,IF(D772&lt;=14,0.25,IF(D772&lt;=45,0.35,0.5))))</x:f>
        <x:v>0.35</x:v>
      </x:c>
      <x:c r="P772" s="47" t="n">
        <x:f>J772*O772</x:f>
        <x:v>10080</x:v>
      </x:c>
      <x:c r="Q772" s="46" t="n">
        <x:f>IF(C772="P0",0,IF(D772&lt;=3,0.05,IF(D772&lt;=14,0.1,IF(D772&lt;=45,0.15,0.2))))</x:f>
        <x:v>0.15</x:v>
      </x:c>
      <x:c r="R772" s="47" t="n">
        <x:f>J772*Q772</x:f>
        <x:v>4320</x:v>
      </x:c>
      <x:c r="S772" s="20" t="str">
        <x:f>IF(D772&lt;E772,"closed",IF(D772&lt;'Paths'!$N$15,"initial","expanded"))</x:f>
        <x:v>expanded</x:v>
      </x:c>
      <x:c r="T772" s="72"/>
    </x:row>
    <x:row r="773">
      <x:c r="C773" s="20" t="str">
        <x:v>P8</x:v>
      </x:c>
      <x:c r="D773" s="20" t="n">
        <x:v>38</x:v>
      </x:c>
      <x:c r="E773" s="45" t="n">
        <x:f>IF('Controls'!$D$7="Reference",'Paths'!$J$15,'Paths'!$K$15)</x:f>
        <x:v>7</x:v>
      </x:c>
      <x:c r="F773" s="47" t="n">
        <x:f>IF(D773&lt;'Paths'!$N$15,IF('Controls'!$D$7="Reference",'Paths'!$L$15,'Paths'!$M$15),IF('Controls'!$D$7="Reference",'Paths'!$O$15,'Paths'!$P$15))</x:f>
        <x:v>32000</x:v>
      </x:c>
      <x:c r="G773" s="46" t="n">
        <x:f>IF('Controls'!$D$7="Reference",1,IF(OR(D773=6,D773=7,D773=21,D773=46),'Paths'!$U$15,1))</x:f>
        <x:v>1</x:v>
      </x:c>
      <x:c r="H773" s="46" t="n">
        <x:f>IF('Controls'!$D$7="Reference",1,IF(OR(AND(D773&gt;=14,D773&lt;=16),AND(D773&gt;=34,D773&lt;=35),AND(D773&gt;=61,D773&lt;=63)),'Paths'!$V$15,1))</x:f>
        <x:v>1</x:v>
      </x:c>
      <x:c r="I773" s="46" t="n">
        <x:f>'Paths'!$W$15</x:f>
        <x:v>0.9</x:v>
      </x:c>
      <x:c r="J773" s="47" t="n">
        <x:f>IF(D773&lt;E773,0,MIN(F773*G773*H773*I773,IF('Paths'!$T$15&gt;0,MAX(0,'Paths'!$T$15-K772),1000000000)))</x:f>
        <x:v>28800</x:v>
      </x:c>
      <x:c r="K773" s="47" t="n">
        <x:f>K772+J773</x:f>
        <x:v>655200</x:v>
      </x:c>
      <x:c r="L773" s="46" t="n">
        <x:f>IF(C773="P0",1,IF(D773&lt;=3,0.8,IF(D773&lt;=14,0.65,IF(D773&lt;=45,0.5,0.3))))</x:f>
        <x:v>0.5</x:v>
      </x:c>
      <x:c r="M773" s="47" t="n">
        <x:f>J773*L773</x:f>
        <x:v>14400</x:v>
      </x:c>
      <x:c r="N773" s="47" t="n">
        <x:f>N772+M773</x:f>
        <x:v>341640</x:v>
      </x:c>
      <x:c r="O773" s="46" t="n">
        <x:f>IF(C773="P0",0,IF(D773&lt;=3,0.15,IF(D773&lt;=14,0.25,IF(D773&lt;=45,0.35,0.5))))</x:f>
        <x:v>0.35</x:v>
      </x:c>
      <x:c r="P773" s="47" t="n">
        <x:f>J773*O773</x:f>
        <x:v>10080</x:v>
      </x:c>
      <x:c r="Q773" s="46" t="n">
        <x:f>IF(C773="P0",0,IF(D773&lt;=3,0.05,IF(D773&lt;=14,0.1,IF(D773&lt;=45,0.15,0.2))))</x:f>
        <x:v>0.15</x:v>
      </x:c>
      <x:c r="R773" s="47" t="n">
        <x:f>J773*Q773</x:f>
        <x:v>4320</x:v>
      </x:c>
      <x:c r="S773" s="20" t="str">
        <x:f>IF(D773&lt;E773,"closed",IF(D773&lt;'Paths'!$N$15,"initial","expanded"))</x:f>
        <x:v>expanded</x:v>
      </x:c>
      <x:c r="T773" s="72"/>
    </x:row>
    <x:row r="774">
      <x:c r="C774" s="20" t="str">
        <x:v>P8</x:v>
      </x:c>
      <x:c r="D774" s="20" t="n">
        <x:v>39</x:v>
      </x:c>
      <x:c r="E774" s="45" t="n">
        <x:f>IF('Controls'!$D$7="Reference",'Paths'!$J$15,'Paths'!$K$15)</x:f>
        <x:v>7</x:v>
      </x:c>
      <x:c r="F774" s="47" t="n">
        <x:f>IF(D774&lt;'Paths'!$N$15,IF('Controls'!$D$7="Reference",'Paths'!$L$15,'Paths'!$M$15),IF('Controls'!$D$7="Reference",'Paths'!$O$15,'Paths'!$P$15))</x:f>
        <x:v>32000</x:v>
      </x:c>
      <x:c r="G774" s="46" t="n">
        <x:f>IF('Controls'!$D$7="Reference",1,IF(OR(D774=6,D774=7,D774=21,D774=46),'Paths'!$U$15,1))</x:f>
        <x:v>1</x:v>
      </x:c>
      <x:c r="H774" s="46" t="n">
        <x:f>IF('Controls'!$D$7="Reference",1,IF(OR(AND(D774&gt;=14,D774&lt;=16),AND(D774&gt;=34,D774&lt;=35),AND(D774&gt;=61,D774&lt;=63)),'Paths'!$V$15,1))</x:f>
        <x:v>1</x:v>
      </x:c>
      <x:c r="I774" s="46" t="n">
        <x:f>'Paths'!$W$15</x:f>
        <x:v>0.9</x:v>
      </x:c>
      <x:c r="J774" s="47" t="n">
        <x:f>IF(D774&lt;E774,0,MIN(F774*G774*H774*I774,IF('Paths'!$T$15&gt;0,MAX(0,'Paths'!$T$15-K773),1000000000)))</x:f>
        <x:v>28800</x:v>
      </x:c>
      <x:c r="K774" s="47" t="n">
        <x:f>K773+J774</x:f>
        <x:v>684000</x:v>
      </x:c>
      <x:c r="L774" s="46" t="n">
        <x:f>IF(C774="P0",1,IF(D774&lt;=3,0.8,IF(D774&lt;=14,0.65,IF(D774&lt;=45,0.5,0.3))))</x:f>
        <x:v>0.5</x:v>
      </x:c>
      <x:c r="M774" s="47" t="n">
        <x:f>J774*L774</x:f>
        <x:v>14400</x:v>
      </x:c>
      <x:c r="N774" s="47" t="n">
        <x:f>N773+M774</x:f>
        <x:v>356040</x:v>
      </x:c>
      <x:c r="O774" s="46" t="n">
        <x:f>IF(C774="P0",0,IF(D774&lt;=3,0.15,IF(D774&lt;=14,0.25,IF(D774&lt;=45,0.35,0.5))))</x:f>
        <x:v>0.35</x:v>
      </x:c>
      <x:c r="P774" s="47" t="n">
        <x:f>J774*O774</x:f>
        <x:v>10080</x:v>
      </x:c>
      <x:c r="Q774" s="46" t="n">
        <x:f>IF(C774="P0",0,IF(D774&lt;=3,0.05,IF(D774&lt;=14,0.1,IF(D774&lt;=45,0.15,0.2))))</x:f>
        <x:v>0.15</x:v>
      </x:c>
      <x:c r="R774" s="47" t="n">
        <x:f>J774*Q774</x:f>
        <x:v>4320</x:v>
      </x:c>
      <x:c r="S774" s="20" t="str">
        <x:f>IF(D774&lt;E774,"closed",IF(D774&lt;'Paths'!$N$15,"initial","expanded"))</x:f>
        <x:v>expanded</x:v>
      </x:c>
      <x:c r="T774" s="72"/>
    </x:row>
    <x:row r="775">
      <x:c r="C775" s="20" t="str">
        <x:v>P8</x:v>
      </x:c>
      <x:c r="D775" s="20" t="n">
        <x:v>40</x:v>
      </x:c>
      <x:c r="E775" s="45" t="n">
        <x:f>IF('Controls'!$D$7="Reference",'Paths'!$J$15,'Paths'!$K$15)</x:f>
        <x:v>7</x:v>
      </x:c>
      <x:c r="F775" s="47" t="n">
        <x:f>IF(D775&lt;'Paths'!$N$15,IF('Controls'!$D$7="Reference",'Paths'!$L$15,'Paths'!$M$15),IF('Controls'!$D$7="Reference",'Paths'!$O$15,'Paths'!$P$15))</x:f>
        <x:v>32000</x:v>
      </x:c>
      <x:c r="G775" s="46" t="n">
        <x:f>IF('Controls'!$D$7="Reference",1,IF(OR(D775=6,D775=7,D775=21,D775=46),'Paths'!$U$15,1))</x:f>
        <x:v>1</x:v>
      </x:c>
      <x:c r="H775" s="46" t="n">
        <x:f>IF('Controls'!$D$7="Reference",1,IF(OR(AND(D775&gt;=14,D775&lt;=16),AND(D775&gt;=34,D775&lt;=35),AND(D775&gt;=61,D775&lt;=63)),'Paths'!$V$15,1))</x:f>
        <x:v>1</x:v>
      </x:c>
      <x:c r="I775" s="46" t="n">
        <x:f>'Paths'!$W$15</x:f>
        <x:v>0.9</x:v>
      </x:c>
      <x:c r="J775" s="47" t="n">
        <x:f>IF(D775&lt;E775,0,MIN(F775*G775*H775*I775,IF('Paths'!$T$15&gt;0,MAX(0,'Paths'!$T$15-K774),1000000000)))</x:f>
        <x:v>28800</x:v>
      </x:c>
      <x:c r="K775" s="47" t="n">
        <x:f>K774+J775</x:f>
        <x:v>712800</x:v>
      </x:c>
      <x:c r="L775" s="46" t="n">
        <x:f>IF(C775="P0",1,IF(D775&lt;=3,0.8,IF(D775&lt;=14,0.65,IF(D775&lt;=45,0.5,0.3))))</x:f>
        <x:v>0.5</x:v>
      </x:c>
      <x:c r="M775" s="47" t="n">
        <x:f>J775*L775</x:f>
        <x:v>14400</x:v>
      </x:c>
      <x:c r="N775" s="47" t="n">
        <x:f>N774+M775</x:f>
        <x:v>370440</x:v>
      </x:c>
      <x:c r="O775" s="46" t="n">
        <x:f>IF(C775="P0",0,IF(D775&lt;=3,0.15,IF(D775&lt;=14,0.25,IF(D775&lt;=45,0.35,0.5))))</x:f>
        <x:v>0.35</x:v>
      </x:c>
      <x:c r="P775" s="47" t="n">
        <x:f>J775*O775</x:f>
        <x:v>10080</x:v>
      </x:c>
      <x:c r="Q775" s="46" t="n">
        <x:f>IF(C775="P0",0,IF(D775&lt;=3,0.05,IF(D775&lt;=14,0.1,IF(D775&lt;=45,0.15,0.2))))</x:f>
        <x:v>0.15</x:v>
      </x:c>
      <x:c r="R775" s="47" t="n">
        <x:f>J775*Q775</x:f>
        <x:v>4320</x:v>
      </x:c>
      <x:c r="S775" s="20" t="str">
        <x:f>IF(D775&lt;E775,"closed",IF(D775&lt;'Paths'!$N$15,"initial","expanded"))</x:f>
        <x:v>expanded</x:v>
      </x:c>
      <x:c r="T775" s="72"/>
    </x:row>
    <x:row r="776">
      <x:c r="C776" s="20" t="str">
        <x:v>P8</x:v>
      </x:c>
      <x:c r="D776" s="20" t="n">
        <x:v>41</x:v>
      </x:c>
      <x:c r="E776" s="45" t="n">
        <x:f>IF('Controls'!$D$7="Reference",'Paths'!$J$15,'Paths'!$K$15)</x:f>
        <x:v>7</x:v>
      </x:c>
      <x:c r="F776" s="47" t="n">
        <x:f>IF(D776&lt;'Paths'!$N$15,IF('Controls'!$D$7="Reference",'Paths'!$L$15,'Paths'!$M$15),IF('Controls'!$D$7="Reference",'Paths'!$O$15,'Paths'!$P$15))</x:f>
        <x:v>32000</x:v>
      </x:c>
      <x:c r="G776" s="46" t="n">
        <x:f>IF('Controls'!$D$7="Reference",1,IF(OR(D776=6,D776=7,D776=21,D776=46),'Paths'!$U$15,1))</x:f>
        <x:v>1</x:v>
      </x:c>
      <x:c r="H776" s="46" t="n">
        <x:f>IF('Controls'!$D$7="Reference",1,IF(OR(AND(D776&gt;=14,D776&lt;=16),AND(D776&gt;=34,D776&lt;=35),AND(D776&gt;=61,D776&lt;=63)),'Paths'!$V$15,1))</x:f>
        <x:v>1</x:v>
      </x:c>
      <x:c r="I776" s="46" t="n">
        <x:f>'Paths'!$W$15</x:f>
        <x:v>0.9</x:v>
      </x:c>
      <x:c r="J776" s="47" t="n">
        <x:f>IF(D776&lt;E776,0,MIN(F776*G776*H776*I776,IF('Paths'!$T$15&gt;0,MAX(0,'Paths'!$T$15-K775),1000000000)))</x:f>
        <x:v>28800</x:v>
      </x:c>
      <x:c r="K776" s="47" t="n">
        <x:f>K775+J776</x:f>
        <x:v>741600</x:v>
      </x:c>
      <x:c r="L776" s="46" t="n">
        <x:f>IF(C776="P0",1,IF(D776&lt;=3,0.8,IF(D776&lt;=14,0.65,IF(D776&lt;=45,0.5,0.3))))</x:f>
        <x:v>0.5</x:v>
      </x:c>
      <x:c r="M776" s="47" t="n">
        <x:f>J776*L776</x:f>
        <x:v>14400</x:v>
      </x:c>
      <x:c r="N776" s="47" t="n">
        <x:f>N775+M776</x:f>
        <x:v>384840</x:v>
      </x:c>
      <x:c r="O776" s="46" t="n">
        <x:f>IF(C776="P0",0,IF(D776&lt;=3,0.15,IF(D776&lt;=14,0.25,IF(D776&lt;=45,0.35,0.5))))</x:f>
        <x:v>0.35</x:v>
      </x:c>
      <x:c r="P776" s="47" t="n">
        <x:f>J776*O776</x:f>
        <x:v>10080</x:v>
      </x:c>
      <x:c r="Q776" s="46" t="n">
        <x:f>IF(C776="P0",0,IF(D776&lt;=3,0.05,IF(D776&lt;=14,0.1,IF(D776&lt;=45,0.15,0.2))))</x:f>
        <x:v>0.15</x:v>
      </x:c>
      <x:c r="R776" s="47" t="n">
        <x:f>J776*Q776</x:f>
        <x:v>4320</x:v>
      </x:c>
      <x:c r="S776" s="20" t="str">
        <x:f>IF(D776&lt;E776,"closed",IF(D776&lt;'Paths'!$N$15,"initial","expanded"))</x:f>
        <x:v>expanded</x:v>
      </x:c>
      <x:c r="T776" s="72"/>
    </x:row>
    <x:row r="777">
      <x:c r="C777" s="20" t="str">
        <x:v>P8</x:v>
      </x:c>
      <x:c r="D777" s="20" t="n">
        <x:v>42</x:v>
      </x:c>
      <x:c r="E777" s="45" t="n">
        <x:f>IF('Controls'!$D$7="Reference",'Paths'!$J$15,'Paths'!$K$15)</x:f>
        <x:v>7</x:v>
      </x:c>
      <x:c r="F777" s="47" t="n">
        <x:f>IF(D777&lt;'Paths'!$N$15,IF('Controls'!$D$7="Reference",'Paths'!$L$15,'Paths'!$M$15),IF('Controls'!$D$7="Reference",'Paths'!$O$15,'Paths'!$P$15))</x:f>
        <x:v>32000</x:v>
      </x:c>
      <x:c r="G777" s="46" t="n">
        <x:f>IF('Controls'!$D$7="Reference",1,IF(OR(D777=6,D777=7,D777=21,D777=46),'Paths'!$U$15,1))</x:f>
        <x:v>1</x:v>
      </x:c>
      <x:c r="H777" s="46" t="n">
        <x:f>IF('Controls'!$D$7="Reference",1,IF(OR(AND(D777&gt;=14,D777&lt;=16),AND(D777&gt;=34,D777&lt;=35),AND(D777&gt;=61,D777&lt;=63)),'Paths'!$V$15,1))</x:f>
        <x:v>1</x:v>
      </x:c>
      <x:c r="I777" s="46" t="n">
        <x:f>'Paths'!$W$15</x:f>
        <x:v>0.9</x:v>
      </x:c>
      <x:c r="J777" s="47" t="n">
        <x:f>IF(D777&lt;E777,0,MIN(F777*G777*H777*I777,IF('Paths'!$T$15&gt;0,MAX(0,'Paths'!$T$15-K776),1000000000)))</x:f>
        <x:v>28800</x:v>
      </x:c>
      <x:c r="K777" s="47" t="n">
        <x:f>K776+J777</x:f>
        <x:v>770400</x:v>
      </x:c>
      <x:c r="L777" s="46" t="n">
        <x:f>IF(C777="P0",1,IF(D777&lt;=3,0.8,IF(D777&lt;=14,0.65,IF(D777&lt;=45,0.5,0.3))))</x:f>
        <x:v>0.5</x:v>
      </x:c>
      <x:c r="M777" s="47" t="n">
        <x:f>J777*L777</x:f>
        <x:v>14400</x:v>
      </x:c>
      <x:c r="N777" s="47" t="n">
        <x:f>N776+M777</x:f>
        <x:v>399240</x:v>
      </x:c>
      <x:c r="O777" s="46" t="n">
        <x:f>IF(C777="P0",0,IF(D777&lt;=3,0.15,IF(D777&lt;=14,0.25,IF(D777&lt;=45,0.35,0.5))))</x:f>
        <x:v>0.35</x:v>
      </x:c>
      <x:c r="P777" s="47" t="n">
        <x:f>J777*O777</x:f>
        <x:v>10080</x:v>
      </x:c>
      <x:c r="Q777" s="46" t="n">
        <x:f>IF(C777="P0",0,IF(D777&lt;=3,0.05,IF(D777&lt;=14,0.1,IF(D777&lt;=45,0.15,0.2))))</x:f>
        <x:v>0.15</x:v>
      </x:c>
      <x:c r="R777" s="47" t="n">
        <x:f>J777*Q777</x:f>
        <x:v>4320</x:v>
      </x:c>
      <x:c r="S777" s="20" t="str">
        <x:f>IF(D777&lt;E777,"closed",IF(D777&lt;'Paths'!$N$15,"initial","expanded"))</x:f>
        <x:v>expanded</x:v>
      </x:c>
      <x:c r="T777" s="72"/>
    </x:row>
    <x:row r="778">
      <x:c r="C778" s="20" t="str">
        <x:v>P8</x:v>
      </x:c>
      <x:c r="D778" s="20" t="n">
        <x:v>43</x:v>
      </x:c>
      <x:c r="E778" s="45" t="n">
        <x:f>IF('Controls'!$D$7="Reference",'Paths'!$J$15,'Paths'!$K$15)</x:f>
        <x:v>7</x:v>
      </x:c>
      <x:c r="F778" s="47" t="n">
        <x:f>IF(D778&lt;'Paths'!$N$15,IF('Controls'!$D$7="Reference",'Paths'!$L$15,'Paths'!$M$15),IF('Controls'!$D$7="Reference",'Paths'!$O$15,'Paths'!$P$15))</x:f>
        <x:v>32000</x:v>
      </x:c>
      <x:c r="G778" s="46" t="n">
        <x:f>IF('Controls'!$D$7="Reference",1,IF(OR(D778=6,D778=7,D778=21,D778=46),'Paths'!$U$15,1))</x:f>
        <x:v>1</x:v>
      </x:c>
      <x:c r="H778" s="46" t="n">
        <x:f>IF('Controls'!$D$7="Reference",1,IF(OR(AND(D778&gt;=14,D778&lt;=16),AND(D778&gt;=34,D778&lt;=35),AND(D778&gt;=61,D778&lt;=63)),'Paths'!$V$15,1))</x:f>
        <x:v>1</x:v>
      </x:c>
      <x:c r="I778" s="46" t="n">
        <x:f>'Paths'!$W$15</x:f>
        <x:v>0.9</x:v>
      </x:c>
      <x:c r="J778" s="47" t="n">
        <x:f>IF(D778&lt;E778,0,MIN(F778*G778*H778*I778,IF('Paths'!$T$15&gt;0,MAX(0,'Paths'!$T$15-K777),1000000000)))</x:f>
        <x:v>28800</x:v>
      </x:c>
      <x:c r="K778" s="47" t="n">
        <x:f>K777+J778</x:f>
        <x:v>799200</x:v>
      </x:c>
      <x:c r="L778" s="46" t="n">
        <x:f>IF(C778="P0",1,IF(D778&lt;=3,0.8,IF(D778&lt;=14,0.65,IF(D778&lt;=45,0.5,0.3))))</x:f>
        <x:v>0.5</x:v>
      </x:c>
      <x:c r="M778" s="47" t="n">
        <x:f>J778*L778</x:f>
        <x:v>14400</x:v>
      </x:c>
      <x:c r="N778" s="47" t="n">
        <x:f>N777+M778</x:f>
        <x:v>413640</x:v>
      </x:c>
      <x:c r="O778" s="46" t="n">
        <x:f>IF(C778="P0",0,IF(D778&lt;=3,0.15,IF(D778&lt;=14,0.25,IF(D778&lt;=45,0.35,0.5))))</x:f>
        <x:v>0.35</x:v>
      </x:c>
      <x:c r="P778" s="47" t="n">
        <x:f>J778*O778</x:f>
        <x:v>10080</x:v>
      </x:c>
      <x:c r="Q778" s="46" t="n">
        <x:f>IF(C778="P0",0,IF(D778&lt;=3,0.05,IF(D778&lt;=14,0.1,IF(D778&lt;=45,0.15,0.2))))</x:f>
        <x:v>0.15</x:v>
      </x:c>
      <x:c r="R778" s="47" t="n">
        <x:f>J778*Q778</x:f>
        <x:v>4320</x:v>
      </x:c>
      <x:c r="S778" s="20" t="str">
        <x:f>IF(D778&lt;E778,"closed",IF(D778&lt;'Paths'!$N$15,"initial","expanded"))</x:f>
        <x:v>expanded</x:v>
      </x:c>
      <x:c r="T778" s="72"/>
    </x:row>
    <x:row r="779">
      <x:c r="C779" s="20" t="str">
        <x:v>P8</x:v>
      </x:c>
      <x:c r="D779" s="20" t="n">
        <x:v>44</x:v>
      </x:c>
      <x:c r="E779" s="45" t="n">
        <x:f>IF('Controls'!$D$7="Reference",'Paths'!$J$15,'Paths'!$K$15)</x:f>
        <x:v>7</x:v>
      </x:c>
      <x:c r="F779" s="47" t="n">
        <x:f>IF(D779&lt;'Paths'!$N$15,IF('Controls'!$D$7="Reference",'Paths'!$L$15,'Paths'!$M$15),IF('Controls'!$D$7="Reference",'Paths'!$O$15,'Paths'!$P$15))</x:f>
        <x:v>32000</x:v>
      </x:c>
      <x:c r="G779" s="46" t="n">
        <x:f>IF('Controls'!$D$7="Reference",1,IF(OR(D779=6,D779=7,D779=21,D779=46),'Paths'!$U$15,1))</x:f>
        <x:v>1</x:v>
      </x:c>
      <x:c r="H779" s="46" t="n">
        <x:f>IF('Controls'!$D$7="Reference",1,IF(OR(AND(D779&gt;=14,D779&lt;=16),AND(D779&gt;=34,D779&lt;=35),AND(D779&gt;=61,D779&lt;=63)),'Paths'!$V$15,1))</x:f>
        <x:v>1</x:v>
      </x:c>
      <x:c r="I779" s="46" t="n">
        <x:f>'Paths'!$W$15</x:f>
        <x:v>0.9</x:v>
      </x:c>
      <x:c r="J779" s="47" t="n">
        <x:f>IF(D779&lt;E779,0,MIN(F779*G779*H779*I779,IF('Paths'!$T$15&gt;0,MAX(0,'Paths'!$T$15-K778),1000000000)))</x:f>
        <x:v>28800</x:v>
      </x:c>
      <x:c r="K779" s="47" t="n">
        <x:f>K778+J779</x:f>
        <x:v>828000</x:v>
      </x:c>
      <x:c r="L779" s="46" t="n">
        <x:f>IF(C779="P0",1,IF(D779&lt;=3,0.8,IF(D779&lt;=14,0.65,IF(D779&lt;=45,0.5,0.3))))</x:f>
        <x:v>0.5</x:v>
      </x:c>
      <x:c r="M779" s="47" t="n">
        <x:f>J779*L779</x:f>
        <x:v>14400</x:v>
      </x:c>
      <x:c r="N779" s="47" t="n">
        <x:f>N778+M779</x:f>
        <x:v>428040</x:v>
      </x:c>
      <x:c r="O779" s="46" t="n">
        <x:f>IF(C779="P0",0,IF(D779&lt;=3,0.15,IF(D779&lt;=14,0.25,IF(D779&lt;=45,0.35,0.5))))</x:f>
        <x:v>0.35</x:v>
      </x:c>
      <x:c r="P779" s="47" t="n">
        <x:f>J779*O779</x:f>
        <x:v>10080</x:v>
      </x:c>
      <x:c r="Q779" s="46" t="n">
        <x:f>IF(C779="P0",0,IF(D779&lt;=3,0.05,IF(D779&lt;=14,0.1,IF(D779&lt;=45,0.15,0.2))))</x:f>
        <x:v>0.15</x:v>
      </x:c>
      <x:c r="R779" s="47" t="n">
        <x:f>J779*Q779</x:f>
        <x:v>4320</x:v>
      </x:c>
      <x:c r="S779" s="20" t="str">
        <x:f>IF(D779&lt;E779,"closed",IF(D779&lt;'Paths'!$N$15,"initial","expanded"))</x:f>
        <x:v>expanded</x:v>
      </x:c>
      <x:c r="T779" s="72"/>
    </x:row>
    <x:row r="780">
      <x:c r="C780" s="20" t="str">
        <x:v>P8</x:v>
      </x:c>
      <x:c r="D780" s="20" t="n">
        <x:v>45</x:v>
      </x:c>
      <x:c r="E780" s="45" t="n">
        <x:f>IF('Controls'!$D$7="Reference",'Paths'!$J$15,'Paths'!$K$15)</x:f>
        <x:v>7</x:v>
      </x:c>
      <x:c r="F780" s="47" t="n">
        <x:f>IF(D780&lt;'Paths'!$N$15,IF('Controls'!$D$7="Reference",'Paths'!$L$15,'Paths'!$M$15),IF('Controls'!$D$7="Reference",'Paths'!$O$15,'Paths'!$P$15))</x:f>
        <x:v>32000</x:v>
      </x:c>
      <x:c r="G780" s="46" t="n">
        <x:f>IF('Controls'!$D$7="Reference",1,IF(OR(D780=6,D780=7,D780=21,D780=46),'Paths'!$U$15,1))</x:f>
        <x:v>1</x:v>
      </x:c>
      <x:c r="H780" s="46" t="n">
        <x:f>IF('Controls'!$D$7="Reference",1,IF(OR(AND(D780&gt;=14,D780&lt;=16),AND(D780&gt;=34,D780&lt;=35),AND(D780&gt;=61,D780&lt;=63)),'Paths'!$V$15,1))</x:f>
        <x:v>1</x:v>
      </x:c>
      <x:c r="I780" s="46" t="n">
        <x:f>'Paths'!$W$15</x:f>
        <x:v>0.9</x:v>
      </x:c>
      <x:c r="J780" s="47" t="n">
        <x:f>IF(D780&lt;E780,0,MIN(F780*G780*H780*I780,IF('Paths'!$T$15&gt;0,MAX(0,'Paths'!$T$15-K779),1000000000)))</x:f>
        <x:v>28800</x:v>
      </x:c>
      <x:c r="K780" s="47" t="n">
        <x:f>K779+J780</x:f>
        <x:v>856800</x:v>
      </x:c>
      <x:c r="L780" s="46" t="n">
        <x:f>IF(C780="P0",1,IF(D780&lt;=3,0.8,IF(D780&lt;=14,0.65,IF(D780&lt;=45,0.5,0.3))))</x:f>
        <x:v>0.5</x:v>
      </x:c>
      <x:c r="M780" s="47" t="n">
        <x:f>J780*L780</x:f>
        <x:v>14400</x:v>
      </x:c>
      <x:c r="N780" s="47" t="n">
        <x:f>N779+M780</x:f>
        <x:v>442440</x:v>
      </x:c>
      <x:c r="O780" s="46" t="n">
        <x:f>IF(C780="P0",0,IF(D780&lt;=3,0.15,IF(D780&lt;=14,0.25,IF(D780&lt;=45,0.35,0.5))))</x:f>
        <x:v>0.35</x:v>
      </x:c>
      <x:c r="P780" s="47" t="n">
        <x:f>J780*O780</x:f>
        <x:v>10080</x:v>
      </x:c>
      <x:c r="Q780" s="46" t="n">
        <x:f>IF(C780="P0",0,IF(D780&lt;=3,0.05,IF(D780&lt;=14,0.1,IF(D780&lt;=45,0.15,0.2))))</x:f>
        <x:v>0.15</x:v>
      </x:c>
      <x:c r="R780" s="47" t="n">
        <x:f>J780*Q780</x:f>
        <x:v>4320</x:v>
      </x:c>
      <x:c r="S780" s="20" t="str">
        <x:f>IF(D780&lt;E780,"closed",IF(D780&lt;'Paths'!$N$15,"initial","expanded"))</x:f>
        <x:v>expanded</x:v>
      </x:c>
      <x:c r="T780" s="72"/>
    </x:row>
    <x:row r="781">
      <x:c r="C781" s="20" t="str">
        <x:v>P8</x:v>
      </x:c>
      <x:c r="D781" s="20" t="n">
        <x:v>46</x:v>
      </x:c>
      <x:c r="E781" s="45" t="n">
        <x:f>IF('Controls'!$D$7="Reference",'Paths'!$J$15,'Paths'!$K$15)</x:f>
        <x:v>7</x:v>
      </x:c>
      <x:c r="F781" s="47" t="n">
        <x:f>IF(D781&lt;'Paths'!$N$15,IF('Controls'!$D$7="Reference",'Paths'!$L$15,'Paths'!$M$15),IF('Controls'!$D$7="Reference",'Paths'!$O$15,'Paths'!$P$15))</x:f>
        <x:v>32000</x:v>
      </x:c>
      <x:c r="G781" s="46" t="n">
        <x:f>IF('Controls'!$D$7="Reference",1,IF(OR(D781=6,D781=7,D781=21,D781=46),'Paths'!$U$15,1))</x:f>
        <x:v>0.25</x:v>
      </x:c>
      <x:c r="H781" s="46" t="n">
        <x:f>IF('Controls'!$D$7="Reference",1,IF(OR(AND(D781&gt;=14,D781&lt;=16),AND(D781&gt;=34,D781&lt;=35),AND(D781&gt;=61,D781&lt;=63)),'Paths'!$V$15,1))</x:f>
        <x:v>1</x:v>
      </x:c>
      <x:c r="I781" s="46" t="n">
        <x:f>'Paths'!$W$15</x:f>
        <x:v>0.9</x:v>
      </x:c>
      <x:c r="J781" s="47" t="n">
        <x:f>IF(D781&lt;E781,0,MIN(F781*G781*H781*I781,IF('Paths'!$T$15&gt;0,MAX(0,'Paths'!$T$15-K780),1000000000)))</x:f>
        <x:v>7200</x:v>
      </x:c>
      <x:c r="K781" s="47" t="n">
        <x:f>K780+J781</x:f>
        <x:v>864000</x:v>
      </x:c>
      <x:c r="L781" s="46" t="n">
        <x:f>IF(C781="P0",1,IF(D781&lt;=3,0.8,IF(D781&lt;=14,0.65,IF(D781&lt;=45,0.5,0.3))))</x:f>
        <x:v>0.3</x:v>
      </x:c>
      <x:c r="M781" s="47" t="n">
        <x:f>J781*L781</x:f>
        <x:v>2160</x:v>
      </x:c>
      <x:c r="N781" s="47" t="n">
        <x:f>N780+M781</x:f>
        <x:v>444600</x:v>
      </x:c>
      <x:c r="O781" s="46" t="n">
        <x:f>IF(C781="P0",0,IF(D781&lt;=3,0.15,IF(D781&lt;=14,0.25,IF(D781&lt;=45,0.35,0.5))))</x:f>
        <x:v>0.5</x:v>
      </x:c>
      <x:c r="P781" s="47" t="n">
        <x:f>J781*O781</x:f>
        <x:v>3600</x:v>
      </x:c>
      <x:c r="Q781" s="46" t="n">
        <x:f>IF(C781="P0",0,IF(D781&lt;=3,0.05,IF(D781&lt;=14,0.1,IF(D781&lt;=45,0.15,0.2))))</x:f>
        <x:v>0.2</x:v>
      </x:c>
      <x:c r="R781" s="47" t="n">
        <x:f>J781*Q781</x:f>
        <x:v>1440</x:v>
      </x:c>
      <x:c r="S781" s="20" t="str">
        <x:f>IF(D781&lt;E781,"closed",IF(D781&lt;'Paths'!$N$15,"initial","expanded"))</x:f>
        <x:v>expanded</x:v>
      </x:c>
      <x:c r="T781" s="72"/>
    </x:row>
    <x:row r="782">
      <x:c r="C782" s="20" t="str">
        <x:v>P8</x:v>
      </x:c>
      <x:c r="D782" s="20" t="n">
        <x:v>47</x:v>
      </x:c>
      <x:c r="E782" s="45" t="n">
        <x:f>IF('Controls'!$D$7="Reference",'Paths'!$J$15,'Paths'!$K$15)</x:f>
        <x:v>7</x:v>
      </x:c>
      <x:c r="F782" s="47" t="n">
        <x:f>IF(D782&lt;'Paths'!$N$15,IF('Controls'!$D$7="Reference",'Paths'!$L$15,'Paths'!$M$15),IF('Controls'!$D$7="Reference",'Paths'!$O$15,'Paths'!$P$15))</x:f>
        <x:v>32000</x:v>
      </x:c>
      <x:c r="G782" s="46" t="n">
        <x:f>IF('Controls'!$D$7="Reference",1,IF(OR(D782=6,D782=7,D782=21,D782=46),'Paths'!$U$15,1))</x:f>
        <x:v>1</x:v>
      </x:c>
      <x:c r="H782" s="46" t="n">
        <x:f>IF('Controls'!$D$7="Reference",1,IF(OR(AND(D782&gt;=14,D782&lt;=16),AND(D782&gt;=34,D782&lt;=35),AND(D782&gt;=61,D782&lt;=63)),'Paths'!$V$15,1))</x:f>
        <x:v>1</x:v>
      </x:c>
      <x:c r="I782" s="46" t="n">
        <x:f>'Paths'!$W$15</x:f>
        <x:v>0.9</x:v>
      </x:c>
      <x:c r="J782" s="47" t="n">
        <x:f>IF(D782&lt;E782,0,MIN(F782*G782*H782*I782,IF('Paths'!$T$15&gt;0,MAX(0,'Paths'!$T$15-K781),1000000000)))</x:f>
        <x:v>28800</x:v>
      </x:c>
      <x:c r="K782" s="47" t="n">
        <x:f>K781+J782</x:f>
        <x:v>892800</x:v>
      </x:c>
      <x:c r="L782" s="46" t="n">
        <x:f>IF(C782="P0",1,IF(D782&lt;=3,0.8,IF(D782&lt;=14,0.65,IF(D782&lt;=45,0.5,0.3))))</x:f>
        <x:v>0.3</x:v>
      </x:c>
      <x:c r="M782" s="47" t="n">
        <x:f>J782*L782</x:f>
        <x:v>8640</x:v>
      </x:c>
      <x:c r="N782" s="47" t="n">
        <x:f>N781+M782</x:f>
        <x:v>453240</x:v>
      </x:c>
      <x:c r="O782" s="46" t="n">
        <x:f>IF(C782="P0",0,IF(D782&lt;=3,0.15,IF(D782&lt;=14,0.25,IF(D782&lt;=45,0.35,0.5))))</x:f>
        <x:v>0.5</x:v>
      </x:c>
      <x:c r="P782" s="47" t="n">
        <x:f>J782*O782</x:f>
        <x:v>14400</x:v>
      </x:c>
      <x:c r="Q782" s="46" t="n">
        <x:f>IF(C782="P0",0,IF(D782&lt;=3,0.05,IF(D782&lt;=14,0.1,IF(D782&lt;=45,0.15,0.2))))</x:f>
        <x:v>0.2</x:v>
      </x:c>
      <x:c r="R782" s="47" t="n">
        <x:f>J782*Q782</x:f>
        <x:v>5760</x:v>
      </x:c>
      <x:c r="S782" s="20" t="str">
        <x:f>IF(D782&lt;E782,"closed",IF(D782&lt;'Paths'!$N$15,"initial","expanded"))</x:f>
        <x:v>expanded</x:v>
      </x:c>
      <x:c r="T782" s="72"/>
    </x:row>
    <x:row r="783">
      <x:c r="C783" s="20" t="str">
        <x:v>P8</x:v>
      </x:c>
      <x:c r="D783" s="20" t="n">
        <x:v>48</x:v>
      </x:c>
      <x:c r="E783" s="45" t="n">
        <x:f>IF('Controls'!$D$7="Reference",'Paths'!$J$15,'Paths'!$K$15)</x:f>
        <x:v>7</x:v>
      </x:c>
      <x:c r="F783" s="47" t="n">
        <x:f>IF(D783&lt;'Paths'!$N$15,IF('Controls'!$D$7="Reference",'Paths'!$L$15,'Paths'!$M$15),IF('Controls'!$D$7="Reference",'Paths'!$O$15,'Paths'!$P$15))</x:f>
        <x:v>32000</x:v>
      </x:c>
      <x:c r="G783" s="46" t="n">
        <x:f>IF('Controls'!$D$7="Reference",1,IF(OR(D783=6,D783=7,D783=21,D783=46),'Paths'!$U$15,1))</x:f>
        <x:v>1</x:v>
      </x:c>
      <x:c r="H783" s="46" t="n">
        <x:f>IF('Controls'!$D$7="Reference",1,IF(OR(AND(D783&gt;=14,D783&lt;=16),AND(D783&gt;=34,D783&lt;=35),AND(D783&gt;=61,D783&lt;=63)),'Paths'!$V$15,1))</x:f>
        <x:v>1</x:v>
      </x:c>
      <x:c r="I783" s="46" t="n">
        <x:f>'Paths'!$W$15</x:f>
        <x:v>0.9</x:v>
      </x:c>
      <x:c r="J783" s="47" t="n">
        <x:f>IF(D783&lt;E783,0,MIN(F783*G783*H783*I783,IF('Paths'!$T$15&gt;0,MAX(0,'Paths'!$T$15-K782),1000000000)))</x:f>
        <x:v>28800</x:v>
      </x:c>
      <x:c r="K783" s="47" t="n">
        <x:f>K782+J783</x:f>
        <x:v>921600</x:v>
      </x:c>
      <x:c r="L783" s="46" t="n">
        <x:f>IF(C783="P0",1,IF(D783&lt;=3,0.8,IF(D783&lt;=14,0.65,IF(D783&lt;=45,0.5,0.3))))</x:f>
        <x:v>0.3</x:v>
      </x:c>
      <x:c r="M783" s="47" t="n">
        <x:f>J783*L783</x:f>
        <x:v>8640</x:v>
      </x:c>
      <x:c r="N783" s="47" t="n">
        <x:f>N782+M783</x:f>
        <x:v>461880</x:v>
      </x:c>
      <x:c r="O783" s="46" t="n">
        <x:f>IF(C783="P0",0,IF(D783&lt;=3,0.15,IF(D783&lt;=14,0.25,IF(D783&lt;=45,0.35,0.5))))</x:f>
        <x:v>0.5</x:v>
      </x:c>
      <x:c r="P783" s="47" t="n">
        <x:f>J783*O783</x:f>
        <x:v>14400</x:v>
      </x:c>
      <x:c r="Q783" s="46" t="n">
        <x:f>IF(C783="P0",0,IF(D783&lt;=3,0.05,IF(D783&lt;=14,0.1,IF(D783&lt;=45,0.15,0.2))))</x:f>
        <x:v>0.2</x:v>
      </x:c>
      <x:c r="R783" s="47" t="n">
        <x:f>J783*Q783</x:f>
        <x:v>5760</x:v>
      </x:c>
      <x:c r="S783" s="20" t="str">
        <x:f>IF(D783&lt;E783,"closed",IF(D783&lt;'Paths'!$N$15,"initial","expanded"))</x:f>
        <x:v>expanded</x:v>
      </x:c>
      <x:c r="T783" s="72"/>
    </x:row>
    <x:row r="784">
      <x:c r="C784" s="20" t="str">
        <x:v>P8</x:v>
      </x:c>
      <x:c r="D784" s="20" t="n">
        <x:v>49</x:v>
      </x:c>
      <x:c r="E784" s="45" t="n">
        <x:f>IF('Controls'!$D$7="Reference",'Paths'!$J$15,'Paths'!$K$15)</x:f>
        <x:v>7</x:v>
      </x:c>
      <x:c r="F784" s="47" t="n">
        <x:f>IF(D784&lt;'Paths'!$N$15,IF('Controls'!$D$7="Reference",'Paths'!$L$15,'Paths'!$M$15),IF('Controls'!$D$7="Reference",'Paths'!$O$15,'Paths'!$P$15))</x:f>
        <x:v>32000</x:v>
      </x:c>
      <x:c r="G784" s="46" t="n">
        <x:f>IF('Controls'!$D$7="Reference",1,IF(OR(D784=6,D784=7,D784=21,D784=46),'Paths'!$U$15,1))</x:f>
        <x:v>1</x:v>
      </x:c>
      <x:c r="H784" s="46" t="n">
        <x:f>IF('Controls'!$D$7="Reference",1,IF(OR(AND(D784&gt;=14,D784&lt;=16),AND(D784&gt;=34,D784&lt;=35),AND(D784&gt;=61,D784&lt;=63)),'Paths'!$V$15,1))</x:f>
        <x:v>1</x:v>
      </x:c>
      <x:c r="I784" s="46" t="n">
        <x:f>'Paths'!$W$15</x:f>
        <x:v>0.9</x:v>
      </x:c>
      <x:c r="J784" s="47" t="n">
        <x:f>IF(D784&lt;E784,0,MIN(F784*G784*H784*I784,IF('Paths'!$T$15&gt;0,MAX(0,'Paths'!$T$15-K783),1000000000)))</x:f>
        <x:v>28800</x:v>
      </x:c>
      <x:c r="K784" s="47" t="n">
        <x:f>K783+J784</x:f>
        <x:v>950400</x:v>
      </x:c>
      <x:c r="L784" s="46" t="n">
        <x:f>IF(C784="P0",1,IF(D784&lt;=3,0.8,IF(D784&lt;=14,0.65,IF(D784&lt;=45,0.5,0.3))))</x:f>
        <x:v>0.3</x:v>
      </x:c>
      <x:c r="M784" s="47" t="n">
        <x:f>J784*L784</x:f>
        <x:v>8640</x:v>
      </x:c>
      <x:c r="N784" s="47" t="n">
        <x:f>N783+M784</x:f>
        <x:v>470520</x:v>
      </x:c>
      <x:c r="O784" s="46" t="n">
        <x:f>IF(C784="P0",0,IF(D784&lt;=3,0.15,IF(D784&lt;=14,0.25,IF(D784&lt;=45,0.35,0.5))))</x:f>
        <x:v>0.5</x:v>
      </x:c>
      <x:c r="P784" s="47" t="n">
        <x:f>J784*O784</x:f>
        <x:v>14400</x:v>
      </x:c>
      <x:c r="Q784" s="46" t="n">
        <x:f>IF(C784="P0",0,IF(D784&lt;=3,0.05,IF(D784&lt;=14,0.1,IF(D784&lt;=45,0.15,0.2))))</x:f>
        <x:v>0.2</x:v>
      </x:c>
      <x:c r="R784" s="47" t="n">
        <x:f>J784*Q784</x:f>
        <x:v>5760</x:v>
      </x:c>
      <x:c r="S784" s="20" t="str">
        <x:f>IF(D784&lt;E784,"closed",IF(D784&lt;'Paths'!$N$15,"initial","expanded"))</x:f>
        <x:v>expanded</x:v>
      </x:c>
      <x:c r="T784" s="72"/>
    </x:row>
    <x:row r="785">
      <x:c r="C785" s="20" t="str">
        <x:v>P8</x:v>
      </x:c>
      <x:c r="D785" s="20" t="n">
        <x:v>50</x:v>
      </x:c>
      <x:c r="E785" s="45" t="n">
        <x:f>IF('Controls'!$D$7="Reference",'Paths'!$J$15,'Paths'!$K$15)</x:f>
        <x:v>7</x:v>
      </x:c>
      <x:c r="F785" s="47" t="n">
        <x:f>IF(D785&lt;'Paths'!$N$15,IF('Controls'!$D$7="Reference",'Paths'!$L$15,'Paths'!$M$15),IF('Controls'!$D$7="Reference",'Paths'!$O$15,'Paths'!$P$15))</x:f>
        <x:v>32000</x:v>
      </x:c>
      <x:c r="G785" s="46" t="n">
        <x:f>IF('Controls'!$D$7="Reference",1,IF(OR(D785=6,D785=7,D785=21,D785=46),'Paths'!$U$15,1))</x:f>
        <x:v>1</x:v>
      </x:c>
      <x:c r="H785" s="46" t="n">
        <x:f>IF('Controls'!$D$7="Reference",1,IF(OR(AND(D785&gt;=14,D785&lt;=16),AND(D785&gt;=34,D785&lt;=35),AND(D785&gt;=61,D785&lt;=63)),'Paths'!$V$15,1))</x:f>
        <x:v>1</x:v>
      </x:c>
      <x:c r="I785" s="46" t="n">
        <x:f>'Paths'!$W$15</x:f>
        <x:v>0.9</x:v>
      </x:c>
      <x:c r="J785" s="47" t="n">
        <x:f>IF(D785&lt;E785,0,MIN(F785*G785*H785*I785,IF('Paths'!$T$15&gt;0,MAX(0,'Paths'!$T$15-K784),1000000000)))</x:f>
        <x:v>28800</x:v>
      </x:c>
      <x:c r="K785" s="47" t="n">
        <x:f>K784+J785</x:f>
        <x:v>979200</x:v>
      </x:c>
      <x:c r="L785" s="46" t="n">
        <x:f>IF(C785="P0",1,IF(D785&lt;=3,0.8,IF(D785&lt;=14,0.65,IF(D785&lt;=45,0.5,0.3))))</x:f>
        <x:v>0.3</x:v>
      </x:c>
      <x:c r="M785" s="47" t="n">
        <x:f>J785*L785</x:f>
        <x:v>8640</x:v>
      </x:c>
      <x:c r="N785" s="47" t="n">
        <x:f>N784+M785</x:f>
        <x:v>479160</x:v>
      </x:c>
      <x:c r="O785" s="46" t="n">
        <x:f>IF(C785="P0",0,IF(D785&lt;=3,0.15,IF(D785&lt;=14,0.25,IF(D785&lt;=45,0.35,0.5))))</x:f>
        <x:v>0.5</x:v>
      </x:c>
      <x:c r="P785" s="47" t="n">
        <x:f>J785*O785</x:f>
        <x:v>14400</x:v>
      </x:c>
      <x:c r="Q785" s="46" t="n">
        <x:f>IF(C785="P0",0,IF(D785&lt;=3,0.05,IF(D785&lt;=14,0.1,IF(D785&lt;=45,0.15,0.2))))</x:f>
        <x:v>0.2</x:v>
      </x:c>
      <x:c r="R785" s="47" t="n">
        <x:f>J785*Q785</x:f>
        <x:v>5760</x:v>
      </x:c>
      <x:c r="S785" s="20" t="str">
        <x:f>IF(D785&lt;E785,"closed",IF(D785&lt;'Paths'!$N$15,"initial","expanded"))</x:f>
        <x:v>expanded</x:v>
      </x:c>
      <x:c r="T785" s="72"/>
    </x:row>
    <x:row r="786">
      <x:c r="C786" s="20" t="str">
        <x:v>P8</x:v>
      </x:c>
      <x:c r="D786" s="20" t="n">
        <x:v>51</x:v>
      </x:c>
      <x:c r="E786" s="45" t="n">
        <x:f>IF('Controls'!$D$7="Reference",'Paths'!$J$15,'Paths'!$K$15)</x:f>
        <x:v>7</x:v>
      </x:c>
      <x:c r="F786" s="47" t="n">
        <x:f>IF(D786&lt;'Paths'!$N$15,IF('Controls'!$D$7="Reference",'Paths'!$L$15,'Paths'!$M$15),IF('Controls'!$D$7="Reference",'Paths'!$O$15,'Paths'!$P$15))</x:f>
        <x:v>32000</x:v>
      </x:c>
      <x:c r="G786" s="46" t="n">
        <x:f>IF('Controls'!$D$7="Reference",1,IF(OR(D786=6,D786=7,D786=21,D786=46),'Paths'!$U$15,1))</x:f>
        <x:v>1</x:v>
      </x:c>
      <x:c r="H786" s="46" t="n">
        <x:f>IF('Controls'!$D$7="Reference",1,IF(OR(AND(D786&gt;=14,D786&lt;=16),AND(D786&gt;=34,D786&lt;=35),AND(D786&gt;=61,D786&lt;=63)),'Paths'!$V$15,1))</x:f>
        <x:v>1</x:v>
      </x:c>
      <x:c r="I786" s="46" t="n">
        <x:f>'Paths'!$W$15</x:f>
        <x:v>0.9</x:v>
      </x:c>
      <x:c r="J786" s="47" t="n">
        <x:f>IF(D786&lt;E786,0,MIN(F786*G786*H786*I786,IF('Paths'!$T$15&gt;0,MAX(0,'Paths'!$T$15-K785),1000000000)))</x:f>
        <x:v>28800</x:v>
      </x:c>
      <x:c r="K786" s="47" t="n">
        <x:f>K785+J786</x:f>
        <x:v>1008000</x:v>
      </x:c>
      <x:c r="L786" s="46" t="n">
        <x:f>IF(C786="P0",1,IF(D786&lt;=3,0.8,IF(D786&lt;=14,0.65,IF(D786&lt;=45,0.5,0.3))))</x:f>
        <x:v>0.3</x:v>
      </x:c>
      <x:c r="M786" s="47" t="n">
        <x:f>J786*L786</x:f>
        <x:v>8640</x:v>
      </x:c>
      <x:c r="N786" s="47" t="n">
        <x:f>N785+M786</x:f>
        <x:v>487800</x:v>
      </x:c>
      <x:c r="O786" s="46" t="n">
        <x:f>IF(C786="P0",0,IF(D786&lt;=3,0.15,IF(D786&lt;=14,0.25,IF(D786&lt;=45,0.35,0.5))))</x:f>
        <x:v>0.5</x:v>
      </x:c>
      <x:c r="P786" s="47" t="n">
        <x:f>J786*O786</x:f>
        <x:v>14400</x:v>
      </x:c>
      <x:c r="Q786" s="46" t="n">
        <x:f>IF(C786="P0",0,IF(D786&lt;=3,0.05,IF(D786&lt;=14,0.1,IF(D786&lt;=45,0.15,0.2))))</x:f>
        <x:v>0.2</x:v>
      </x:c>
      <x:c r="R786" s="47" t="n">
        <x:f>J786*Q786</x:f>
        <x:v>5760</x:v>
      </x:c>
      <x:c r="S786" s="20" t="str">
        <x:f>IF(D786&lt;E786,"closed",IF(D786&lt;'Paths'!$N$15,"initial","expanded"))</x:f>
        <x:v>expanded</x:v>
      </x:c>
      <x:c r="T786" s="72"/>
    </x:row>
    <x:row r="787">
      <x:c r="C787" s="20" t="str">
        <x:v>P8</x:v>
      </x:c>
      <x:c r="D787" s="20" t="n">
        <x:v>52</x:v>
      </x:c>
      <x:c r="E787" s="45" t="n">
        <x:f>IF('Controls'!$D$7="Reference",'Paths'!$J$15,'Paths'!$K$15)</x:f>
        <x:v>7</x:v>
      </x:c>
      <x:c r="F787" s="47" t="n">
        <x:f>IF(D787&lt;'Paths'!$N$15,IF('Controls'!$D$7="Reference",'Paths'!$L$15,'Paths'!$M$15),IF('Controls'!$D$7="Reference",'Paths'!$O$15,'Paths'!$P$15))</x:f>
        <x:v>32000</x:v>
      </x:c>
      <x:c r="G787" s="46" t="n">
        <x:f>IF('Controls'!$D$7="Reference",1,IF(OR(D787=6,D787=7,D787=21,D787=46),'Paths'!$U$15,1))</x:f>
        <x:v>1</x:v>
      </x:c>
      <x:c r="H787" s="46" t="n">
        <x:f>IF('Controls'!$D$7="Reference",1,IF(OR(AND(D787&gt;=14,D787&lt;=16),AND(D787&gt;=34,D787&lt;=35),AND(D787&gt;=61,D787&lt;=63)),'Paths'!$V$15,1))</x:f>
        <x:v>1</x:v>
      </x:c>
      <x:c r="I787" s="46" t="n">
        <x:f>'Paths'!$W$15</x:f>
        <x:v>0.9</x:v>
      </x:c>
      <x:c r="J787" s="47" t="n">
        <x:f>IF(D787&lt;E787,0,MIN(F787*G787*H787*I787,IF('Paths'!$T$15&gt;0,MAX(0,'Paths'!$T$15-K786),1000000000)))</x:f>
        <x:v>28800</x:v>
      </x:c>
      <x:c r="K787" s="47" t="n">
        <x:f>K786+J787</x:f>
        <x:v>1036800</x:v>
      </x:c>
      <x:c r="L787" s="46" t="n">
        <x:f>IF(C787="P0",1,IF(D787&lt;=3,0.8,IF(D787&lt;=14,0.65,IF(D787&lt;=45,0.5,0.3))))</x:f>
        <x:v>0.3</x:v>
      </x:c>
      <x:c r="M787" s="47" t="n">
        <x:f>J787*L787</x:f>
        <x:v>8640</x:v>
      </x:c>
      <x:c r="N787" s="47" t="n">
        <x:f>N786+M787</x:f>
        <x:v>496440</x:v>
      </x:c>
      <x:c r="O787" s="46" t="n">
        <x:f>IF(C787="P0",0,IF(D787&lt;=3,0.15,IF(D787&lt;=14,0.25,IF(D787&lt;=45,0.35,0.5))))</x:f>
        <x:v>0.5</x:v>
      </x:c>
      <x:c r="P787" s="47" t="n">
        <x:f>J787*O787</x:f>
        <x:v>14400</x:v>
      </x:c>
      <x:c r="Q787" s="46" t="n">
        <x:f>IF(C787="P0",0,IF(D787&lt;=3,0.05,IF(D787&lt;=14,0.1,IF(D787&lt;=45,0.15,0.2))))</x:f>
        <x:v>0.2</x:v>
      </x:c>
      <x:c r="R787" s="47" t="n">
        <x:f>J787*Q787</x:f>
        <x:v>5760</x:v>
      </x:c>
      <x:c r="S787" s="20" t="str">
        <x:f>IF(D787&lt;E787,"closed",IF(D787&lt;'Paths'!$N$15,"initial","expanded"))</x:f>
        <x:v>expanded</x:v>
      </x:c>
      <x:c r="T787" s="72"/>
    </x:row>
    <x:row r="788">
      <x:c r="C788" s="20" t="str">
        <x:v>P8</x:v>
      </x:c>
      <x:c r="D788" s="20" t="n">
        <x:v>53</x:v>
      </x:c>
      <x:c r="E788" s="45" t="n">
        <x:f>IF('Controls'!$D$7="Reference",'Paths'!$J$15,'Paths'!$K$15)</x:f>
        <x:v>7</x:v>
      </x:c>
      <x:c r="F788" s="47" t="n">
        <x:f>IF(D788&lt;'Paths'!$N$15,IF('Controls'!$D$7="Reference",'Paths'!$L$15,'Paths'!$M$15),IF('Controls'!$D$7="Reference",'Paths'!$O$15,'Paths'!$P$15))</x:f>
        <x:v>32000</x:v>
      </x:c>
      <x:c r="G788" s="46" t="n">
        <x:f>IF('Controls'!$D$7="Reference",1,IF(OR(D788=6,D788=7,D788=21,D788=46),'Paths'!$U$15,1))</x:f>
        <x:v>1</x:v>
      </x:c>
      <x:c r="H788" s="46" t="n">
        <x:f>IF('Controls'!$D$7="Reference",1,IF(OR(AND(D788&gt;=14,D788&lt;=16),AND(D788&gt;=34,D788&lt;=35),AND(D788&gt;=61,D788&lt;=63)),'Paths'!$V$15,1))</x:f>
        <x:v>1</x:v>
      </x:c>
      <x:c r="I788" s="46" t="n">
        <x:f>'Paths'!$W$15</x:f>
        <x:v>0.9</x:v>
      </x:c>
      <x:c r="J788" s="47" t="n">
        <x:f>IF(D788&lt;E788,0,MIN(F788*G788*H788*I788,IF('Paths'!$T$15&gt;0,MAX(0,'Paths'!$T$15-K787),1000000000)))</x:f>
        <x:v>28800</x:v>
      </x:c>
      <x:c r="K788" s="47" t="n">
        <x:f>K787+J788</x:f>
        <x:v>1065600</x:v>
      </x:c>
      <x:c r="L788" s="46" t="n">
        <x:f>IF(C788="P0",1,IF(D788&lt;=3,0.8,IF(D788&lt;=14,0.65,IF(D788&lt;=45,0.5,0.3))))</x:f>
        <x:v>0.3</x:v>
      </x:c>
      <x:c r="M788" s="47" t="n">
        <x:f>J788*L788</x:f>
        <x:v>8640</x:v>
      </x:c>
      <x:c r="N788" s="47" t="n">
        <x:f>N787+M788</x:f>
        <x:v>505080</x:v>
      </x:c>
      <x:c r="O788" s="46" t="n">
        <x:f>IF(C788="P0",0,IF(D788&lt;=3,0.15,IF(D788&lt;=14,0.25,IF(D788&lt;=45,0.35,0.5))))</x:f>
        <x:v>0.5</x:v>
      </x:c>
      <x:c r="P788" s="47" t="n">
        <x:f>J788*O788</x:f>
        <x:v>14400</x:v>
      </x:c>
      <x:c r="Q788" s="46" t="n">
        <x:f>IF(C788="P0",0,IF(D788&lt;=3,0.05,IF(D788&lt;=14,0.1,IF(D788&lt;=45,0.15,0.2))))</x:f>
        <x:v>0.2</x:v>
      </x:c>
      <x:c r="R788" s="47" t="n">
        <x:f>J788*Q788</x:f>
        <x:v>5760</x:v>
      </x:c>
      <x:c r="S788" s="20" t="str">
        <x:f>IF(D788&lt;E788,"closed",IF(D788&lt;'Paths'!$N$15,"initial","expanded"))</x:f>
        <x:v>expanded</x:v>
      </x:c>
      <x:c r="T788" s="72"/>
    </x:row>
    <x:row r="789">
      <x:c r="C789" s="20" t="str">
        <x:v>P8</x:v>
      </x:c>
      <x:c r="D789" s="20" t="n">
        <x:v>54</x:v>
      </x:c>
      <x:c r="E789" s="45" t="n">
        <x:f>IF('Controls'!$D$7="Reference",'Paths'!$J$15,'Paths'!$K$15)</x:f>
        <x:v>7</x:v>
      </x:c>
      <x:c r="F789" s="47" t="n">
        <x:f>IF(D789&lt;'Paths'!$N$15,IF('Controls'!$D$7="Reference",'Paths'!$L$15,'Paths'!$M$15),IF('Controls'!$D$7="Reference",'Paths'!$O$15,'Paths'!$P$15))</x:f>
        <x:v>32000</x:v>
      </x:c>
      <x:c r="G789" s="46" t="n">
        <x:f>IF('Controls'!$D$7="Reference",1,IF(OR(D789=6,D789=7,D789=21,D789=46),'Paths'!$U$15,1))</x:f>
        <x:v>1</x:v>
      </x:c>
      <x:c r="H789" s="46" t="n">
        <x:f>IF('Controls'!$D$7="Reference",1,IF(OR(AND(D789&gt;=14,D789&lt;=16),AND(D789&gt;=34,D789&lt;=35),AND(D789&gt;=61,D789&lt;=63)),'Paths'!$V$15,1))</x:f>
        <x:v>1</x:v>
      </x:c>
      <x:c r="I789" s="46" t="n">
        <x:f>'Paths'!$W$15</x:f>
        <x:v>0.9</x:v>
      </x:c>
      <x:c r="J789" s="47" t="n">
        <x:f>IF(D789&lt;E789,0,MIN(F789*G789*H789*I789,IF('Paths'!$T$15&gt;0,MAX(0,'Paths'!$T$15-K788),1000000000)))</x:f>
        <x:v>28800</x:v>
      </x:c>
      <x:c r="K789" s="47" t="n">
        <x:f>K788+J789</x:f>
        <x:v>1094400</x:v>
      </x:c>
      <x:c r="L789" s="46" t="n">
        <x:f>IF(C789="P0",1,IF(D789&lt;=3,0.8,IF(D789&lt;=14,0.65,IF(D789&lt;=45,0.5,0.3))))</x:f>
        <x:v>0.3</x:v>
      </x:c>
      <x:c r="M789" s="47" t="n">
        <x:f>J789*L789</x:f>
        <x:v>8640</x:v>
      </x:c>
      <x:c r="N789" s="47" t="n">
        <x:f>N788+M789</x:f>
        <x:v>513720</x:v>
      </x:c>
      <x:c r="O789" s="46" t="n">
        <x:f>IF(C789="P0",0,IF(D789&lt;=3,0.15,IF(D789&lt;=14,0.25,IF(D789&lt;=45,0.35,0.5))))</x:f>
        <x:v>0.5</x:v>
      </x:c>
      <x:c r="P789" s="47" t="n">
        <x:f>J789*O789</x:f>
        <x:v>14400</x:v>
      </x:c>
      <x:c r="Q789" s="46" t="n">
        <x:f>IF(C789="P0",0,IF(D789&lt;=3,0.05,IF(D789&lt;=14,0.1,IF(D789&lt;=45,0.15,0.2))))</x:f>
        <x:v>0.2</x:v>
      </x:c>
      <x:c r="R789" s="47" t="n">
        <x:f>J789*Q789</x:f>
        <x:v>5760</x:v>
      </x:c>
      <x:c r="S789" s="20" t="str">
        <x:f>IF(D789&lt;E789,"closed",IF(D789&lt;'Paths'!$N$15,"initial","expanded"))</x:f>
        <x:v>expanded</x:v>
      </x:c>
      <x:c r="T789" s="72"/>
    </x:row>
    <x:row r="790">
      <x:c r="C790" s="20" t="str">
        <x:v>P8</x:v>
      </x:c>
      <x:c r="D790" s="20" t="n">
        <x:v>55</x:v>
      </x:c>
      <x:c r="E790" s="45" t="n">
        <x:f>IF('Controls'!$D$7="Reference",'Paths'!$J$15,'Paths'!$K$15)</x:f>
        <x:v>7</x:v>
      </x:c>
      <x:c r="F790" s="47" t="n">
        <x:f>IF(D790&lt;'Paths'!$N$15,IF('Controls'!$D$7="Reference",'Paths'!$L$15,'Paths'!$M$15),IF('Controls'!$D$7="Reference",'Paths'!$O$15,'Paths'!$P$15))</x:f>
        <x:v>32000</x:v>
      </x:c>
      <x:c r="G790" s="46" t="n">
        <x:f>IF('Controls'!$D$7="Reference",1,IF(OR(D790=6,D790=7,D790=21,D790=46),'Paths'!$U$15,1))</x:f>
        <x:v>1</x:v>
      </x:c>
      <x:c r="H790" s="46" t="n">
        <x:f>IF('Controls'!$D$7="Reference",1,IF(OR(AND(D790&gt;=14,D790&lt;=16),AND(D790&gt;=34,D790&lt;=35),AND(D790&gt;=61,D790&lt;=63)),'Paths'!$V$15,1))</x:f>
        <x:v>1</x:v>
      </x:c>
      <x:c r="I790" s="46" t="n">
        <x:f>'Paths'!$W$15</x:f>
        <x:v>0.9</x:v>
      </x:c>
      <x:c r="J790" s="47" t="n">
        <x:f>IF(D790&lt;E790,0,MIN(F790*G790*H790*I790,IF('Paths'!$T$15&gt;0,MAX(0,'Paths'!$T$15-K789),1000000000)))</x:f>
        <x:v>28800</x:v>
      </x:c>
      <x:c r="K790" s="47" t="n">
        <x:f>K789+J790</x:f>
        <x:v>1123200</x:v>
      </x:c>
      <x:c r="L790" s="46" t="n">
        <x:f>IF(C790="P0",1,IF(D790&lt;=3,0.8,IF(D790&lt;=14,0.65,IF(D790&lt;=45,0.5,0.3))))</x:f>
        <x:v>0.3</x:v>
      </x:c>
      <x:c r="M790" s="47" t="n">
        <x:f>J790*L790</x:f>
        <x:v>8640</x:v>
      </x:c>
      <x:c r="N790" s="47" t="n">
        <x:f>N789+M790</x:f>
        <x:v>522360</x:v>
      </x:c>
      <x:c r="O790" s="46" t="n">
        <x:f>IF(C790="P0",0,IF(D790&lt;=3,0.15,IF(D790&lt;=14,0.25,IF(D790&lt;=45,0.35,0.5))))</x:f>
        <x:v>0.5</x:v>
      </x:c>
      <x:c r="P790" s="47" t="n">
        <x:f>J790*O790</x:f>
        <x:v>14400</x:v>
      </x:c>
      <x:c r="Q790" s="46" t="n">
        <x:f>IF(C790="P0",0,IF(D790&lt;=3,0.05,IF(D790&lt;=14,0.1,IF(D790&lt;=45,0.15,0.2))))</x:f>
        <x:v>0.2</x:v>
      </x:c>
      <x:c r="R790" s="47" t="n">
        <x:f>J790*Q790</x:f>
        <x:v>5760</x:v>
      </x:c>
      <x:c r="S790" s="20" t="str">
        <x:f>IF(D790&lt;E790,"closed",IF(D790&lt;'Paths'!$N$15,"initial","expanded"))</x:f>
        <x:v>expanded</x:v>
      </x:c>
      <x:c r="T790" s="72"/>
    </x:row>
    <x:row r="791">
      <x:c r="C791" s="20" t="str">
        <x:v>P8</x:v>
      </x:c>
      <x:c r="D791" s="20" t="n">
        <x:v>56</x:v>
      </x:c>
      <x:c r="E791" s="45" t="n">
        <x:f>IF('Controls'!$D$7="Reference",'Paths'!$J$15,'Paths'!$K$15)</x:f>
        <x:v>7</x:v>
      </x:c>
      <x:c r="F791" s="47" t="n">
        <x:f>IF(D791&lt;'Paths'!$N$15,IF('Controls'!$D$7="Reference",'Paths'!$L$15,'Paths'!$M$15),IF('Controls'!$D$7="Reference",'Paths'!$O$15,'Paths'!$P$15))</x:f>
        <x:v>32000</x:v>
      </x:c>
      <x:c r="G791" s="46" t="n">
        <x:f>IF('Controls'!$D$7="Reference",1,IF(OR(D791=6,D791=7,D791=21,D791=46),'Paths'!$U$15,1))</x:f>
        <x:v>1</x:v>
      </x:c>
      <x:c r="H791" s="46" t="n">
        <x:f>IF('Controls'!$D$7="Reference",1,IF(OR(AND(D791&gt;=14,D791&lt;=16),AND(D791&gt;=34,D791&lt;=35),AND(D791&gt;=61,D791&lt;=63)),'Paths'!$V$15,1))</x:f>
        <x:v>1</x:v>
      </x:c>
      <x:c r="I791" s="46" t="n">
        <x:f>'Paths'!$W$15</x:f>
        <x:v>0.9</x:v>
      </x:c>
      <x:c r="J791" s="47" t="n">
        <x:f>IF(D791&lt;E791,0,MIN(F791*G791*H791*I791,IF('Paths'!$T$15&gt;0,MAX(0,'Paths'!$T$15-K790),1000000000)))</x:f>
        <x:v>28800</x:v>
      </x:c>
      <x:c r="K791" s="47" t="n">
        <x:f>K790+J791</x:f>
        <x:v>1152000</x:v>
      </x:c>
      <x:c r="L791" s="46" t="n">
        <x:f>IF(C791="P0",1,IF(D791&lt;=3,0.8,IF(D791&lt;=14,0.65,IF(D791&lt;=45,0.5,0.3))))</x:f>
        <x:v>0.3</x:v>
      </x:c>
      <x:c r="M791" s="47" t="n">
        <x:f>J791*L791</x:f>
        <x:v>8640</x:v>
      </x:c>
      <x:c r="N791" s="47" t="n">
        <x:f>N790+M791</x:f>
        <x:v>531000</x:v>
      </x:c>
      <x:c r="O791" s="46" t="n">
        <x:f>IF(C791="P0",0,IF(D791&lt;=3,0.15,IF(D791&lt;=14,0.25,IF(D791&lt;=45,0.35,0.5))))</x:f>
        <x:v>0.5</x:v>
      </x:c>
      <x:c r="P791" s="47" t="n">
        <x:f>J791*O791</x:f>
        <x:v>14400</x:v>
      </x:c>
      <x:c r="Q791" s="46" t="n">
        <x:f>IF(C791="P0",0,IF(D791&lt;=3,0.05,IF(D791&lt;=14,0.1,IF(D791&lt;=45,0.15,0.2))))</x:f>
        <x:v>0.2</x:v>
      </x:c>
      <x:c r="R791" s="47" t="n">
        <x:f>J791*Q791</x:f>
        <x:v>5760</x:v>
      </x:c>
      <x:c r="S791" s="20" t="str">
        <x:f>IF(D791&lt;E791,"closed",IF(D791&lt;'Paths'!$N$15,"initial","expanded"))</x:f>
        <x:v>expanded</x:v>
      </x:c>
      <x:c r="T791" s="72"/>
    </x:row>
    <x:row r="792">
      <x:c r="C792" s="20" t="str">
        <x:v>P8</x:v>
      </x:c>
      <x:c r="D792" s="20" t="n">
        <x:v>57</x:v>
      </x:c>
      <x:c r="E792" s="45" t="n">
        <x:f>IF('Controls'!$D$7="Reference",'Paths'!$J$15,'Paths'!$K$15)</x:f>
        <x:v>7</x:v>
      </x:c>
      <x:c r="F792" s="47" t="n">
        <x:f>IF(D792&lt;'Paths'!$N$15,IF('Controls'!$D$7="Reference",'Paths'!$L$15,'Paths'!$M$15),IF('Controls'!$D$7="Reference",'Paths'!$O$15,'Paths'!$P$15))</x:f>
        <x:v>32000</x:v>
      </x:c>
      <x:c r="G792" s="46" t="n">
        <x:f>IF('Controls'!$D$7="Reference",1,IF(OR(D792=6,D792=7,D792=21,D792=46),'Paths'!$U$15,1))</x:f>
        <x:v>1</x:v>
      </x:c>
      <x:c r="H792" s="46" t="n">
        <x:f>IF('Controls'!$D$7="Reference",1,IF(OR(AND(D792&gt;=14,D792&lt;=16),AND(D792&gt;=34,D792&lt;=35),AND(D792&gt;=61,D792&lt;=63)),'Paths'!$V$15,1))</x:f>
        <x:v>1</x:v>
      </x:c>
      <x:c r="I792" s="46" t="n">
        <x:f>'Paths'!$W$15</x:f>
        <x:v>0.9</x:v>
      </x:c>
      <x:c r="J792" s="47" t="n">
        <x:f>IF(D792&lt;E792,0,MIN(F792*G792*H792*I792,IF('Paths'!$T$15&gt;0,MAX(0,'Paths'!$T$15-K791),1000000000)))</x:f>
        <x:v>28800</x:v>
      </x:c>
      <x:c r="K792" s="47" t="n">
        <x:f>K791+J792</x:f>
        <x:v>1180800</x:v>
      </x:c>
      <x:c r="L792" s="46" t="n">
        <x:f>IF(C792="P0",1,IF(D792&lt;=3,0.8,IF(D792&lt;=14,0.65,IF(D792&lt;=45,0.5,0.3))))</x:f>
        <x:v>0.3</x:v>
      </x:c>
      <x:c r="M792" s="47" t="n">
        <x:f>J792*L792</x:f>
        <x:v>8640</x:v>
      </x:c>
      <x:c r="N792" s="47" t="n">
        <x:f>N791+M792</x:f>
        <x:v>539640</x:v>
      </x:c>
      <x:c r="O792" s="46" t="n">
        <x:f>IF(C792="P0",0,IF(D792&lt;=3,0.15,IF(D792&lt;=14,0.25,IF(D792&lt;=45,0.35,0.5))))</x:f>
        <x:v>0.5</x:v>
      </x:c>
      <x:c r="P792" s="47" t="n">
        <x:f>J792*O792</x:f>
        <x:v>14400</x:v>
      </x:c>
      <x:c r="Q792" s="46" t="n">
        <x:f>IF(C792="P0",0,IF(D792&lt;=3,0.05,IF(D792&lt;=14,0.1,IF(D792&lt;=45,0.15,0.2))))</x:f>
        <x:v>0.2</x:v>
      </x:c>
      <x:c r="R792" s="47" t="n">
        <x:f>J792*Q792</x:f>
        <x:v>5760</x:v>
      </x:c>
      <x:c r="S792" s="20" t="str">
        <x:f>IF(D792&lt;E792,"closed",IF(D792&lt;'Paths'!$N$15,"initial","expanded"))</x:f>
        <x:v>expanded</x:v>
      </x:c>
      <x:c r="T792" s="72"/>
    </x:row>
    <x:row r="793">
      <x:c r="C793" s="20" t="str">
        <x:v>P8</x:v>
      </x:c>
      <x:c r="D793" s="20" t="n">
        <x:v>58</x:v>
      </x:c>
      <x:c r="E793" s="45" t="n">
        <x:f>IF('Controls'!$D$7="Reference",'Paths'!$J$15,'Paths'!$K$15)</x:f>
        <x:v>7</x:v>
      </x:c>
      <x:c r="F793" s="47" t="n">
        <x:f>IF(D793&lt;'Paths'!$N$15,IF('Controls'!$D$7="Reference",'Paths'!$L$15,'Paths'!$M$15),IF('Controls'!$D$7="Reference",'Paths'!$O$15,'Paths'!$P$15))</x:f>
        <x:v>32000</x:v>
      </x:c>
      <x:c r="G793" s="46" t="n">
        <x:f>IF('Controls'!$D$7="Reference",1,IF(OR(D793=6,D793=7,D793=21,D793=46),'Paths'!$U$15,1))</x:f>
        <x:v>1</x:v>
      </x:c>
      <x:c r="H793" s="46" t="n">
        <x:f>IF('Controls'!$D$7="Reference",1,IF(OR(AND(D793&gt;=14,D793&lt;=16),AND(D793&gt;=34,D793&lt;=35),AND(D793&gt;=61,D793&lt;=63)),'Paths'!$V$15,1))</x:f>
        <x:v>1</x:v>
      </x:c>
      <x:c r="I793" s="46" t="n">
        <x:f>'Paths'!$W$15</x:f>
        <x:v>0.9</x:v>
      </x:c>
      <x:c r="J793" s="47" t="n">
        <x:f>IF(D793&lt;E793,0,MIN(F793*G793*H793*I793,IF('Paths'!$T$15&gt;0,MAX(0,'Paths'!$T$15-K792),1000000000)))</x:f>
        <x:v>28800</x:v>
      </x:c>
      <x:c r="K793" s="47" t="n">
        <x:f>K792+J793</x:f>
        <x:v>1209600</x:v>
      </x:c>
      <x:c r="L793" s="46" t="n">
        <x:f>IF(C793="P0",1,IF(D793&lt;=3,0.8,IF(D793&lt;=14,0.65,IF(D793&lt;=45,0.5,0.3))))</x:f>
        <x:v>0.3</x:v>
      </x:c>
      <x:c r="M793" s="47" t="n">
        <x:f>J793*L793</x:f>
        <x:v>8640</x:v>
      </x:c>
      <x:c r="N793" s="47" t="n">
        <x:f>N792+M793</x:f>
        <x:v>548280</x:v>
      </x:c>
      <x:c r="O793" s="46" t="n">
        <x:f>IF(C793="P0",0,IF(D793&lt;=3,0.15,IF(D793&lt;=14,0.25,IF(D793&lt;=45,0.35,0.5))))</x:f>
        <x:v>0.5</x:v>
      </x:c>
      <x:c r="P793" s="47" t="n">
        <x:f>J793*O793</x:f>
        <x:v>14400</x:v>
      </x:c>
      <x:c r="Q793" s="46" t="n">
        <x:f>IF(C793="P0",0,IF(D793&lt;=3,0.05,IF(D793&lt;=14,0.1,IF(D793&lt;=45,0.15,0.2))))</x:f>
        <x:v>0.2</x:v>
      </x:c>
      <x:c r="R793" s="47" t="n">
        <x:f>J793*Q793</x:f>
        <x:v>5760</x:v>
      </x:c>
      <x:c r="S793" s="20" t="str">
        <x:f>IF(D793&lt;E793,"closed",IF(D793&lt;'Paths'!$N$15,"initial","expanded"))</x:f>
        <x:v>expanded</x:v>
      </x:c>
      <x:c r="T793" s="72"/>
    </x:row>
    <x:row r="794">
      <x:c r="C794" s="20" t="str">
        <x:v>P8</x:v>
      </x:c>
      <x:c r="D794" s="20" t="n">
        <x:v>59</x:v>
      </x:c>
      <x:c r="E794" s="45" t="n">
        <x:f>IF('Controls'!$D$7="Reference",'Paths'!$J$15,'Paths'!$K$15)</x:f>
        <x:v>7</x:v>
      </x:c>
      <x:c r="F794" s="47" t="n">
        <x:f>IF(D794&lt;'Paths'!$N$15,IF('Controls'!$D$7="Reference",'Paths'!$L$15,'Paths'!$M$15),IF('Controls'!$D$7="Reference",'Paths'!$O$15,'Paths'!$P$15))</x:f>
        <x:v>32000</x:v>
      </x:c>
      <x:c r="G794" s="46" t="n">
        <x:f>IF('Controls'!$D$7="Reference",1,IF(OR(D794=6,D794=7,D794=21,D794=46),'Paths'!$U$15,1))</x:f>
        <x:v>1</x:v>
      </x:c>
      <x:c r="H794" s="46" t="n">
        <x:f>IF('Controls'!$D$7="Reference",1,IF(OR(AND(D794&gt;=14,D794&lt;=16),AND(D794&gt;=34,D794&lt;=35),AND(D794&gt;=61,D794&lt;=63)),'Paths'!$V$15,1))</x:f>
        <x:v>1</x:v>
      </x:c>
      <x:c r="I794" s="46" t="n">
        <x:f>'Paths'!$W$15</x:f>
        <x:v>0.9</x:v>
      </x:c>
      <x:c r="J794" s="47" t="n">
        <x:f>IF(D794&lt;E794,0,MIN(F794*G794*H794*I794,IF('Paths'!$T$15&gt;0,MAX(0,'Paths'!$T$15-K793),1000000000)))</x:f>
        <x:v>28800</x:v>
      </x:c>
      <x:c r="K794" s="47" t="n">
        <x:f>K793+J794</x:f>
        <x:v>1238400</x:v>
      </x:c>
      <x:c r="L794" s="46" t="n">
        <x:f>IF(C794="P0",1,IF(D794&lt;=3,0.8,IF(D794&lt;=14,0.65,IF(D794&lt;=45,0.5,0.3))))</x:f>
        <x:v>0.3</x:v>
      </x:c>
      <x:c r="M794" s="47" t="n">
        <x:f>J794*L794</x:f>
        <x:v>8640</x:v>
      </x:c>
      <x:c r="N794" s="47" t="n">
        <x:f>N793+M794</x:f>
        <x:v>556920</x:v>
      </x:c>
      <x:c r="O794" s="46" t="n">
        <x:f>IF(C794="P0",0,IF(D794&lt;=3,0.15,IF(D794&lt;=14,0.25,IF(D794&lt;=45,0.35,0.5))))</x:f>
        <x:v>0.5</x:v>
      </x:c>
      <x:c r="P794" s="47" t="n">
        <x:f>J794*O794</x:f>
        <x:v>14400</x:v>
      </x:c>
      <x:c r="Q794" s="46" t="n">
        <x:f>IF(C794="P0",0,IF(D794&lt;=3,0.05,IF(D794&lt;=14,0.1,IF(D794&lt;=45,0.15,0.2))))</x:f>
        <x:v>0.2</x:v>
      </x:c>
      <x:c r="R794" s="47" t="n">
        <x:f>J794*Q794</x:f>
        <x:v>5760</x:v>
      </x:c>
      <x:c r="S794" s="20" t="str">
        <x:f>IF(D794&lt;E794,"closed",IF(D794&lt;'Paths'!$N$15,"initial","expanded"))</x:f>
        <x:v>expanded</x:v>
      </x:c>
      <x:c r="T794" s="72"/>
    </x:row>
    <x:row r="795">
      <x:c r="C795" s="20" t="str">
        <x:v>P8</x:v>
      </x:c>
      <x:c r="D795" s="20" t="n">
        <x:v>60</x:v>
      </x:c>
      <x:c r="E795" s="45" t="n">
        <x:f>IF('Controls'!$D$7="Reference",'Paths'!$J$15,'Paths'!$K$15)</x:f>
        <x:v>7</x:v>
      </x:c>
      <x:c r="F795" s="47" t="n">
        <x:f>IF(D795&lt;'Paths'!$N$15,IF('Controls'!$D$7="Reference",'Paths'!$L$15,'Paths'!$M$15),IF('Controls'!$D$7="Reference",'Paths'!$O$15,'Paths'!$P$15))</x:f>
        <x:v>32000</x:v>
      </x:c>
      <x:c r="G795" s="46" t="n">
        <x:f>IF('Controls'!$D$7="Reference",1,IF(OR(D795=6,D795=7,D795=21,D795=46),'Paths'!$U$15,1))</x:f>
        <x:v>1</x:v>
      </x:c>
      <x:c r="H795" s="46" t="n">
        <x:f>IF('Controls'!$D$7="Reference",1,IF(OR(AND(D795&gt;=14,D795&lt;=16),AND(D795&gt;=34,D795&lt;=35),AND(D795&gt;=61,D795&lt;=63)),'Paths'!$V$15,1))</x:f>
        <x:v>1</x:v>
      </x:c>
      <x:c r="I795" s="46" t="n">
        <x:f>'Paths'!$W$15</x:f>
        <x:v>0.9</x:v>
      </x:c>
      <x:c r="J795" s="47" t="n">
        <x:f>IF(D795&lt;E795,0,MIN(F795*G795*H795*I795,IF('Paths'!$T$15&gt;0,MAX(0,'Paths'!$T$15-K794),1000000000)))</x:f>
        <x:v>28800</x:v>
      </x:c>
      <x:c r="K795" s="47" t="n">
        <x:f>K794+J795</x:f>
        <x:v>1267200</x:v>
      </x:c>
      <x:c r="L795" s="46" t="n">
        <x:f>IF(C795="P0",1,IF(D795&lt;=3,0.8,IF(D795&lt;=14,0.65,IF(D795&lt;=45,0.5,0.3))))</x:f>
        <x:v>0.3</x:v>
      </x:c>
      <x:c r="M795" s="47" t="n">
        <x:f>J795*L795</x:f>
        <x:v>8640</x:v>
      </x:c>
      <x:c r="N795" s="47" t="n">
        <x:f>N794+M795</x:f>
        <x:v>565560</x:v>
      </x:c>
      <x:c r="O795" s="46" t="n">
        <x:f>IF(C795="P0",0,IF(D795&lt;=3,0.15,IF(D795&lt;=14,0.25,IF(D795&lt;=45,0.35,0.5))))</x:f>
        <x:v>0.5</x:v>
      </x:c>
      <x:c r="P795" s="47" t="n">
        <x:f>J795*O795</x:f>
        <x:v>14400</x:v>
      </x:c>
      <x:c r="Q795" s="46" t="n">
        <x:f>IF(C795="P0",0,IF(D795&lt;=3,0.05,IF(D795&lt;=14,0.1,IF(D795&lt;=45,0.15,0.2))))</x:f>
        <x:v>0.2</x:v>
      </x:c>
      <x:c r="R795" s="47" t="n">
        <x:f>J795*Q795</x:f>
        <x:v>5760</x:v>
      </x:c>
      <x:c r="S795" s="20" t="str">
        <x:f>IF(D795&lt;E795,"closed",IF(D795&lt;'Paths'!$N$15,"initial","expanded"))</x:f>
        <x:v>expanded</x:v>
      </x:c>
      <x:c r="T795" s="72"/>
    </x:row>
    <x:row r="796">
      <x:c r="C796" s="20" t="str">
        <x:v>P8</x:v>
      </x:c>
      <x:c r="D796" s="20" t="n">
        <x:v>61</x:v>
      </x:c>
      <x:c r="E796" s="45" t="n">
        <x:f>IF('Controls'!$D$7="Reference",'Paths'!$J$15,'Paths'!$K$15)</x:f>
        <x:v>7</x:v>
      </x:c>
      <x:c r="F796" s="47" t="n">
        <x:f>IF(D796&lt;'Paths'!$N$15,IF('Controls'!$D$7="Reference",'Paths'!$L$15,'Paths'!$M$15),IF('Controls'!$D$7="Reference",'Paths'!$O$15,'Paths'!$P$15))</x:f>
        <x:v>32000</x:v>
      </x:c>
      <x:c r="G796" s="46" t="n">
        <x:f>IF('Controls'!$D$7="Reference",1,IF(OR(D796=6,D796=7,D796=21,D796=46),'Paths'!$U$15,1))</x:f>
        <x:v>1</x:v>
      </x:c>
      <x:c r="H796" s="46" t="n">
        <x:f>IF('Controls'!$D$7="Reference",1,IF(OR(AND(D796&gt;=14,D796&lt;=16),AND(D796&gt;=34,D796&lt;=35),AND(D796&gt;=61,D796&lt;=63)),'Paths'!$V$15,1))</x:f>
        <x:v>0.25</x:v>
      </x:c>
      <x:c r="I796" s="46" t="n">
        <x:f>'Paths'!$W$15</x:f>
        <x:v>0.9</x:v>
      </x:c>
      <x:c r="J796" s="47" t="n">
        <x:f>IF(D796&lt;E796,0,MIN(F796*G796*H796*I796,IF('Paths'!$T$15&gt;0,MAX(0,'Paths'!$T$15-K795),1000000000)))</x:f>
        <x:v>7200</x:v>
      </x:c>
      <x:c r="K796" s="47" t="n">
        <x:f>K795+J796</x:f>
        <x:v>1274400</x:v>
      </x:c>
      <x:c r="L796" s="46" t="n">
        <x:f>IF(C796="P0",1,IF(D796&lt;=3,0.8,IF(D796&lt;=14,0.65,IF(D796&lt;=45,0.5,0.3))))</x:f>
        <x:v>0.3</x:v>
      </x:c>
      <x:c r="M796" s="47" t="n">
        <x:f>J796*L796</x:f>
        <x:v>2160</x:v>
      </x:c>
      <x:c r="N796" s="47" t="n">
        <x:f>N795+M796</x:f>
        <x:v>567720</x:v>
      </x:c>
      <x:c r="O796" s="46" t="n">
        <x:f>IF(C796="P0",0,IF(D796&lt;=3,0.15,IF(D796&lt;=14,0.25,IF(D796&lt;=45,0.35,0.5))))</x:f>
        <x:v>0.5</x:v>
      </x:c>
      <x:c r="P796" s="47" t="n">
        <x:f>J796*O796</x:f>
        <x:v>3600</x:v>
      </x:c>
      <x:c r="Q796" s="46" t="n">
        <x:f>IF(C796="P0",0,IF(D796&lt;=3,0.05,IF(D796&lt;=14,0.1,IF(D796&lt;=45,0.15,0.2))))</x:f>
        <x:v>0.2</x:v>
      </x:c>
      <x:c r="R796" s="47" t="n">
        <x:f>J796*Q796</x:f>
        <x:v>1440</x:v>
      </x:c>
      <x:c r="S796" s="20" t="str">
        <x:f>IF(D796&lt;E796,"closed",IF(D796&lt;'Paths'!$N$15,"initial","expanded"))</x:f>
        <x:v>expanded</x:v>
      </x:c>
      <x:c r="T796" s="72"/>
    </x:row>
    <x:row r="797">
      <x:c r="C797" s="20" t="str">
        <x:v>P8</x:v>
      </x:c>
      <x:c r="D797" s="20" t="n">
        <x:v>62</x:v>
      </x:c>
      <x:c r="E797" s="45" t="n">
        <x:f>IF('Controls'!$D$7="Reference",'Paths'!$J$15,'Paths'!$K$15)</x:f>
        <x:v>7</x:v>
      </x:c>
      <x:c r="F797" s="47" t="n">
        <x:f>IF(D797&lt;'Paths'!$N$15,IF('Controls'!$D$7="Reference",'Paths'!$L$15,'Paths'!$M$15),IF('Controls'!$D$7="Reference",'Paths'!$O$15,'Paths'!$P$15))</x:f>
        <x:v>32000</x:v>
      </x:c>
      <x:c r="G797" s="46" t="n">
        <x:f>IF('Controls'!$D$7="Reference",1,IF(OR(D797=6,D797=7,D797=21,D797=46),'Paths'!$U$15,1))</x:f>
        <x:v>1</x:v>
      </x:c>
      <x:c r="H797" s="46" t="n">
        <x:f>IF('Controls'!$D$7="Reference",1,IF(OR(AND(D797&gt;=14,D797&lt;=16),AND(D797&gt;=34,D797&lt;=35),AND(D797&gt;=61,D797&lt;=63)),'Paths'!$V$15,1))</x:f>
        <x:v>0.25</x:v>
      </x:c>
      <x:c r="I797" s="46" t="n">
        <x:f>'Paths'!$W$15</x:f>
        <x:v>0.9</x:v>
      </x:c>
      <x:c r="J797" s="47" t="n">
        <x:f>IF(D797&lt;E797,0,MIN(F797*G797*H797*I797,IF('Paths'!$T$15&gt;0,MAX(0,'Paths'!$T$15-K796),1000000000)))</x:f>
        <x:v>7200</x:v>
      </x:c>
      <x:c r="K797" s="47" t="n">
        <x:f>K796+J797</x:f>
        <x:v>1281600</x:v>
      </x:c>
      <x:c r="L797" s="46" t="n">
        <x:f>IF(C797="P0",1,IF(D797&lt;=3,0.8,IF(D797&lt;=14,0.65,IF(D797&lt;=45,0.5,0.3))))</x:f>
        <x:v>0.3</x:v>
      </x:c>
      <x:c r="M797" s="47" t="n">
        <x:f>J797*L797</x:f>
        <x:v>2160</x:v>
      </x:c>
      <x:c r="N797" s="47" t="n">
        <x:f>N796+M797</x:f>
        <x:v>569880</x:v>
      </x:c>
      <x:c r="O797" s="46" t="n">
        <x:f>IF(C797="P0",0,IF(D797&lt;=3,0.15,IF(D797&lt;=14,0.25,IF(D797&lt;=45,0.35,0.5))))</x:f>
        <x:v>0.5</x:v>
      </x:c>
      <x:c r="P797" s="47" t="n">
        <x:f>J797*O797</x:f>
        <x:v>3600</x:v>
      </x:c>
      <x:c r="Q797" s="46" t="n">
        <x:f>IF(C797="P0",0,IF(D797&lt;=3,0.05,IF(D797&lt;=14,0.1,IF(D797&lt;=45,0.15,0.2))))</x:f>
        <x:v>0.2</x:v>
      </x:c>
      <x:c r="R797" s="47" t="n">
        <x:f>J797*Q797</x:f>
        <x:v>1440</x:v>
      </x:c>
      <x:c r="S797" s="20" t="str">
        <x:f>IF(D797&lt;E797,"closed",IF(D797&lt;'Paths'!$N$15,"initial","expanded"))</x:f>
        <x:v>expanded</x:v>
      </x:c>
      <x:c r="T797" s="72"/>
    </x:row>
    <x:row r="798">
      <x:c r="C798" s="20" t="str">
        <x:v>P8</x:v>
      </x:c>
      <x:c r="D798" s="20" t="n">
        <x:v>63</x:v>
      </x:c>
      <x:c r="E798" s="45" t="n">
        <x:f>IF('Controls'!$D$7="Reference",'Paths'!$J$15,'Paths'!$K$15)</x:f>
        <x:v>7</x:v>
      </x:c>
      <x:c r="F798" s="47" t="n">
        <x:f>IF(D798&lt;'Paths'!$N$15,IF('Controls'!$D$7="Reference",'Paths'!$L$15,'Paths'!$M$15),IF('Controls'!$D$7="Reference",'Paths'!$O$15,'Paths'!$P$15))</x:f>
        <x:v>32000</x:v>
      </x:c>
      <x:c r="G798" s="46" t="n">
        <x:f>IF('Controls'!$D$7="Reference",1,IF(OR(D798=6,D798=7,D798=21,D798=46),'Paths'!$U$15,1))</x:f>
        <x:v>1</x:v>
      </x:c>
      <x:c r="H798" s="46" t="n">
        <x:f>IF('Controls'!$D$7="Reference",1,IF(OR(AND(D798&gt;=14,D798&lt;=16),AND(D798&gt;=34,D798&lt;=35),AND(D798&gt;=61,D798&lt;=63)),'Paths'!$V$15,1))</x:f>
        <x:v>0.25</x:v>
      </x:c>
      <x:c r="I798" s="46" t="n">
        <x:f>'Paths'!$W$15</x:f>
        <x:v>0.9</x:v>
      </x:c>
      <x:c r="J798" s="47" t="n">
        <x:f>IF(D798&lt;E798,0,MIN(F798*G798*H798*I798,IF('Paths'!$T$15&gt;0,MAX(0,'Paths'!$T$15-K797),1000000000)))</x:f>
        <x:v>7200</x:v>
      </x:c>
      <x:c r="K798" s="47" t="n">
        <x:f>K797+J798</x:f>
        <x:v>1288800</x:v>
      </x:c>
      <x:c r="L798" s="46" t="n">
        <x:f>IF(C798="P0",1,IF(D798&lt;=3,0.8,IF(D798&lt;=14,0.65,IF(D798&lt;=45,0.5,0.3))))</x:f>
        <x:v>0.3</x:v>
      </x:c>
      <x:c r="M798" s="47" t="n">
        <x:f>J798*L798</x:f>
        <x:v>2160</x:v>
      </x:c>
      <x:c r="N798" s="47" t="n">
        <x:f>N797+M798</x:f>
        <x:v>572040</x:v>
      </x:c>
      <x:c r="O798" s="46" t="n">
        <x:f>IF(C798="P0",0,IF(D798&lt;=3,0.15,IF(D798&lt;=14,0.25,IF(D798&lt;=45,0.35,0.5))))</x:f>
        <x:v>0.5</x:v>
      </x:c>
      <x:c r="P798" s="47" t="n">
        <x:f>J798*O798</x:f>
        <x:v>3600</x:v>
      </x:c>
      <x:c r="Q798" s="46" t="n">
        <x:f>IF(C798="P0",0,IF(D798&lt;=3,0.05,IF(D798&lt;=14,0.1,IF(D798&lt;=45,0.15,0.2))))</x:f>
        <x:v>0.2</x:v>
      </x:c>
      <x:c r="R798" s="47" t="n">
        <x:f>J798*Q798</x:f>
        <x:v>1440</x:v>
      </x:c>
      <x:c r="S798" s="20" t="str">
        <x:f>IF(D798&lt;E798,"closed",IF(D798&lt;'Paths'!$N$15,"initial","expanded"))</x:f>
        <x:v>expanded</x:v>
      </x:c>
      <x:c r="T798" s="72"/>
    </x:row>
    <x:row r="799">
      <x:c r="C799" s="20" t="str">
        <x:v>P8</x:v>
      </x:c>
      <x:c r="D799" s="20" t="n">
        <x:v>64</x:v>
      </x:c>
      <x:c r="E799" s="45" t="n">
        <x:f>IF('Controls'!$D$7="Reference",'Paths'!$J$15,'Paths'!$K$15)</x:f>
        <x:v>7</x:v>
      </x:c>
      <x:c r="F799" s="47" t="n">
        <x:f>IF(D799&lt;'Paths'!$N$15,IF('Controls'!$D$7="Reference",'Paths'!$L$15,'Paths'!$M$15),IF('Controls'!$D$7="Reference",'Paths'!$O$15,'Paths'!$P$15))</x:f>
        <x:v>32000</x:v>
      </x:c>
      <x:c r="G799" s="46" t="n">
        <x:f>IF('Controls'!$D$7="Reference",1,IF(OR(D799=6,D799=7,D799=21,D799=46),'Paths'!$U$15,1))</x:f>
        <x:v>1</x:v>
      </x:c>
      <x:c r="H799" s="46" t="n">
        <x:f>IF('Controls'!$D$7="Reference",1,IF(OR(AND(D799&gt;=14,D799&lt;=16),AND(D799&gt;=34,D799&lt;=35),AND(D799&gt;=61,D799&lt;=63)),'Paths'!$V$15,1))</x:f>
        <x:v>1</x:v>
      </x:c>
      <x:c r="I799" s="46" t="n">
        <x:f>'Paths'!$W$15</x:f>
        <x:v>0.9</x:v>
      </x:c>
      <x:c r="J799" s="47" t="n">
        <x:f>IF(D799&lt;E799,0,MIN(F799*G799*H799*I799,IF('Paths'!$T$15&gt;0,MAX(0,'Paths'!$T$15-K798),1000000000)))</x:f>
        <x:v>28800</x:v>
      </x:c>
      <x:c r="K799" s="47" t="n">
        <x:f>K798+J799</x:f>
        <x:v>1317600</x:v>
      </x:c>
      <x:c r="L799" s="46" t="n">
        <x:f>IF(C799="P0",1,IF(D799&lt;=3,0.8,IF(D799&lt;=14,0.65,IF(D799&lt;=45,0.5,0.3))))</x:f>
        <x:v>0.3</x:v>
      </x:c>
      <x:c r="M799" s="47" t="n">
        <x:f>J799*L799</x:f>
        <x:v>8640</x:v>
      </x:c>
      <x:c r="N799" s="47" t="n">
        <x:f>N798+M799</x:f>
        <x:v>580680</x:v>
      </x:c>
      <x:c r="O799" s="46" t="n">
        <x:f>IF(C799="P0",0,IF(D799&lt;=3,0.15,IF(D799&lt;=14,0.25,IF(D799&lt;=45,0.35,0.5))))</x:f>
        <x:v>0.5</x:v>
      </x:c>
      <x:c r="P799" s="47" t="n">
        <x:f>J799*O799</x:f>
        <x:v>14400</x:v>
      </x:c>
      <x:c r="Q799" s="46" t="n">
        <x:f>IF(C799="P0",0,IF(D799&lt;=3,0.05,IF(D799&lt;=14,0.1,IF(D799&lt;=45,0.15,0.2))))</x:f>
        <x:v>0.2</x:v>
      </x:c>
      <x:c r="R799" s="47" t="n">
        <x:f>J799*Q799</x:f>
        <x:v>5760</x:v>
      </x:c>
      <x:c r="S799" s="20" t="str">
        <x:f>IF(D799&lt;E799,"closed",IF(D799&lt;'Paths'!$N$15,"initial","expanded"))</x:f>
        <x:v>expanded</x:v>
      </x:c>
      <x:c r="T799" s="72"/>
    </x:row>
    <x:row r="800">
      <x:c r="C800" s="20" t="str">
        <x:v>P8</x:v>
      </x:c>
      <x:c r="D800" s="20" t="n">
        <x:v>65</x:v>
      </x:c>
      <x:c r="E800" s="45" t="n">
        <x:f>IF('Controls'!$D$7="Reference",'Paths'!$J$15,'Paths'!$K$15)</x:f>
        <x:v>7</x:v>
      </x:c>
      <x:c r="F800" s="47" t="n">
        <x:f>IF(D800&lt;'Paths'!$N$15,IF('Controls'!$D$7="Reference",'Paths'!$L$15,'Paths'!$M$15),IF('Controls'!$D$7="Reference",'Paths'!$O$15,'Paths'!$P$15))</x:f>
        <x:v>32000</x:v>
      </x:c>
      <x:c r="G800" s="46" t="n">
        <x:f>IF('Controls'!$D$7="Reference",1,IF(OR(D800=6,D800=7,D800=21,D800=46),'Paths'!$U$15,1))</x:f>
        <x:v>1</x:v>
      </x:c>
      <x:c r="H800" s="46" t="n">
        <x:f>IF('Controls'!$D$7="Reference",1,IF(OR(AND(D800&gt;=14,D800&lt;=16),AND(D800&gt;=34,D800&lt;=35),AND(D800&gt;=61,D800&lt;=63)),'Paths'!$V$15,1))</x:f>
        <x:v>1</x:v>
      </x:c>
      <x:c r="I800" s="46" t="n">
        <x:f>'Paths'!$W$15</x:f>
        <x:v>0.9</x:v>
      </x:c>
      <x:c r="J800" s="47" t="n">
        <x:f>IF(D800&lt;E800,0,MIN(F800*G800*H800*I800,IF('Paths'!$T$15&gt;0,MAX(0,'Paths'!$T$15-K799),1000000000)))</x:f>
        <x:v>28800</x:v>
      </x:c>
      <x:c r="K800" s="47" t="n">
        <x:f>K799+J800</x:f>
        <x:v>1346400</x:v>
      </x:c>
      <x:c r="L800" s="46" t="n">
        <x:f>IF(C800="P0",1,IF(D800&lt;=3,0.8,IF(D800&lt;=14,0.65,IF(D800&lt;=45,0.5,0.3))))</x:f>
        <x:v>0.3</x:v>
      </x:c>
      <x:c r="M800" s="47" t="n">
        <x:f>J800*L800</x:f>
        <x:v>8640</x:v>
      </x:c>
      <x:c r="N800" s="47" t="n">
        <x:f>N799+M800</x:f>
        <x:v>589320</x:v>
      </x:c>
      <x:c r="O800" s="46" t="n">
        <x:f>IF(C800="P0",0,IF(D800&lt;=3,0.15,IF(D800&lt;=14,0.25,IF(D800&lt;=45,0.35,0.5))))</x:f>
        <x:v>0.5</x:v>
      </x:c>
      <x:c r="P800" s="47" t="n">
        <x:f>J800*O800</x:f>
        <x:v>14400</x:v>
      </x:c>
      <x:c r="Q800" s="46" t="n">
        <x:f>IF(C800="P0",0,IF(D800&lt;=3,0.05,IF(D800&lt;=14,0.1,IF(D800&lt;=45,0.15,0.2))))</x:f>
        <x:v>0.2</x:v>
      </x:c>
      <x:c r="R800" s="47" t="n">
        <x:f>J800*Q800</x:f>
        <x:v>5760</x:v>
      </x:c>
      <x:c r="S800" s="20" t="str">
        <x:f>IF(D800&lt;E800,"closed",IF(D800&lt;'Paths'!$N$15,"initial","expanded"))</x:f>
        <x:v>expanded</x:v>
      </x:c>
      <x:c r="T800" s="72"/>
    </x:row>
    <x:row r="801">
      <x:c r="C801" s="20" t="str">
        <x:v>P8</x:v>
      </x:c>
      <x:c r="D801" s="20" t="n">
        <x:v>66</x:v>
      </x:c>
      <x:c r="E801" s="45" t="n">
        <x:f>IF('Controls'!$D$7="Reference",'Paths'!$J$15,'Paths'!$K$15)</x:f>
        <x:v>7</x:v>
      </x:c>
      <x:c r="F801" s="47" t="n">
        <x:f>IF(D801&lt;'Paths'!$N$15,IF('Controls'!$D$7="Reference",'Paths'!$L$15,'Paths'!$M$15),IF('Controls'!$D$7="Reference",'Paths'!$O$15,'Paths'!$P$15))</x:f>
        <x:v>32000</x:v>
      </x:c>
      <x:c r="G801" s="46" t="n">
        <x:f>IF('Controls'!$D$7="Reference",1,IF(OR(D801=6,D801=7,D801=21,D801=46),'Paths'!$U$15,1))</x:f>
        <x:v>1</x:v>
      </x:c>
      <x:c r="H801" s="46" t="n">
        <x:f>IF('Controls'!$D$7="Reference",1,IF(OR(AND(D801&gt;=14,D801&lt;=16),AND(D801&gt;=34,D801&lt;=35),AND(D801&gt;=61,D801&lt;=63)),'Paths'!$V$15,1))</x:f>
        <x:v>1</x:v>
      </x:c>
      <x:c r="I801" s="46" t="n">
        <x:f>'Paths'!$W$15</x:f>
        <x:v>0.9</x:v>
      </x:c>
      <x:c r="J801" s="47" t="n">
        <x:f>IF(D801&lt;E801,0,MIN(F801*G801*H801*I801,IF('Paths'!$T$15&gt;0,MAX(0,'Paths'!$T$15-K800),1000000000)))</x:f>
        <x:v>28800</x:v>
      </x:c>
      <x:c r="K801" s="47" t="n">
        <x:f>K800+J801</x:f>
        <x:v>1375200</x:v>
      </x:c>
      <x:c r="L801" s="46" t="n">
        <x:f>IF(C801="P0",1,IF(D801&lt;=3,0.8,IF(D801&lt;=14,0.65,IF(D801&lt;=45,0.5,0.3))))</x:f>
        <x:v>0.3</x:v>
      </x:c>
      <x:c r="M801" s="47" t="n">
        <x:f>J801*L801</x:f>
        <x:v>8640</x:v>
      </x:c>
      <x:c r="N801" s="47" t="n">
        <x:f>N800+M801</x:f>
        <x:v>597960</x:v>
      </x:c>
      <x:c r="O801" s="46" t="n">
        <x:f>IF(C801="P0",0,IF(D801&lt;=3,0.15,IF(D801&lt;=14,0.25,IF(D801&lt;=45,0.35,0.5))))</x:f>
        <x:v>0.5</x:v>
      </x:c>
      <x:c r="P801" s="47" t="n">
        <x:f>J801*O801</x:f>
        <x:v>14400</x:v>
      </x:c>
      <x:c r="Q801" s="46" t="n">
        <x:f>IF(C801="P0",0,IF(D801&lt;=3,0.05,IF(D801&lt;=14,0.1,IF(D801&lt;=45,0.15,0.2))))</x:f>
        <x:v>0.2</x:v>
      </x:c>
      <x:c r="R801" s="47" t="n">
        <x:f>J801*Q801</x:f>
        <x:v>5760</x:v>
      </x:c>
      <x:c r="S801" s="20" t="str">
        <x:f>IF(D801&lt;E801,"closed",IF(D801&lt;'Paths'!$N$15,"initial","expanded"))</x:f>
        <x:v>expanded</x:v>
      </x:c>
      <x:c r="T801" s="72"/>
    </x:row>
    <x:row r="802">
      <x:c r="C802" s="20" t="str">
        <x:v>P8</x:v>
      </x:c>
      <x:c r="D802" s="20" t="n">
        <x:v>67</x:v>
      </x:c>
      <x:c r="E802" s="45" t="n">
        <x:f>IF('Controls'!$D$7="Reference",'Paths'!$J$15,'Paths'!$K$15)</x:f>
        <x:v>7</x:v>
      </x:c>
      <x:c r="F802" s="47" t="n">
        <x:f>IF(D802&lt;'Paths'!$N$15,IF('Controls'!$D$7="Reference",'Paths'!$L$15,'Paths'!$M$15),IF('Controls'!$D$7="Reference",'Paths'!$O$15,'Paths'!$P$15))</x:f>
        <x:v>32000</x:v>
      </x:c>
      <x:c r="G802" s="46" t="n">
        <x:f>IF('Controls'!$D$7="Reference",1,IF(OR(D802=6,D802=7,D802=21,D802=46),'Paths'!$U$15,1))</x:f>
        <x:v>1</x:v>
      </x:c>
      <x:c r="H802" s="46" t="n">
        <x:f>IF('Controls'!$D$7="Reference",1,IF(OR(AND(D802&gt;=14,D802&lt;=16),AND(D802&gt;=34,D802&lt;=35),AND(D802&gt;=61,D802&lt;=63)),'Paths'!$V$15,1))</x:f>
        <x:v>1</x:v>
      </x:c>
      <x:c r="I802" s="46" t="n">
        <x:f>'Paths'!$W$15</x:f>
        <x:v>0.9</x:v>
      </x:c>
      <x:c r="J802" s="47" t="n">
        <x:f>IF(D802&lt;E802,0,MIN(F802*G802*H802*I802,IF('Paths'!$T$15&gt;0,MAX(0,'Paths'!$T$15-K801),1000000000)))</x:f>
        <x:v>28800</x:v>
      </x:c>
      <x:c r="K802" s="47" t="n">
        <x:f>K801+J802</x:f>
        <x:v>1404000</x:v>
      </x:c>
      <x:c r="L802" s="46" t="n">
        <x:f>IF(C802="P0",1,IF(D802&lt;=3,0.8,IF(D802&lt;=14,0.65,IF(D802&lt;=45,0.5,0.3))))</x:f>
        <x:v>0.3</x:v>
      </x:c>
      <x:c r="M802" s="47" t="n">
        <x:f>J802*L802</x:f>
        <x:v>8640</x:v>
      </x:c>
      <x:c r="N802" s="47" t="n">
        <x:f>N801+M802</x:f>
        <x:v>606600</x:v>
      </x:c>
      <x:c r="O802" s="46" t="n">
        <x:f>IF(C802="P0",0,IF(D802&lt;=3,0.15,IF(D802&lt;=14,0.25,IF(D802&lt;=45,0.35,0.5))))</x:f>
        <x:v>0.5</x:v>
      </x:c>
      <x:c r="P802" s="47" t="n">
        <x:f>J802*O802</x:f>
        <x:v>14400</x:v>
      </x:c>
      <x:c r="Q802" s="46" t="n">
        <x:f>IF(C802="P0",0,IF(D802&lt;=3,0.05,IF(D802&lt;=14,0.1,IF(D802&lt;=45,0.15,0.2))))</x:f>
        <x:v>0.2</x:v>
      </x:c>
      <x:c r="R802" s="47" t="n">
        <x:f>J802*Q802</x:f>
        <x:v>5760</x:v>
      </x:c>
      <x:c r="S802" s="20" t="str">
        <x:f>IF(D802&lt;E802,"closed",IF(D802&lt;'Paths'!$N$15,"initial","expanded"))</x:f>
        <x:v>expanded</x:v>
      </x:c>
      <x:c r="T802" s="72"/>
    </x:row>
    <x:row r="803">
      <x:c r="C803" s="20" t="str">
        <x:v>P8</x:v>
      </x:c>
      <x:c r="D803" s="20" t="n">
        <x:v>68</x:v>
      </x:c>
      <x:c r="E803" s="45" t="n">
        <x:f>IF('Controls'!$D$7="Reference",'Paths'!$J$15,'Paths'!$K$15)</x:f>
        <x:v>7</x:v>
      </x:c>
      <x:c r="F803" s="47" t="n">
        <x:f>IF(D803&lt;'Paths'!$N$15,IF('Controls'!$D$7="Reference",'Paths'!$L$15,'Paths'!$M$15),IF('Controls'!$D$7="Reference",'Paths'!$O$15,'Paths'!$P$15))</x:f>
        <x:v>32000</x:v>
      </x:c>
      <x:c r="G803" s="46" t="n">
        <x:f>IF('Controls'!$D$7="Reference",1,IF(OR(D803=6,D803=7,D803=21,D803=46),'Paths'!$U$15,1))</x:f>
        <x:v>1</x:v>
      </x:c>
      <x:c r="H803" s="46" t="n">
        <x:f>IF('Controls'!$D$7="Reference",1,IF(OR(AND(D803&gt;=14,D803&lt;=16),AND(D803&gt;=34,D803&lt;=35),AND(D803&gt;=61,D803&lt;=63)),'Paths'!$V$15,1))</x:f>
        <x:v>1</x:v>
      </x:c>
      <x:c r="I803" s="46" t="n">
        <x:f>'Paths'!$W$15</x:f>
        <x:v>0.9</x:v>
      </x:c>
      <x:c r="J803" s="47" t="n">
        <x:f>IF(D803&lt;E803,0,MIN(F803*G803*H803*I803,IF('Paths'!$T$15&gt;0,MAX(0,'Paths'!$T$15-K802),1000000000)))</x:f>
        <x:v>28800</x:v>
      </x:c>
      <x:c r="K803" s="47" t="n">
        <x:f>K802+J803</x:f>
        <x:v>1432800</x:v>
      </x:c>
      <x:c r="L803" s="46" t="n">
        <x:f>IF(C803="P0",1,IF(D803&lt;=3,0.8,IF(D803&lt;=14,0.65,IF(D803&lt;=45,0.5,0.3))))</x:f>
        <x:v>0.3</x:v>
      </x:c>
      <x:c r="M803" s="47" t="n">
        <x:f>J803*L803</x:f>
        <x:v>8640</x:v>
      </x:c>
      <x:c r="N803" s="47" t="n">
        <x:f>N802+M803</x:f>
        <x:v>615240</x:v>
      </x:c>
      <x:c r="O803" s="46" t="n">
        <x:f>IF(C803="P0",0,IF(D803&lt;=3,0.15,IF(D803&lt;=14,0.25,IF(D803&lt;=45,0.35,0.5))))</x:f>
        <x:v>0.5</x:v>
      </x:c>
      <x:c r="P803" s="47" t="n">
        <x:f>J803*O803</x:f>
        <x:v>14400</x:v>
      </x:c>
      <x:c r="Q803" s="46" t="n">
        <x:f>IF(C803="P0",0,IF(D803&lt;=3,0.05,IF(D803&lt;=14,0.1,IF(D803&lt;=45,0.15,0.2))))</x:f>
        <x:v>0.2</x:v>
      </x:c>
      <x:c r="R803" s="47" t="n">
        <x:f>J803*Q803</x:f>
        <x:v>5760</x:v>
      </x:c>
      <x:c r="S803" s="20" t="str">
        <x:f>IF(D803&lt;E803,"closed",IF(D803&lt;'Paths'!$N$15,"initial","expanded"))</x:f>
        <x:v>expanded</x:v>
      </x:c>
      <x:c r="T803" s="72"/>
    </x:row>
    <x:row r="804">
      <x:c r="C804" s="20" t="str">
        <x:v>P8</x:v>
      </x:c>
      <x:c r="D804" s="20" t="n">
        <x:v>69</x:v>
      </x:c>
      <x:c r="E804" s="45" t="n">
        <x:f>IF('Controls'!$D$7="Reference",'Paths'!$J$15,'Paths'!$K$15)</x:f>
        <x:v>7</x:v>
      </x:c>
      <x:c r="F804" s="47" t="n">
        <x:f>IF(D804&lt;'Paths'!$N$15,IF('Controls'!$D$7="Reference",'Paths'!$L$15,'Paths'!$M$15),IF('Controls'!$D$7="Reference",'Paths'!$O$15,'Paths'!$P$15))</x:f>
        <x:v>32000</x:v>
      </x:c>
      <x:c r="G804" s="46" t="n">
        <x:f>IF('Controls'!$D$7="Reference",1,IF(OR(D804=6,D804=7,D804=21,D804=46),'Paths'!$U$15,1))</x:f>
        <x:v>1</x:v>
      </x:c>
      <x:c r="H804" s="46" t="n">
        <x:f>IF('Controls'!$D$7="Reference",1,IF(OR(AND(D804&gt;=14,D804&lt;=16),AND(D804&gt;=34,D804&lt;=35),AND(D804&gt;=61,D804&lt;=63)),'Paths'!$V$15,1))</x:f>
        <x:v>1</x:v>
      </x:c>
      <x:c r="I804" s="46" t="n">
        <x:f>'Paths'!$W$15</x:f>
        <x:v>0.9</x:v>
      </x:c>
      <x:c r="J804" s="47" t="n">
        <x:f>IF(D804&lt;E804,0,MIN(F804*G804*H804*I804,IF('Paths'!$T$15&gt;0,MAX(0,'Paths'!$T$15-K803),1000000000)))</x:f>
        <x:v>28800</x:v>
      </x:c>
      <x:c r="K804" s="47" t="n">
        <x:f>K803+J804</x:f>
        <x:v>1461600</x:v>
      </x:c>
      <x:c r="L804" s="46" t="n">
        <x:f>IF(C804="P0",1,IF(D804&lt;=3,0.8,IF(D804&lt;=14,0.65,IF(D804&lt;=45,0.5,0.3))))</x:f>
        <x:v>0.3</x:v>
      </x:c>
      <x:c r="M804" s="47" t="n">
        <x:f>J804*L804</x:f>
        <x:v>8640</x:v>
      </x:c>
      <x:c r="N804" s="47" t="n">
        <x:f>N803+M804</x:f>
        <x:v>623880</x:v>
      </x:c>
      <x:c r="O804" s="46" t="n">
        <x:f>IF(C804="P0",0,IF(D804&lt;=3,0.15,IF(D804&lt;=14,0.25,IF(D804&lt;=45,0.35,0.5))))</x:f>
        <x:v>0.5</x:v>
      </x:c>
      <x:c r="P804" s="47" t="n">
        <x:f>J804*O804</x:f>
        <x:v>14400</x:v>
      </x:c>
      <x:c r="Q804" s="46" t="n">
        <x:f>IF(C804="P0",0,IF(D804&lt;=3,0.05,IF(D804&lt;=14,0.1,IF(D804&lt;=45,0.15,0.2))))</x:f>
        <x:v>0.2</x:v>
      </x:c>
      <x:c r="R804" s="47" t="n">
        <x:f>J804*Q804</x:f>
        <x:v>5760</x:v>
      </x:c>
      <x:c r="S804" s="20" t="str">
        <x:f>IF(D804&lt;E804,"closed",IF(D804&lt;'Paths'!$N$15,"initial","expanded"))</x:f>
        <x:v>expanded</x:v>
      </x:c>
      <x:c r="T804" s="72"/>
    </x:row>
    <x:row r="805">
      <x:c r="C805" s="20" t="str">
        <x:v>P8</x:v>
      </x:c>
      <x:c r="D805" s="20" t="n">
        <x:v>70</x:v>
      </x:c>
      <x:c r="E805" s="45" t="n">
        <x:f>IF('Controls'!$D$7="Reference",'Paths'!$J$15,'Paths'!$K$15)</x:f>
        <x:v>7</x:v>
      </x:c>
      <x:c r="F805" s="47" t="n">
        <x:f>IF(D805&lt;'Paths'!$N$15,IF('Controls'!$D$7="Reference",'Paths'!$L$15,'Paths'!$M$15),IF('Controls'!$D$7="Reference",'Paths'!$O$15,'Paths'!$P$15))</x:f>
        <x:v>32000</x:v>
      </x:c>
      <x:c r="G805" s="46" t="n">
        <x:f>IF('Controls'!$D$7="Reference",1,IF(OR(D805=6,D805=7,D805=21,D805=46),'Paths'!$U$15,1))</x:f>
        <x:v>1</x:v>
      </x:c>
      <x:c r="H805" s="46" t="n">
        <x:f>IF('Controls'!$D$7="Reference",1,IF(OR(AND(D805&gt;=14,D805&lt;=16),AND(D805&gt;=34,D805&lt;=35),AND(D805&gt;=61,D805&lt;=63)),'Paths'!$V$15,1))</x:f>
        <x:v>1</x:v>
      </x:c>
      <x:c r="I805" s="46" t="n">
        <x:f>'Paths'!$W$15</x:f>
        <x:v>0.9</x:v>
      </x:c>
      <x:c r="J805" s="47" t="n">
        <x:f>IF(D805&lt;E805,0,MIN(F805*G805*H805*I805,IF('Paths'!$T$15&gt;0,MAX(0,'Paths'!$T$15-K804),1000000000)))</x:f>
        <x:v>28800</x:v>
      </x:c>
      <x:c r="K805" s="47" t="n">
        <x:f>K804+J805</x:f>
        <x:v>1490400</x:v>
      </x:c>
      <x:c r="L805" s="46" t="n">
        <x:f>IF(C805="P0",1,IF(D805&lt;=3,0.8,IF(D805&lt;=14,0.65,IF(D805&lt;=45,0.5,0.3))))</x:f>
        <x:v>0.3</x:v>
      </x:c>
      <x:c r="M805" s="47" t="n">
        <x:f>J805*L805</x:f>
        <x:v>8640</x:v>
      </x:c>
      <x:c r="N805" s="47" t="n">
        <x:f>N804+M805</x:f>
        <x:v>632520</x:v>
      </x:c>
      <x:c r="O805" s="46" t="n">
        <x:f>IF(C805="P0",0,IF(D805&lt;=3,0.15,IF(D805&lt;=14,0.25,IF(D805&lt;=45,0.35,0.5))))</x:f>
        <x:v>0.5</x:v>
      </x:c>
      <x:c r="P805" s="47" t="n">
        <x:f>J805*O805</x:f>
        <x:v>14400</x:v>
      </x:c>
      <x:c r="Q805" s="46" t="n">
        <x:f>IF(C805="P0",0,IF(D805&lt;=3,0.05,IF(D805&lt;=14,0.1,IF(D805&lt;=45,0.15,0.2))))</x:f>
        <x:v>0.2</x:v>
      </x:c>
      <x:c r="R805" s="47" t="n">
        <x:f>J805*Q805</x:f>
        <x:v>5760</x:v>
      </x:c>
      <x:c r="S805" s="20" t="str">
        <x:f>IF(D805&lt;E805,"closed",IF(D805&lt;'Paths'!$N$15,"initial","expanded"))</x:f>
        <x:v>expanded</x:v>
      </x:c>
      <x:c r="T805" s="72"/>
    </x:row>
    <x:row r="806">
      <x:c r="C806" s="20" t="str">
        <x:v>P8</x:v>
      </x:c>
      <x:c r="D806" s="20" t="n">
        <x:v>71</x:v>
      </x:c>
      <x:c r="E806" s="45" t="n">
        <x:f>IF('Controls'!$D$7="Reference",'Paths'!$J$15,'Paths'!$K$15)</x:f>
        <x:v>7</x:v>
      </x:c>
      <x:c r="F806" s="47" t="n">
        <x:f>IF(D806&lt;'Paths'!$N$15,IF('Controls'!$D$7="Reference",'Paths'!$L$15,'Paths'!$M$15),IF('Controls'!$D$7="Reference",'Paths'!$O$15,'Paths'!$P$15))</x:f>
        <x:v>32000</x:v>
      </x:c>
      <x:c r="G806" s="46" t="n">
        <x:f>IF('Controls'!$D$7="Reference",1,IF(OR(D806=6,D806=7,D806=21,D806=46),'Paths'!$U$15,1))</x:f>
        <x:v>1</x:v>
      </x:c>
      <x:c r="H806" s="46" t="n">
        <x:f>IF('Controls'!$D$7="Reference",1,IF(OR(AND(D806&gt;=14,D806&lt;=16),AND(D806&gt;=34,D806&lt;=35),AND(D806&gt;=61,D806&lt;=63)),'Paths'!$V$15,1))</x:f>
        <x:v>1</x:v>
      </x:c>
      <x:c r="I806" s="46" t="n">
        <x:f>'Paths'!$W$15</x:f>
        <x:v>0.9</x:v>
      </x:c>
      <x:c r="J806" s="47" t="n">
        <x:f>IF(D806&lt;E806,0,MIN(F806*G806*H806*I806,IF('Paths'!$T$15&gt;0,MAX(0,'Paths'!$T$15-K805),1000000000)))</x:f>
        <x:v>28800</x:v>
      </x:c>
      <x:c r="K806" s="47" t="n">
        <x:f>K805+J806</x:f>
        <x:v>1519200</x:v>
      </x:c>
      <x:c r="L806" s="46" t="n">
        <x:f>IF(C806="P0",1,IF(D806&lt;=3,0.8,IF(D806&lt;=14,0.65,IF(D806&lt;=45,0.5,0.3))))</x:f>
        <x:v>0.3</x:v>
      </x:c>
      <x:c r="M806" s="47" t="n">
        <x:f>J806*L806</x:f>
        <x:v>8640</x:v>
      </x:c>
      <x:c r="N806" s="47" t="n">
        <x:f>N805+M806</x:f>
        <x:v>641160</x:v>
      </x:c>
      <x:c r="O806" s="46" t="n">
        <x:f>IF(C806="P0",0,IF(D806&lt;=3,0.15,IF(D806&lt;=14,0.25,IF(D806&lt;=45,0.35,0.5))))</x:f>
        <x:v>0.5</x:v>
      </x:c>
      <x:c r="P806" s="47" t="n">
        <x:f>J806*O806</x:f>
        <x:v>14400</x:v>
      </x:c>
      <x:c r="Q806" s="46" t="n">
        <x:f>IF(C806="P0",0,IF(D806&lt;=3,0.05,IF(D806&lt;=14,0.1,IF(D806&lt;=45,0.15,0.2))))</x:f>
        <x:v>0.2</x:v>
      </x:c>
      <x:c r="R806" s="47" t="n">
        <x:f>J806*Q806</x:f>
        <x:v>5760</x:v>
      </x:c>
      <x:c r="S806" s="20" t="str">
        <x:f>IF(D806&lt;E806,"closed",IF(D806&lt;'Paths'!$N$15,"initial","expanded"))</x:f>
        <x:v>expanded</x:v>
      </x:c>
      <x:c r="T806" s="72"/>
    </x:row>
    <x:row r="807">
      <x:c r="C807" s="20" t="str">
        <x:v>P8</x:v>
      </x:c>
      <x:c r="D807" s="20" t="n">
        <x:v>72</x:v>
      </x:c>
      <x:c r="E807" s="45" t="n">
        <x:f>IF('Controls'!$D$7="Reference",'Paths'!$J$15,'Paths'!$K$15)</x:f>
        <x:v>7</x:v>
      </x:c>
      <x:c r="F807" s="47" t="n">
        <x:f>IF(D807&lt;'Paths'!$N$15,IF('Controls'!$D$7="Reference",'Paths'!$L$15,'Paths'!$M$15),IF('Controls'!$D$7="Reference",'Paths'!$O$15,'Paths'!$P$15))</x:f>
        <x:v>32000</x:v>
      </x:c>
      <x:c r="G807" s="46" t="n">
        <x:f>IF('Controls'!$D$7="Reference",1,IF(OR(D807=6,D807=7,D807=21,D807=46),'Paths'!$U$15,1))</x:f>
        <x:v>1</x:v>
      </x:c>
      <x:c r="H807" s="46" t="n">
        <x:f>IF('Controls'!$D$7="Reference",1,IF(OR(AND(D807&gt;=14,D807&lt;=16),AND(D807&gt;=34,D807&lt;=35),AND(D807&gt;=61,D807&lt;=63)),'Paths'!$V$15,1))</x:f>
        <x:v>1</x:v>
      </x:c>
      <x:c r="I807" s="46" t="n">
        <x:f>'Paths'!$W$15</x:f>
        <x:v>0.9</x:v>
      </x:c>
      <x:c r="J807" s="47" t="n">
        <x:f>IF(D807&lt;E807,0,MIN(F807*G807*H807*I807,IF('Paths'!$T$15&gt;0,MAX(0,'Paths'!$T$15-K806),1000000000)))</x:f>
        <x:v>28800</x:v>
      </x:c>
      <x:c r="K807" s="47" t="n">
        <x:f>K806+J807</x:f>
        <x:v>1548000</x:v>
      </x:c>
      <x:c r="L807" s="46" t="n">
        <x:f>IF(C807="P0",1,IF(D807&lt;=3,0.8,IF(D807&lt;=14,0.65,IF(D807&lt;=45,0.5,0.3))))</x:f>
        <x:v>0.3</x:v>
      </x:c>
      <x:c r="M807" s="47" t="n">
        <x:f>J807*L807</x:f>
        <x:v>8640</x:v>
      </x:c>
      <x:c r="N807" s="47" t="n">
        <x:f>N806+M807</x:f>
        <x:v>649800</x:v>
      </x:c>
      <x:c r="O807" s="46" t="n">
        <x:f>IF(C807="P0",0,IF(D807&lt;=3,0.15,IF(D807&lt;=14,0.25,IF(D807&lt;=45,0.35,0.5))))</x:f>
        <x:v>0.5</x:v>
      </x:c>
      <x:c r="P807" s="47" t="n">
        <x:f>J807*O807</x:f>
        <x:v>14400</x:v>
      </x:c>
      <x:c r="Q807" s="46" t="n">
        <x:f>IF(C807="P0",0,IF(D807&lt;=3,0.05,IF(D807&lt;=14,0.1,IF(D807&lt;=45,0.15,0.2))))</x:f>
        <x:v>0.2</x:v>
      </x:c>
      <x:c r="R807" s="47" t="n">
        <x:f>J807*Q807</x:f>
        <x:v>5760</x:v>
      </x:c>
      <x:c r="S807" s="20" t="str">
        <x:f>IF(D807&lt;E807,"closed",IF(D807&lt;'Paths'!$N$15,"initial","expanded"))</x:f>
        <x:v>expanded</x:v>
      </x:c>
      <x:c r="T807" s="72"/>
    </x:row>
    <x:row r="808">
      <x:c r="C808" s="20" t="str">
        <x:v>P8</x:v>
      </x:c>
      <x:c r="D808" s="20" t="n">
        <x:v>73</x:v>
      </x:c>
      <x:c r="E808" s="45" t="n">
        <x:f>IF('Controls'!$D$7="Reference",'Paths'!$J$15,'Paths'!$K$15)</x:f>
        <x:v>7</x:v>
      </x:c>
      <x:c r="F808" s="47" t="n">
        <x:f>IF(D808&lt;'Paths'!$N$15,IF('Controls'!$D$7="Reference",'Paths'!$L$15,'Paths'!$M$15),IF('Controls'!$D$7="Reference",'Paths'!$O$15,'Paths'!$P$15))</x:f>
        <x:v>32000</x:v>
      </x:c>
      <x:c r="G808" s="46" t="n">
        <x:f>IF('Controls'!$D$7="Reference",1,IF(OR(D808=6,D808=7,D808=21,D808=46),'Paths'!$U$15,1))</x:f>
        <x:v>1</x:v>
      </x:c>
      <x:c r="H808" s="46" t="n">
        <x:f>IF('Controls'!$D$7="Reference",1,IF(OR(AND(D808&gt;=14,D808&lt;=16),AND(D808&gt;=34,D808&lt;=35),AND(D808&gt;=61,D808&lt;=63)),'Paths'!$V$15,1))</x:f>
        <x:v>1</x:v>
      </x:c>
      <x:c r="I808" s="46" t="n">
        <x:f>'Paths'!$W$15</x:f>
        <x:v>0.9</x:v>
      </x:c>
      <x:c r="J808" s="47" t="n">
        <x:f>IF(D808&lt;E808,0,MIN(F808*G808*H808*I808,IF('Paths'!$T$15&gt;0,MAX(0,'Paths'!$T$15-K807),1000000000)))</x:f>
        <x:v>28800</x:v>
      </x:c>
      <x:c r="K808" s="47" t="n">
        <x:f>K807+J808</x:f>
        <x:v>1576800</x:v>
      </x:c>
      <x:c r="L808" s="46" t="n">
        <x:f>IF(C808="P0",1,IF(D808&lt;=3,0.8,IF(D808&lt;=14,0.65,IF(D808&lt;=45,0.5,0.3))))</x:f>
        <x:v>0.3</x:v>
      </x:c>
      <x:c r="M808" s="47" t="n">
        <x:f>J808*L808</x:f>
        <x:v>8640</x:v>
      </x:c>
      <x:c r="N808" s="47" t="n">
        <x:f>N807+M808</x:f>
        <x:v>658440</x:v>
      </x:c>
      <x:c r="O808" s="46" t="n">
        <x:f>IF(C808="P0",0,IF(D808&lt;=3,0.15,IF(D808&lt;=14,0.25,IF(D808&lt;=45,0.35,0.5))))</x:f>
        <x:v>0.5</x:v>
      </x:c>
      <x:c r="P808" s="47" t="n">
        <x:f>J808*O808</x:f>
        <x:v>14400</x:v>
      </x:c>
      <x:c r="Q808" s="46" t="n">
        <x:f>IF(C808="P0",0,IF(D808&lt;=3,0.05,IF(D808&lt;=14,0.1,IF(D808&lt;=45,0.15,0.2))))</x:f>
        <x:v>0.2</x:v>
      </x:c>
      <x:c r="R808" s="47" t="n">
        <x:f>J808*Q808</x:f>
        <x:v>5760</x:v>
      </x:c>
      <x:c r="S808" s="20" t="str">
        <x:f>IF(D808&lt;E808,"closed",IF(D808&lt;'Paths'!$N$15,"initial","expanded"))</x:f>
        <x:v>expanded</x:v>
      </x:c>
      <x:c r="T808" s="72"/>
    </x:row>
    <x:row r="809">
      <x:c r="C809" s="20" t="str">
        <x:v>P8</x:v>
      </x:c>
      <x:c r="D809" s="20" t="n">
        <x:v>74</x:v>
      </x:c>
      <x:c r="E809" s="45" t="n">
        <x:f>IF('Controls'!$D$7="Reference",'Paths'!$J$15,'Paths'!$K$15)</x:f>
        <x:v>7</x:v>
      </x:c>
      <x:c r="F809" s="47" t="n">
        <x:f>IF(D809&lt;'Paths'!$N$15,IF('Controls'!$D$7="Reference",'Paths'!$L$15,'Paths'!$M$15),IF('Controls'!$D$7="Reference",'Paths'!$O$15,'Paths'!$P$15))</x:f>
        <x:v>32000</x:v>
      </x:c>
      <x:c r="G809" s="46" t="n">
        <x:f>IF('Controls'!$D$7="Reference",1,IF(OR(D809=6,D809=7,D809=21,D809=46),'Paths'!$U$15,1))</x:f>
        <x:v>1</x:v>
      </x:c>
      <x:c r="H809" s="46" t="n">
        <x:f>IF('Controls'!$D$7="Reference",1,IF(OR(AND(D809&gt;=14,D809&lt;=16),AND(D809&gt;=34,D809&lt;=35),AND(D809&gt;=61,D809&lt;=63)),'Paths'!$V$15,1))</x:f>
        <x:v>1</x:v>
      </x:c>
      <x:c r="I809" s="46" t="n">
        <x:f>'Paths'!$W$15</x:f>
        <x:v>0.9</x:v>
      </x:c>
      <x:c r="J809" s="47" t="n">
        <x:f>IF(D809&lt;E809,0,MIN(F809*G809*H809*I809,IF('Paths'!$T$15&gt;0,MAX(0,'Paths'!$T$15-K808),1000000000)))</x:f>
        <x:v>28800</x:v>
      </x:c>
      <x:c r="K809" s="47" t="n">
        <x:f>K808+J809</x:f>
        <x:v>1605600</x:v>
      </x:c>
      <x:c r="L809" s="46" t="n">
        <x:f>IF(C809="P0",1,IF(D809&lt;=3,0.8,IF(D809&lt;=14,0.65,IF(D809&lt;=45,0.5,0.3))))</x:f>
        <x:v>0.3</x:v>
      </x:c>
      <x:c r="M809" s="47" t="n">
        <x:f>J809*L809</x:f>
        <x:v>8640</x:v>
      </x:c>
      <x:c r="N809" s="47" t="n">
        <x:f>N808+M809</x:f>
        <x:v>667080</x:v>
      </x:c>
      <x:c r="O809" s="46" t="n">
        <x:f>IF(C809="P0",0,IF(D809&lt;=3,0.15,IF(D809&lt;=14,0.25,IF(D809&lt;=45,0.35,0.5))))</x:f>
        <x:v>0.5</x:v>
      </x:c>
      <x:c r="P809" s="47" t="n">
        <x:f>J809*O809</x:f>
        <x:v>14400</x:v>
      </x:c>
      <x:c r="Q809" s="46" t="n">
        <x:f>IF(C809="P0",0,IF(D809&lt;=3,0.05,IF(D809&lt;=14,0.1,IF(D809&lt;=45,0.15,0.2))))</x:f>
        <x:v>0.2</x:v>
      </x:c>
      <x:c r="R809" s="47" t="n">
        <x:f>J809*Q809</x:f>
        <x:v>5760</x:v>
      </x:c>
      <x:c r="S809" s="20" t="str">
        <x:f>IF(D809&lt;E809,"closed",IF(D809&lt;'Paths'!$N$15,"initial","expanded"))</x:f>
        <x:v>expanded</x:v>
      </x:c>
      <x:c r="T809" s="72"/>
    </x:row>
    <x:row r="810">
      <x:c r="C810" s="20" t="str">
        <x:v>P8</x:v>
      </x:c>
      <x:c r="D810" s="20" t="n">
        <x:v>75</x:v>
      </x:c>
      <x:c r="E810" s="45" t="n">
        <x:f>IF('Controls'!$D$7="Reference",'Paths'!$J$15,'Paths'!$K$15)</x:f>
        <x:v>7</x:v>
      </x:c>
      <x:c r="F810" s="47" t="n">
        <x:f>IF(D810&lt;'Paths'!$N$15,IF('Controls'!$D$7="Reference",'Paths'!$L$15,'Paths'!$M$15),IF('Controls'!$D$7="Reference",'Paths'!$O$15,'Paths'!$P$15))</x:f>
        <x:v>32000</x:v>
      </x:c>
      <x:c r="G810" s="46" t="n">
        <x:f>IF('Controls'!$D$7="Reference",1,IF(OR(D810=6,D810=7,D810=21,D810=46),'Paths'!$U$15,1))</x:f>
        <x:v>1</x:v>
      </x:c>
      <x:c r="H810" s="46" t="n">
        <x:f>IF('Controls'!$D$7="Reference",1,IF(OR(AND(D810&gt;=14,D810&lt;=16),AND(D810&gt;=34,D810&lt;=35),AND(D810&gt;=61,D810&lt;=63)),'Paths'!$V$15,1))</x:f>
        <x:v>1</x:v>
      </x:c>
      <x:c r="I810" s="46" t="n">
        <x:f>'Paths'!$W$15</x:f>
        <x:v>0.9</x:v>
      </x:c>
      <x:c r="J810" s="47" t="n">
        <x:f>IF(D810&lt;E810,0,MIN(F810*G810*H810*I810,IF('Paths'!$T$15&gt;0,MAX(0,'Paths'!$T$15-K809),1000000000)))</x:f>
        <x:v>28800</x:v>
      </x:c>
      <x:c r="K810" s="47" t="n">
        <x:f>K809+J810</x:f>
        <x:v>1634400</x:v>
      </x:c>
      <x:c r="L810" s="46" t="n">
        <x:f>IF(C810="P0",1,IF(D810&lt;=3,0.8,IF(D810&lt;=14,0.65,IF(D810&lt;=45,0.5,0.3))))</x:f>
        <x:v>0.3</x:v>
      </x:c>
      <x:c r="M810" s="47" t="n">
        <x:f>J810*L810</x:f>
        <x:v>8640</x:v>
      </x:c>
      <x:c r="N810" s="47" t="n">
        <x:f>N809+M810</x:f>
        <x:v>675720</x:v>
      </x:c>
      <x:c r="O810" s="46" t="n">
        <x:f>IF(C810="P0",0,IF(D810&lt;=3,0.15,IF(D810&lt;=14,0.25,IF(D810&lt;=45,0.35,0.5))))</x:f>
        <x:v>0.5</x:v>
      </x:c>
      <x:c r="P810" s="47" t="n">
        <x:f>J810*O810</x:f>
        <x:v>14400</x:v>
      </x:c>
      <x:c r="Q810" s="46" t="n">
        <x:f>IF(C810="P0",0,IF(D810&lt;=3,0.05,IF(D810&lt;=14,0.1,IF(D810&lt;=45,0.15,0.2))))</x:f>
        <x:v>0.2</x:v>
      </x:c>
      <x:c r="R810" s="47" t="n">
        <x:f>J810*Q810</x:f>
        <x:v>5760</x:v>
      </x:c>
      <x:c r="S810" s="20" t="str">
        <x:f>IF(D810&lt;E810,"closed",IF(D810&lt;'Paths'!$N$15,"initial","expanded"))</x:f>
        <x:v>expanded</x:v>
      </x:c>
      <x:c r="T810" s="72"/>
    </x:row>
    <x:row r="811">
      <x:c r="C811" s="20" t="str">
        <x:v>P8</x:v>
      </x:c>
      <x:c r="D811" s="20" t="n">
        <x:v>76</x:v>
      </x:c>
      <x:c r="E811" s="45" t="n">
        <x:f>IF('Controls'!$D$7="Reference",'Paths'!$J$15,'Paths'!$K$15)</x:f>
        <x:v>7</x:v>
      </x:c>
      <x:c r="F811" s="47" t="n">
        <x:f>IF(D811&lt;'Paths'!$N$15,IF('Controls'!$D$7="Reference",'Paths'!$L$15,'Paths'!$M$15),IF('Controls'!$D$7="Reference",'Paths'!$O$15,'Paths'!$P$15))</x:f>
        <x:v>32000</x:v>
      </x:c>
      <x:c r="G811" s="46" t="n">
        <x:f>IF('Controls'!$D$7="Reference",1,IF(OR(D811=6,D811=7,D811=21,D811=46),'Paths'!$U$15,1))</x:f>
        <x:v>1</x:v>
      </x:c>
      <x:c r="H811" s="46" t="n">
        <x:f>IF('Controls'!$D$7="Reference",1,IF(OR(AND(D811&gt;=14,D811&lt;=16),AND(D811&gt;=34,D811&lt;=35),AND(D811&gt;=61,D811&lt;=63)),'Paths'!$V$15,1))</x:f>
        <x:v>1</x:v>
      </x:c>
      <x:c r="I811" s="46" t="n">
        <x:f>'Paths'!$W$15</x:f>
        <x:v>0.9</x:v>
      </x:c>
      <x:c r="J811" s="47" t="n">
        <x:f>IF(D811&lt;E811,0,MIN(F811*G811*H811*I811,IF('Paths'!$T$15&gt;0,MAX(0,'Paths'!$T$15-K810),1000000000)))</x:f>
        <x:v>28800</x:v>
      </x:c>
      <x:c r="K811" s="47" t="n">
        <x:f>K810+J811</x:f>
        <x:v>1663200</x:v>
      </x:c>
      <x:c r="L811" s="46" t="n">
        <x:f>IF(C811="P0",1,IF(D811&lt;=3,0.8,IF(D811&lt;=14,0.65,IF(D811&lt;=45,0.5,0.3))))</x:f>
        <x:v>0.3</x:v>
      </x:c>
      <x:c r="M811" s="47" t="n">
        <x:f>J811*L811</x:f>
        <x:v>8640</x:v>
      </x:c>
      <x:c r="N811" s="47" t="n">
        <x:f>N810+M811</x:f>
        <x:v>684360</x:v>
      </x:c>
      <x:c r="O811" s="46" t="n">
        <x:f>IF(C811="P0",0,IF(D811&lt;=3,0.15,IF(D811&lt;=14,0.25,IF(D811&lt;=45,0.35,0.5))))</x:f>
        <x:v>0.5</x:v>
      </x:c>
      <x:c r="P811" s="47" t="n">
        <x:f>J811*O811</x:f>
        <x:v>14400</x:v>
      </x:c>
      <x:c r="Q811" s="46" t="n">
        <x:f>IF(C811="P0",0,IF(D811&lt;=3,0.05,IF(D811&lt;=14,0.1,IF(D811&lt;=45,0.15,0.2))))</x:f>
        <x:v>0.2</x:v>
      </x:c>
      <x:c r="R811" s="47" t="n">
        <x:f>J811*Q811</x:f>
        <x:v>5760</x:v>
      </x:c>
      <x:c r="S811" s="20" t="str">
        <x:f>IF(D811&lt;E811,"closed",IF(D811&lt;'Paths'!$N$15,"initial","expanded"))</x:f>
        <x:v>expanded</x:v>
      </x:c>
      <x:c r="T811" s="72"/>
    </x:row>
    <x:row r="812">
      <x:c r="C812" s="20" t="str">
        <x:v>P8</x:v>
      </x:c>
      <x:c r="D812" s="20" t="n">
        <x:v>77</x:v>
      </x:c>
      <x:c r="E812" s="45" t="n">
        <x:f>IF('Controls'!$D$7="Reference",'Paths'!$J$15,'Paths'!$K$15)</x:f>
        <x:v>7</x:v>
      </x:c>
      <x:c r="F812" s="47" t="n">
        <x:f>IF(D812&lt;'Paths'!$N$15,IF('Controls'!$D$7="Reference",'Paths'!$L$15,'Paths'!$M$15),IF('Controls'!$D$7="Reference",'Paths'!$O$15,'Paths'!$P$15))</x:f>
        <x:v>32000</x:v>
      </x:c>
      <x:c r="G812" s="46" t="n">
        <x:f>IF('Controls'!$D$7="Reference",1,IF(OR(D812=6,D812=7,D812=21,D812=46),'Paths'!$U$15,1))</x:f>
        <x:v>1</x:v>
      </x:c>
      <x:c r="H812" s="46" t="n">
        <x:f>IF('Controls'!$D$7="Reference",1,IF(OR(AND(D812&gt;=14,D812&lt;=16),AND(D812&gt;=34,D812&lt;=35),AND(D812&gt;=61,D812&lt;=63)),'Paths'!$V$15,1))</x:f>
        <x:v>1</x:v>
      </x:c>
      <x:c r="I812" s="46" t="n">
        <x:f>'Paths'!$W$15</x:f>
        <x:v>0.9</x:v>
      </x:c>
      <x:c r="J812" s="47" t="n">
        <x:f>IF(D812&lt;E812,0,MIN(F812*G812*H812*I812,IF('Paths'!$T$15&gt;0,MAX(0,'Paths'!$T$15-K811),1000000000)))</x:f>
        <x:v>28800</x:v>
      </x:c>
      <x:c r="K812" s="47" t="n">
        <x:f>K811+J812</x:f>
        <x:v>1692000</x:v>
      </x:c>
      <x:c r="L812" s="46" t="n">
        <x:f>IF(C812="P0",1,IF(D812&lt;=3,0.8,IF(D812&lt;=14,0.65,IF(D812&lt;=45,0.5,0.3))))</x:f>
        <x:v>0.3</x:v>
      </x:c>
      <x:c r="M812" s="47" t="n">
        <x:f>J812*L812</x:f>
        <x:v>8640</x:v>
      </x:c>
      <x:c r="N812" s="47" t="n">
        <x:f>N811+M812</x:f>
        <x:v>693000</x:v>
      </x:c>
      <x:c r="O812" s="46" t="n">
        <x:f>IF(C812="P0",0,IF(D812&lt;=3,0.15,IF(D812&lt;=14,0.25,IF(D812&lt;=45,0.35,0.5))))</x:f>
        <x:v>0.5</x:v>
      </x:c>
      <x:c r="P812" s="47" t="n">
        <x:f>J812*O812</x:f>
        <x:v>14400</x:v>
      </x:c>
      <x:c r="Q812" s="46" t="n">
        <x:f>IF(C812="P0",0,IF(D812&lt;=3,0.05,IF(D812&lt;=14,0.1,IF(D812&lt;=45,0.15,0.2))))</x:f>
        <x:v>0.2</x:v>
      </x:c>
      <x:c r="R812" s="47" t="n">
        <x:f>J812*Q812</x:f>
        <x:v>5760</x:v>
      </x:c>
      <x:c r="S812" s="20" t="str">
        <x:f>IF(D812&lt;E812,"closed",IF(D812&lt;'Paths'!$N$15,"initial","expanded"))</x:f>
        <x:v>expanded</x:v>
      </x:c>
      <x:c r="T812" s="72"/>
    </x:row>
    <x:row r="813">
      <x:c r="C813" s="20" t="str">
        <x:v>P8</x:v>
      </x:c>
      <x:c r="D813" s="20" t="n">
        <x:v>78</x:v>
      </x:c>
      <x:c r="E813" s="45" t="n">
        <x:f>IF('Controls'!$D$7="Reference",'Paths'!$J$15,'Paths'!$K$15)</x:f>
        <x:v>7</x:v>
      </x:c>
      <x:c r="F813" s="47" t="n">
        <x:f>IF(D813&lt;'Paths'!$N$15,IF('Controls'!$D$7="Reference",'Paths'!$L$15,'Paths'!$M$15),IF('Controls'!$D$7="Reference",'Paths'!$O$15,'Paths'!$P$15))</x:f>
        <x:v>32000</x:v>
      </x:c>
      <x:c r="G813" s="46" t="n">
        <x:f>IF('Controls'!$D$7="Reference",1,IF(OR(D813=6,D813=7,D813=21,D813=46),'Paths'!$U$15,1))</x:f>
        <x:v>1</x:v>
      </x:c>
      <x:c r="H813" s="46" t="n">
        <x:f>IF('Controls'!$D$7="Reference",1,IF(OR(AND(D813&gt;=14,D813&lt;=16),AND(D813&gt;=34,D813&lt;=35),AND(D813&gt;=61,D813&lt;=63)),'Paths'!$V$15,1))</x:f>
        <x:v>1</x:v>
      </x:c>
      <x:c r="I813" s="46" t="n">
        <x:f>'Paths'!$W$15</x:f>
        <x:v>0.9</x:v>
      </x:c>
      <x:c r="J813" s="47" t="n">
        <x:f>IF(D813&lt;E813,0,MIN(F813*G813*H813*I813,IF('Paths'!$T$15&gt;0,MAX(0,'Paths'!$T$15-K812),1000000000)))</x:f>
        <x:v>28800</x:v>
      </x:c>
      <x:c r="K813" s="47" t="n">
        <x:f>K812+J813</x:f>
        <x:v>1720800</x:v>
      </x:c>
      <x:c r="L813" s="46" t="n">
        <x:f>IF(C813="P0",1,IF(D813&lt;=3,0.8,IF(D813&lt;=14,0.65,IF(D813&lt;=45,0.5,0.3))))</x:f>
        <x:v>0.3</x:v>
      </x:c>
      <x:c r="M813" s="47" t="n">
        <x:f>J813*L813</x:f>
        <x:v>8640</x:v>
      </x:c>
      <x:c r="N813" s="47" t="n">
        <x:f>N812+M813</x:f>
        <x:v>701640</x:v>
      </x:c>
      <x:c r="O813" s="46" t="n">
        <x:f>IF(C813="P0",0,IF(D813&lt;=3,0.15,IF(D813&lt;=14,0.25,IF(D813&lt;=45,0.35,0.5))))</x:f>
        <x:v>0.5</x:v>
      </x:c>
      <x:c r="P813" s="47" t="n">
        <x:f>J813*O813</x:f>
        <x:v>14400</x:v>
      </x:c>
      <x:c r="Q813" s="46" t="n">
        <x:f>IF(C813="P0",0,IF(D813&lt;=3,0.05,IF(D813&lt;=14,0.1,IF(D813&lt;=45,0.15,0.2))))</x:f>
        <x:v>0.2</x:v>
      </x:c>
      <x:c r="R813" s="47" t="n">
        <x:f>J813*Q813</x:f>
        <x:v>5760</x:v>
      </x:c>
      <x:c r="S813" s="20" t="str">
        <x:f>IF(D813&lt;E813,"closed",IF(D813&lt;'Paths'!$N$15,"initial","expanded"))</x:f>
        <x:v>expanded</x:v>
      </x:c>
      <x:c r="T813" s="72"/>
    </x:row>
    <x:row r="814">
      <x:c r="C814" s="20" t="str">
        <x:v>P8</x:v>
      </x:c>
      <x:c r="D814" s="20" t="n">
        <x:v>79</x:v>
      </x:c>
      <x:c r="E814" s="45" t="n">
        <x:f>IF('Controls'!$D$7="Reference",'Paths'!$J$15,'Paths'!$K$15)</x:f>
        <x:v>7</x:v>
      </x:c>
      <x:c r="F814" s="47" t="n">
        <x:f>IF(D814&lt;'Paths'!$N$15,IF('Controls'!$D$7="Reference",'Paths'!$L$15,'Paths'!$M$15),IF('Controls'!$D$7="Reference",'Paths'!$O$15,'Paths'!$P$15))</x:f>
        <x:v>32000</x:v>
      </x:c>
      <x:c r="G814" s="46" t="n">
        <x:f>IF('Controls'!$D$7="Reference",1,IF(OR(D814=6,D814=7,D814=21,D814=46),'Paths'!$U$15,1))</x:f>
        <x:v>1</x:v>
      </x:c>
      <x:c r="H814" s="46" t="n">
        <x:f>IF('Controls'!$D$7="Reference",1,IF(OR(AND(D814&gt;=14,D814&lt;=16),AND(D814&gt;=34,D814&lt;=35),AND(D814&gt;=61,D814&lt;=63)),'Paths'!$V$15,1))</x:f>
        <x:v>1</x:v>
      </x:c>
      <x:c r="I814" s="46" t="n">
        <x:f>'Paths'!$W$15</x:f>
        <x:v>0.9</x:v>
      </x:c>
      <x:c r="J814" s="47" t="n">
        <x:f>IF(D814&lt;E814,0,MIN(F814*G814*H814*I814,IF('Paths'!$T$15&gt;0,MAX(0,'Paths'!$T$15-K813),1000000000)))</x:f>
        <x:v>28800</x:v>
      </x:c>
      <x:c r="K814" s="47" t="n">
        <x:f>K813+J814</x:f>
        <x:v>1749600</x:v>
      </x:c>
      <x:c r="L814" s="46" t="n">
        <x:f>IF(C814="P0",1,IF(D814&lt;=3,0.8,IF(D814&lt;=14,0.65,IF(D814&lt;=45,0.5,0.3))))</x:f>
        <x:v>0.3</x:v>
      </x:c>
      <x:c r="M814" s="47" t="n">
        <x:f>J814*L814</x:f>
        <x:v>8640</x:v>
      </x:c>
      <x:c r="N814" s="47" t="n">
        <x:f>N813+M814</x:f>
        <x:v>710280</x:v>
      </x:c>
      <x:c r="O814" s="46" t="n">
        <x:f>IF(C814="P0",0,IF(D814&lt;=3,0.15,IF(D814&lt;=14,0.25,IF(D814&lt;=45,0.35,0.5))))</x:f>
        <x:v>0.5</x:v>
      </x:c>
      <x:c r="P814" s="47" t="n">
        <x:f>J814*O814</x:f>
        <x:v>14400</x:v>
      </x:c>
      <x:c r="Q814" s="46" t="n">
        <x:f>IF(C814="P0",0,IF(D814&lt;=3,0.05,IF(D814&lt;=14,0.1,IF(D814&lt;=45,0.15,0.2))))</x:f>
        <x:v>0.2</x:v>
      </x:c>
      <x:c r="R814" s="47" t="n">
        <x:f>J814*Q814</x:f>
        <x:v>5760</x:v>
      </x:c>
      <x:c r="S814" s="20" t="str">
        <x:f>IF(D814&lt;E814,"closed",IF(D814&lt;'Paths'!$N$15,"initial","expanded"))</x:f>
        <x:v>expanded</x:v>
      </x:c>
      <x:c r="T814" s="72"/>
    </x:row>
    <x:row r="815">
      <x:c r="C815" s="20" t="str">
        <x:v>P8</x:v>
      </x:c>
      <x:c r="D815" s="20" t="n">
        <x:v>80</x:v>
      </x:c>
      <x:c r="E815" s="45" t="n">
        <x:f>IF('Controls'!$D$7="Reference",'Paths'!$J$15,'Paths'!$K$15)</x:f>
        <x:v>7</x:v>
      </x:c>
      <x:c r="F815" s="47" t="n">
        <x:f>IF(D815&lt;'Paths'!$N$15,IF('Controls'!$D$7="Reference",'Paths'!$L$15,'Paths'!$M$15),IF('Controls'!$D$7="Reference",'Paths'!$O$15,'Paths'!$P$15))</x:f>
        <x:v>32000</x:v>
      </x:c>
      <x:c r="G815" s="46" t="n">
        <x:f>IF('Controls'!$D$7="Reference",1,IF(OR(D815=6,D815=7,D815=21,D815=46),'Paths'!$U$15,1))</x:f>
        <x:v>1</x:v>
      </x:c>
      <x:c r="H815" s="46" t="n">
        <x:f>IF('Controls'!$D$7="Reference",1,IF(OR(AND(D815&gt;=14,D815&lt;=16),AND(D815&gt;=34,D815&lt;=35),AND(D815&gt;=61,D815&lt;=63)),'Paths'!$V$15,1))</x:f>
        <x:v>1</x:v>
      </x:c>
      <x:c r="I815" s="46" t="n">
        <x:f>'Paths'!$W$15</x:f>
        <x:v>0.9</x:v>
      </x:c>
      <x:c r="J815" s="47" t="n">
        <x:f>IF(D815&lt;E815,0,MIN(F815*G815*H815*I815,IF('Paths'!$T$15&gt;0,MAX(0,'Paths'!$T$15-K814),1000000000)))</x:f>
        <x:v>28800</x:v>
      </x:c>
      <x:c r="K815" s="47" t="n">
        <x:f>K814+J815</x:f>
        <x:v>1778400</x:v>
      </x:c>
      <x:c r="L815" s="46" t="n">
        <x:f>IF(C815="P0",1,IF(D815&lt;=3,0.8,IF(D815&lt;=14,0.65,IF(D815&lt;=45,0.5,0.3))))</x:f>
        <x:v>0.3</x:v>
      </x:c>
      <x:c r="M815" s="47" t="n">
        <x:f>J815*L815</x:f>
        <x:v>8640</x:v>
      </x:c>
      <x:c r="N815" s="47" t="n">
        <x:f>N814+M815</x:f>
        <x:v>718920</x:v>
      </x:c>
      <x:c r="O815" s="46" t="n">
        <x:f>IF(C815="P0",0,IF(D815&lt;=3,0.15,IF(D815&lt;=14,0.25,IF(D815&lt;=45,0.35,0.5))))</x:f>
        <x:v>0.5</x:v>
      </x:c>
      <x:c r="P815" s="47" t="n">
        <x:f>J815*O815</x:f>
        <x:v>14400</x:v>
      </x:c>
      <x:c r="Q815" s="46" t="n">
        <x:f>IF(C815="P0",0,IF(D815&lt;=3,0.05,IF(D815&lt;=14,0.1,IF(D815&lt;=45,0.15,0.2))))</x:f>
        <x:v>0.2</x:v>
      </x:c>
      <x:c r="R815" s="47" t="n">
        <x:f>J815*Q815</x:f>
        <x:v>5760</x:v>
      </x:c>
      <x:c r="S815" s="20" t="str">
        <x:f>IF(D815&lt;E815,"closed",IF(D815&lt;'Paths'!$N$15,"initial","expanded"))</x:f>
        <x:v>expanded</x:v>
      </x:c>
      <x:c r="T815" s="72"/>
    </x:row>
    <x:row r="816">
      <x:c r="C816" s="20" t="str">
        <x:v>P8</x:v>
      </x:c>
      <x:c r="D816" s="20" t="n">
        <x:v>81</x:v>
      </x:c>
      <x:c r="E816" s="45" t="n">
        <x:f>IF('Controls'!$D$7="Reference",'Paths'!$J$15,'Paths'!$K$15)</x:f>
        <x:v>7</x:v>
      </x:c>
      <x:c r="F816" s="47" t="n">
        <x:f>IF(D816&lt;'Paths'!$N$15,IF('Controls'!$D$7="Reference",'Paths'!$L$15,'Paths'!$M$15),IF('Controls'!$D$7="Reference",'Paths'!$O$15,'Paths'!$P$15))</x:f>
        <x:v>32000</x:v>
      </x:c>
      <x:c r="G816" s="46" t="n">
        <x:f>IF('Controls'!$D$7="Reference",1,IF(OR(D816=6,D816=7,D816=21,D816=46),'Paths'!$U$15,1))</x:f>
        <x:v>1</x:v>
      </x:c>
      <x:c r="H816" s="46" t="n">
        <x:f>IF('Controls'!$D$7="Reference",1,IF(OR(AND(D816&gt;=14,D816&lt;=16),AND(D816&gt;=34,D816&lt;=35),AND(D816&gt;=61,D816&lt;=63)),'Paths'!$V$15,1))</x:f>
        <x:v>1</x:v>
      </x:c>
      <x:c r="I816" s="46" t="n">
        <x:f>'Paths'!$W$15</x:f>
        <x:v>0.9</x:v>
      </x:c>
      <x:c r="J816" s="47" t="n">
        <x:f>IF(D816&lt;E816,0,MIN(F816*G816*H816*I816,IF('Paths'!$T$15&gt;0,MAX(0,'Paths'!$T$15-K815),1000000000)))</x:f>
        <x:v>28800</x:v>
      </x:c>
      <x:c r="K816" s="47" t="n">
        <x:f>K815+J816</x:f>
        <x:v>1807200</x:v>
      </x:c>
      <x:c r="L816" s="46" t="n">
        <x:f>IF(C816="P0",1,IF(D816&lt;=3,0.8,IF(D816&lt;=14,0.65,IF(D816&lt;=45,0.5,0.3))))</x:f>
        <x:v>0.3</x:v>
      </x:c>
      <x:c r="M816" s="47" t="n">
        <x:f>J816*L816</x:f>
        <x:v>8640</x:v>
      </x:c>
      <x:c r="N816" s="47" t="n">
        <x:f>N815+M816</x:f>
        <x:v>727560</x:v>
      </x:c>
      <x:c r="O816" s="46" t="n">
        <x:f>IF(C816="P0",0,IF(D816&lt;=3,0.15,IF(D816&lt;=14,0.25,IF(D816&lt;=45,0.35,0.5))))</x:f>
        <x:v>0.5</x:v>
      </x:c>
      <x:c r="P816" s="47" t="n">
        <x:f>J816*O816</x:f>
        <x:v>14400</x:v>
      </x:c>
      <x:c r="Q816" s="46" t="n">
        <x:f>IF(C816="P0",0,IF(D816&lt;=3,0.05,IF(D816&lt;=14,0.1,IF(D816&lt;=45,0.15,0.2))))</x:f>
        <x:v>0.2</x:v>
      </x:c>
      <x:c r="R816" s="47" t="n">
        <x:f>J816*Q816</x:f>
        <x:v>5760</x:v>
      </x:c>
      <x:c r="S816" s="20" t="str">
        <x:f>IF(D816&lt;E816,"closed",IF(D816&lt;'Paths'!$N$15,"initial","expanded"))</x:f>
        <x:v>expanded</x:v>
      </x:c>
      <x:c r="T816" s="72"/>
    </x:row>
    <x:row r="817">
      <x:c r="C817" s="20" t="str">
        <x:v>P8</x:v>
      </x:c>
      <x:c r="D817" s="20" t="n">
        <x:v>82</x:v>
      </x:c>
      <x:c r="E817" s="45" t="n">
        <x:f>IF('Controls'!$D$7="Reference",'Paths'!$J$15,'Paths'!$K$15)</x:f>
        <x:v>7</x:v>
      </x:c>
      <x:c r="F817" s="47" t="n">
        <x:f>IF(D817&lt;'Paths'!$N$15,IF('Controls'!$D$7="Reference",'Paths'!$L$15,'Paths'!$M$15),IF('Controls'!$D$7="Reference",'Paths'!$O$15,'Paths'!$P$15))</x:f>
        <x:v>32000</x:v>
      </x:c>
      <x:c r="G817" s="46" t="n">
        <x:f>IF('Controls'!$D$7="Reference",1,IF(OR(D817=6,D817=7,D817=21,D817=46),'Paths'!$U$15,1))</x:f>
        <x:v>1</x:v>
      </x:c>
      <x:c r="H817" s="46" t="n">
        <x:f>IF('Controls'!$D$7="Reference",1,IF(OR(AND(D817&gt;=14,D817&lt;=16),AND(D817&gt;=34,D817&lt;=35),AND(D817&gt;=61,D817&lt;=63)),'Paths'!$V$15,1))</x:f>
        <x:v>1</x:v>
      </x:c>
      <x:c r="I817" s="46" t="n">
        <x:f>'Paths'!$W$15</x:f>
        <x:v>0.9</x:v>
      </x:c>
      <x:c r="J817" s="47" t="n">
        <x:f>IF(D817&lt;E817,0,MIN(F817*G817*H817*I817,IF('Paths'!$T$15&gt;0,MAX(0,'Paths'!$T$15-K816),1000000000)))</x:f>
        <x:v>28800</x:v>
      </x:c>
      <x:c r="K817" s="47" t="n">
        <x:f>K816+J817</x:f>
        <x:v>1836000</x:v>
      </x:c>
      <x:c r="L817" s="46" t="n">
        <x:f>IF(C817="P0",1,IF(D817&lt;=3,0.8,IF(D817&lt;=14,0.65,IF(D817&lt;=45,0.5,0.3))))</x:f>
        <x:v>0.3</x:v>
      </x:c>
      <x:c r="M817" s="47" t="n">
        <x:f>J817*L817</x:f>
        <x:v>8640</x:v>
      </x:c>
      <x:c r="N817" s="47" t="n">
        <x:f>N816+M817</x:f>
        <x:v>736200</x:v>
      </x:c>
      <x:c r="O817" s="46" t="n">
        <x:f>IF(C817="P0",0,IF(D817&lt;=3,0.15,IF(D817&lt;=14,0.25,IF(D817&lt;=45,0.35,0.5))))</x:f>
        <x:v>0.5</x:v>
      </x:c>
      <x:c r="P817" s="47" t="n">
        <x:f>J817*O817</x:f>
        <x:v>14400</x:v>
      </x:c>
      <x:c r="Q817" s="46" t="n">
        <x:f>IF(C817="P0",0,IF(D817&lt;=3,0.05,IF(D817&lt;=14,0.1,IF(D817&lt;=45,0.15,0.2))))</x:f>
        <x:v>0.2</x:v>
      </x:c>
      <x:c r="R817" s="47" t="n">
        <x:f>J817*Q817</x:f>
        <x:v>5760</x:v>
      </x:c>
      <x:c r="S817" s="20" t="str">
        <x:f>IF(D817&lt;E817,"closed",IF(D817&lt;'Paths'!$N$15,"initial","expanded"))</x:f>
        <x:v>expanded</x:v>
      </x:c>
      <x:c r="T817" s="72"/>
    </x:row>
    <x:row r="818">
      <x:c r="C818" s="20" t="str">
        <x:v>P8</x:v>
      </x:c>
      <x:c r="D818" s="20" t="n">
        <x:v>83</x:v>
      </x:c>
      <x:c r="E818" s="45" t="n">
        <x:f>IF('Controls'!$D$7="Reference",'Paths'!$J$15,'Paths'!$K$15)</x:f>
        <x:v>7</x:v>
      </x:c>
      <x:c r="F818" s="47" t="n">
        <x:f>IF(D818&lt;'Paths'!$N$15,IF('Controls'!$D$7="Reference",'Paths'!$L$15,'Paths'!$M$15),IF('Controls'!$D$7="Reference",'Paths'!$O$15,'Paths'!$P$15))</x:f>
        <x:v>32000</x:v>
      </x:c>
      <x:c r="G818" s="46" t="n">
        <x:f>IF('Controls'!$D$7="Reference",1,IF(OR(D818=6,D818=7,D818=21,D818=46),'Paths'!$U$15,1))</x:f>
        <x:v>1</x:v>
      </x:c>
      <x:c r="H818" s="46" t="n">
        <x:f>IF('Controls'!$D$7="Reference",1,IF(OR(AND(D818&gt;=14,D818&lt;=16),AND(D818&gt;=34,D818&lt;=35),AND(D818&gt;=61,D818&lt;=63)),'Paths'!$V$15,1))</x:f>
        <x:v>1</x:v>
      </x:c>
      <x:c r="I818" s="46" t="n">
        <x:f>'Paths'!$W$15</x:f>
        <x:v>0.9</x:v>
      </x:c>
      <x:c r="J818" s="47" t="n">
        <x:f>IF(D818&lt;E818,0,MIN(F818*G818*H818*I818,IF('Paths'!$T$15&gt;0,MAX(0,'Paths'!$T$15-K817),1000000000)))</x:f>
        <x:v>28800</x:v>
      </x:c>
      <x:c r="K818" s="47" t="n">
        <x:f>K817+J818</x:f>
        <x:v>1864800</x:v>
      </x:c>
      <x:c r="L818" s="46" t="n">
        <x:f>IF(C818="P0",1,IF(D818&lt;=3,0.8,IF(D818&lt;=14,0.65,IF(D818&lt;=45,0.5,0.3))))</x:f>
        <x:v>0.3</x:v>
      </x:c>
      <x:c r="M818" s="47" t="n">
        <x:f>J818*L818</x:f>
        <x:v>8640</x:v>
      </x:c>
      <x:c r="N818" s="47" t="n">
        <x:f>N817+M818</x:f>
        <x:v>744840</x:v>
      </x:c>
      <x:c r="O818" s="46" t="n">
        <x:f>IF(C818="P0",0,IF(D818&lt;=3,0.15,IF(D818&lt;=14,0.25,IF(D818&lt;=45,0.35,0.5))))</x:f>
        <x:v>0.5</x:v>
      </x:c>
      <x:c r="P818" s="47" t="n">
        <x:f>J818*O818</x:f>
        <x:v>14400</x:v>
      </x:c>
      <x:c r="Q818" s="46" t="n">
        <x:f>IF(C818="P0",0,IF(D818&lt;=3,0.05,IF(D818&lt;=14,0.1,IF(D818&lt;=45,0.15,0.2))))</x:f>
        <x:v>0.2</x:v>
      </x:c>
      <x:c r="R818" s="47" t="n">
        <x:f>J818*Q818</x:f>
        <x:v>5760</x:v>
      </x:c>
      <x:c r="S818" s="20" t="str">
        <x:f>IF(D818&lt;E818,"closed",IF(D818&lt;'Paths'!$N$15,"initial","expanded"))</x:f>
        <x:v>expanded</x:v>
      </x:c>
      <x:c r="T818" s="72"/>
    </x:row>
    <x:row r="819">
      <x:c r="C819" s="20" t="str">
        <x:v>P8</x:v>
      </x:c>
      <x:c r="D819" s="20" t="n">
        <x:v>84</x:v>
      </x:c>
      <x:c r="E819" s="45" t="n">
        <x:f>IF('Controls'!$D$7="Reference",'Paths'!$J$15,'Paths'!$K$15)</x:f>
        <x:v>7</x:v>
      </x:c>
      <x:c r="F819" s="47" t="n">
        <x:f>IF(D819&lt;'Paths'!$N$15,IF('Controls'!$D$7="Reference",'Paths'!$L$15,'Paths'!$M$15),IF('Controls'!$D$7="Reference",'Paths'!$O$15,'Paths'!$P$15))</x:f>
        <x:v>32000</x:v>
      </x:c>
      <x:c r="G819" s="46" t="n">
        <x:f>IF('Controls'!$D$7="Reference",1,IF(OR(D819=6,D819=7,D819=21,D819=46),'Paths'!$U$15,1))</x:f>
        <x:v>1</x:v>
      </x:c>
      <x:c r="H819" s="46" t="n">
        <x:f>IF('Controls'!$D$7="Reference",1,IF(OR(AND(D819&gt;=14,D819&lt;=16),AND(D819&gt;=34,D819&lt;=35),AND(D819&gt;=61,D819&lt;=63)),'Paths'!$V$15,1))</x:f>
        <x:v>1</x:v>
      </x:c>
      <x:c r="I819" s="46" t="n">
        <x:f>'Paths'!$W$15</x:f>
        <x:v>0.9</x:v>
      </x:c>
      <x:c r="J819" s="47" t="n">
        <x:f>IF(D819&lt;E819,0,MIN(F819*G819*H819*I819,IF('Paths'!$T$15&gt;0,MAX(0,'Paths'!$T$15-K818),1000000000)))</x:f>
        <x:v>28800</x:v>
      </x:c>
      <x:c r="K819" s="47" t="n">
        <x:f>K818+J819</x:f>
        <x:v>1893600</x:v>
      </x:c>
      <x:c r="L819" s="46" t="n">
        <x:f>IF(C819="P0",1,IF(D819&lt;=3,0.8,IF(D819&lt;=14,0.65,IF(D819&lt;=45,0.5,0.3))))</x:f>
        <x:v>0.3</x:v>
      </x:c>
      <x:c r="M819" s="47" t="n">
        <x:f>J819*L819</x:f>
        <x:v>8640</x:v>
      </x:c>
      <x:c r="N819" s="47" t="n">
        <x:f>N818+M819</x:f>
        <x:v>753480</x:v>
      </x:c>
      <x:c r="O819" s="46" t="n">
        <x:f>IF(C819="P0",0,IF(D819&lt;=3,0.15,IF(D819&lt;=14,0.25,IF(D819&lt;=45,0.35,0.5))))</x:f>
        <x:v>0.5</x:v>
      </x:c>
      <x:c r="P819" s="47" t="n">
        <x:f>J819*O819</x:f>
        <x:v>14400</x:v>
      </x:c>
      <x:c r="Q819" s="46" t="n">
        <x:f>IF(C819="P0",0,IF(D819&lt;=3,0.05,IF(D819&lt;=14,0.1,IF(D819&lt;=45,0.15,0.2))))</x:f>
        <x:v>0.2</x:v>
      </x:c>
      <x:c r="R819" s="47" t="n">
        <x:f>J819*Q819</x:f>
        <x:v>5760</x:v>
      </x:c>
      <x:c r="S819" s="20" t="str">
        <x:f>IF(D819&lt;E819,"closed",IF(D819&lt;'Paths'!$N$15,"initial","expanded"))</x:f>
        <x:v>expanded</x:v>
      </x:c>
      <x:c r="T819" s="72"/>
    </x:row>
    <x:row r="820">
      <x:c r="C820" s="20" t="str">
        <x:v>P8</x:v>
      </x:c>
      <x:c r="D820" s="20" t="n">
        <x:v>85</x:v>
      </x:c>
      <x:c r="E820" s="45" t="n">
        <x:f>IF('Controls'!$D$7="Reference",'Paths'!$J$15,'Paths'!$K$15)</x:f>
        <x:v>7</x:v>
      </x:c>
      <x:c r="F820" s="47" t="n">
        <x:f>IF(D820&lt;'Paths'!$N$15,IF('Controls'!$D$7="Reference",'Paths'!$L$15,'Paths'!$M$15),IF('Controls'!$D$7="Reference",'Paths'!$O$15,'Paths'!$P$15))</x:f>
        <x:v>32000</x:v>
      </x:c>
      <x:c r="G820" s="46" t="n">
        <x:f>IF('Controls'!$D$7="Reference",1,IF(OR(D820=6,D820=7,D820=21,D820=46),'Paths'!$U$15,1))</x:f>
        <x:v>1</x:v>
      </x:c>
      <x:c r="H820" s="46" t="n">
        <x:f>IF('Controls'!$D$7="Reference",1,IF(OR(AND(D820&gt;=14,D820&lt;=16),AND(D820&gt;=34,D820&lt;=35),AND(D820&gt;=61,D820&lt;=63)),'Paths'!$V$15,1))</x:f>
        <x:v>1</x:v>
      </x:c>
      <x:c r="I820" s="46" t="n">
        <x:f>'Paths'!$W$15</x:f>
        <x:v>0.9</x:v>
      </x:c>
      <x:c r="J820" s="47" t="n">
        <x:f>IF(D820&lt;E820,0,MIN(F820*G820*H820*I820,IF('Paths'!$T$15&gt;0,MAX(0,'Paths'!$T$15-K819),1000000000)))</x:f>
        <x:v>28800</x:v>
      </x:c>
      <x:c r="K820" s="47" t="n">
        <x:f>K819+J820</x:f>
        <x:v>1922400</x:v>
      </x:c>
      <x:c r="L820" s="46" t="n">
        <x:f>IF(C820="P0",1,IF(D820&lt;=3,0.8,IF(D820&lt;=14,0.65,IF(D820&lt;=45,0.5,0.3))))</x:f>
        <x:v>0.3</x:v>
      </x:c>
      <x:c r="M820" s="47" t="n">
        <x:f>J820*L820</x:f>
        <x:v>8640</x:v>
      </x:c>
      <x:c r="N820" s="47" t="n">
        <x:f>N819+M820</x:f>
        <x:v>762120</x:v>
      </x:c>
      <x:c r="O820" s="46" t="n">
        <x:f>IF(C820="P0",0,IF(D820&lt;=3,0.15,IF(D820&lt;=14,0.25,IF(D820&lt;=45,0.35,0.5))))</x:f>
        <x:v>0.5</x:v>
      </x:c>
      <x:c r="P820" s="47" t="n">
        <x:f>J820*O820</x:f>
        <x:v>14400</x:v>
      </x:c>
      <x:c r="Q820" s="46" t="n">
        <x:f>IF(C820="P0",0,IF(D820&lt;=3,0.05,IF(D820&lt;=14,0.1,IF(D820&lt;=45,0.15,0.2))))</x:f>
        <x:v>0.2</x:v>
      </x:c>
      <x:c r="R820" s="47" t="n">
        <x:f>J820*Q820</x:f>
        <x:v>5760</x:v>
      </x:c>
      <x:c r="S820" s="20" t="str">
        <x:f>IF(D820&lt;E820,"closed",IF(D820&lt;'Paths'!$N$15,"initial","expanded"))</x:f>
        <x:v>expanded</x:v>
      </x:c>
      <x:c r="T820" s="72"/>
    </x:row>
    <x:row r="821">
      <x:c r="C821" s="20" t="str">
        <x:v>P8</x:v>
      </x:c>
      <x:c r="D821" s="20" t="n">
        <x:v>86</x:v>
      </x:c>
      <x:c r="E821" s="45" t="n">
        <x:f>IF('Controls'!$D$7="Reference",'Paths'!$J$15,'Paths'!$K$15)</x:f>
        <x:v>7</x:v>
      </x:c>
      <x:c r="F821" s="47" t="n">
        <x:f>IF(D821&lt;'Paths'!$N$15,IF('Controls'!$D$7="Reference",'Paths'!$L$15,'Paths'!$M$15),IF('Controls'!$D$7="Reference",'Paths'!$O$15,'Paths'!$P$15))</x:f>
        <x:v>32000</x:v>
      </x:c>
      <x:c r="G821" s="46" t="n">
        <x:f>IF('Controls'!$D$7="Reference",1,IF(OR(D821=6,D821=7,D821=21,D821=46),'Paths'!$U$15,1))</x:f>
        <x:v>1</x:v>
      </x:c>
      <x:c r="H821" s="46" t="n">
        <x:f>IF('Controls'!$D$7="Reference",1,IF(OR(AND(D821&gt;=14,D821&lt;=16),AND(D821&gt;=34,D821&lt;=35),AND(D821&gt;=61,D821&lt;=63)),'Paths'!$V$15,1))</x:f>
        <x:v>1</x:v>
      </x:c>
      <x:c r="I821" s="46" t="n">
        <x:f>'Paths'!$W$15</x:f>
        <x:v>0.9</x:v>
      </x:c>
      <x:c r="J821" s="47" t="n">
        <x:f>IF(D821&lt;E821,0,MIN(F821*G821*H821*I821,IF('Paths'!$T$15&gt;0,MAX(0,'Paths'!$T$15-K820),1000000000)))</x:f>
        <x:v>28800</x:v>
      </x:c>
      <x:c r="K821" s="47" t="n">
        <x:f>K820+J821</x:f>
        <x:v>1951200</x:v>
      </x:c>
      <x:c r="L821" s="46" t="n">
        <x:f>IF(C821="P0",1,IF(D821&lt;=3,0.8,IF(D821&lt;=14,0.65,IF(D821&lt;=45,0.5,0.3))))</x:f>
        <x:v>0.3</x:v>
      </x:c>
      <x:c r="M821" s="47" t="n">
        <x:f>J821*L821</x:f>
        <x:v>8640</x:v>
      </x:c>
      <x:c r="N821" s="47" t="n">
        <x:f>N820+M821</x:f>
        <x:v>770760</x:v>
      </x:c>
      <x:c r="O821" s="46" t="n">
        <x:f>IF(C821="P0",0,IF(D821&lt;=3,0.15,IF(D821&lt;=14,0.25,IF(D821&lt;=45,0.35,0.5))))</x:f>
        <x:v>0.5</x:v>
      </x:c>
      <x:c r="P821" s="47" t="n">
        <x:f>J821*O821</x:f>
        <x:v>14400</x:v>
      </x:c>
      <x:c r="Q821" s="46" t="n">
        <x:f>IF(C821="P0",0,IF(D821&lt;=3,0.05,IF(D821&lt;=14,0.1,IF(D821&lt;=45,0.15,0.2))))</x:f>
        <x:v>0.2</x:v>
      </x:c>
      <x:c r="R821" s="47" t="n">
        <x:f>J821*Q821</x:f>
        <x:v>5760</x:v>
      </x:c>
      <x:c r="S821" s="20" t="str">
        <x:f>IF(D821&lt;E821,"closed",IF(D821&lt;'Paths'!$N$15,"initial","expanded"))</x:f>
        <x:v>expanded</x:v>
      </x:c>
      <x:c r="T821" s="72"/>
    </x:row>
    <x:row r="822">
      <x:c r="C822" s="20" t="str">
        <x:v>P8</x:v>
      </x:c>
      <x:c r="D822" s="20" t="n">
        <x:v>87</x:v>
      </x:c>
      <x:c r="E822" s="45" t="n">
        <x:f>IF('Controls'!$D$7="Reference",'Paths'!$J$15,'Paths'!$K$15)</x:f>
        <x:v>7</x:v>
      </x:c>
      <x:c r="F822" s="47" t="n">
        <x:f>IF(D822&lt;'Paths'!$N$15,IF('Controls'!$D$7="Reference",'Paths'!$L$15,'Paths'!$M$15),IF('Controls'!$D$7="Reference",'Paths'!$O$15,'Paths'!$P$15))</x:f>
        <x:v>32000</x:v>
      </x:c>
      <x:c r="G822" s="46" t="n">
        <x:f>IF('Controls'!$D$7="Reference",1,IF(OR(D822=6,D822=7,D822=21,D822=46),'Paths'!$U$15,1))</x:f>
        <x:v>1</x:v>
      </x:c>
      <x:c r="H822" s="46" t="n">
        <x:f>IF('Controls'!$D$7="Reference",1,IF(OR(AND(D822&gt;=14,D822&lt;=16),AND(D822&gt;=34,D822&lt;=35),AND(D822&gt;=61,D822&lt;=63)),'Paths'!$V$15,1))</x:f>
        <x:v>1</x:v>
      </x:c>
      <x:c r="I822" s="46" t="n">
        <x:f>'Paths'!$W$15</x:f>
        <x:v>0.9</x:v>
      </x:c>
      <x:c r="J822" s="47" t="n">
        <x:f>IF(D822&lt;E822,0,MIN(F822*G822*H822*I822,IF('Paths'!$T$15&gt;0,MAX(0,'Paths'!$T$15-K821),1000000000)))</x:f>
        <x:v>28800</x:v>
      </x:c>
      <x:c r="K822" s="47" t="n">
        <x:f>K821+J822</x:f>
        <x:v>1980000</x:v>
      </x:c>
      <x:c r="L822" s="46" t="n">
        <x:f>IF(C822="P0",1,IF(D822&lt;=3,0.8,IF(D822&lt;=14,0.65,IF(D822&lt;=45,0.5,0.3))))</x:f>
        <x:v>0.3</x:v>
      </x:c>
      <x:c r="M822" s="47" t="n">
        <x:f>J822*L822</x:f>
        <x:v>8640</x:v>
      </x:c>
      <x:c r="N822" s="47" t="n">
        <x:f>N821+M822</x:f>
        <x:v>779400</x:v>
      </x:c>
      <x:c r="O822" s="46" t="n">
        <x:f>IF(C822="P0",0,IF(D822&lt;=3,0.15,IF(D822&lt;=14,0.25,IF(D822&lt;=45,0.35,0.5))))</x:f>
        <x:v>0.5</x:v>
      </x:c>
      <x:c r="P822" s="47" t="n">
        <x:f>J822*O822</x:f>
        <x:v>14400</x:v>
      </x:c>
      <x:c r="Q822" s="46" t="n">
        <x:f>IF(C822="P0",0,IF(D822&lt;=3,0.05,IF(D822&lt;=14,0.1,IF(D822&lt;=45,0.15,0.2))))</x:f>
        <x:v>0.2</x:v>
      </x:c>
      <x:c r="R822" s="47" t="n">
        <x:f>J822*Q822</x:f>
        <x:v>5760</x:v>
      </x:c>
      <x:c r="S822" s="20" t="str">
        <x:f>IF(D822&lt;E822,"closed",IF(D822&lt;'Paths'!$N$15,"initial","expanded"))</x:f>
        <x:v>expanded</x:v>
      </x:c>
      <x:c r="T822" s="72"/>
    </x:row>
    <x:row r="823">
      <x:c r="C823" s="20" t="str">
        <x:v>P8</x:v>
      </x:c>
      <x:c r="D823" s="20" t="n">
        <x:v>88</x:v>
      </x:c>
      <x:c r="E823" s="45" t="n">
        <x:f>IF('Controls'!$D$7="Reference",'Paths'!$J$15,'Paths'!$K$15)</x:f>
        <x:v>7</x:v>
      </x:c>
      <x:c r="F823" s="47" t="n">
        <x:f>IF(D823&lt;'Paths'!$N$15,IF('Controls'!$D$7="Reference",'Paths'!$L$15,'Paths'!$M$15),IF('Controls'!$D$7="Reference",'Paths'!$O$15,'Paths'!$P$15))</x:f>
        <x:v>32000</x:v>
      </x:c>
      <x:c r="G823" s="46" t="n">
        <x:f>IF('Controls'!$D$7="Reference",1,IF(OR(D823=6,D823=7,D823=21,D823=46),'Paths'!$U$15,1))</x:f>
        <x:v>1</x:v>
      </x:c>
      <x:c r="H823" s="46" t="n">
        <x:f>IF('Controls'!$D$7="Reference",1,IF(OR(AND(D823&gt;=14,D823&lt;=16),AND(D823&gt;=34,D823&lt;=35),AND(D823&gt;=61,D823&lt;=63)),'Paths'!$V$15,1))</x:f>
        <x:v>1</x:v>
      </x:c>
      <x:c r="I823" s="46" t="n">
        <x:f>'Paths'!$W$15</x:f>
        <x:v>0.9</x:v>
      </x:c>
      <x:c r="J823" s="47" t="n">
        <x:f>IF(D823&lt;E823,0,MIN(F823*G823*H823*I823,IF('Paths'!$T$15&gt;0,MAX(0,'Paths'!$T$15-K822),1000000000)))</x:f>
        <x:v>28800</x:v>
      </x:c>
      <x:c r="K823" s="47" t="n">
        <x:f>K822+J823</x:f>
        <x:v>2008800</x:v>
      </x:c>
      <x:c r="L823" s="46" t="n">
        <x:f>IF(C823="P0",1,IF(D823&lt;=3,0.8,IF(D823&lt;=14,0.65,IF(D823&lt;=45,0.5,0.3))))</x:f>
        <x:v>0.3</x:v>
      </x:c>
      <x:c r="M823" s="47" t="n">
        <x:f>J823*L823</x:f>
        <x:v>8640</x:v>
      </x:c>
      <x:c r="N823" s="47" t="n">
        <x:f>N822+M823</x:f>
        <x:v>788040</x:v>
      </x:c>
      <x:c r="O823" s="46" t="n">
        <x:f>IF(C823="P0",0,IF(D823&lt;=3,0.15,IF(D823&lt;=14,0.25,IF(D823&lt;=45,0.35,0.5))))</x:f>
        <x:v>0.5</x:v>
      </x:c>
      <x:c r="P823" s="47" t="n">
        <x:f>J823*O823</x:f>
        <x:v>14400</x:v>
      </x:c>
      <x:c r="Q823" s="46" t="n">
        <x:f>IF(C823="P0",0,IF(D823&lt;=3,0.05,IF(D823&lt;=14,0.1,IF(D823&lt;=45,0.15,0.2))))</x:f>
        <x:v>0.2</x:v>
      </x:c>
      <x:c r="R823" s="47" t="n">
        <x:f>J823*Q823</x:f>
        <x:v>5760</x:v>
      </x:c>
      <x:c r="S823" s="20" t="str">
        <x:f>IF(D823&lt;E823,"closed",IF(D823&lt;'Paths'!$N$15,"initial","expanded"))</x:f>
        <x:v>expanded</x:v>
      </x:c>
      <x:c r="T823" s="72"/>
    </x:row>
    <x:row r="824">
      <x:c r="C824" s="20" t="str">
        <x:v>P8</x:v>
      </x:c>
      <x:c r="D824" s="20" t="n">
        <x:v>89</x:v>
      </x:c>
      <x:c r="E824" s="45" t="n">
        <x:f>IF('Controls'!$D$7="Reference",'Paths'!$J$15,'Paths'!$K$15)</x:f>
        <x:v>7</x:v>
      </x:c>
      <x:c r="F824" s="47" t="n">
        <x:f>IF(D824&lt;'Paths'!$N$15,IF('Controls'!$D$7="Reference",'Paths'!$L$15,'Paths'!$M$15),IF('Controls'!$D$7="Reference",'Paths'!$O$15,'Paths'!$P$15))</x:f>
        <x:v>32000</x:v>
      </x:c>
      <x:c r="G824" s="46" t="n">
        <x:f>IF('Controls'!$D$7="Reference",1,IF(OR(D824=6,D824=7,D824=21,D824=46),'Paths'!$U$15,1))</x:f>
        <x:v>1</x:v>
      </x:c>
      <x:c r="H824" s="46" t="n">
        <x:f>IF('Controls'!$D$7="Reference",1,IF(OR(AND(D824&gt;=14,D824&lt;=16),AND(D824&gt;=34,D824&lt;=35),AND(D824&gt;=61,D824&lt;=63)),'Paths'!$V$15,1))</x:f>
        <x:v>1</x:v>
      </x:c>
      <x:c r="I824" s="46" t="n">
        <x:f>'Paths'!$W$15</x:f>
        <x:v>0.9</x:v>
      </x:c>
      <x:c r="J824" s="47" t="n">
        <x:f>IF(D824&lt;E824,0,MIN(F824*G824*H824*I824,IF('Paths'!$T$15&gt;0,MAX(0,'Paths'!$T$15-K823),1000000000)))</x:f>
        <x:v>28800</x:v>
      </x:c>
      <x:c r="K824" s="47" t="n">
        <x:f>K823+J824</x:f>
        <x:v>2037600</x:v>
      </x:c>
      <x:c r="L824" s="46" t="n">
        <x:f>IF(C824="P0",1,IF(D824&lt;=3,0.8,IF(D824&lt;=14,0.65,IF(D824&lt;=45,0.5,0.3))))</x:f>
        <x:v>0.3</x:v>
      </x:c>
      <x:c r="M824" s="47" t="n">
        <x:f>J824*L824</x:f>
        <x:v>8640</x:v>
      </x:c>
      <x:c r="N824" s="47" t="n">
        <x:f>N823+M824</x:f>
        <x:v>796680</x:v>
      </x:c>
      <x:c r="O824" s="46" t="n">
        <x:f>IF(C824="P0",0,IF(D824&lt;=3,0.15,IF(D824&lt;=14,0.25,IF(D824&lt;=45,0.35,0.5))))</x:f>
        <x:v>0.5</x:v>
      </x:c>
      <x:c r="P824" s="47" t="n">
        <x:f>J824*O824</x:f>
        <x:v>14400</x:v>
      </x:c>
      <x:c r="Q824" s="46" t="n">
        <x:f>IF(C824="P0",0,IF(D824&lt;=3,0.05,IF(D824&lt;=14,0.1,IF(D824&lt;=45,0.15,0.2))))</x:f>
        <x:v>0.2</x:v>
      </x:c>
      <x:c r="R824" s="47" t="n">
        <x:f>J824*Q824</x:f>
        <x:v>5760</x:v>
      </x:c>
      <x:c r="S824" s="20" t="str">
        <x:f>IF(D824&lt;E824,"closed",IF(D824&lt;'Paths'!$N$15,"initial","expanded"))</x:f>
        <x:v>expanded</x:v>
      </x:c>
      <x:c r="T824" s="72"/>
    </x:row>
    <x:row r="825">
      <x:c r="C825" s="20" t="str">
        <x:v>P8</x:v>
      </x:c>
      <x:c r="D825" s="20" t="n">
        <x:v>90</x:v>
      </x:c>
      <x:c r="E825" s="45" t="n">
        <x:f>IF('Controls'!$D$7="Reference",'Paths'!$J$15,'Paths'!$K$15)</x:f>
        <x:v>7</x:v>
      </x:c>
      <x:c r="F825" s="47" t="n">
        <x:f>IF(D825&lt;'Paths'!$N$15,IF('Controls'!$D$7="Reference",'Paths'!$L$15,'Paths'!$M$15),IF('Controls'!$D$7="Reference",'Paths'!$O$15,'Paths'!$P$15))</x:f>
        <x:v>32000</x:v>
      </x:c>
      <x:c r="G825" s="46" t="n">
        <x:f>IF('Controls'!$D$7="Reference",1,IF(OR(D825=6,D825=7,D825=21,D825=46),'Paths'!$U$15,1))</x:f>
        <x:v>1</x:v>
      </x:c>
      <x:c r="H825" s="46" t="n">
        <x:f>IF('Controls'!$D$7="Reference",1,IF(OR(AND(D825&gt;=14,D825&lt;=16),AND(D825&gt;=34,D825&lt;=35),AND(D825&gt;=61,D825&lt;=63)),'Paths'!$V$15,1))</x:f>
        <x:v>1</x:v>
      </x:c>
      <x:c r="I825" s="46" t="n">
        <x:f>'Paths'!$W$15</x:f>
        <x:v>0.9</x:v>
      </x:c>
      <x:c r="J825" s="47" t="n">
        <x:f>IF(D825&lt;E825,0,MIN(F825*G825*H825*I825,IF('Paths'!$T$15&gt;0,MAX(0,'Paths'!$T$15-K824),1000000000)))</x:f>
        <x:v>28800</x:v>
      </x:c>
      <x:c r="K825" s="47" t="n">
        <x:f>K824+J825</x:f>
        <x:v>2066400</x:v>
      </x:c>
      <x:c r="L825" s="46" t="n">
        <x:f>IF(C825="P0",1,IF(D825&lt;=3,0.8,IF(D825&lt;=14,0.65,IF(D825&lt;=45,0.5,0.3))))</x:f>
        <x:v>0.3</x:v>
      </x:c>
      <x:c r="M825" s="47" t="n">
        <x:f>J825*L825</x:f>
        <x:v>8640</x:v>
      </x:c>
      <x:c r="N825" s="47" t="n">
        <x:f>N824+M825</x:f>
        <x:v>805320</x:v>
      </x:c>
      <x:c r="O825" s="46" t="n">
        <x:f>IF(C825="P0",0,IF(D825&lt;=3,0.15,IF(D825&lt;=14,0.25,IF(D825&lt;=45,0.35,0.5))))</x:f>
        <x:v>0.5</x:v>
      </x:c>
      <x:c r="P825" s="47" t="n">
        <x:f>J825*O825</x:f>
        <x:v>14400</x:v>
      </x:c>
      <x:c r="Q825" s="46" t="n">
        <x:f>IF(C825="P0",0,IF(D825&lt;=3,0.05,IF(D825&lt;=14,0.1,IF(D825&lt;=45,0.15,0.2))))</x:f>
        <x:v>0.2</x:v>
      </x:c>
      <x:c r="R825" s="47" t="n">
        <x:f>J825*Q825</x:f>
        <x:v>5760</x:v>
      </x:c>
      <x:c r="S825" s="20" t="str">
        <x:f>IF(D825&lt;E825,"closed",IF(D825&lt;'Paths'!$N$15,"initial","expanded"))</x:f>
        <x:v>expanded</x:v>
      </x:c>
      <x:c r="T825" s="72"/>
    </x:row>
    <x:row r="826">
      <x:c r="C826" s="20" t="str">
        <x:v>P9</x:v>
      </x:c>
      <x:c r="D826" s="20" t="n">
        <x:v>0</x:v>
      </x:c>
      <x:c r="E826" s="45" t="n">
        <x:f>IF('Controls'!$D$7="Reference",'Paths'!$J$16,'Paths'!$K$16)</x:f>
        <x:v>6</x:v>
      </x:c>
      <x:c r="F826" s="47" t="n">
        <x:f>IF(D826&lt;'Paths'!$N$16,IF('Controls'!$D$7="Reference",'Paths'!$L$16,'Paths'!$M$16),IF('Controls'!$D$7="Reference",'Paths'!$O$16,'Paths'!$P$16))</x:f>
        <x:v>15000</x:v>
      </x:c>
      <x:c r="G826" s="46" t="n">
        <x:f>IF('Controls'!$D$7="Reference",1,IF(OR(D826=6,D826=7,D826=21,D826=46),'Paths'!$U$16,1))</x:f>
        <x:v>1</x:v>
      </x:c>
      <x:c r="H826" s="46" t="n">
        <x:f>IF('Controls'!$D$7="Reference",1,IF(OR(AND(D826&gt;=14,D826&lt;=16),AND(D826&gt;=34,D826&lt;=35),AND(D826&gt;=61,D826&lt;=63)),'Paths'!$V$16,1))</x:f>
        <x:v>1</x:v>
      </x:c>
      <x:c r="I826" s="46" t="n">
        <x:f>'Paths'!$W$16</x:f>
        <x:v>0.9</x:v>
      </x:c>
      <x:c r="J826" s="47" t="n">
        <x:f>IF(D826&lt;E826,0,MIN(F826*G826*H826*I826,IF('Paths'!$T$16&gt;0,MAX(0,'Paths'!$T$16-0),1000000000)))</x:f>
        <x:v>0</x:v>
      </x:c>
      <x:c r="K826" s="47" t="n">
        <x:f>0+J826</x:f>
        <x:v>0</x:v>
      </x:c>
      <x:c r="L826" s="46" t="n">
        <x:f>IF(C826="P0",1,IF(D826&lt;=3,0.8,IF(D826&lt;=14,0.65,IF(D826&lt;=45,0.5,0.3))))</x:f>
        <x:v>0.8</x:v>
      </x:c>
      <x:c r="M826" s="47" t="n">
        <x:f>J826*L826</x:f>
        <x:v>0</x:v>
      </x:c>
      <x:c r="N826" s="47" t="n">
        <x:f>0+M826</x:f>
        <x:v>0</x:v>
      </x:c>
      <x:c r="O826" s="46" t="n">
        <x:f>IF(C826="P0",0,IF(D826&lt;=3,0.15,IF(D826&lt;=14,0.25,IF(D826&lt;=45,0.35,0.5))))</x:f>
        <x:v>0.15</x:v>
      </x:c>
      <x:c r="P826" s="47" t="n">
        <x:f>J826*O826</x:f>
        <x:v>0</x:v>
      </x:c>
      <x:c r="Q826" s="46" t="n">
        <x:f>IF(C826="P0",0,IF(D826&lt;=3,0.05,IF(D826&lt;=14,0.1,IF(D826&lt;=45,0.15,0.2))))</x:f>
        <x:v>0.05</x:v>
      </x:c>
      <x:c r="R826" s="47" t="n">
        <x:f>J826*Q826</x:f>
        <x:v>0</x:v>
      </x:c>
      <x:c r="S826" s="20" t="str">
        <x:f>IF(D826&lt;E826,"closed",IF(D826&lt;'Paths'!$N$16,"initial","expanded"))</x:f>
        <x:v>closed</x:v>
      </x:c>
      <x:c r="T826" s="72"/>
    </x:row>
    <x:row r="827">
      <x:c r="C827" s="20" t="str">
        <x:v>P9</x:v>
      </x:c>
      <x:c r="D827" s="20" t="n">
        <x:v>1</x:v>
      </x:c>
      <x:c r="E827" s="45" t="n">
        <x:f>IF('Controls'!$D$7="Reference",'Paths'!$J$16,'Paths'!$K$16)</x:f>
        <x:v>6</x:v>
      </x:c>
      <x:c r="F827" s="47" t="n">
        <x:f>IF(D827&lt;'Paths'!$N$16,IF('Controls'!$D$7="Reference",'Paths'!$L$16,'Paths'!$M$16),IF('Controls'!$D$7="Reference",'Paths'!$O$16,'Paths'!$P$16))</x:f>
        <x:v>15000</x:v>
      </x:c>
      <x:c r="G827" s="46" t="n">
        <x:f>IF('Controls'!$D$7="Reference",1,IF(OR(D827=6,D827=7,D827=21,D827=46),'Paths'!$U$16,1))</x:f>
        <x:v>1</x:v>
      </x:c>
      <x:c r="H827" s="46" t="n">
        <x:f>IF('Controls'!$D$7="Reference",1,IF(OR(AND(D827&gt;=14,D827&lt;=16),AND(D827&gt;=34,D827&lt;=35),AND(D827&gt;=61,D827&lt;=63)),'Paths'!$V$16,1))</x:f>
        <x:v>1</x:v>
      </x:c>
      <x:c r="I827" s="46" t="n">
        <x:f>'Paths'!$W$16</x:f>
        <x:v>0.9</x:v>
      </x:c>
      <x:c r="J827" s="47" t="n">
        <x:f>IF(D827&lt;E827,0,MIN(F827*G827*H827*I827,IF('Paths'!$T$16&gt;0,MAX(0,'Paths'!$T$16-K826),1000000000)))</x:f>
        <x:v>0</x:v>
      </x:c>
      <x:c r="K827" s="47" t="n">
        <x:f>K826+J827</x:f>
        <x:v>0</x:v>
      </x:c>
      <x:c r="L827" s="46" t="n">
        <x:f>IF(C827="P0",1,IF(D827&lt;=3,0.8,IF(D827&lt;=14,0.65,IF(D827&lt;=45,0.5,0.3))))</x:f>
        <x:v>0.8</x:v>
      </x:c>
      <x:c r="M827" s="47" t="n">
        <x:f>J827*L827</x:f>
        <x:v>0</x:v>
      </x:c>
      <x:c r="N827" s="47" t="n">
        <x:f>N826+M827</x:f>
        <x:v>0</x:v>
      </x:c>
      <x:c r="O827" s="46" t="n">
        <x:f>IF(C827="P0",0,IF(D827&lt;=3,0.15,IF(D827&lt;=14,0.25,IF(D827&lt;=45,0.35,0.5))))</x:f>
        <x:v>0.15</x:v>
      </x:c>
      <x:c r="P827" s="47" t="n">
        <x:f>J827*O827</x:f>
        <x:v>0</x:v>
      </x:c>
      <x:c r="Q827" s="46" t="n">
        <x:f>IF(C827="P0",0,IF(D827&lt;=3,0.05,IF(D827&lt;=14,0.1,IF(D827&lt;=45,0.15,0.2))))</x:f>
        <x:v>0.05</x:v>
      </x:c>
      <x:c r="R827" s="47" t="n">
        <x:f>J827*Q827</x:f>
        <x:v>0</x:v>
      </x:c>
      <x:c r="S827" s="20" t="str">
        <x:f>IF(D827&lt;E827,"closed",IF(D827&lt;'Paths'!$N$16,"initial","expanded"))</x:f>
        <x:v>closed</x:v>
      </x:c>
      <x:c r="T827" s="72"/>
    </x:row>
    <x:row r="828">
      <x:c r="C828" s="20" t="str">
        <x:v>P9</x:v>
      </x:c>
      <x:c r="D828" s="20" t="n">
        <x:v>2</x:v>
      </x:c>
      <x:c r="E828" s="45" t="n">
        <x:f>IF('Controls'!$D$7="Reference",'Paths'!$J$16,'Paths'!$K$16)</x:f>
        <x:v>6</x:v>
      </x:c>
      <x:c r="F828" s="47" t="n">
        <x:f>IF(D828&lt;'Paths'!$N$16,IF('Controls'!$D$7="Reference",'Paths'!$L$16,'Paths'!$M$16),IF('Controls'!$D$7="Reference",'Paths'!$O$16,'Paths'!$P$16))</x:f>
        <x:v>15000</x:v>
      </x:c>
      <x:c r="G828" s="46" t="n">
        <x:f>IF('Controls'!$D$7="Reference",1,IF(OR(D828=6,D828=7,D828=21,D828=46),'Paths'!$U$16,1))</x:f>
        <x:v>1</x:v>
      </x:c>
      <x:c r="H828" s="46" t="n">
        <x:f>IF('Controls'!$D$7="Reference",1,IF(OR(AND(D828&gt;=14,D828&lt;=16),AND(D828&gt;=34,D828&lt;=35),AND(D828&gt;=61,D828&lt;=63)),'Paths'!$V$16,1))</x:f>
        <x:v>1</x:v>
      </x:c>
      <x:c r="I828" s="46" t="n">
        <x:f>'Paths'!$W$16</x:f>
        <x:v>0.9</x:v>
      </x:c>
      <x:c r="J828" s="47" t="n">
        <x:f>IF(D828&lt;E828,0,MIN(F828*G828*H828*I828,IF('Paths'!$T$16&gt;0,MAX(0,'Paths'!$T$16-K827),1000000000)))</x:f>
        <x:v>0</x:v>
      </x:c>
      <x:c r="K828" s="47" t="n">
        <x:f>K827+J828</x:f>
        <x:v>0</x:v>
      </x:c>
      <x:c r="L828" s="46" t="n">
        <x:f>IF(C828="P0",1,IF(D828&lt;=3,0.8,IF(D828&lt;=14,0.65,IF(D828&lt;=45,0.5,0.3))))</x:f>
        <x:v>0.8</x:v>
      </x:c>
      <x:c r="M828" s="47" t="n">
        <x:f>J828*L828</x:f>
        <x:v>0</x:v>
      </x:c>
      <x:c r="N828" s="47" t="n">
        <x:f>N827+M828</x:f>
        <x:v>0</x:v>
      </x:c>
      <x:c r="O828" s="46" t="n">
        <x:f>IF(C828="P0",0,IF(D828&lt;=3,0.15,IF(D828&lt;=14,0.25,IF(D828&lt;=45,0.35,0.5))))</x:f>
        <x:v>0.15</x:v>
      </x:c>
      <x:c r="P828" s="47" t="n">
        <x:f>J828*O828</x:f>
        <x:v>0</x:v>
      </x:c>
      <x:c r="Q828" s="46" t="n">
        <x:f>IF(C828="P0",0,IF(D828&lt;=3,0.05,IF(D828&lt;=14,0.1,IF(D828&lt;=45,0.15,0.2))))</x:f>
        <x:v>0.05</x:v>
      </x:c>
      <x:c r="R828" s="47" t="n">
        <x:f>J828*Q828</x:f>
        <x:v>0</x:v>
      </x:c>
      <x:c r="S828" s="20" t="str">
        <x:f>IF(D828&lt;E828,"closed",IF(D828&lt;'Paths'!$N$16,"initial","expanded"))</x:f>
        <x:v>closed</x:v>
      </x:c>
      <x:c r="T828" s="72"/>
    </x:row>
    <x:row r="829">
      <x:c r="C829" s="20" t="str">
        <x:v>P9</x:v>
      </x:c>
      <x:c r="D829" s="20" t="n">
        <x:v>3</x:v>
      </x:c>
      <x:c r="E829" s="45" t="n">
        <x:f>IF('Controls'!$D$7="Reference",'Paths'!$J$16,'Paths'!$K$16)</x:f>
        <x:v>6</x:v>
      </x:c>
      <x:c r="F829" s="47" t="n">
        <x:f>IF(D829&lt;'Paths'!$N$16,IF('Controls'!$D$7="Reference",'Paths'!$L$16,'Paths'!$M$16),IF('Controls'!$D$7="Reference",'Paths'!$O$16,'Paths'!$P$16))</x:f>
        <x:v>15000</x:v>
      </x:c>
      <x:c r="G829" s="46" t="n">
        <x:f>IF('Controls'!$D$7="Reference",1,IF(OR(D829=6,D829=7,D829=21,D829=46),'Paths'!$U$16,1))</x:f>
        <x:v>1</x:v>
      </x:c>
      <x:c r="H829" s="46" t="n">
        <x:f>IF('Controls'!$D$7="Reference",1,IF(OR(AND(D829&gt;=14,D829&lt;=16),AND(D829&gt;=34,D829&lt;=35),AND(D829&gt;=61,D829&lt;=63)),'Paths'!$V$16,1))</x:f>
        <x:v>1</x:v>
      </x:c>
      <x:c r="I829" s="46" t="n">
        <x:f>'Paths'!$W$16</x:f>
        <x:v>0.9</x:v>
      </x:c>
      <x:c r="J829" s="47" t="n">
        <x:f>IF(D829&lt;E829,0,MIN(F829*G829*H829*I829,IF('Paths'!$T$16&gt;0,MAX(0,'Paths'!$T$16-K828),1000000000)))</x:f>
        <x:v>0</x:v>
      </x:c>
      <x:c r="K829" s="47" t="n">
        <x:f>K828+J829</x:f>
        <x:v>0</x:v>
      </x:c>
      <x:c r="L829" s="46" t="n">
        <x:f>IF(C829="P0",1,IF(D829&lt;=3,0.8,IF(D829&lt;=14,0.65,IF(D829&lt;=45,0.5,0.3))))</x:f>
        <x:v>0.8</x:v>
      </x:c>
      <x:c r="M829" s="47" t="n">
        <x:f>J829*L829</x:f>
        <x:v>0</x:v>
      </x:c>
      <x:c r="N829" s="47" t="n">
        <x:f>N828+M829</x:f>
        <x:v>0</x:v>
      </x:c>
      <x:c r="O829" s="46" t="n">
        <x:f>IF(C829="P0",0,IF(D829&lt;=3,0.15,IF(D829&lt;=14,0.25,IF(D829&lt;=45,0.35,0.5))))</x:f>
        <x:v>0.15</x:v>
      </x:c>
      <x:c r="P829" s="47" t="n">
        <x:f>J829*O829</x:f>
        <x:v>0</x:v>
      </x:c>
      <x:c r="Q829" s="46" t="n">
        <x:f>IF(C829="P0",0,IF(D829&lt;=3,0.05,IF(D829&lt;=14,0.1,IF(D829&lt;=45,0.15,0.2))))</x:f>
        <x:v>0.05</x:v>
      </x:c>
      <x:c r="R829" s="47" t="n">
        <x:f>J829*Q829</x:f>
        <x:v>0</x:v>
      </x:c>
      <x:c r="S829" s="20" t="str">
        <x:f>IF(D829&lt;E829,"closed",IF(D829&lt;'Paths'!$N$16,"initial","expanded"))</x:f>
        <x:v>closed</x:v>
      </x:c>
      <x:c r="T829" s="72"/>
    </x:row>
    <x:row r="830">
      <x:c r="C830" s="20" t="str">
        <x:v>P9</x:v>
      </x:c>
      <x:c r="D830" s="20" t="n">
        <x:v>4</x:v>
      </x:c>
      <x:c r="E830" s="45" t="n">
        <x:f>IF('Controls'!$D$7="Reference",'Paths'!$J$16,'Paths'!$K$16)</x:f>
        <x:v>6</x:v>
      </x:c>
      <x:c r="F830" s="47" t="n">
        <x:f>IF(D830&lt;'Paths'!$N$16,IF('Controls'!$D$7="Reference",'Paths'!$L$16,'Paths'!$M$16),IF('Controls'!$D$7="Reference",'Paths'!$O$16,'Paths'!$P$16))</x:f>
        <x:v>15000</x:v>
      </x:c>
      <x:c r="G830" s="46" t="n">
        <x:f>IF('Controls'!$D$7="Reference",1,IF(OR(D830=6,D830=7,D830=21,D830=46),'Paths'!$U$16,1))</x:f>
        <x:v>1</x:v>
      </x:c>
      <x:c r="H830" s="46" t="n">
        <x:f>IF('Controls'!$D$7="Reference",1,IF(OR(AND(D830&gt;=14,D830&lt;=16),AND(D830&gt;=34,D830&lt;=35),AND(D830&gt;=61,D830&lt;=63)),'Paths'!$V$16,1))</x:f>
        <x:v>1</x:v>
      </x:c>
      <x:c r="I830" s="46" t="n">
        <x:f>'Paths'!$W$16</x:f>
        <x:v>0.9</x:v>
      </x:c>
      <x:c r="J830" s="47" t="n">
        <x:f>IF(D830&lt;E830,0,MIN(F830*G830*H830*I830,IF('Paths'!$T$16&gt;0,MAX(0,'Paths'!$T$16-K829),1000000000)))</x:f>
        <x:v>0</x:v>
      </x:c>
      <x:c r="K830" s="47" t="n">
        <x:f>K829+J830</x:f>
        <x:v>0</x:v>
      </x:c>
      <x:c r="L830" s="46" t="n">
        <x:f>IF(C830="P0",1,IF(D830&lt;=3,0.8,IF(D830&lt;=14,0.65,IF(D830&lt;=45,0.5,0.3))))</x:f>
        <x:v>0.65</x:v>
      </x:c>
      <x:c r="M830" s="47" t="n">
        <x:f>J830*L830</x:f>
        <x:v>0</x:v>
      </x:c>
      <x:c r="N830" s="47" t="n">
        <x:f>N829+M830</x:f>
        <x:v>0</x:v>
      </x:c>
      <x:c r="O830" s="46" t="n">
        <x:f>IF(C830="P0",0,IF(D830&lt;=3,0.15,IF(D830&lt;=14,0.25,IF(D830&lt;=45,0.35,0.5))))</x:f>
        <x:v>0.25</x:v>
      </x:c>
      <x:c r="P830" s="47" t="n">
        <x:f>J830*O830</x:f>
        <x:v>0</x:v>
      </x:c>
      <x:c r="Q830" s="46" t="n">
        <x:f>IF(C830="P0",0,IF(D830&lt;=3,0.05,IF(D830&lt;=14,0.1,IF(D830&lt;=45,0.15,0.2))))</x:f>
        <x:v>0.1</x:v>
      </x:c>
      <x:c r="R830" s="47" t="n">
        <x:f>J830*Q830</x:f>
        <x:v>0</x:v>
      </x:c>
      <x:c r="S830" s="20" t="str">
        <x:f>IF(D830&lt;E830,"closed",IF(D830&lt;'Paths'!$N$16,"initial","expanded"))</x:f>
        <x:v>closed</x:v>
      </x:c>
      <x:c r="T830" s="72"/>
    </x:row>
    <x:row r="831">
      <x:c r="C831" s="20" t="str">
        <x:v>P9</x:v>
      </x:c>
      <x:c r="D831" s="20" t="n">
        <x:v>5</x:v>
      </x:c>
      <x:c r="E831" s="45" t="n">
        <x:f>IF('Controls'!$D$7="Reference",'Paths'!$J$16,'Paths'!$K$16)</x:f>
        <x:v>6</x:v>
      </x:c>
      <x:c r="F831" s="47" t="n">
        <x:f>IF(D831&lt;'Paths'!$N$16,IF('Controls'!$D$7="Reference",'Paths'!$L$16,'Paths'!$M$16),IF('Controls'!$D$7="Reference",'Paths'!$O$16,'Paths'!$P$16))</x:f>
        <x:v>15000</x:v>
      </x:c>
      <x:c r="G831" s="46" t="n">
        <x:f>IF('Controls'!$D$7="Reference",1,IF(OR(D831=6,D831=7,D831=21,D831=46),'Paths'!$U$16,1))</x:f>
        <x:v>1</x:v>
      </x:c>
      <x:c r="H831" s="46" t="n">
        <x:f>IF('Controls'!$D$7="Reference",1,IF(OR(AND(D831&gt;=14,D831&lt;=16),AND(D831&gt;=34,D831&lt;=35),AND(D831&gt;=61,D831&lt;=63)),'Paths'!$V$16,1))</x:f>
        <x:v>1</x:v>
      </x:c>
      <x:c r="I831" s="46" t="n">
        <x:f>'Paths'!$W$16</x:f>
        <x:v>0.9</x:v>
      </x:c>
      <x:c r="J831" s="47" t="n">
        <x:f>IF(D831&lt;E831,0,MIN(F831*G831*H831*I831,IF('Paths'!$T$16&gt;0,MAX(0,'Paths'!$T$16-K830),1000000000)))</x:f>
        <x:v>0</x:v>
      </x:c>
      <x:c r="K831" s="47" t="n">
        <x:f>K830+J831</x:f>
        <x:v>0</x:v>
      </x:c>
      <x:c r="L831" s="46" t="n">
        <x:f>IF(C831="P0",1,IF(D831&lt;=3,0.8,IF(D831&lt;=14,0.65,IF(D831&lt;=45,0.5,0.3))))</x:f>
        <x:v>0.65</x:v>
      </x:c>
      <x:c r="M831" s="47" t="n">
        <x:f>J831*L831</x:f>
        <x:v>0</x:v>
      </x:c>
      <x:c r="N831" s="47" t="n">
        <x:f>N830+M831</x:f>
        <x:v>0</x:v>
      </x:c>
      <x:c r="O831" s="46" t="n">
        <x:f>IF(C831="P0",0,IF(D831&lt;=3,0.15,IF(D831&lt;=14,0.25,IF(D831&lt;=45,0.35,0.5))))</x:f>
        <x:v>0.25</x:v>
      </x:c>
      <x:c r="P831" s="47" t="n">
        <x:f>J831*O831</x:f>
        <x:v>0</x:v>
      </x:c>
      <x:c r="Q831" s="46" t="n">
        <x:f>IF(C831="P0",0,IF(D831&lt;=3,0.05,IF(D831&lt;=14,0.1,IF(D831&lt;=45,0.15,0.2))))</x:f>
        <x:v>0.1</x:v>
      </x:c>
      <x:c r="R831" s="47" t="n">
        <x:f>J831*Q831</x:f>
        <x:v>0</x:v>
      </x:c>
      <x:c r="S831" s="20" t="str">
        <x:f>IF(D831&lt;E831,"closed",IF(D831&lt;'Paths'!$N$16,"initial","expanded"))</x:f>
        <x:v>closed</x:v>
      </x:c>
      <x:c r="T831" s="72"/>
    </x:row>
    <x:row r="832">
      <x:c r="C832" s="20" t="str">
        <x:v>P9</x:v>
      </x:c>
      <x:c r="D832" s="20" t="n">
        <x:v>6</x:v>
      </x:c>
      <x:c r="E832" s="45" t="n">
        <x:f>IF('Controls'!$D$7="Reference",'Paths'!$J$16,'Paths'!$K$16)</x:f>
        <x:v>6</x:v>
      </x:c>
      <x:c r="F832" s="47" t="n">
        <x:f>IF(D832&lt;'Paths'!$N$16,IF('Controls'!$D$7="Reference",'Paths'!$L$16,'Paths'!$M$16),IF('Controls'!$D$7="Reference",'Paths'!$O$16,'Paths'!$P$16))</x:f>
        <x:v>15000</x:v>
      </x:c>
      <x:c r="G832" s="46" t="n">
        <x:f>IF('Controls'!$D$7="Reference",1,IF(OR(D832=6,D832=7,D832=21,D832=46),'Paths'!$U$16,1))</x:f>
        <x:v>0.3</x:v>
      </x:c>
      <x:c r="H832" s="46" t="n">
        <x:f>IF('Controls'!$D$7="Reference",1,IF(OR(AND(D832&gt;=14,D832&lt;=16),AND(D832&gt;=34,D832&lt;=35),AND(D832&gt;=61,D832&lt;=63)),'Paths'!$V$16,1))</x:f>
        <x:v>1</x:v>
      </x:c>
      <x:c r="I832" s="46" t="n">
        <x:f>'Paths'!$W$16</x:f>
        <x:v>0.9</x:v>
      </x:c>
      <x:c r="J832" s="47" t="n">
        <x:f>IF(D832&lt;E832,0,MIN(F832*G832*H832*I832,IF('Paths'!$T$16&gt;0,MAX(0,'Paths'!$T$16-K831),1000000000)))</x:f>
        <x:v>4050</x:v>
      </x:c>
      <x:c r="K832" s="47" t="n">
        <x:f>K831+J832</x:f>
        <x:v>4050</x:v>
      </x:c>
      <x:c r="L832" s="46" t="n">
        <x:f>IF(C832="P0",1,IF(D832&lt;=3,0.8,IF(D832&lt;=14,0.65,IF(D832&lt;=45,0.5,0.3))))</x:f>
        <x:v>0.65</x:v>
      </x:c>
      <x:c r="M832" s="47" t="n">
        <x:f>J832*L832</x:f>
        <x:v>2632.5</x:v>
      </x:c>
      <x:c r="N832" s="47" t="n">
        <x:f>N831+M832</x:f>
        <x:v>2632.5</x:v>
      </x:c>
      <x:c r="O832" s="46" t="n">
        <x:f>IF(C832="P0",0,IF(D832&lt;=3,0.15,IF(D832&lt;=14,0.25,IF(D832&lt;=45,0.35,0.5))))</x:f>
        <x:v>0.25</x:v>
      </x:c>
      <x:c r="P832" s="47" t="n">
        <x:f>J832*O832</x:f>
        <x:v>1012.5</x:v>
      </x:c>
      <x:c r="Q832" s="46" t="n">
        <x:f>IF(C832="P0",0,IF(D832&lt;=3,0.05,IF(D832&lt;=14,0.1,IF(D832&lt;=45,0.15,0.2))))</x:f>
        <x:v>0.1</x:v>
      </x:c>
      <x:c r="R832" s="47" t="n">
        <x:f>J832*Q832</x:f>
        <x:v>405</x:v>
      </x:c>
      <x:c r="S832" s="20" t="str">
        <x:f>IF(D832&lt;E832,"closed",IF(D832&lt;'Paths'!$N$16,"initial","expanded"))</x:f>
        <x:v>initial</x:v>
      </x:c>
      <x:c r="T832" s="72"/>
    </x:row>
    <x:row r="833">
      <x:c r="C833" s="20" t="str">
        <x:v>P9</x:v>
      </x:c>
      <x:c r="D833" s="20" t="n">
        <x:v>7</x:v>
      </x:c>
      <x:c r="E833" s="45" t="n">
        <x:f>IF('Controls'!$D$7="Reference",'Paths'!$J$16,'Paths'!$K$16)</x:f>
        <x:v>6</x:v>
      </x:c>
      <x:c r="F833" s="47" t="n">
        <x:f>IF(D833&lt;'Paths'!$N$16,IF('Controls'!$D$7="Reference",'Paths'!$L$16,'Paths'!$M$16),IF('Controls'!$D$7="Reference",'Paths'!$O$16,'Paths'!$P$16))</x:f>
        <x:v>15000</x:v>
      </x:c>
      <x:c r="G833" s="46" t="n">
        <x:f>IF('Controls'!$D$7="Reference",1,IF(OR(D833=6,D833=7,D833=21,D833=46),'Paths'!$U$16,1))</x:f>
        <x:v>0.3</x:v>
      </x:c>
      <x:c r="H833" s="46" t="n">
        <x:f>IF('Controls'!$D$7="Reference",1,IF(OR(AND(D833&gt;=14,D833&lt;=16),AND(D833&gt;=34,D833&lt;=35),AND(D833&gt;=61,D833&lt;=63)),'Paths'!$V$16,1))</x:f>
        <x:v>1</x:v>
      </x:c>
      <x:c r="I833" s="46" t="n">
        <x:f>'Paths'!$W$16</x:f>
        <x:v>0.9</x:v>
      </x:c>
      <x:c r="J833" s="47" t="n">
        <x:f>IF(D833&lt;E833,0,MIN(F833*G833*H833*I833,IF('Paths'!$T$16&gt;0,MAX(0,'Paths'!$T$16-K832),1000000000)))</x:f>
        <x:v>4050</x:v>
      </x:c>
      <x:c r="K833" s="47" t="n">
        <x:f>K832+J833</x:f>
        <x:v>8100</x:v>
      </x:c>
      <x:c r="L833" s="46" t="n">
        <x:f>IF(C833="P0",1,IF(D833&lt;=3,0.8,IF(D833&lt;=14,0.65,IF(D833&lt;=45,0.5,0.3))))</x:f>
        <x:v>0.65</x:v>
      </x:c>
      <x:c r="M833" s="47" t="n">
        <x:f>J833*L833</x:f>
        <x:v>2632.5</x:v>
      </x:c>
      <x:c r="N833" s="47" t="n">
        <x:f>N832+M833</x:f>
        <x:v>5265</x:v>
      </x:c>
      <x:c r="O833" s="46" t="n">
        <x:f>IF(C833="P0",0,IF(D833&lt;=3,0.15,IF(D833&lt;=14,0.25,IF(D833&lt;=45,0.35,0.5))))</x:f>
        <x:v>0.25</x:v>
      </x:c>
      <x:c r="P833" s="47" t="n">
        <x:f>J833*O833</x:f>
        <x:v>1012.5</x:v>
      </x:c>
      <x:c r="Q833" s="46" t="n">
        <x:f>IF(C833="P0",0,IF(D833&lt;=3,0.05,IF(D833&lt;=14,0.1,IF(D833&lt;=45,0.15,0.2))))</x:f>
        <x:v>0.1</x:v>
      </x:c>
      <x:c r="R833" s="47" t="n">
        <x:f>J833*Q833</x:f>
        <x:v>405</x:v>
      </x:c>
      <x:c r="S833" s="20" t="str">
        <x:f>IF(D833&lt;E833,"closed",IF(D833&lt;'Paths'!$N$16,"initial","expanded"))</x:f>
        <x:v>initial</x:v>
      </x:c>
      <x:c r="T833" s="72"/>
    </x:row>
    <x:row r="834">
      <x:c r="C834" s="20" t="str">
        <x:v>P9</x:v>
      </x:c>
      <x:c r="D834" s="20" t="n">
        <x:v>8</x:v>
      </x:c>
      <x:c r="E834" s="45" t="n">
        <x:f>IF('Controls'!$D$7="Reference",'Paths'!$J$16,'Paths'!$K$16)</x:f>
        <x:v>6</x:v>
      </x:c>
      <x:c r="F834" s="47" t="n">
        <x:f>IF(D834&lt;'Paths'!$N$16,IF('Controls'!$D$7="Reference",'Paths'!$L$16,'Paths'!$M$16),IF('Controls'!$D$7="Reference",'Paths'!$O$16,'Paths'!$P$16))</x:f>
        <x:v>15000</x:v>
      </x:c>
      <x:c r="G834" s="46" t="n">
        <x:f>IF('Controls'!$D$7="Reference",1,IF(OR(D834=6,D834=7,D834=21,D834=46),'Paths'!$U$16,1))</x:f>
        <x:v>1</x:v>
      </x:c>
      <x:c r="H834" s="46" t="n">
        <x:f>IF('Controls'!$D$7="Reference",1,IF(OR(AND(D834&gt;=14,D834&lt;=16),AND(D834&gt;=34,D834&lt;=35),AND(D834&gt;=61,D834&lt;=63)),'Paths'!$V$16,1))</x:f>
        <x:v>1</x:v>
      </x:c>
      <x:c r="I834" s="46" t="n">
        <x:f>'Paths'!$W$16</x:f>
        <x:v>0.9</x:v>
      </x:c>
      <x:c r="J834" s="47" t="n">
        <x:f>IF(D834&lt;E834,0,MIN(F834*G834*H834*I834,IF('Paths'!$T$16&gt;0,MAX(0,'Paths'!$T$16-K833),1000000000)))</x:f>
        <x:v>13500</x:v>
      </x:c>
      <x:c r="K834" s="47" t="n">
        <x:f>K833+J834</x:f>
        <x:v>21600</x:v>
      </x:c>
      <x:c r="L834" s="46" t="n">
        <x:f>IF(C834="P0",1,IF(D834&lt;=3,0.8,IF(D834&lt;=14,0.65,IF(D834&lt;=45,0.5,0.3))))</x:f>
        <x:v>0.65</x:v>
      </x:c>
      <x:c r="M834" s="47" t="n">
        <x:f>J834*L834</x:f>
        <x:v>8775</x:v>
      </x:c>
      <x:c r="N834" s="47" t="n">
        <x:f>N833+M834</x:f>
        <x:v>14040</x:v>
      </x:c>
      <x:c r="O834" s="46" t="n">
        <x:f>IF(C834="P0",0,IF(D834&lt;=3,0.15,IF(D834&lt;=14,0.25,IF(D834&lt;=45,0.35,0.5))))</x:f>
        <x:v>0.25</x:v>
      </x:c>
      <x:c r="P834" s="47" t="n">
        <x:f>J834*O834</x:f>
        <x:v>3375</x:v>
      </x:c>
      <x:c r="Q834" s="46" t="n">
        <x:f>IF(C834="P0",0,IF(D834&lt;=3,0.05,IF(D834&lt;=14,0.1,IF(D834&lt;=45,0.15,0.2))))</x:f>
        <x:v>0.1</x:v>
      </x:c>
      <x:c r="R834" s="47" t="n">
        <x:f>J834*Q834</x:f>
        <x:v>1350</x:v>
      </x:c>
      <x:c r="S834" s="20" t="str">
        <x:f>IF(D834&lt;E834,"closed",IF(D834&lt;'Paths'!$N$16,"initial","expanded"))</x:f>
        <x:v>initial</x:v>
      </x:c>
      <x:c r="T834" s="72"/>
    </x:row>
    <x:row r="835">
      <x:c r="C835" s="20" t="str">
        <x:v>P9</x:v>
      </x:c>
      <x:c r="D835" s="20" t="n">
        <x:v>9</x:v>
      </x:c>
      <x:c r="E835" s="45" t="n">
        <x:f>IF('Controls'!$D$7="Reference",'Paths'!$J$16,'Paths'!$K$16)</x:f>
        <x:v>6</x:v>
      </x:c>
      <x:c r="F835" s="47" t="n">
        <x:f>IF(D835&lt;'Paths'!$N$16,IF('Controls'!$D$7="Reference",'Paths'!$L$16,'Paths'!$M$16),IF('Controls'!$D$7="Reference",'Paths'!$O$16,'Paths'!$P$16))</x:f>
        <x:v>15000</x:v>
      </x:c>
      <x:c r="G835" s="46" t="n">
        <x:f>IF('Controls'!$D$7="Reference",1,IF(OR(D835=6,D835=7,D835=21,D835=46),'Paths'!$U$16,1))</x:f>
        <x:v>1</x:v>
      </x:c>
      <x:c r="H835" s="46" t="n">
        <x:f>IF('Controls'!$D$7="Reference",1,IF(OR(AND(D835&gt;=14,D835&lt;=16),AND(D835&gt;=34,D835&lt;=35),AND(D835&gt;=61,D835&lt;=63)),'Paths'!$V$16,1))</x:f>
        <x:v>1</x:v>
      </x:c>
      <x:c r="I835" s="46" t="n">
        <x:f>'Paths'!$W$16</x:f>
        <x:v>0.9</x:v>
      </x:c>
      <x:c r="J835" s="47" t="n">
        <x:f>IF(D835&lt;E835,0,MIN(F835*G835*H835*I835,IF('Paths'!$T$16&gt;0,MAX(0,'Paths'!$T$16-K834),1000000000)))</x:f>
        <x:v>13500</x:v>
      </x:c>
      <x:c r="K835" s="47" t="n">
        <x:f>K834+J835</x:f>
        <x:v>35100</x:v>
      </x:c>
      <x:c r="L835" s="46" t="n">
        <x:f>IF(C835="P0",1,IF(D835&lt;=3,0.8,IF(D835&lt;=14,0.65,IF(D835&lt;=45,0.5,0.3))))</x:f>
        <x:v>0.65</x:v>
      </x:c>
      <x:c r="M835" s="47" t="n">
        <x:f>J835*L835</x:f>
        <x:v>8775</x:v>
      </x:c>
      <x:c r="N835" s="47" t="n">
        <x:f>N834+M835</x:f>
        <x:v>22815</x:v>
      </x:c>
      <x:c r="O835" s="46" t="n">
        <x:f>IF(C835="P0",0,IF(D835&lt;=3,0.15,IF(D835&lt;=14,0.25,IF(D835&lt;=45,0.35,0.5))))</x:f>
        <x:v>0.25</x:v>
      </x:c>
      <x:c r="P835" s="47" t="n">
        <x:f>J835*O835</x:f>
        <x:v>3375</x:v>
      </x:c>
      <x:c r="Q835" s="46" t="n">
        <x:f>IF(C835="P0",0,IF(D835&lt;=3,0.05,IF(D835&lt;=14,0.1,IF(D835&lt;=45,0.15,0.2))))</x:f>
        <x:v>0.1</x:v>
      </x:c>
      <x:c r="R835" s="47" t="n">
        <x:f>J835*Q835</x:f>
        <x:v>1350</x:v>
      </x:c>
      <x:c r="S835" s="20" t="str">
        <x:f>IF(D835&lt;E835,"closed",IF(D835&lt;'Paths'!$N$16,"initial","expanded"))</x:f>
        <x:v>initial</x:v>
      </x:c>
      <x:c r="T835" s="72"/>
    </x:row>
    <x:row r="836">
      <x:c r="C836" s="20" t="str">
        <x:v>P9</x:v>
      </x:c>
      <x:c r="D836" s="20" t="n">
        <x:v>10</x:v>
      </x:c>
      <x:c r="E836" s="45" t="n">
        <x:f>IF('Controls'!$D$7="Reference",'Paths'!$J$16,'Paths'!$K$16)</x:f>
        <x:v>6</x:v>
      </x:c>
      <x:c r="F836" s="47" t="n">
        <x:f>IF(D836&lt;'Paths'!$N$16,IF('Controls'!$D$7="Reference",'Paths'!$L$16,'Paths'!$M$16),IF('Controls'!$D$7="Reference",'Paths'!$O$16,'Paths'!$P$16))</x:f>
        <x:v>15000</x:v>
      </x:c>
      <x:c r="G836" s="46" t="n">
        <x:f>IF('Controls'!$D$7="Reference",1,IF(OR(D836=6,D836=7,D836=21,D836=46),'Paths'!$U$16,1))</x:f>
        <x:v>1</x:v>
      </x:c>
      <x:c r="H836" s="46" t="n">
        <x:f>IF('Controls'!$D$7="Reference",1,IF(OR(AND(D836&gt;=14,D836&lt;=16),AND(D836&gt;=34,D836&lt;=35),AND(D836&gt;=61,D836&lt;=63)),'Paths'!$V$16,1))</x:f>
        <x:v>1</x:v>
      </x:c>
      <x:c r="I836" s="46" t="n">
        <x:f>'Paths'!$W$16</x:f>
        <x:v>0.9</x:v>
      </x:c>
      <x:c r="J836" s="47" t="n">
        <x:f>IF(D836&lt;E836,0,MIN(F836*G836*H836*I836,IF('Paths'!$T$16&gt;0,MAX(0,'Paths'!$T$16-K835),1000000000)))</x:f>
        <x:v>13500</x:v>
      </x:c>
      <x:c r="K836" s="47" t="n">
        <x:f>K835+J836</x:f>
        <x:v>48600</x:v>
      </x:c>
      <x:c r="L836" s="46" t="n">
        <x:f>IF(C836="P0",1,IF(D836&lt;=3,0.8,IF(D836&lt;=14,0.65,IF(D836&lt;=45,0.5,0.3))))</x:f>
        <x:v>0.65</x:v>
      </x:c>
      <x:c r="M836" s="47" t="n">
        <x:f>J836*L836</x:f>
        <x:v>8775</x:v>
      </x:c>
      <x:c r="N836" s="47" t="n">
        <x:f>N835+M836</x:f>
        <x:v>31590</x:v>
      </x:c>
      <x:c r="O836" s="46" t="n">
        <x:f>IF(C836="P0",0,IF(D836&lt;=3,0.15,IF(D836&lt;=14,0.25,IF(D836&lt;=45,0.35,0.5))))</x:f>
        <x:v>0.25</x:v>
      </x:c>
      <x:c r="P836" s="47" t="n">
        <x:f>J836*O836</x:f>
        <x:v>3375</x:v>
      </x:c>
      <x:c r="Q836" s="46" t="n">
        <x:f>IF(C836="P0",0,IF(D836&lt;=3,0.05,IF(D836&lt;=14,0.1,IF(D836&lt;=45,0.15,0.2))))</x:f>
        <x:v>0.1</x:v>
      </x:c>
      <x:c r="R836" s="47" t="n">
        <x:f>J836*Q836</x:f>
        <x:v>1350</x:v>
      </x:c>
      <x:c r="S836" s="20" t="str">
        <x:f>IF(D836&lt;E836,"closed",IF(D836&lt;'Paths'!$N$16,"initial","expanded"))</x:f>
        <x:v>initial</x:v>
      </x:c>
      <x:c r="T836" s="72"/>
    </x:row>
    <x:row r="837">
      <x:c r="C837" s="20" t="str">
        <x:v>P9</x:v>
      </x:c>
      <x:c r="D837" s="20" t="n">
        <x:v>11</x:v>
      </x:c>
      <x:c r="E837" s="45" t="n">
        <x:f>IF('Controls'!$D$7="Reference",'Paths'!$J$16,'Paths'!$K$16)</x:f>
        <x:v>6</x:v>
      </x:c>
      <x:c r="F837" s="47" t="n">
        <x:f>IF(D837&lt;'Paths'!$N$16,IF('Controls'!$D$7="Reference",'Paths'!$L$16,'Paths'!$M$16),IF('Controls'!$D$7="Reference",'Paths'!$O$16,'Paths'!$P$16))</x:f>
        <x:v>15000</x:v>
      </x:c>
      <x:c r="G837" s="46" t="n">
        <x:f>IF('Controls'!$D$7="Reference",1,IF(OR(D837=6,D837=7,D837=21,D837=46),'Paths'!$U$16,1))</x:f>
        <x:v>1</x:v>
      </x:c>
      <x:c r="H837" s="46" t="n">
        <x:f>IF('Controls'!$D$7="Reference",1,IF(OR(AND(D837&gt;=14,D837&lt;=16),AND(D837&gt;=34,D837&lt;=35),AND(D837&gt;=61,D837&lt;=63)),'Paths'!$V$16,1))</x:f>
        <x:v>1</x:v>
      </x:c>
      <x:c r="I837" s="46" t="n">
        <x:f>'Paths'!$W$16</x:f>
        <x:v>0.9</x:v>
      </x:c>
      <x:c r="J837" s="47" t="n">
        <x:f>IF(D837&lt;E837,0,MIN(F837*G837*H837*I837,IF('Paths'!$T$16&gt;0,MAX(0,'Paths'!$T$16-K836),1000000000)))</x:f>
        <x:v>13500</x:v>
      </x:c>
      <x:c r="K837" s="47" t="n">
        <x:f>K836+J837</x:f>
        <x:v>62100</x:v>
      </x:c>
      <x:c r="L837" s="46" t="n">
        <x:f>IF(C837="P0",1,IF(D837&lt;=3,0.8,IF(D837&lt;=14,0.65,IF(D837&lt;=45,0.5,0.3))))</x:f>
        <x:v>0.65</x:v>
      </x:c>
      <x:c r="M837" s="47" t="n">
        <x:f>J837*L837</x:f>
        <x:v>8775</x:v>
      </x:c>
      <x:c r="N837" s="47" t="n">
        <x:f>N836+M837</x:f>
        <x:v>40365</x:v>
      </x:c>
      <x:c r="O837" s="46" t="n">
        <x:f>IF(C837="P0",0,IF(D837&lt;=3,0.15,IF(D837&lt;=14,0.25,IF(D837&lt;=45,0.35,0.5))))</x:f>
        <x:v>0.25</x:v>
      </x:c>
      <x:c r="P837" s="47" t="n">
        <x:f>J837*O837</x:f>
        <x:v>3375</x:v>
      </x:c>
      <x:c r="Q837" s="46" t="n">
        <x:f>IF(C837="P0",0,IF(D837&lt;=3,0.05,IF(D837&lt;=14,0.1,IF(D837&lt;=45,0.15,0.2))))</x:f>
        <x:v>0.1</x:v>
      </x:c>
      <x:c r="R837" s="47" t="n">
        <x:f>J837*Q837</x:f>
        <x:v>1350</x:v>
      </x:c>
      <x:c r="S837" s="20" t="str">
        <x:f>IF(D837&lt;E837,"closed",IF(D837&lt;'Paths'!$N$16,"initial","expanded"))</x:f>
        <x:v>initial</x:v>
      </x:c>
      <x:c r="T837" s="72"/>
    </x:row>
    <x:row r="838">
      <x:c r="C838" s="20" t="str">
        <x:v>P9</x:v>
      </x:c>
      <x:c r="D838" s="20" t="n">
        <x:v>12</x:v>
      </x:c>
      <x:c r="E838" s="45" t="n">
        <x:f>IF('Controls'!$D$7="Reference",'Paths'!$J$16,'Paths'!$K$16)</x:f>
        <x:v>6</x:v>
      </x:c>
      <x:c r="F838" s="47" t="n">
        <x:f>IF(D838&lt;'Paths'!$N$16,IF('Controls'!$D$7="Reference",'Paths'!$L$16,'Paths'!$M$16),IF('Controls'!$D$7="Reference",'Paths'!$O$16,'Paths'!$P$16))</x:f>
        <x:v>15000</x:v>
      </x:c>
      <x:c r="G838" s="46" t="n">
        <x:f>IF('Controls'!$D$7="Reference",1,IF(OR(D838=6,D838=7,D838=21,D838=46),'Paths'!$U$16,1))</x:f>
        <x:v>1</x:v>
      </x:c>
      <x:c r="H838" s="46" t="n">
        <x:f>IF('Controls'!$D$7="Reference",1,IF(OR(AND(D838&gt;=14,D838&lt;=16),AND(D838&gt;=34,D838&lt;=35),AND(D838&gt;=61,D838&lt;=63)),'Paths'!$V$16,1))</x:f>
        <x:v>1</x:v>
      </x:c>
      <x:c r="I838" s="46" t="n">
        <x:f>'Paths'!$W$16</x:f>
        <x:v>0.9</x:v>
      </x:c>
      <x:c r="J838" s="47" t="n">
        <x:f>IF(D838&lt;E838,0,MIN(F838*G838*H838*I838,IF('Paths'!$T$16&gt;0,MAX(0,'Paths'!$T$16-K837),1000000000)))</x:f>
        <x:v>13500</x:v>
      </x:c>
      <x:c r="K838" s="47" t="n">
        <x:f>K837+J838</x:f>
        <x:v>75600</x:v>
      </x:c>
      <x:c r="L838" s="46" t="n">
        <x:f>IF(C838="P0",1,IF(D838&lt;=3,0.8,IF(D838&lt;=14,0.65,IF(D838&lt;=45,0.5,0.3))))</x:f>
        <x:v>0.65</x:v>
      </x:c>
      <x:c r="M838" s="47" t="n">
        <x:f>J838*L838</x:f>
        <x:v>8775</x:v>
      </x:c>
      <x:c r="N838" s="47" t="n">
        <x:f>N837+M838</x:f>
        <x:v>49140</x:v>
      </x:c>
      <x:c r="O838" s="46" t="n">
        <x:f>IF(C838="P0",0,IF(D838&lt;=3,0.15,IF(D838&lt;=14,0.25,IF(D838&lt;=45,0.35,0.5))))</x:f>
        <x:v>0.25</x:v>
      </x:c>
      <x:c r="P838" s="47" t="n">
        <x:f>J838*O838</x:f>
        <x:v>3375</x:v>
      </x:c>
      <x:c r="Q838" s="46" t="n">
        <x:f>IF(C838="P0",0,IF(D838&lt;=3,0.05,IF(D838&lt;=14,0.1,IF(D838&lt;=45,0.15,0.2))))</x:f>
        <x:v>0.1</x:v>
      </x:c>
      <x:c r="R838" s="47" t="n">
        <x:f>J838*Q838</x:f>
        <x:v>1350</x:v>
      </x:c>
      <x:c r="S838" s="20" t="str">
        <x:f>IF(D838&lt;E838,"closed",IF(D838&lt;'Paths'!$N$16,"initial","expanded"))</x:f>
        <x:v>initial</x:v>
      </x:c>
      <x:c r="T838" s="72"/>
    </x:row>
    <x:row r="839">
      <x:c r="C839" s="20" t="str">
        <x:v>P9</x:v>
      </x:c>
      <x:c r="D839" s="20" t="n">
        <x:v>13</x:v>
      </x:c>
      <x:c r="E839" s="45" t="n">
        <x:f>IF('Controls'!$D$7="Reference",'Paths'!$J$16,'Paths'!$K$16)</x:f>
        <x:v>6</x:v>
      </x:c>
      <x:c r="F839" s="47" t="n">
        <x:f>IF(D839&lt;'Paths'!$N$16,IF('Controls'!$D$7="Reference",'Paths'!$L$16,'Paths'!$M$16),IF('Controls'!$D$7="Reference",'Paths'!$O$16,'Paths'!$P$16))</x:f>
        <x:v>15000</x:v>
      </x:c>
      <x:c r="G839" s="46" t="n">
        <x:f>IF('Controls'!$D$7="Reference",1,IF(OR(D839=6,D839=7,D839=21,D839=46),'Paths'!$U$16,1))</x:f>
        <x:v>1</x:v>
      </x:c>
      <x:c r="H839" s="46" t="n">
        <x:f>IF('Controls'!$D$7="Reference",1,IF(OR(AND(D839&gt;=14,D839&lt;=16),AND(D839&gt;=34,D839&lt;=35),AND(D839&gt;=61,D839&lt;=63)),'Paths'!$V$16,1))</x:f>
        <x:v>1</x:v>
      </x:c>
      <x:c r="I839" s="46" t="n">
        <x:f>'Paths'!$W$16</x:f>
        <x:v>0.9</x:v>
      </x:c>
      <x:c r="J839" s="47" t="n">
        <x:f>IF(D839&lt;E839,0,MIN(F839*G839*H839*I839,IF('Paths'!$T$16&gt;0,MAX(0,'Paths'!$T$16-K838),1000000000)))</x:f>
        <x:v>13500</x:v>
      </x:c>
      <x:c r="K839" s="47" t="n">
        <x:f>K838+J839</x:f>
        <x:v>89100</x:v>
      </x:c>
      <x:c r="L839" s="46" t="n">
        <x:f>IF(C839="P0",1,IF(D839&lt;=3,0.8,IF(D839&lt;=14,0.65,IF(D839&lt;=45,0.5,0.3))))</x:f>
        <x:v>0.65</x:v>
      </x:c>
      <x:c r="M839" s="47" t="n">
        <x:f>J839*L839</x:f>
        <x:v>8775</x:v>
      </x:c>
      <x:c r="N839" s="47" t="n">
        <x:f>N838+M839</x:f>
        <x:v>57915</x:v>
      </x:c>
      <x:c r="O839" s="46" t="n">
        <x:f>IF(C839="P0",0,IF(D839&lt;=3,0.15,IF(D839&lt;=14,0.25,IF(D839&lt;=45,0.35,0.5))))</x:f>
        <x:v>0.25</x:v>
      </x:c>
      <x:c r="P839" s="47" t="n">
        <x:f>J839*O839</x:f>
        <x:v>3375</x:v>
      </x:c>
      <x:c r="Q839" s="46" t="n">
        <x:f>IF(C839="P0",0,IF(D839&lt;=3,0.05,IF(D839&lt;=14,0.1,IF(D839&lt;=45,0.15,0.2))))</x:f>
        <x:v>0.1</x:v>
      </x:c>
      <x:c r="R839" s="47" t="n">
        <x:f>J839*Q839</x:f>
        <x:v>1350</x:v>
      </x:c>
      <x:c r="S839" s="20" t="str">
        <x:f>IF(D839&lt;E839,"closed",IF(D839&lt;'Paths'!$N$16,"initial","expanded"))</x:f>
        <x:v>initial</x:v>
      </x:c>
      <x:c r="T839" s="72"/>
    </x:row>
    <x:row r="840">
      <x:c r="C840" s="20" t="str">
        <x:v>P9</x:v>
      </x:c>
      <x:c r="D840" s="20" t="n">
        <x:v>14</x:v>
      </x:c>
      <x:c r="E840" s="45" t="n">
        <x:f>IF('Controls'!$D$7="Reference",'Paths'!$J$16,'Paths'!$K$16)</x:f>
        <x:v>6</x:v>
      </x:c>
      <x:c r="F840" s="47" t="n">
        <x:f>IF(D840&lt;'Paths'!$N$16,IF('Controls'!$D$7="Reference",'Paths'!$L$16,'Paths'!$M$16),IF('Controls'!$D$7="Reference",'Paths'!$O$16,'Paths'!$P$16))</x:f>
        <x:v>15000</x:v>
      </x:c>
      <x:c r="G840" s="46" t="n">
        <x:f>IF('Controls'!$D$7="Reference",1,IF(OR(D840=6,D840=7,D840=21,D840=46),'Paths'!$U$16,1))</x:f>
        <x:v>1</x:v>
      </x:c>
      <x:c r="H840" s="46" t="n">
        <x:f>IF('Controls'!$D$7="Reference",1,IF(OR(AND(D840&gt;=14,D840&lt;=16),AND(D840&gt;=34,D840&lt;=35),AND(D840&gt;=61,D840&lt;=63)),'Paths'!$V$16,1))</x:f>
        <x:v>0.25</x:v>
      </x:c>
      <x:c r="I840" s="46" t="n">
        <x:f>'Paths'!$W$16</x:f>
        <x:v>0.9</x:v>
      </x:c>
      <x:c r="J840" s="47" t="n">
        <x:f>IF(D840&lt;E840,0,MIN(F840*G840*H840*I840,IF('Paths'!$T$16&gt;0,MAX(0,'Paths'!$T$16-K839),1000000000)))</x:f>
        <x:v>3375</x:v>
      </x:c>
      <x:c r="K840" s="47" t="n">
        <x:f>K839+J840</x:f>
        <x:v>92475</x:v>
      </x:c>
      <x:c r="L840" s="46" t="n">
        <x:f>IF(C840="P0",1,IF(D840&lt;=3,0.8,IF(D840&lt;=14,0.65,IF(D840&lt;=45,0.5,0.3))))</x:f>
        <x:v>0.65</x:v>
      </x:c>
      <x:c r="M840" s="47" t="n">
        <x:f>J840*L840</x:f>
        <x:v>2193.75</x:v>
      </x:c>
      <x:c r="N840" s="47" t="n">
        <x:f>N839+M840</x:f>
        <x:v>60108.75</x:v>
      </x:c>
      <x:c r="O840" s="46" t="n">
        <x:f>IF(C840="P0",0,IF(D840&lt;=3,0.15,IF(D840&lt;=14,0.25,IF(D840&lt;=45,0.35,0.5))))</x:f>
        <x:v>0.25</x:v>
      </x:c>
      <x:c r="P840" s="47" t="n">
        <x:f>J840*O840</x:f>
        <x:v>843.75</x:v>
      </x:c>
      <x:c r="Q840" s="46" t="n">
        <x:f>IF(C840="P0",0,IF(D840&lt;=3,0.05,IF(D840&lt;=14,0.1,IF(D840&lt;=45,0.15,0.2))))</x:f>
        <x:v>0.1</x:v>
      </x:c>
      <x:c r="R840" s="47" t="n">
        <x:f>J840*Q840</x:f>
        <x:v>337.5</x:v>
      </x:c>
      <x:c r="S840" s="20" t="str">
        <x:f>IF(D840&lt;E840,"closed",IF(D840&lt;'Paths'!$N$16,"initial","expanded"))</x:f>
        <x:v>initial</x:v>
      </x:c>
      <x:c r="T840" s="72"/>
    </x:row>
    <x:row r="841">
      <x:c r="C841" s="20" t="str">
        <x:v>P9</x:v>
      </x:c>
      <x:c r="D841" s="20" t="n">
        <x:v>15</x:v>
      </x:c>
      <x:c r="E841" s="45" t="n">
        <x:f>IF('Controls'!$D$7="Reference",'Paths'!$J$16,'Paths'!$K$16)</x:f>
        <x:v>6</x:v>
      </x:c>
      <x:c r="F841" s="47" t="n">
        <x:f>IF(D841&lt;'Paths'!$N$16,IF('Controls'!$D$7="Reference",'Paths'!$L$16,'Paths'!$M$16),IF('Controls'!$D$7="Reference",'Paths'!$O$16,'Paths'!$P$16))</x:f>
        <x:v>15000</x:v>
      </x:c>
      <x:c r="G841" s="46" t="n">
        <x:f>IF('Controls'!$D$7="Reference",1,IF(OR(D841=6,D841=7,D841=21,D841=46),'Paths'!$U$16,1))</x:f>
        <x:v>1</x:v>
      </x:c>
      <x:c r="H841" s="46" t="n">
        <x:f>IF('Controls'!$D$7="Reference",1,IF(OR(AND(D841&gt;=14,D841&lt;=16),AND(D841&gt;=34,D841&lt;=35),AND(D841&gt;=61,D841&lt;=63)),'Paths'!$V$16,1))</x:f>
        <x:v>0.25</x:v>
      </x:c>
      <x:c r="I841" s="46" t="n">
        <x:f>'Paths'!$W$16</x:f>
        <x:v>0.9</x:v>
      </x:c>
      <x:c r="J841" s="47" t="n">
        <x:f>IF(D841&lt;E841,0,MIN(F841*G841*H841*I841,IF('Paths'!$T$16&gt;0,MAX(0,'Paths'!$T$16-K840),1000000000)))</x:f>
        <x:v>3375</x:v>
      </x:c>
      <x:c r="K841" s="47" t="n">
        <x:f>K840+J841</x:f>
        <x:v>95850</x:v>
      </x:c>
      <x:c r="L841" s="46" t="n">
        <x:f>IF(C841="P0",1,IF(D841&lt;=3,0.8,IF(D841&lt;=14,0.65,IF(D841&lt;=45,0.5,0.3))))</x:f>
        <x:v>0.5</x:v>
      </x:c>
      <x:c r="M841" s="47" t="n">
        <x:f>J841*L841</x:f>
        <x:v>1687.5</x:v>
      </x:c>
      <x:c r="N841" s="47" t="n">
        <x:f>N840+M841</x:f>
        <x:v>61796.25</x:v>
      </x:c>
      <x:c r="O841" s="46" t="n">
        <x:f>IF(C841="P0",0,IF(D841&lt;=3,0.15,IF(D841&lt;=14,0.25,IF(D841&lt;=45,0.35,0.5))))</x:f>
        <x:v>0.35</x:v>
      </x:c>
      <x:c r="P841" s="47" t="n">
        <x:f>J841*O841</x:f>
        <x:v>1181.25</x:v>
      </x:c>
      <x:c r="Q841" s="46" t="n">
        <x:f>IF(C841="P0",0,IF(D841&lt;=3,0.05,IF(D841&lt;=14,0.1,IF(D841&lt;=45,0.15,0.2))))</x:f>
        <x:v>0.15</x:v>
      </x:c>
      <x:c r="R841" s="47" t="n">
        <x:f>J841*Q841</x:f>
        <x:v>506.25</x:v>
      </x:c>
      <x:c r="S841" s="20" t="str">
        <x:f>IF(D841&lt;E841,"closed",IF(D841&lt;'Paths'!$N$16,"initial","expanded"))</x:f>
        <x:v>initial</x:v>
      </x:c>
      <x:c r="T841" s="72"/>
    </x:row>
    <x:row r="842">
      <x:c r="C842" s="20" t="str">
        <x:v>P9</x:v>
      </x:c>
      <x:c r="D842" s="20" t="n">
        <x:v>16</x:v>
      </x:c>
      <x:c r="E842" s="45" t="n">
        <x:f>IF('Controls'!$D$7="Reference",'Paths'!$J$16,'Paths'!$K$16)</x:f>
        <x:v>6</x:v>
      </x:c>
      <x:c r="F842" s="47" t="n">
        <x:f>IF(D842&lt;'Paths'!$N$16,IF('Controls'!$D$7="Reference",'Paths'!$L$16,'Paths'!$M$16),IF('Controls'!$D$7="Reference",'Paths'!$O$16,'Paths'!$P$16))</x:f>
        <x:v>28000</x:v>
      </x:c>
      <x:c r="G842" s="46" t="n">
        <x:f>IF('Controls'!$D$7="Reference",1,IF(OR(D842=6,D842=7,D842=21,D842=46),'Paths'!$U$16,1))</x:f>
        <x:v>1</x:v>
      </x:c>
      <x:c r="H842" s="46" t="n">
        <x:f>IF('Controls'!$D$7="Reference",1,IF(OR(AND(D842&gt;=14,D842&lt;=16),AND(D842&gt;=34,D842&lt;=35),AND(D842&gt;=61,D842&lt;=63)),'Paths'!$V$16,1))</x:f>
        <x:v>0.25</x:v>
      </x:c>
      <x:c r="I842" s="46" t="n">
        <x:f>'Paths'!$W$16</x:f>
        <x:v>0.9</x:v>
      </x:c>
      <x:c r="J842" s="47" t="n">
        <x:f>IF(D842&lt;E842,0,MIN(F842*G842*H842*I842,IF('Paths'!$T$16&gt;0,MAX(0,'Paths'!$T$16-K841),1000000000)))</x:f>
        <x:v>6300</x:v>
      </x:c>
      <x:c r="K842" s="47" t="n">
        <x:f>K841+J842</x:f>
        <x:v>102150</x:v>
      </x:c>
      <x:c r="L842" s="46" t="n">
        <x:f>IF(C842="P0",1,IF(D842&lt;=3,0.8,IF(D842&lt;=14,0.65,IF(D842&lt;=45,0.5,0.3))))</x:f>
        <x:v>0.5</x:v>
      </x:c>
      <x:c r="M842" s="47" t="n">
        <x:f>J842*L842</x:f>
        <x:v>3150</x:v>
      </x:c>
      <x:c r="N842" s="47" t="n">
        <x:f>N841+M842</x:f>
        <x:v>64946.25</x:v>
      </x:c>
      <x:c r="O842" s="46" t="n">
        <x:f>IF(C842="P0",0,IF(D842&lt;=3,0.15,IF(D842&lt;=14,0.25,IF(D842&lt;=45,0.35,0.5))))</x:f>
        <x:v>0.35</x:v>
      </x:c>
      <x:c r="P842" s="47" t="n">
        <x:f>J842*O842</x:f>
        <x:v>2205</x:v>
      </x:c>
      <x:c r="Q842" s="46" t="n">
        <x:f>IF(C842="P0",0,IF(D842&lt;=3,0.05,IF(D842&lt;=14,0.1,IF(D842&lt;=45,0.15,0.2))))</x:f>
        <x:v>0.15</x:v>
      </x:c>
      <x:c r="R842" s="47" t="n">
        <x:f>J842*Q842</x:f>
        <x:v>945</x:v>
      </x:c>
      <x:c r="S842" s="20" t="str">
        <x:f>IF(D842&lt;E842,"closed",IF(D842&lt;'Paths'!$N$16,"initial","expanded"))</x:f>
        <x:v>expanded</x:v>
      </x:c>
      <x:c r="T842" s="72"/>
    </x:row>
    <x:row r="843">
      <x:c r="C843" s="20" t="str">
        <x:v>P9</x:v>
      </x:c>
      <x:c r="D843" s="20" t="n">
        <x:v>17</x:v>
      </x:c>
      <x:c r="E843" s="45" t="n">
        <x:f>IF('Controls'!$D$7="Reference",'Paths'!$J$16,'Paths'!$K$16)</x:f>
        <x:v>6</x:v>
      </x:c>
      <x:c r="F843" s="47" t="n">
        <x:f>IF(D843&lt;'Paths'!$N$16,IF('Controls'!$D$7="Reference",'Paths'!$L$16,'Paths'!$M$16),IF('Controls'!$D$7="Reference",'Paths'!$O$16,'Paths'!$P$16))</x:f>
        <x:v>28000</x:v>
      </x:c>
      <x:c r="G843" s="46" t="n">
        <x:f>IF('Controls'!$D$7="Reference",1,IF(OR(D843=6,D843=7,D843=21,D843=46),'Paths'!$U$16,1))</x:f>
        <x:v>1</x:v>
      </x:c>
      <x:c r="H843" s="46" t="n">
        <x:f>IF('Controls'!$D$7="Reference",1,IF(OR(AND(D843&gt;=14,D843&lt;=16),AND(D843&gt;=34,D843&lt;=35),AND(D843&gt;=61,D843&lt;=63)),'Paths'!$V$16,1))</x:f>
        <x:v>1</x:v>
      </x:c>
      <x:c r="I843" s="46" t="n">
        <x:f>'Paths'!$W$16</x:f>
        <x:v>0.9</x:v>
      </x:c>
      <x:c r="J843" s="47" t="n">
        <x:f>IF(D843&lt;E843,0,MIN(F843*G843*H843*I843,IF('Paths'!$T$16&gt;0,MAX(0,'Paths'!$T$16-K842),1000000000)))</x:f>
        <x:v>25200</x:v>
      </x:c>
      <x:c r="K843" s="47" t="n">
        <x:f>K842+J843</x:f>
        <x:v>127350</x:v>
      </x:c>
      <x:c r="L843" s="46" t="n">
        <x:f>IF(C843="P0",1,IF(D843&lt;=3,0.8,IF(D843&lt;=14,0.65,IF(D843&lt;=45,0.5,0.3))))</x:f>
        <x:v>0.5</x:v>
      </x:c>
      <x:c r="M843" s="47" t="n">
        <x:f>J843*L843</x:f>
        <x:v>12600</x:v>
      </x:c>
      <x:c r="N843" s="47" t="n">
        <x:f>N842+M843</x:f>
        <x:v>77546.25</x:v>
      </x:c>
      <x:c r="O843" s="46" t="n">
        <x:f>IF(C843="P0",0,IF(D843&lt;=3,0.15,IF(D843&lt;=14,0.25,IF(D843&lt;=45,0.35,0.5))))</x:f>
        <x:v>0.35</x:v>
      </x:c>
      <x:c r="P843" s="47" t="n">
        <x:f>J843*O843</x:f>
        <x:v>8820</x:v>
      </x:c>
      <x:c r="Q843" s="46" t="n">
        <x:f>IF(C843="P0",0,IF(D843&lt;=3,0.05,IF(D843&lt;=14,0.1,IF(D843&lt;=45,0.15,0.2))))</x:f>
        <x:v>0.15</x:v>
      </x:c>
      <x:c r="R843" s="47" t="n">
        <x:f>J843*Q843</x:f>
        <x:v>3780</x:v>
      </x:c>
      <x:c r="S843" s="20" t="str">
        <x:f>IF(D843&lt;E843,"closed",IF(D843&lt;'Paths'!$N$16,"initial","expanded"))</x:f>
        <x:v>expanded</x:v>
      </x:c>
      <x:c r="T843" s="72"/>
    </x:row>
    <x:row r="844">
      <x:c r="C844" s="20" t="str">
        <x:v>P9</x:v>
      </x:c>
      <x:c r="D844" s="20" t="n">
        <x:v>18</x:v>
      </x:c>
      <x:c r="E844" s="45" t="n">
        <x:f>IF('Controls'!$D$7="Reference",'Paths'!$J$16,'Paths'!$K$16)</x:f>
        <x:v>6</x:v>
      </x:c>
      <x:c r="F844" s="47" t="n">
        <x:f>IF(D844&lt;'Paths'!$N$16,IF('Controls'!$D$7="Reference",'Paths'!$L$16,'Paths'!$M$16),IF('Controls'!$D$7="Reference",'Paths'!$O$16,'Paths'!$P$16))</x:f>
        <x:v>28000</x:v>
      </x:c>
      <x:c r="G844" s="46" t="n">
        <x:f>IF('Controls'!$D$7="Reference",1,IF(OR(D844=6,D844=7,D844=21,D844=46),'Paths'!$U$16,1))</x:f>
        <x:v>1</x:v>
      </x:c>
      <x:c r="H844" s="46" t="n">
        <x:f>IF('Controls'!$D$7="Reference",1,IF(OR(AND(D844&gt;=14,D844&lt;=16),AND(D844&gt;=34,D844&lt;=35),AND(D844&gt;=61,D844&lt;=63)),'Paths'!$V$16,1))</x:f>
        <x:v>1</x:v>
      </x:c>
      <x:c r="I844" s="46" t="n">
        <x:f>'Paths'!$W$16</x:f>
        <x:v>0.9</x:v>
      </x:c>
      <x:c r="J844" s="47" t="n">
        <x:f>IF(D844&lt;E844,0,MIN(F844*G844*H844*I844,IF('Paths'!$T$16&gt;0,MAX(0,'Paths'!$T$16-K843),1000000000)))</x:f>
        <x:v>25200</x:v>
      </x:c>
      <x:c r="K844" s="47" t="n">
        <x:f>K843+J844</x:f>
        <x:v>152550</x:v>
      </x:c>
      <x:c r="L844" s="46" t="n">
        <x:f>IF(C844="P0",1,IF(D844&lt;=3,0.8,IF(D844&lt;=14,0.65,IF(D844&lt;=45,0.5,0.3))))</x:f>
        <x:v>0.5</x:v>
      </x:c>
      <x:c r="M844" s="47" t="n">
        <x:f>J844*L844</x:f>
        <x:v>12600</x:v>
      </x:c>
      <x:c r="N844" s="47" t="n">
        <x:f>N843+M844</x:f>
        <x:v>90146.25</x:v>
      </x:c>
      <x:c r="O844" s="46" t="n">
        <x:f>IF(C844="P0",0,IF(D844&lt;=3,0.15,IF(D844&lt;=14,0.25,IF(D844&lt;=45,0.35,0.5))))</x:f>
        <x:v>0.35</x:v>
      </x:c>
      <x:c r="P844" s="47" t="n">
        <x:f>J844*O844</x:f>
        <x:v>8820</x:v>
      </x:c>
      <x:c r="Q844" s="46" t="n">
        <x:f>IF(C844="P0",0,IF(D844&lt;=3,0.05,IF(D844&lt;=14,0.1,IF(D844&lt;=45,0.15,0.2))))</x:f>
        <x:v>0.15</x:v>
      </x:c>
      <x:c r="R844" s="47" t="n">
        <x:f>J844*Q844</x:f>
        <x:v>3780</x:v>
      </x:c>
      <x:c r="S844" s="20" t="str">
        <x:f>IF(D844&lt;E844,"closed",IF(D844&lt;'Paths'!$N$16,"initial","expanded"))</x:f>
        <x:v>expanded</x:v>
      </x:c>
      <x:c r="T844" s="72"/>
    </x:row>
    <x:row r="845">
      <x:c r="C845" s="20" t="str">
        <x:v>P9</x:v>
      </x:c>
      <x:c r="D845" s="20" t="n">
        <x:v>19</x:v>
      </x:c>
      <x:c r="E845" s="45" t="n">
        <x:f>IF('Controls'!$D$7="Reference",'Paths'!$J$16,'Paths'!$K$16)</x:f>
        <x:v>6</x:v>
      </x:c>
      <x:c r="F845" s="47" t="n">
        <x:f>IF(D845&lt;'Paths'!$N$16,IF('Controls'!$D$7="Reference",'Paths'!$L$16,'Paths'!$M$16),IF('Controls'!$D$7="Reference",'Paths'!$O$16,'Paths'!$P$16))</x:f>
        <x:v>28000</x:v>
      </x:c>
      <x:c r="G845" s="46" t="n">
        <x:f>IF('Controls'!$D$7="Reference",1,IF(OR(D845=6,D845=7,D845=21,D845=46),'Paths'!$U$16,1))</x:f>
        <x:v>1</x:v>
      </x:c>
      <x:c r="H845" s="46" t="n">
        <x:f>IF('Controls'!$D$7="Reference",1,IF(OR(AND(D845&gt;=14,D845&lt;=16),AND(D845&gt;=34,D845&lt;=35),AND(D845&gt;=61,D845&lt;=63)),'Paths'!$V$16,1))</x:f>
        <x:v>1</x:v>
      </x:c>
      <x:c r="I845" s="46" t="n">
        <x:f>'Paths'!$W$16</x:f>
        <x:v>0.9</x:v>
      </x:c>
      <x:c r="J845" s="47" t="n">
        <x:f>IF(D845&lt;E845,0,MIN(F845*G845*H845*I845,IF('Paths'!$T$16&gt;0,MAX(0,'Paths'!$T$16-K844),1000000000)))</x:f>
        <x:v>25200</x:v>
      </x:c>
      <x:c r="K845" s="47" t="n">
        <x:f>K844+J845</x:f>
        <x:v>177750</x:v>
      </x:c>
      <x:c r="L845" s="46" t="n">
        <x:f>IF(C845="P0",1,IF(D845&lt;=3,0.8,IF(D845&lt;=14,0.65,IF(D845&lt;=45,0.5,0.3))))</x:f>
        <x:v>0.5</x:v>
      </x:c>
      <x:c r="M845" s="47" t="n">
        <x:f>J845*L845</x:f>
        <x:v>12600</x:v>
      </x:c>
      <x:c r="N845" s="47" t="n">
        <x:f>N844+M845</x:f>
        <x:v>102746.25</x:v>
      </x:c>
      <x:c r="O845" s="46" t="n">
        <x:f>IF(C845="P0",0,IF(D845&lt;=3,0.15,IF(D845&lt;=14,0.25,IF(D845&lt;=45,0.35,0.5))))</x:f>
        <x:v>0.35</x:v>
      </x:c>
      <x:c r="P845" s="47" t="n">
        <x:f>J845*O845</x:f>
        <x:v>8820</x:v>
      </x:c>
      <x:c r="Q845" s="46" t="n">
        <x:f>IF(C845="P0",0,IF(D845&lt;=3,0.05,IF(D845&lt;=14,0.1,IF(D845&lt;=45,0.15,0.2))))</x:f>
        <x:v>0.15</x:v>
      </x:c>
      <x:c r="R845" s="47" t="n">
        <x:f>J845*Q845</x:f>
        <x:v>3780</x:v>
      </x:c>
      <x:c r="S845" s="20" t="str">
        <x:f>IF(D845&lt;E845,"closed",IF(D845&lt;'Paths'!$N$16,"initial","expanded"))</x:f>
        <x:v>expanded</x:v>
      </x:c>
      <x:c r="T845" s="72"/>
    </x:row>
    <x:row r="846">
      <x:c r="C846" s="20" t="str">
        <x:v>P9</x:v>
      </x:c>
      <x:c r="D846" s="20" t="n">
        <x:v>20</x:v>
      </x:c>
      <x:c r="E846" s="45" t="n">
        <x:f>IF('Controls'!$D$7="Reference",'Paths'!$J$16,'Paths'!$K$16)</x:f>
        <x:v>6</x:v>
      </x:c>
      <x:c r="F846" s="47" t="n">
        <x:f>IF(D846&lt;'Paths'!$N$16,IF('Controls'!$D$7="Reference",'Paths'!$L$16,'Paths'!$M$16),IF('Controls'!$D$7="Reference",'Paths'!$O$16,'Paths'!$P$16))</x:f>
        <x:v>28000</x:v>
      </x:c>
      <x:c r="G846" s="46" t="n">
        <x:f>IF('Controls'!$D$7="Reference",1,IF(OR(D846=6,D846=7,D846=21,D846=46),'Paths'!$U$16,1))</x:f>
        <x:v>1</x:v>
      </x:c>
      <x:c r="H846" s="46" t="n">
        <x:f>IF('Controls'!$D$7="Reference",1,IF(OR(AND(D846&gt;=14,D846&lt;=16),AND(D846&gt;=34,D846&lt;=35),AND(D846&gt;=61,D846&lt;=63)),'Paths'!$V$16,1))</x:f>
        <x:v>1</x:v>
      </x:c>
      <x:c r="I846" s="46" t="n">
        <x:f>'Paths'!$W$16</x:f>
        <x:v>0.9</x:v>
      </x:c>
      <x:c r="J846" s="47" t="n">
        <x:f>IF(D846&lt;E846,0,MIN(F846*G846*H846*I846,IF('Paths'!$T$16&gt;0,MAX(0,'Paths'!$T$16-K845),1000000000)))</x:f>
        <x:v>25200</x:v>
      </x:c>
      <x:c r="K846" s="47" t="n">
        <x:f>K845+J846</x:f>
        <x:v>202950</x:v>
      </x:c>
      <x:c r="L846" s="46" t="n">
        <x:f>IF(C846="P0",1,IF(D846&lt;=3,0.8,IF(D846&lt;=14,0.65,IF(D846&lt;=45,0.5,0.3))))</x:f>
        <x:v>0.5</x:v>
      </x:c>
      <x:c r="M846" s="47" t="n">
        <x:f>J846*L846</x:f>
        <x:v>12600</x:v>
      </x:c>
      <x:c r="N846" s="47" t="n">
        <x:f>N845+M846</x:f>
        <x:v>115346.25</x:v>
      </x:c>
      <x:c r="O846" s="46" t="n">
        <x:f>IF(C846="P0",0,IF(D846&lt;=3,0.15,IF(D846&lt;=14,0.25,IF(D846&lt;=45,0.35,0.5))))</x:f>
        <x:v>0.35</x:v>
      </x:c>
      <x:c r="P846" s="47" t="n">
        <x:f>J846*O846</x:f>
        <x:v>8820</x:v>
      </x:c>
      <x:c r="Q846" s="46" t="n">
        <x:f>IF(C846="P0",0,IF(D846&lt;=3,0.05,IF(D846&lt;=14,0.1,IF(D846&lt;=45,0.15,0.2))))</x:f>
        <x:v>0.15</x:v>
      </x:c>
      <x:c r="R846" s="47" t="n">
        <x:f>J846*Q846</x:f>
        <x:v>3780</x:v>
      </x:c>
      <x:c r="S846" s="20" t="str">
        <x:f>IF(D846&lt;E846,"closed",IF(D846&lt;'Paths'!$N$16,"initial","expanded"))</x:f>
        <x:v>expanded</x:v>
      </x:c>
      <x:c r="T846" s="72"/>
    </x:row>
    <x:row r="847">
      <x:c r="C847" s="20" t="str">
        <x:v>P9</x:v>
      </x:c>
      <x:c r="D847" s="20" t="n">
        <x:v>21</x:v>
      </x:c>
      <x:c r="E847" s="45" t="n">
        <x:f>IF('Controls'!$D$7="Reference",'Paths'!$J$16,'Paths'!$K$16)</x:f>
        <x:v>6</x:v>
      </x:c>
      <x:c r="F847" s="47" t="n">
        <x:f>IF(D847&lt;'Paths'!$N$16,IF('Controls'!$D$7="Reference",'Paths'!$L$16,'Paths'!$M$16),IF('Controls'!$D$7="Reference",'Paths'!$O$16,'Paths'!$P$16))</x:f>
        <x:v>28000</x:v>
      </x:c>
      <x:c r="G847" s="46" t="n">
        <x:f>IF('Controls'!$D$7="Reference",1,IF(OR(D847=6,D847=7,D847=21,D847=46),'Paths'!$U$16,1))</x:f>
        <x:v>0.3</x:v>
      </x:c>
      <x:c r="H847" s="46" t="n">
        <x:f>IF('Controls'!$D$7="Reference",1,IF(OR(AND(D847&gt;=14,D847&lt;=16),AND(D847&gt;=34,D847&lt;=35),AND(D847&gt;=61,D847&lt;=63)),'Paths'!$V$16,1))</x:f>
        <x:v>1</x:v>
      </x:c>
      <x:c r="I847" s="46" t="n">
        <x:f>'Paths'!$W$16</x:f>
        <x:v>0.9</x:v>
      </x:c>
      <x:c r="J847" s="47" t="n">
        <x:f>IF(D847&lt;E847,0,MIN(F847*G847*H847*I847,IF('Paths'!$T$16&gt;0,MAX(0,'Paths'!$T$16-K846),1000000000)))</x:f>
        <x:v>7560</x:v>
      </x:c>
      <x:c r="K847" s="47" t="n">
        <x:f>K846+J847</x:f>
        <x:v>210510</x:v>
      </x:c>
      <x:c r="L847" s="46" t="n">
        <x:f>IF(C847="P0",1,IF(D847&lt;=3,0.8,IF(D847&lt;=14,0.65,IF(D847&lt;=45,0.5,0.3))))</x:f>
        <x:v>0.5</x:v>
      </x:c>
      <x:c r="M847" s="47" t="n">
        <x:f>J847*L847</x:f>
        <x:v>3780</x:v>
      </x:c>
      <x:c r="N847" s="47" t="n">
        <x:f>N846+M847</x:f>
        <x:v>119126.25</x:v>
      </x:c>
      <x:c r="O847" s="46" t="n">
        <x:f>IF(C847="P0",0,IF(D847&lt;=3,0.15,IF(D847&lt;=14,0.25,IF(D847&lt;=45,0.35,0.5))))</x:f>
        <x:v>0.35</x:v>
      </x:c>
      <x:c r="P847" s="47" t="n">
        <x:f>J847*O847</x:f>
        <x:v>2646</x:v>
      </x:c>
      <x:c r="Q847" s="46" t="n">
        <x:f>IF(C847="P0",0,IF(D847&lt;=3,0.05,IF(D847&lt;=14,0.1,IF(D847&lt;=45,0.15,0.2))))</x:f>
        <x:v>0.15</x:v>
      </x:c>
      <x:c r="R847" s="47" t="n">
        <x:f>J847*Q847</x:f>
        <x:v>1134</x:v>
      </x:c>
      <x:c r="S847" s="20" t="str">
        <x:f>IF(D847&lt;E847,"closed",IF(D847&lt;'Paths'!$N$16,"initial","expanded"))</x:f>
        <x:v>expanded</x:v>
      </x:c>
      <x:c r="T847" s="72"/>
    </x:row>
    <x:row r="848">
      <x:c r="C848" s="20" t="str">
        <x:v>P9</x:v>
      </x:c>
      <x:c r="D848" s="20" t="n">
        <x:v>22</x:v>
      </x:c>
      <x:c r="E848" s="45" t="n">
        <x:f>IF('Controls'!$D$7="Reference",'Paths'!$J$16,'Paths'!$K$16)</x:f>
        <x:v>6</x:v>
      </x:c>
      <x:c r="F848" s="47" t="n">
        <x:f>IF(D848&lt;'Paths'!$N$16,IF('Controls'!$D$7="Reference",'Paths'!$L$16,'Paths'!$M$16),IF('Controls'!$D$7="Reference",'Paths'!$O$16,'Paths'!$P$16))</x:f>
        <x:v>28000</x:v>
      </x:c>
      <x:c r="G848" s="46" t="n">
        <x:f>IF('Controls'!$D$7="Reference",1,IF(OR(D848=6,D848=7,D848=21,D848=46),'Paths'!$U$16,1))</x:f>
        <x:v>1</x:v>
      </x:c>
      <x:c r="H848" s="46" t="n">
        <x:f>IF('Controls'!$D$7="Reference",1,IF(OR(AND(D848&gt;=14,D848&lt;=16),AND(D848&gt;=34,D848&lt;=35),AND(D848&gt;=61,D848&lt;=63)),'Paths'!$V$16,1))</x:f>
        <x:v>1</x:v>
      </x:c>
      <x:c r="I848" s="46" t="n">
        <x:f>'Paths'!$W$16</x:f>
        <x:v>0.9</x:v>
      </x:c>
      <x:c r="J848" s="47" t="n">
        <x:f>IF(D848&lt;E848,0,MIN(F848*G848*H848*I848,IF('Paths'!$T$16&gt;0,MAX(0,'Paths'!$T$16-K847),1000000000)))</x:f>
        <x:v>25200</x:v>
      </x:c>
      <x:c r="K848" s="47" t="n">
        <x:f>K847+J848</x:f>
        <x:v>235710</x:v>
      </x:c>
      <x:c r="L848" s="46" t="n">
        <x:f>IF(C848="P0",1,IF(D848&lt;=3,0.8,IF(D848&lt;=14,0.65,IF(D848&lt;=45,0.5,0.3))))</x:f>
        <x:v>0.5</x:v>
      </x:c>
      <x:c r="M848" s="47" t="n">
        <x:f>J848*L848</x:f>
        <x:v>12600</x:v>
      </x:c>
      <x:c r="N848" s="47" t="n">
        <x:f>N847+M848</x:f>
        <x:v>131726.25</x:v>
      </x:c>
      <x:c r="O848" s="46" t="n">
        <x:f>IF(C848="P0",0,IF(D848&lt;=3,0.15,IF(D848&lt;=14,0.25,IF(D848&lt;=45,0.35,0.5))))</x:f>
        <x:v>0.35</x:v>
      </x:c>
      <x:c r="P848" s="47" t="n">
        <x:f>J848*O848</x:f>
        <x:v>8820</x:v>
      </x:c>
      <x:c r="Q848" s="46" t="n">
        <x:f>IF(C848="P0",0,IF(D848&lt;=3,0.05,IF(D848&lt;=14,0.1,IF(D848&lt;=45,0.15,0.2))))</x:f>
        <x:v>0.15</x:v>
      </x:c>
      <x:c r="R848" s="47" t="n">
        <x:f>J848*Q848</x:f>
        <x:v>3780</x:v>
      </x:c>
      <x:c r="S848" s="20" t="str">
        <x:f>IF(D848&lt;E848,"closed",IF(D848&lt;'Paths'!$N$16,"initial","expanded"))</x:f>
        <x:v>expanded</x:v>
      </x:c>
      <x:c r="T848" s="72"/>
    </x:row>
    <x:row r="849">
      <x:c r="C849" s="20" t="str">
        <x:v>P9</x:v>
      </x:c>
      <x:c r="D849" s="20" t="n">
        <x:v>23</x:v>
      </x:c>
      <x:c r="E849" s="45" t="n">
        <x:f>IF('Controls'!$D$7="Reference",'Paths'!$J$16,'Paths'!$K$16)</x:f>
        <x:v>6</x:v>
      </x:c>
      <x:c r="F849" s="47" t="n">
        <x:f>IF(D849&lt;'Paths'!$N$16,IF('Controls'!$D$7="Reference",'Paths'!$L$16,'Paths'!$M$16),IF('Controls'!$D$7="Reference",'Paths'!$O$16,'Paths'!$P$16))</x:f>
        <x:v>28000</x:v>
      </x:c>
      <x:c r="G849" s="46" t="n">
        <x:f>IF('Controls'!$D$7="Reference",1,IF(OR(D849=6,D849=7,D849=21,D849=46),'Paths'!$U$16,1))</x:f>
        <x:v>1</x:v>
      </x:c>
      <x:c r="H849" s="46" t="n">
        <x:f>IF('Controls'!$D$7="Reference",1,IF(OR(AND(D849&gt;=14,D849&lt;=16),AND(D849&gt;=34,D849&lt;=35),AND(D849&gt;=61,D849&lt;=63)),'Paths'!$V$16,1))</x:f>
        <x:v>1</x:v>
      </x:c>
      <x:c r="I849" s="46" t="n">
        <x:f>'Paths'!$W$16</x:f>
        <x:v>0.9</x:v>
      </x:c>
      <x:c r="J849" s="47" t="n">
        <x:f>IF(D849&lt;E849,0,MIN(F849*G849*H849*I849,IF('Paths'!$T$16&gt;0,MAX(0,'Paths'!$T$16-K848),1000000000)))</x:f>
        <x:v>25200</x:v>
      </x:c>
      <x:c r="K849" s="47" t="n">
        <x:f>K848+J849</x:f>
        <x:v>260910</x:v>
      </x:c>
      <x:c r="L849" s="46" t="n">
        <x:f>IF(C849="P0",1,IF(D849&lt;=3,0.8,IF(D849&lt;=14,0.65,IF(D849&lt;=45,0.5,0.3))))</x:f>
        <x:v>0.5</x:v>
      </x:c>
      <x:c r="M849" s="47" t="n">
        <x:f>J849*L849</x:f>
        <x:v>12600</x:v>
      </x:c>
      <x:c r="N849" s="47" t="n">
        <x:f>N848+M849</x:f>
        <x:v>144326.25</x:v>
      </x:c>
      <x:c r="O849" s="46" t="n">
        <x:f>IF(C849="P0",0,IF(D849&lt;=3,0.15,IF(D849&lt;=14,0.25,IF(D849&lt;=45,0.35,0.5))))</x:f>
        <x:v>0.35</x:v>
      </x:c>
      <x:c r="P849" s="47" t="n">
        <x:f>J849*O849</x:f>
        <x:v>8820</x:v>
      </x:c>
      <x:c r="Q849" s="46" t="n">
        <x:f>IF(C849="P0",0,IF(D849&lt;=3,0.05,IF(D849&lt;=14,0.1,IF(D849&lt;=45,0.15,0.2))))</x:f>
        <x:v>0.15</x:v>
      </x:c>
      <x:c r="R849" s="47" t="n">
        <x:f>J849*Q849</x:f>
        <x:v>3780</x:v>
      </x:c>
      <x:c r="S849" s="20" t="str">
        <x:f>IF(D849&lt;E849,"closed",IF(D849&lt;'Paths'!$N$16,"initial","expanded"))</x:f>
        <x:v>expanded</x:v>
      </x:c>
      <x:c r="T849" s="72"/>
    </x:row>
    <x:row r="850">
      <x:c r="C850" s="20" t="str">
        <x:v>P9</x:v>
      </x:c>
      <x:c r="D850" s="20" t="n">
        <x:v>24</x:v>
      </x:c>
      <x:c r="E850" s="45" t="n">
        <x:f>IF('Controls'!$D$7="Reference",'Paths'!$J$16,'Paths'!$K$16)</x:f>
        <x:v>6</x:v>
      </x:c>
      <x:c r="F850" s="47" t="n">
        <x:f>IF(D850&lt;'Paths'!$N$16,IF('Controls'!$D$7="Reference",'Paths'!$L$16,'Paths'!$M$16),IF('Controls'!$D$7="Reference",'Paths'!$O$16,'Paths'!$P$16))</x:f>
        <x:v>28000</x:v>
      </x:c>
      <x:c r="G850" s="46" t="n">
        <x:f>IF('Controls'!$D$7="Reference",1,IF(OR(D850=6,D850=7,D850=21,D850=46),'Paths'!$U$16,1))</x:f>
        <x:v>1</x:v>
      </x:c>
      <x:c r="H850" s="46" t="n">
        <x:f>IF('Controls'!$D$7="Reference",1,IF(OR(AND(D850&gt;=14,D850&lt;=16),AND(D850&gt;=34,D850&lt;=35),AND(D850&gt;=61,D850&lt;=63)),'Paths'!$V$16,1))</x:f>
        <x:v>1</x:v>
      </x:c>
      <x:c r="I850" s="46" t="n">
        <x:f>'Paths'!$W$16</x:f>
        <x:v>0.9</x:v>
      </x:c>
      <x:c r="J850" s="47" t="n">
        <x:f>IF(D850&lt;E850,0,MIN(F850*G850*H850*I850,IF('Paths'!$T$16&gt;0,MAX(0,'Paths'!$T$16-K849),1000000000)))</x:f>
        <x:v>25200</x:v>
      </x:c>
      <x:c r="K850" s="47" t="n">
        <x:f>K849+J850</x:f>
        <x:v>286110</x:v>
      </x:c>
      <x:c r="L850" s="46" t="n">
        <x:f>IF(C850="P0",1,IF(D850&lt;=3,0.8,IF(D850&lt;=14,0.65,IF(D850&lt;=45,0.5,0.3))))</x:f>
        <x:v>0.5</x:v>
      </x:c>
      <x:c r="M850" s="47" t="n">
        <x:f>J850*L850</x:f>
        <x:v>12600</x:v>
      </x:c>
      <x:c r="N850" s="47" t="n">
        <x:f>N849+M850</x:f>
        <x:v>156926.25</x:v>
      </x:c>
      <x:c r="O850" s="46" t="n">
        <x:f>IF(C850="P0",0,IF(D850&lt;=3,0.15,IF(D850&lt;=14,0.25,IF(D850&lt;=45,0.35,0.5))))</x:f>
        <x:v>0.35</x:v>
      </x:c>
      <x:c r="P850" s="47" t="n">
        <x:f>J850*O850</x:f>
        <x:v>8820</x:v>
      </x:c>
      <x:c r="Q850" s="46" t="n">
        <x:f>IF(C850="P0",0,IF(D850&lt;=3,0.05,IF(D850&lt;=14,0.1,IF(D850&lt;=45,0.15,0.2))))</x:f>
        <x:v>0.15</x:v>
      </x:c>
      <x:c r="R850" s="47" t="n">
        <x:f>J850*Q850</x:f>
        <x:v>3780</x:v>
      </x:c>
      <x:c r="S850" s="20" t="str">
        <x:f>IF(D850&lt;E850,"closed",IF(D850&lt;'Paths'!$N$16,"initial","expanded"))</x:f>
        <x:v>expanded</x:v>
      </x:c>
      <x:c r="T850" s="72"/>
    </x:row>
    <x:row r="851">
      <x:c r="C851" s="20" t="str">
        <x:v>P9</x:v>
      </x:c>
      <x:c r="D851" s="20" t="n">
        <x:v>25</x:v>
      </x:c>
      <x:c r="E851" s="45" t="n">
        <x:f>IF('Controls'!$D$7="Reference",'Paths'!$J$16,'Paths'!$K$16)</x:f>
        <x:v>6</x:v>
      </x:c>
      <x:c r="F851" s="47" t="n">
        <x:f>IF(D851&lt;'Paths'!$N$16,IF('Controls'!$D$7="Reference",'Paths'!$L$16,'Paths'!$M$16),IF('Controls'!$D$7="Reference",'Paths'!$O$16,'Paths'!$P$16))</x:f>
        <x:v>28000</x:v>
      </x:c>
      <x:c r="G851" s="46" t="n">
        <x:f>IF('Controls'!$D$7="Reference",1,IF(OR(D851=6,D851=7,D851=21,D851=46),'Paths'!$U$16,1))</x:f>
        <x:v>1</x:v>
      </x:c>
      <x:c r="H851" s="46" t="n">
        <x:f>IF('Controls'!$D$7="Reference",1,IF(OR(AND(D851&gt;=14,D851&lt;=16),AND(D851&gt;=34,D851&lt;=35),AND(D851&gt;=61,D851&lt;=63)),'Paths'!$V$16,1))</x:f>
        <x:v>1</x:v>
      </x:c>
      <x:c r="I851" s="46" t="n">
        <x:f>'Paths'!$W$16</x:f>
        <x:v>0.9</x:v>
      </x:c>
      <x:c r="J851" s="47" t="n">
        <x:f>IF(D851&lt;E851,0,MIN(F851*G851*H851*I851,IF('Paths'!$T$16&gt;0,MAX(0,'Paths'!$T$16-K850),1000000000)))</x:f>
        <x:v>25200</x:v>
      </x:c>
      <x:c r="K851" s="47" t="n">
        <x:f>K850+J851</x:f>
        <x:v>311310</x:v>
      </x:c>
      <x:c r="L851" s="46" t="n">
        <x:f>IF(C851="P0",1,IF(D851&lt;=3,0.8,IF(D851&lt;=14,0.65,IF(D851&lt;=45,0.5,0.3))))</x:f>
        <x:v>0.5</x:v>
      </x:c>
      <x:c r="M851" s="47" t="n">
        <x:f>J851*L851</x:f>
        <x:v>12600</x:v>
      </x:c>
      <x:c r="N851" s="47" t="n">
        <x:f>N850+M851</x:f>
        <x:v>169526.25</x:v>
      </x:c>
      <x:c r="O851" s="46" t="n">
        <x:f>IF(C851="P0",0,IF(D851&lt;=3,0.15,IF(D851&lt;=14,0.25,IF(D851&lt;=45,0.35,0.5))))</x:f>
        <x:v>0.35</x:v>
      </x:c>
      <x:c r="P851" s="47" t="n">
        <x:f>J851*O851</x:f>
        <x:v>8820</x:v>
      </x:c>
      <x:c r="Q851" s="46" t="n">
        <x:f>IF(C851="P0",0,IF(D851&lt;=3,0.05,IF(D851&lt;=14,0.1,IF(D851&lt;=45,0.15,0.2))))</x:f>
        <x:v>0.15</x:v>
      </x:c>
      <x:c r="R851" s="47" t="n">
        <x:f>J851*Q851</x:f>
        <x:v>3780</x:v>
      </x:c>
      <x:c r="S851" s="20" t="str">
        <x:f>IF(D851&lt;E851,"closed",IF(D851&lt;'Paths'!$N$16,"initial","expanded"))</x:f>
        <x:v>expanded</x:v>
      </x:c>
      <x:c r="T851" s="72"/>
    </x:row>
    <x:row r="852">
      <x:c r="C852" s="20" t="str">
        <x:v>P9</x:v>
      </x:c>
      <x:c r="D852" s="20" t="n">
        <x:v>26</x:v>
      </x:c>
      <x:c r="E852" s="45" t="n">
        <x:f>IF('Controls'!$D$7="Reference",'Paths'!$J$16,'Paths'!$K$16)</x:f>
        <x:v>6</x:v>
      </x:c>
      <x:c r="F852" s="47" t="n">
        <x:f>IF(D852&lt;'Paths'!$N$16,IF('Controls'!$D$7="Reference",'Paths'!$L$16,'Paths'!$M$16),IF('Controls'!$D$7="Reference",'Paths'!$O$16,'Paths'!$P$16))</x:f>
        <x:v>28000</x:v>
      </x:c>
      <x:c r="G852" s="46" t="n">
        <x:f>IF('Controls'!$D$7="Reference",1,IF(OR(D852=6,D852=7,D852=21,D852=46),'Paths'!$U$16,1))</x:f>
        <x:v>1</x:v>
      </x:c>
      <x:c r="H852" s="46" t="n">
        <x:f>IF('Controls'!$D$7="Reference",1,IF(OR(AND(D852&gt;=14,D852&lt;=16),AND(D852&gt;=34,D852&lt;=35),AND(D852&gt;=61,D852&lt;=63)),'Paths'!$V$16,1))</x:f>
        <x:v>1</x:v>
      </x:c>
      <x:c r="I852" s="46" t="n">
        <x:f>'Paths'!$W$16</x:f>
        <x:v>0.9</x:v>
      </x:c>
      <x:c r="J852" s="47" t="n">
        <x:f>IF(D852&lt;E852,0,MIN(F852*G852*H852*I852,IF('Paths'!$T$16&gt;0,MAX(0,'Paths'!$T$16-K851),1000000000)))</x:f>
        <x:v>25200</x:v>
      </x:c>
      <x:c r="K852" s="47" t="n">
        <x:f>K851+J852</x:f>
        <x:v>336510</x:v>
      </x:c>
      <x:c r="L852" s="46" t="n">
        <x:f>IF(C852="P0",1,IF(D852&lt;=3,0.8,IF(D852&lt;=14,0.65,IF(D852&lt;=45,0.5,0.3))))</x:f>
        <x:v>0.5</x:v>
      </x:c>
      <x:c r="M852" s="47" t="n">
        <x:f>J852*L852</x:f>
        <x:v>12600</x:v>
      </x:c>
      <x:c r="N852" s="47" t="n">
        <x:f>N851+M852</x:f>
        <x:v>182126.25</x:v>
      </x:c>
      <x:c r="O852" s="46" t="n">
        <x:f>IF(C852="P0",0,IF(D852&lt;=3,0.15,IF(D852&lt;=14,0.25,IF(D852&lt;=45,0.35,0.5))))</x:f>
        <x:v>0.35</x:v>
      </x:c>
      <x:c r="P852" s="47" t="n">
        <x:f>J852*O852</x:f>
        <x:v>8820</x:v>
      </x:c>
      <x:c r="Q852" s="46" t="n">
        <x:f>IF(C852="P0",0,IF(D852&lt;=3,0.05,IF(D852&lt;=14,0.1,IF(D852&lt;=45,0.15,0.2))))</x:f>
        <x:v>0.15</x:v>
      </x:c>
      <x:c r="R852" s="47" t="n">
        <x:f>J852*Q852</x:f>
        <x:v>3780</x:v>
      </x:c>
      <x:c r="S852" s="20" t="str">
        <x:f>IF(D852&lt;E852,"closed",IF(D852&lt;'Paths'!$N$16,"initial","expanded"))</x:f>
        <x:v>expanded</x:v>
      </x:c>
      <x:c r="T852" s="72"/>
    </x:row>
    <x:row r="853">
      <x:c r="C853" s="20" t="str">
        <x:v>P9</x:v>
      </x:c>
      <x:c r="D853" s="20" t="n">
        <x:v>27</x:v>
      </x:c>
      <x:c r="E853" s="45" t="n">
        <x:f>IF('Controls'!$D$7="Reference",'Paths'!$J$16,'Paths'!$K$16)</x:f>
        <x:v>6</x:v>
      </x:c>
      <x:c r="F853" s="47" t="n">
        <x:f>IF(D853&lt;'Paths'!$N$16,IF('Controls'!$D$7="Reference",'Paths'!$L$16,'Paths'!$M$16),IF('Controls'!$D$7="Reference",'Paths'!$O$16,'Paths'!$P$16))</x:f>
        <x:v>28000</x:v>
      </x:c>
      <x:c r="G853" s="46" t="n">
        <x:f>IF('Controls'!$D$7="Reference",1,IF(OR(D853=6,D853=7,D853=21,D853=46),'Paths'!$U$16,1))</x:f>
        <x:v>1</x:v>
      </x:c>
      <x:c r="H853" s="46" t="n">
        <x:f>IF('Controls'!$D$7="Reference",1,IF(OR(AND(D853&gt;=14,D853&lt;=16),AND(D853&gt;=34,D853&lt;=35),AND(D853&gt;=61,D853&lt;=63)),'Paths'!$V$16,1))</x:f>
        <x:v>1</x:v>
      </x:c>
      <x:c r="I853" s="46" t="n">
        <x:f>'Paths'!$W$16</x:f>
        <x:v>0.9</x:v>
      </x:c>
      <x:c r="J853" s="47" t="n">
        <x:f>IF(D853&lt;E853,0,MIN(F853*G853*H853*I853,IF('Paths'!$T$16&gt;0,MAX(0,'Paths'!$T$16-K852),1000000000)))</x:f>
        <x:v>25200</x:v>
      </x:c>
      <x:c r="K853" s="47" t="n">
        <x:f>K852+J853</x:f>
        <x:v>361710</x:v>
      </x:c>
      <x:c r="L853" s="46" t="n">
        <x:f>IF(C853="P0",1,IF(D853&lt;=3,0.8,IF(D853&lt;=14,0.65,IF(D853&lt;=45,0.5,0.3))))</x:f>
        <x:v>0.5</x:v>
      </x:c>
      <x:c r="M853" s="47" t="n">
        <x:f>J853*L853</x:f>
        <x:v>12600</x:v>
      </x:c>
      <x:c r="N853" s="47" t="n">
        <x:f>N852+M853</x:f>
        <x:v>194726.25</x:v>
      </x:c>
      <x:c r="O853" s="46" t="n">
        <x:f>IF(C853="P0",0,IF(D853&lt;=3,0.15,IF(D853&lt;=14,0.25,IF(D853&lt;=45,0.35,0.5))))</x:f>
        <x:v>0.35</x:v>
      </x:c>
      <x:c r="P853" s="47" t="n">
        <x:f>J853*O853</x:f>
        <x:v>8820</x:v>
      </x:c>
      <x:c r="Q853" s="46" t="n">
        <x:f>IF(C853="P0",0,IF(D853&lt;=3,0.05,IF(D853&lt;=14,0.1,IF(D853&lt;=45,0.15,0.2))))</x:f>
        <x:v>0.15</x:v>
      </x:c>
      <x:c r="R853" s="47" t="n">
        <x:f>J853*Q853</x:f>
        <x:v>3780</x:v>
      </x:c>
      <x:c r="S853" s="20" t="str">
        <x:f>IF(D853&lt;E853,"closed",IF(D853&lt;'Paths'!$N$16,"initial","expanded"))</x:f>
        <x:v>expanded</x:v>
      </x:c>
      <x:c r="T853" s="72"/>
    </x:row>
    <x:row r="854">
      <x:c r="C854" s="20" t="str">
        <x:v>P9</x:v>
      </x:c>
      <x:c r="D854" s="20" t="n">
        <x:v>28</x:v>
      </x:c>
      <x:c r="E854" s="45" t="n">
        <x:f>IF('Controls'!$D$7="Reference",'Paths'!$J$16,'Paths'!$K$16)</x:f>
        <x:v>6</x:v>
      </x:c>
      <x:c r="F854" s="47" t="n">
        <x:f>IF(D854&lt;'Paths'!$N$16,IF('Controls'!$D$7="Reference",'Paths'!$L$16,'Paths'!$M$16),IF('Controls'!$D$7="Reference",'Paths'!$O$16,'Paths'!$P$16))</x:f>
        <x:v>28000</x:v>
      </x:c>
      <x:c r="G854" s="46" t="n">
        <x:f>IF('Controls'!$D$7="Reference",1,IF(OR(D854=6,D854=7,D854=21,D854=46),'Paths'!$U$16,1))</x:f>
        <x:v>1</x:v>
      </x:c>
      <x:c r="H854" s="46" t="n">
        <x:f>IF('Controls'!$D$7="Reference",1,IF(OR(AND(D854&gt;=14,D854&lt;=16),AND(D854&gt;=34,D854&lt;=35),AND(D854&gt;=61,D854&lt;=63)),'Paths'!$V$16,1))</x:f>
        <x:v>1</x:v>
      </x:c>
      <x:c r="I854" s="46" t="n">
        <x:f>'Paths'!$W$16</x:f>
        <x:v>0.9</x:v>
      </x:c>
      <x:c r="J854" s="47" t="n">
        <x:f>IF(D854&lt;E854,0,MIN(F854*G854*H854*I854,IF('Paths'!$T$16&gt;0,MAX(0,'Paths'!$T$16-K853),1000000000)))</x:f>
        <x:v>25200</x:v>
      </x:c>
      <x:c r="K854" s="47" t="n">
        <x:f>K853+J854</x:f>
        <x:v>386910</x:v>
      </x:c>
      <x:c r="L854" s="46" t="n">
        <x:f>IF(C854="P0",1,IF(D854&lt;=3,0.8,IF(D854&lt;=14,0.65,IF(D854&lt;=45,0.5,0.3))))</x:f>
        <x:v>0.5</x:v>
      </x:c>
      <x:c r="M854" s="47" t="n">
        <x:f>J854*L854</x:f>
        <x:v>12600</x:v>
      </x:c>
      <x:c r="N854" s="47" t="n">
        <x:f>N853+M854</x:f>
        <x:v>207326.25</x:v>
      </x:c>
      <x:c r="O854" s="46" t="n">
        <x:f>IF(C854="P0",0,IF(D854&lt;=3,0.15,IF(D854&lt;=14,0.25,IF(D854&lt;=45,0.35,0.5))))</x:f>
        <x:v>0.35</x:v>
      </x:c>
      <x:c r="P854" s="47" t="n">
        <x:f>J854*O854</x:f>
        <x:v>8820</x:v>
      </x:c>
      <x:c r="Q854" s="46" t="n">
        <x:f>IF(C854="P0",0,IF(D854&lt;=3,0.05,IF(D854&lt;=14,0.1,IF(D854&lt;=45,0.15,0.2))))</x:f>
        <x:v>0.15</x:v>
      </x:c>
      <x:c r="R854" s="47" t="n">
        <x:f>J854*Q854</x:f>
        <x:v>3780</x:v>
      </x:c>
      <x:c r="S854" s="20" t="str">
        <x:f>IF(D854&lt;E854,"closed",IF(D854&lt;'Paths'!$N$16,"initial","expanded"))</x:f>
        <x:v>expanded</x:v>
      </x:c>
      <x:c r="T854" s="72"/>
    </x:row>
    <x:row r="855">
      <x:c r="C855" s="20" t="str">
        <x:v>P9</x:v>
      </x:c>
      <x:c r="D855" s="20" t="n">
        <x:v>29</x:v>
      </x:c>
      <x:c r="E855" s="45" t="n">
        <x:f>IF('Controls'!$D$7="Reference",'Paths'!$J$16,'Paths'!$K$16)</x:f>
        <x:v>6</x:v>
      </x:c>
      <x:c r="F855" s="47" t="n">
        <x:f>IF(D855&lt;'Paths'!$N$16,IF('Controls'!$D$7="Reference",'Paths'!$L$16,'Paths'!$M$16),IF('Controls'!$D$7="Reference",'Paths'!$O$16,'Paths'!$P$16))</x:f>
        <x:v>28000</x:v>
      </x:c>
      <x:c r="G855" s="46" t="n">
        <x:f>IF('Controls'!$D$7="Reference",1,IF(OR(D855=6,D855=7,D855=21,D855=46),'Paths'!$U$16,1))</x:f>
        <x:v>1</x:v>
      </x:c>
      <x:c r="H855" s="46" t="n">
        <x:f>IF('Controls'!$D$7="Reference",1,IF(OR(AND(D855&gt;=14,D855&lt;=16),AND(D855&gt;=34,D855&lt;=35),AND(D855&gt;=61,D855&lt;=63)),'Paths'!$V$16,1))</x:f>
        <x:v>1</x:v>
      </x:c>
      <x:c r="I855" s="46" t="n">
        <x:f>'Paths'!$W$16</x:f>
        <x:v>0.9</x:v>
      </x:c>
      <x:c r="J855" s="47" t="n">
        <x:f>IF(D855&lt;E855,0,MIN(F855*G855*H855*I855,IF('Paths'!$T$16&gt;0,MAX(0,'Paths'!$T$16-K854),1000000000)))</x:f>
        <x:v>25200</x:v>
      </x:c>
      <x:c r="K855" s="47" t="n">
        <x:f>K854+J855</x:f>
        <x:v>412110</x:v>
      </x:c>
      <x:c r="L855" s="46" t="n">
        <x:f>IF(C855="P0",1,IF(D855&lt;=3,0.8,IF(D855&lt;=14,0.65,IF(D855&lt;=45,0.5,0.3))))</x:f>
        <x:v>0.5</x:v>
      </x:c>
      <x:c r="M855" s="47" t="n">
        <x:f>J855*L855</x:f>
        <x:v>12600</x:v>
      </x:c>
      <x:c r="N855" s="47" t="n">
        <x:f>N854+M855</x:f>
        <x:v>219926.25</x:v>
      </x:c>
      <x:c r="O855" s="46" t="n">
        <x:f>IF(C855="P0",0,IF(D855&lt;=3,0.15,IF(D855&lt;=14,0.25,IF(D855&lt;=45,0.35,0.5))))</x:f>
        <x:v>0.35</x:v>
      </x:c>
      <x:c r="P855" s="47" t="n">
        <x:f>J855*O855</x:f>
        <x:v>8820</x:v>
      </x:c>
      <x:c r="Q855" s="46" t="n">
        <x:f>IF(C855="P0",0,IF(D855&lt;=3,0.05,IF(D855&lt;=14,0.1,IF(D855&lt;=45,0.15,0.2))))</x:f>
        <x:v>0.15</x:v>
      </x:c>
      <x:c r="R855" s="47" t="n">
        <x:f>J855*Q855</x:f>
        <x:v>3780</x:v>
      </x:c>
      <x:c r="S855" s="20" t="str">
        <x:f>IF(D855&lt;E855,"closed",IF(D855&lt;'Paths'!$N$16,"initial","expanded"))</x:f>
        <x:v>expanded</x:v>
      </x:c>
      <x:c r="T855" s="72"/>
    </x:row>
    <x:row r="856">
      <x:c r="C856" s="20" t="str">
        <x:v>P9</x:v>
      </x:c>
      <x:c r="D856" s="20" t="n">
        <x:v>30</x:v>
      </x:c>
      <x:c r="E856" s="45" t="n">
        <x:f>IF('Controls'!$D$7="Reference",'Paths'!$J$16,'Paths'!$K$16)</x:f>
        <x:v>6</x:v>
      </x:c>
      <x:c r="F856" s="47" t="n">
        <x:f>IF(D856&lt;'Paths'!$N$16,IF('Controls'!$D$7="Reference",'Paths'!$L$16,'Paths'!$M$16),IF('Controls'!$D$7="Reference",'Paths'!$O$16,'Paths'!$P$16))</x:f>
        <x:v>28000</x:v>
      </x:c>
      <x:c r="G856" s="46" t="n">
        <x:f>IF('Controls'!$D$7="Reference",1,IF(OR(D856=6,D856=7,D856=21,D856=46),'Paths'!$U$16,1))</x:f>
        <x:v>1</x:v>
      </x:c>
      <x:c r="H856" s="46" t="n">
        <x:f>IF('Controls'!$D$7="Reference",1,IF(OR(AND(D856&gt;=14,D856&lt;=16),AND(D856&gt;=34,D856&lt;=35),AND(D856&gt;=61,D856&lt;=63)),'Paths'!$V$16,1))</x:f>
        <x:v>1</x:v>
      </x:c>
      <x:c r="I856" s="46" t="n">
        <x:f>'Paths'!$W$16</x:f>
        <x:v>0.9</x:v>
      </x:c>
      <x:c r="J856" s="47" t="n">
        <x:f>IF(D856&lt;E856,0,MIN(F856*G856*H856*I856,IF('Paths'!$T$16&gt;0,MAX(0,'Paths'!$T$16-K855),1000000000)))</x:f>
        <x:v>25200</x:v>
      </x:c>
      <x:c r="K856" s="47" t="n">
        <x:f>K855+J856</x:f>
        <x:v>437310</x:v>
      </x:c>
      <x:c r="L856" s="46" t="n">
        <x:f>IF(C856="P0",1,IF(D856&lt;=3,0.8,IF(D856&lt;=14,0.65,IF(D856&lt;=45,0.5,0.3))))</x:f>
        <x:v>0.5</x:v>
      </x:c>
      <x:c r="M856" s="47" t="n">
        <x:f>J856*L856</x:f>
        <x:v>12600</x:v>
      </x:c>
      <x:c r="N856" s="47" t="n">
        <x:f>N855+M856</x:f>
        <x:v>232526.25</x:v>
      </x:c>
      <x:c r="O856" s="46" t="n">
        <x:f>IF(C856="P0",0,IF(D856&lt;=3,0.15,IF(D856&lt;=14,0.25,IF(D856&lt;=45,0.35,0.5))))</x:f>
        <x:v>0.35</x:v>
      </x:c>
      <x:c r="P856" s="47" t="n">
        <x:f>J856*O856</x:f>
        <x:v>8820</x:v>
      </x:c>
      <x:c r="Q856" s="46" t="n">
        <x:f>IF(C856="P0",0,IF(D856&lt;=3,0.05,IF(D856&lt;=14,0.1,IF(D856&lt;=45,0.15,0.2))))</x:f>
        <x:v>0.15</x:v>
      </x:c>
      <x:c r="R856" s="47" t="n">
        <x:f>J856*Q856</x:f>
        <x:v>3780</x:v>
      </x:c>
      <x:c r="S856" s="20" t="str">
        <x:f>IF(D856&lt;E856,"closed",IF(D856&lt;'Paths'!$N$16,"initial","expanded"))</x:f>
        <x:v>expanded</x:v>
      </x:c>
      <x:c r="T856" s="72"/>
    </x:row>
    <x:row r="857">
      <x:c r="C857" s="20" t="str">
        <x:v>P9</x:v>
      </x:c>
      <x:c r="D857" s="20" t="n">
        <x:v>31</x:v>
      </x:c>
      <x:c r="E857" s="45" t="n">
        <x:f>IF('Controls'!$D$7="Reference",'Paths'!$J$16,'Paths'!$K$16)</x:f>
        <x:v>6</x:v>
      </x:c>
      <x:c r="F857" s="47" t="n">
        <x:f>IF(D857&lt;'Paths'!$N$16,IF('Controls'!$D$7="Reference",'Paths'!$L$16,'Paths'!$M$16),IF('Controls'!$D$7="Reference",'Paths'!$O$16,'Paths'!$P$16))</x:f>
        <x:v>28000</x:v>
      </x:c>
      <x:c r="G857" s="46" t="n">
        <x:f>IF('Controls'!$D$7="Reference",1,IF(OR(D857=6,D857=7,D857=21,D857=46),'Paths'!$U$16,1))</x:f>
        <x:v>1</x:v>
      </x:c>
      <x:c r="H857" s="46" t="n">
        <x:f>IF('Controls'!$D$7="Reference",1,IF(OR(AND(D857&gt;=14,D857&lt;=16),AND(D857&gt;=34,D857&lt;=35),AND(D857&gt;=61,D857&lt;=63)),'Paths'!$V$16,1))</x:f>
        <x:v>1</x:v>
      </x:c>
      <x:c r="I857" s="46" t="n">
        <x:f>'Paths'!$W$16</x:f>
        <x:v>0.9</x:v>
      </x:c>
      <x:c r="J857" s="47" t="n">
        <x:f>IF(D857&lt;E857,0,MIN(F857*G857*H857*I857,IF('Paths'!$T$16&gt;0,MAX(0,'Paths'!$T$16-K856),1000000000)))</x:f>
        <x:v>25200</x:v>
      </x:c>
      <x:c r="K857" s="47" t="n">
        <x:f>K856+J857</x:f>
        <x:v>462510</x:v>
      </x:c>
      <x:c r="L857" s="46" t="n">
        <x:f>IF(C857="P0",1,IF(D857&lt;=3,0.8,IF(D857&lt;=14,0.65,IF(D857&lt;=45,0.5,0.3))))</x:f>
        <x:v>0.5</x:v>
      </x:c>
      <x:c r="M857" s="47" t="n">
        <x:f>J857*L857</x:f>
        <x:v>12600</x:v>
      </x:c>
      <x:c r="N857" s="47" t="n">
        <x:f>N856+M857</x:f>
        <x:v>245126.25</x:v>
      </x:c>
      <x:c r="O857" s="46" t="n">
        <x:f>IF(C857="P0",0,IF(D857&lt;=3,0.15,IF(D857&lt;=14,0.25,IF(D857&lt;=45,0.35,0.5))))</x:f>
        <x:v>0.35</x:v>
      </x:c>
      <x:c r="P857" s="47" t="n">
        <x:f>J857*O857</x:f>
        <x:v>8820</x:v>
      </x:c>
      <x:c r="Q857" s="46" t="n">
        <x:f>IF(C857="P0",0,IF(D857&lt;=3,0.05,IF(D857&lt;=14,0.1,IF(D857&lt;=45,0.15,0.2))))</x:f>
        <x:v>0.15</x:v>
      </x:c>
      <x:c r="R857" s="47" t="n">
        <x:f>J857*Q857</x:f>
        <x:v>3780</x:v>
      </x:c>
      <x:c r="S857" s="20" t="str">
        <x:f>IF(D857&lt;E857,"closed",IF(D857&lt;'Paths'!$N$16,"initial","expanded"))</x:f>
        <x:v>expanded</x:v>
      </x:c>
      <x:c r="T857" s="72"/>
    </x:row>
    <x:row r="858">
      <x:c r="C858" s="20" t="str">
        <x:v>P9</x:v>
      </x:c>
      <x:c r="D858" s="20" t="n">
        <x:v>32</x:v>
      </x:c>
      <x:c r="E858" s="45" t="n">
        <x:f>IF('Controls'!$D$7="Reference",'Paths'!$J$16,'Paths'!$K$16)</x:f>
        <x:v>6</x:v>
      </x:c>
      <x:c r="F858" s="47" t="n">
        <x:f>IF(D858&lt;'Paths'!$N$16,IF('Controls'!$D$7="Reference",'Paths'!$L$16,'Paths'!$M$16),IF('Controls'!$D$7="Reference",'Paths'!$O$16,'Paths'!$P$16))</x:f>
        <x:v>28000</x:v>
      </x:c>
      <x:c r="G858" s="46" t="n">
        <x:f>IF('Controls'!$D$7="Reference",1,IF(OR(D858=6,D858=7,D858=21,D858=46),'Paths'!$U$16,1))</x:f>
        <x:v>1</x:v>
      </x:c>
      <x:c r="H858" s="46" t="n">
        <x:f>IF('Controls'!$D$7="Reference",1,IF(OR(AND(D858&gt;=14,D858&lt;=16),AND(D858&gt;=34,D858&lt;=35),AND(D858&gt;=61,D858&lt;=63)),'Paths'!$V$16,1))</x:f>
        <x:v>1</x:v>
      </x:c>
      <x:c r="I858" s="46" t="n">
        <x:f>'Paths'!$W$16</x:f>
        <x:v>0.9</x:v>
      </x:c>
      <x:c r="J858" s="47" t="n">
        <x:f>IF(D858&lt;E858,0,MIN(F858*G858*H858*I858,IF('Paths'!$T$16&gt;0,MAX(0,'Paths'!$T$16-K857),1000000000)))</x:f>
        <x:v>25200</x:v>
      </x:c>
      <x:c r="K858" s="47" t="n">
        <x:f>K857+J858</x:f>
        <x:v>487710</x:v>
      </x:c>
      <x:c r="L858" s="46" t="n">
        <x:f>IF(C858="P0",1,IF(D858&lt;=3,0.8,IF(D858&lt;=14,0.65,IF(D858&lt;=45,0.5,0.3))))</x:f>
        <x:v>0.5</x:v>
      </x:c>
      <x:c r="M858" s="47" t="n">
        <x:f>J858*L858</x:f>
        <x:v>12600</x:v>
      </x:c>
      <x:c r="N858" s="47" t="n">
        <x:f>N857+M858</x:f>
        <x:v>257726.25</x:v>
      </x:c>
      <x:c r="O858" s="46" t="n">
        <x:f>IF(C858="P0",0,IF(D858&lt;=3,0.15,IF(D858&lt;=14,0.25,IF(D858&lt;=45,0.35,0.5))))</x:f>
        <x:v>0.35</x:v>
      </x:c>
      <x:c r="P858" s="47" t="n">
        <x:f>J858*O858</x:f>
        <x:v>8820</x:v>
      </x:c>
      <x:c r="Q858" s="46" t="n">
        <x:f>IF(C858="P0",0,IF(D858&lt;=3,0.05,IF(D858&lt;=14,0.1,IF(D858&lt;=45,0.15,0.2))))</x:f>
        <x:v>0.15</x:v>
      </x:c>
      <x:c r="R858" s="47" t="n">
        <x:f>J858*Q858</x:f>
        <x:v>3780</x:v>
      </x:c>
      <x:c r="S858" s="20" t="str">
        <x:f>IF(D858&lt;E858,"closed",IF(D858&lt;'Paths'!$N$16,"initial","expanded"))</x:f>
        <x:v>expanded</x:v>
      </x:c>
      <x:c r="T858" s="72"/>
    </x:row>
    <x:row r="859">
      <x:c r="C859" s="20" t="str">
        <x:v>P9</x:v>
      </x:c>
      <x:c r="D859" s="20" t="n">
        <x:v>33</x:v>
      </x:c>
      <x:c r="E859" s="45" t="n">
        <x:f>IF('Controls'!$D$7="Reference",'Paths'!$J$16,'Paths'!$K$16)</x:f>
        <x:v>6</x:v>
      </x:c>
      <x:c r="F859" s="47" t="n">
        <x:f>IF(D859&lt;'Paths'!$N$16,IF('Controls'!$D$7="Reference",'Paths'!$L$16,'Paths'!$M$16),IF('Controls'!$D$7="Reference",'Paths'!$O$16,'Paths'!$P$16))</x:f>
        <x:v>28000</x:v>
      </x:c>
      <x:c r="G859" s="46" t="n">
        <x:f>IF('Controls'!$D$7="Reference",1,IF(OR(D859=6,D859=7,D859=21,D859=46),'Paths'!$U$16,1))</x:f>
        <x:v>1</x:v>
      </x:c>
      <x:c r="H859" s="46" t="n">
        <x:f>IF('Controls'!$D$7="Reference",1,IF(OR(AND(D859&gt;=14,D859&lt;=16),AND(D859&gt;=34,D859&lt;=35),AND(D859&gt;=61,D859&lt;=63)),'Paths'!$V$16,1))</x:f>
        <x:v>1</x:v>
      </x:c>
      <x:c r="I859" s="46" t="n">
        <x:f>'Paths'!$W$16</x:f>
        <x:v>0.9</x:v>
      </x:c>
      <x:c r="J859" s="47" t="n">
        <x:f>IF(D859&lt;E859,0,MIN(F859*G859*H859*I859,IF('Paths'!$T$16&gt;0,MAX(0,'Paths'!$T$16-K858),1000000000)))</x:f>
        <x:v>25200</x:v>
      </x:c>
      <x:c r="K859" s="47" t="n">
        <x:f>K858+J859</x:f>
        <x:v>512910</x:v>
      </x:c>
      <x:c r="L859" s="46" t="n">
        <x:f>IF(C859="P0",1,IF(D859&lt;=3,0.8,IF(D859&lt;=14,0.65,IF(D859&lt;=45,0.5,0.3))))</x:f>
        <x:v>0.5</x:v>
      </x:c>
      <x:c r="M859" s="47" t="n">
        <x:f>J859*L859</x:f>
        <x:v>12600</x:v>
      </x:c>
      <x:c r="N859" s="47" t="n">
        <x:f>N858+M859</x:f>
        <x:v>270326.25</x:v>
      </x:c>
      <x:c r="O859" s="46" t="n">
        <x:f>IF(C859="P0",0,IF(D859&lt;=3,0.15,IF(D859&lt;=14,0.25,IF(D859&lt;=45,0.35,0.5))))</x:f>
        <x:v>0.35</x:v>
      </x:c>
      <x:c r="P859" s="47" t="n">
        <x:f>J859*O859</x:f>
        <x:v>8820</x:v>
      </x:c>
      <x:c r="Q859" s="46" t="n">
        <x:f>IF(C859="P0",0,IF(D859&lt;=3,0.05,IF(D859&lt;=14,0.1,IF(D859&lt;=45,0.15,0.2))))</x:f>
        <x:v>0.15</x:v>
      </x:c>
      <x:c r="R859" s="47" t="n">
        <x:f>J859*Q859</x:f>
        <x:v>3780</x:v>
      </x:c>
      <x:c r="S859" s="20" t="str">
        <x:f>IF(D859&lt;E859,"closed",IF(D859&lt;'Paths'!$N$16,"initial","expanded"))</x:f>
        <x:v>expanded</x:v>
      </x:c>
      <x:c r="T859" s="72"/>
    </x:row>
    <x:row r="860">
      <x:c r="C860" s="20" t="str">
        <x:v>P9</x:v>
      </x:c>
      <x:c r="D860" s="20" t="n">
        <x:v>34</x:v>
      </x:c>
      <x:c r="E860" s="45" t="n">
        <x:f>IF('Controls'!$D$7="Reference",'Paths'!$J$16,'Paths'!$K$16)</x:f>
        <x:v>6</x:v>
      </x:c>
      <x:c r="F860" s="47" t="n">
        <x:f>IF(D860&lt;'Paths'!$N$16,IF('Controls'!$D$7="Reference",'Paths'!$L$16,'Paths'!$M$16),IF('Controls'!$D$7="Reference",'Paths'!$O$16,'Paths'!$P$16))</x:f>
        <x:v>28000</x:v>
      </x:c>
      <x:c r="G860" s="46" t="n">
        <x:f>IF('Controls'!$D$7="Reference",1,IF(OR(D860=6,D860=7,D860=21,D860=46),'Paths'!$U$16,1))</x:f>
        <x:v>1</x:v>
      </x:c>
      <x:c r="H860" s="46" t="n">
        <x:f>IF('Controls'!$D$7="Reference",1,IF(OR(AND(D860&gt;=14,D860&lt;=16),AND(D860&gt;=34,D860&lt;=35),AND(D860&gt;=61,D860&lt;=63)),'Paths'!$V$16,1))</x:f>
        <x:v>0.25</x:v>
      </x:c>
      <x:c r="I860" s="46" t="n">
        <x:f>'Paths'!$W$16</x:f>
        <x:v>0.9</x:v>
      </x:c>
      <x:c r="J860" s="47" t="n">
        <x:f>IF(D860&lt;E860,0,MIN(F860*G860*H860*I860,IF('Paths'!$T$16&gt;0,MAX(0,'Paths'!$T$16-K859),1000000000)))</x:f>
        <x:v>6300</x:v>
      </x:c>
      <x:c r="K860" s="47" t="n">
        <x:f>K859+J860</x:f>
        <x:v>519210</x:v>
      </x:c>
      <x:c r="L860" s="46" t="n">
        <x:f>IF(C860="P0",1,IF(D860&lt;=3,0.8,IF(D860&lt;=14,0.65,IF(D860&lt;=45,0.5,0.3))))</x:f>
        <x:v>0.5</x:v>
      </x:c>
      <x:c r="M860" s="47" t="n">
        <x:f>J860*L860</x:f>
        <x:v>3150</x:v>
      </x:c>
      <x:c r="N860" s="47" t="n">
        <x:f>N859+M860</x:f>
        <x:v>273476.25</x:v>
      </x:c>
      <x:c r="O860" s="46" t="n">
        <x:f>IF(C860="P0",0,IF(D860&lt;=3,0.15,IF(D860&lt;=14,0.25,IF(D860&lt;=45,0.35,0.5))))</x:f>
        <x:v>0.35</x:v>
      </x:c>
      <x:c r="P860" s="47" t="n">
        <x:f>J860*O860</x:f>
        <x:v>2205</x:v>
      </x:c>
      <x:c r="Q860" s="46" t="n">
        <x:f>IF(C860="P0",0,IF(D860&lt;=3,0.05,IF(D860&lt;=14,0.1,IF(D860&lt;=45,0.15,0.2))))</x:f>
        <x:v>0.15</x:v>
      </x:c>
      <x:c r="R860" s="47" t="n">
        <x:f>J860*Q860</x:f>
        <x:v>945</x:v>
      </x:c>
      <x:c r="S860" s="20" t="str">
        <x:f>IF(D860&lt;E860,"closed",IF(D860&lt;'Paths'!$N$16,"initial","expanded"))</x:f>
        <x:v>expanded</x:v>
      </x:c>
      <x:c r="T860" s="72"/>
    </x:row>
    <x:row r="861">
      <x:c r="C861" s="20" t="str">
        <x:v>P9</x:v>
      </x:c>
      <x:c r="D861" s="20" t="n">
        <x:v>35</x:v>
      </x:c>
      <x:c r="E861" s="45" t="n">
        <x:f>IF('Controls'!$D$7="Reference",'Paths'!$J$16,'Paths'!$K$16)</x:f>
        <x:v>6</x:v>
      </x:c>
      <x:c r="F861" s="47" t="n">
        <x:f>IF(D861&lt;'Paths'!$N$16,IF('Controls'!$D$7="Reference",'Paths'!$L$16,'Paths'!$M$16),IF('Controls'!$D$7="Reference",'Paths'!$O$16,'Paths'!$P$16))</x:f>
        <x:v>28000</x:v>
      </x:c>
      <x:c r="G861" s="46" t="n">
        <x:f>IF('Controls'!$D$7="Reference",1,IF(OR(D861=6,D861=7,D861=21,D861=46),'Paths'!$U$16,1))</x:f>
        <x:v>1</x:v>
      </x:c>
      <x:c r="H861" s="46" t="n">
        <x:f>IF('Controls'!$D$7="Reference",1,IF(OR(AND(D861&gt;=14,D861&lt;=16),AND(D861&gt;=34,D861&lt;=35),AND(D861&gt;=61,D861&lt;=63)),'Paths'!$V$16,1))</x:f>
        <x:v>0.25</x:v>
      </x:c>
      <x:c r="I861" s="46" t="n">
        <x:f>'Paths'!$W$16</x:f>
        <x:v>0.9</x:v>
      </x:c>
      <x:c r="J861" s="47" t="n">
        <x:f>IF(D861&lt;E861,0,MIN(F861*G861*H861*I861,IF('Paths'!$T$16&gt;0,MAX(0,'Paths'!$T$16-K860),1000000000)))</x:f>
        <x:v>6300</x:v>
      </x:c>
      <x:c r="K861" s="47" t="n">
        <x:f>K860+J861</x:f>
        <x:v>525510</x:v>
      </x:c>
      <x:c r="L861" s="46" t="n">
        <x:f>IF(C861="P0",1,IF(D861&lt;=3,0.8,IF(D861&lt;=14,0.65,IF(D861&lt;=45,0.5,0.3))))</x:f>
        <x:v>0.5</x:v>
      </x:c>
      <x:c r="M861" s="47" t="n">
        <x:f>J861*L861</x:f>
        <x:v>3150</x:v>
      </x:c>
      <x:c r="N861" s="47" t="n">
        <x:f>N860+M861</x:f>
        <x:v>276626.25</x:v>
      </x:c>
      <x:c r="O861" s="46" t="n">
        <x:f>IF(C861="P0",0,IF(D861&lt;=3,0.15,IF(D861&lt;=14,0.25,IF(D861&lt;=45,0.35,0.5))))</x:f>
        <x:v>0.35</x:v>
      </x:c>
      <x:c r="P861" s="47" t="n">
        <x:f>J861*O861</x:f>
        <x:v>2205</x:v>
      </x:c>
      <x:c r="Q861" s="46" t="n">
        <x:f>IF(C861="P0",0,IF(D861&lt;=3,0.05,IF(D861&lt;=14,0.1,IF(D861&lt;=45,0.15,0.2))))</x:f>
        <x:v>0.15</x:v>
      </x:c>
      <x:c r="R861" s="47" t="n">
        <x:f>J861*Q861</x:f>
        <x:v>945</x:v>
      </x:c>
      <x:c r="S861" s="20" t="str">
        <x:f>IF(D861&lt;E861,"closed",IF(D861&lt;'Paths'!$N$16,"initial","expanded"))</x:f>
        <x:v>expanded</x:v>
      </x:c>
      <x:c r="T861" s="72"/>
    </x:row>
    <x:row r="862">
      <x:c r="C862" s="20" t="str">
        <x:v>P9</x:v>
      </x:c>
      <x:c r="D862" s="20" t="n">
        <x:v>36</x:v>
      </x:c>
      <x:c r="E862" s="45" t="n">
        <x:f>IF('Controls'!$D$7="Reference",'Paths'!$J$16,'Paths'!$K$16)</x:f>
        <x:v>6</x:v>
      </x:c>
      <x:c r="F862" s="47" t="n">
        <x:f>IF(D862&lt;'Paths'!$N$16,IF('Controls'!$D$7="Reference",'Paths'!$L$16,'Paths'!$M$16),IF('Controls'!$D$7="Reference",'Paths'!$O$16,'Paths'!$P$16))</x:f>
        <x:v>28000</x:v>
      </x:c>
      <x:c r="G862" s="46" t="n">
        <x:f>IF('Controls'!$D$7="Reference",1,IF(OR(D862=6,D862=7,D862=21,D862=46),'Paths'!$U$16,1))</x:f>
        <x:v>1</x:v>
      </x:c>
      <x:c r="H862" s="46" t="n">
        <x:f>IF('Controls'!$D$7="Reference",1,IF(OR(AND(D862&gt;=14,D862&lt;=16),AND(D862&gt;=34,D862&lt;=35),AND(D862&gt;=61,D862&lt;=63)),'Paths'!$V$16,1))</x:f>
        <x:v>1</x:v>
      </x:c>
      <x:c r="I862" s="46" t="n">
        <x:f>'Paths'!$W$16</x:f>
        <x:v>0.9</x:v>
      </x:c>
      <x:c r="J862" s="47" t="n">
        <x:f>IF(D862&lt;E862,0,MIN(F862*G862*H862*I862,IF('Paths'!$T$16&gt;0,MAX(0,'Paths'!$T$16-K861),1000000000)))</x:f>
        <x:v>25200</x:v>
      </x:c>
      <x:c r="K862" s="47" t="n">
        <x:f>K861+J862</x:f>
        <x:v>550710</x:v>
      </x:c>
      <x:c r="L862" s="46" t="n">
        <x:f>IF(C862="P0",1,IF(D862&lt;=3,0.8,IF(D862&lt;=14,0.65,IF(D862&lt;=45,0.5,0.3))))</x:f>
        <x:v>0.5</x:v>
      </x:c>
      <x:c r="M862" s="47" t="n">
        <x:f>J862*L862</x:f>
        <x:v>12600</x:v>
      </x:c>
      <x:c r="N862" s="47" t="n">
        <x:f>N861+M862</x:f>
        <x:v>289226.25</x:v>
      </x:c>
      <x:c r="O862" s="46" t="n">
        <x:f>IF(C862="P0",0,IF(D862&lt;=3,0.15,IF(D862&lt;=14,0.25,IF(D862&lt;=45,0.35,0.5))))</x:f>
        <x:v>0.35</x:v>
      </x:c>
      <x:c r="P862" s="47" t="n">
        <x:f>J862*O862</x:f>
        <x:v>8820</x:v>
      </x:c>
      <x:c r="Q862" s="46" t="n">
        <x:f>IF(C862="P0",0,IF(D862&lt;=3,0.05,IF(D862&lt;=14,0.1,IF(D862&lt;=45,0.15,0.2))))</x:f>
        <x:v>0.15</x:v>
      </x:c>
      <x:c r="R862" s="47" t="n">
        <x:f>J862*Q862</x:f>
        <x:v>3780</x:v>
      </x:c>
      <x:c r="S862" s="20" t="str">
        <x:f>IF(D862&lt;E862,"closed",IF(D862&lt;'Paths'!$N$16,"initial","expanded"))</x:f>
        <x:v>expanded</x:v>
      </x:c>
      <x:c r="T862" s="72"/>
    </x:row>
    <x:row r="863">
      <x:c r="C863" s="20" t="str">
        <x:v>P9</x:v>
      </x:c>
      <x:c r="D863" s="20" t="n">
        <x:v>37</x:v>
      </x:c>
      <x:c r="E863" s="45" t="n">
        <x:f>IF('Controls'!$D$7="Reference",'Paths'!$J$16,'Paths'!$K$16)</x:f>
        <x:v>6</x:v>
      </x:c>
      <x:c r="F863" s="47" t="n">
        <x:f>IF(D863&lt;'Paths'!$N$16,IF('Controls'!$D$7="Reference",'Paths'!$L$16,'Paths'!$M$16),IF('Controls'!$D$7="Reference",'Paths'!$O$16,'Paths'!$P$16))</x:f>
        <x:v>28000</x:v>
      </x:c>
      <x:c r="G863" s="46" t="n">
        <x:f>IF('Controls'!$D$7="Reference",1,IF(OR(D863=6,D863=7,D863=21,D863=46),'Paths'!$U$16,1))</x:f>
        <x:v>1</x:v>
      </x:c>
      <x:c r="H863" s="46" t="n">
        <x:f>IF('Controls'!$D$7="Reference",1,IF(OR(AND(D863&gt;=14,D863&lt;=16),AND(D863&gt;=34,D863&lt;=35),AND(D863&gt;=61,D863&lt;=63)),'Paths'!$V$16,1))</x:f>
        <x:v>1</x:v>
      </x:c>
      <x:c r="I863" s="46" t="n">
        <x:f>'Paths'!$W$16</x:f>
        <x:v>0.9</x:v>
      </x:c>
      <x:c r="J863" s="47" t="n">
        <x:f>IF(D863&lt;E863,0,MIN(F863*G863*H863*I863,IF('Paths'!$T$16&gt;0,MAX(0,'Paths'!$T$16-K862),1000000000)))</x:f>
        <x:v>25200</x:v>
      </x:c>
      <x:c r="K863" s="47" t="n">
        <x:f>K862+J863</x:f>
        <x:v>575910</x:v>
      </x:c>
      <x:c r="L863" s="46" t="n">
        <x:f>IF(C863="P0",1,IF(D863&lt;=3,0.8,IF(D863&lt;=14,0.65,IF(D863&lt;=45,0.5,0.3))))</x:f>
        <x:v>0.5</x:v>
      </x:c>
      <x:c r="M863" s="47" t="n">
        <x:f>J863*L863</x:f>
        <x:v>12600</x:v>
      </x:c>
      <x:c r="N863" s="47" t="n">
        <x:f>N862+M863</x:f>
        <x:v>301826.25</x:v>
      </x:c>
      <x:c r="O863" s="46" t="n">
        <x:f>IF(C863="P0",0,IF(D863&lt;=3,0.15,IF(D863&lt;=14,0.25,IF(D863&lt;=45,0.35,0.5))))</x:f>
        <x:v>0.35</x:v>
      </x:c>
      <x:c r="P863" s="47" t="n">
        <x:f>J863*O863</x:f>
        <x:v>8820</x:v>
      </x:c>
      <x:c r="Q863" s="46" t="n">
        <x:f>IF(C863="P0",0,IF(D863&lt;=3,0.05,IF(D863&lt;=14,0.1,IF(D863&lt;=45,0.15,0.2))))</x:f>
        <x:v>0.15</x:v>
      </x:c>
      <x:c r="R863" s="47" t="n">
        <x:f>J863*Q863</x:f>
        <x:v>3780</x:v>
      </x:c>
      <x:c r="S863" s="20" t="str">
        <x:f>IF(D863&lt;E863,"closed",IF(D863&lt;'Paths'!$N$16,"initial","expanded"))</x:f>
        <x:v>expanded</x:v>
      </x:c>
      <x:c r="T863" s="72"/>
    </x:row>
    <x:row r="864">
      <x:c r="C864" s="20" t="str">
        <x:v>P9</x:v>
      </x:c>
      <x:c r="D864" s="20" t="n">
        <x:v>38</x:v>
      </x:c>
      <x:c r="E864" s="45" t="n">
        <x:f>IF('Controls'!$D$7="Reference",'Paths'!$J$16,'Paths'!$K$16)</x:f>
        <x:v>6</x:v>
      </x:c>
      <x:c r="F864" s="47" t="n">
        <x:f>IF(D864&lt;'Paths'!$N$16,IF('Controls'!$D$7="Reference",'Paths'!$L$16,'Paths'!$M$16),IF('Controls'!$D$7="Reference",'Paths'!$O$16,'Paths'!$P$16))</x:f>
        <x:v>28000</x:v>
      </x:c>
      <x:c r="G864" s="46" t="n">
        <x:f>IF('Controls'!$D$7="Reference",1,IF(OR(D864=6,D864=7,D864=21,D864=46),'Paths'!$U$16,1))</x:f>
        <x:v>1</x:v>
      </x:c>
      <x:c r="H864" s="46" t="n">
        <x:f>IF('Controls'!$D$7="Reference",1,IF(OR(AND(D864&gt;=14,D864&lt;=16),AND(D864&gt;=34,D864&lt;=35),AND(D864&gt;=61,D864&lt;=63)),'Paths'!$V$16,1))</x:f>
        <x:v>1</x:v>
      </x:c>
      <x:c r="I864" s="46" t="n">
        <x:f>'Paths'!$W$16</x:f>
        <x:v>0.9</x:v>
      </x:c>
      <x:c r="J864" s="47" t="n">
        <x:f>IF(D864&lt;E864,0,MIN(F864*G864*H864*I864,IF('Paths'!$T$16&gt;0,MAX(0,'Paths'!$T$16-K863),1000000000)))</x:f>
        <x:v>25200</x:v>
      </x:c>
      <x:c r="K864" s="47" t="n">
        <x:f>K863+J864</x:f>
        <x:v>601110</x:v>
      </x:c>
      <x:c r="L864" s="46" t="n">
        <x:f>IF(C864="P0",1,IF(D864&lt;=3,0.8,IF(D864&lt;=14,0.65,IF(D864&lt;=45,0.5,0.3))))</x:f>
        <x:v>0.5</x:v>
      </x:c>
      <x:c r="M864" s="47" t="n">
        <x:f>J864*L864</x:f>
        <x:v>12600</x:v>
      </x:c>
      <x:c r="N864" s="47" t="n">
        <x:f>N863+M864</x:f>
        <x:v>314426.25</x:v>
      </x:c>
      <x:c r="O864" s="46" t="n">
        <x:f>IF(C864="P0",0,IF(D864&lt;=3,0.15,IF(D864&lt;=14,0.25,IF(D864&lt;=45,0.35,0.5))))</x:f>
        <x:v>0.35</x:v>
      </x:c>
      <x:c r="P864" s="47" t="n">
        <x:f>J864*O864</x:f>
        <x:v>8820</x:v>
      </x:c>
      <x:c r="Q864" s="46" t="n">
        <x:f>IF(C864="P0",0,IF(D864&lt;=3,0.05,IF(D864&lt;=14,0.1,IF(D864&lt;=45,0.15,0.2))))</x:f>
        <x:v>0.15</x:v>
      </x:c>
      <x:c r="R864" s="47" t="n">
        <x:f>J864*Q864</x:f>
        <x:v>3780</x:v>
      </x:c>
      <x:c r="S864" s="20" t="str">
        <x:f>IF(D864&lt;E864,"closed",IF(D864&lt;'Paths'!$N$16,"initial","expanded"))</x:f>
        <x:v>expanded</x:v>
      </x:c>
      <x:c r="T864" s="72"/>
    </x:row>
    <x:row r="865">
      <x:c r="C865" s="20" t="str">
        <x:v>P9</x:v>
      </x:c>
      <x:c r="D865" s="20" t="n">
        <x:v>39</x:v>
      </x:c>
      <x:c r="E865" s="45" t="n">
        <x:f>IF('Controls'!$D$7="Reference",'Paths'!$J$16,'Paths'!$K$16)</x:f>
        <x:v>6</x:v>
      </x:c>
      <x:c r="F865" s="47" t="n">
        <x:f>IF(D865&lt;'Paths'!$N$16,IF('Controls'!$D$7="Reference",'Paths'!$L$16,'Paths'!$M$16),IF('Controls'!$D$7="Reference",'Paths'!$O$16,'Paths'!$P$16))</x:f>
        <x:v>28000</x:v>
      </x:c>
      <x:c r="G865" s="46" t="n">
        <x:f>IF('Controls'!$D$7="Reference",1,IF(OR(D865=6,D865=7,D865=21,D865=46),'Paths'!$U$16,1))</x:f>
        <x:v>1</x:v>
      </x:c>
      <x:c r="H865" s="46" t="n">
        <x:f>IF('Controls'!$D$7="Reference",1,IF(OR(AND(D865&gt;=14,D865&lt;=16),AND(D865&gt;=34,D865&lt;=35),AND(D865&gt;=61,D865&lt;=63)),'Paths'!$V$16,1))</x:f>
        <x:v>1</x:v>
      </x:c>
      <x:c r="I865" s="46" t="n">
        <x:f>'Paths'!$W$16</x:f>
        <x:v>0.9</x:v>
      </x:c>
      <x:c r="J865" s="47" t="n">
        <x:f>IF(D865&lt;E865,0,MIN(F865*G865*H865*I865,IF('Paths'!$T$16&gt;0,MAX(0,'Paths'!$T$16-K864),1000000000)))</x:f>
        <x:v>25200</x:v>
      </x:c>
      <x:c r="K865" s="47" t="n">
        <x:f>K864+J865</x:f>
        <x:v>626310</x:v>
      </x:c>
      <x:c r="L865" s="46" t="n">
        <x:f>IF(C865="P0",1,IF(D865&lt;=3,0.8,IF(D865&lt;=14,0.65,IF(D865&lt;=45,0.5,0.3))))</x:f>
        <x:v>0.5</x:v>
      </x:c>
      <x:c r="M865" s="47" t="n">
        <x:f>J865*L865</x:f>
        <x:v>12600</x:v>
      </x:c>
      <x:c r="N865" s="47" t="n">
        <x:f>N864+M865</x:f>
        <x:v>327026.25</x:v>
      </x:c>
      <x:c r="O865" s="46" t="n">
        <x:f>IF(C865="P0",0,IF(D865&lt;=3,0.15,IF(D865&lt;=14,0.25,IF(D865&lt;=45,0.35,0.5))))</x:f>
        <x:v>0.35</x:v>
      </x:c>
      <x:c r="P865" s="47" t="n">
        <x:f>J865*O865</x:f>
        <x:v>8820</x:v>
      </x:c>
      <x:c r="Q865" s="46" t="n">
        <x:f>IF(C865="P0",0,IF(D865&lt;=3,0.05,IF(D865&lt;=14,0.1,IF(D865&lt;=45,0.15,0.2))))</x:f>
        <x:v>0.15</x:v>
      </x:c>
      <x:c r="R865" s="47" t="n">
        <x:f>J865*Q865</x:f>
        <x:v>3780</x:v>
      </x:c>
      <x:c r="S865" s="20" t="str">
        <x:f>IF(D865&lt;E865,"closed",IF(D865&lt;'Paths'!$N$16,"initial","expanded"))</x:f>
        <x:v>expanded</x:v>
      </x:c>
      <x:c r="T865" s="72"/>
    </x:row>
    <x:row r="866">
      <x:c r="C866" s="20" t="str">
        <x:v>P9</x:v>
      </x:c>
      <x:c r="D866" s="20" t="n">
        <x:v>40</x:v>
      </x:c>
      <x:c r="E866" s="45" t="n">
        <x:f>IF('Controls'!$D$7="Reference",'Paths'!$J$16,'Paths'!$K$16)</x:f>
        <x:v>6</x:v>
      </x:c>
      <x:c r="F866" s="47" t="n">
        <x:f>IF(D866&lt;'Paths'!$N$16,IF('Controls'!$D$7="Reference",'Paths'!$L$16,'Paths'!$M$16),IF('Controls'!$D$7="Reference",'Paths'!$O$16,'Paths'!$P$16))</x:f>
        <x:v>28000</x:v>
      </x:c>
      <x:c r="G866" s="46" t="n">
        <x:f>IF('Controls'!$D$7="Reference",1,IF(OR(D866=6,D866=7,D866=21,D866=46),'Paths'!$U$16,1))</x:f>
        <x:v>1</x:v>
      </x:c>
      <x:c r="H866" s="46" t="n">
        <x:f>IF('Controls'!$D$7="Reference",1,IF(OR(AND(D866&gt;=14,D866&lt;=16),AND(D866&gt;=34,D866&lt;=35),AND(D866&gt;=61,D866&lt;=63)),'Paths'!$V$16,1))</x:f>
        <x:v>1</x:v>
      </x:c>
      <x:c r="I866" s="46" t="n">
        <x:f>'Paths'!$W$16</x:f>
        <x:v>0.9</x:v>
      </x:c>
      <x:c r="J866" s="47" t="n">
        <x:f>IF(D866&lt;E866,0,MIN(F866*G866*H866*I866,IF('Paths'!$T$16&gt;0,MAX(0,'Paths'!$T$16-K865),1000000000)))</x:f>
        <x:v>25200</x:v>
      </x:c>
      <x:c r="K866" s="47" t="n">
        <x:f>K865+J866</x:f>
        <x:v>651510</x:v>
      </x:c>
      <x:c r="L866" s="46" t="n">
        <x:f>IF(C866="P0",1,IF(D866&lt;=3,0.8,IF(D866&lt;=14,0.65,IF(D866&lt;=45,0.5,0.3))))</x:f>
        <x:v>0.5</x:v>
      </x:c>
      <x:c r="M866" s="47" t="n">
        <x:f>J866*L866</x:f>
        <x:v>12600</x:v>
      </x:c>
      <x:c r="N866" s="47" t="n">
        <x:f>N865+M866</x:f>
        <x:v>339626.25</x:v>
      </x:c>
      <x:c r="O866" s="46" t="n">
        <x:f>IF(C866="P0",0,IF(D866&lt;=3,0.15,IF(D866&lt;=14,0.25,IF(D866&lt;=45,0.35,0.5))))</x:f>
        <x:v>0.35</x:v>
      </x:c>
      <x:c r="P866" s="47" t="n">
        <x:f>J866*O866</x:f>
        <x:v>8820</x:v>
      </x:c>
      <x:c r="Q866" s="46" t="n">
        <x:f>IF(C866="P0",0,IF(D866&lt;=3,0.05,IF(D866&lt;=14,0.1,IF(D866&lt;=45,0.15,0.2))))</x:f>
        <x:v>0.15</x:v>
      </x:c>
      <x:c r="R866" s="47" t="n">
        <x:f>J866*Q866</x:f>
        <x:v>3780</x:v>
      </x:c>
      <x:c r="S866" s="20" t="str">
        <x:f>IF(D866&lt;E866,"closed",IF(D866&lt;'Paths'!$N$16,"initial","expanded"))</x:f>
        <x:v>expanded</x:v>
      </x:c>
      <x:c r="T866" s="72"/>
    </x:row>
    <x:row r="867">
      <x:c r="C867" s="20" t="str">
        <x:v>P9</x:v>
      </x:c>
      <x:c r="D867" s="20" t="n">
        <x:v>41</x:v>
      </x:c>
      <x:c r="E867" s="45" t="n">
        <x:f>IF('Controls'!$D$7="Reference",'Paths'!$J$16,'Paths'!$K$16)</x:f>
        <x:v>6</x:v>
      </x:c>
      <x:c r="F867" s="47" t="n">
        <x:f>IF(D867&lt;'Paths'!$N$16,IF('Controls'!$D$7="Reference",'Paths'!$L$16,'Paths'!$M$16),IF('Controls'!$D$7="Reference",'Paths'!$O$16,'Paths'!$P$16))</x:f>
        <x:v>28000</x:v>
      </x:c>
      <x:c r="G867" s="46" t="n">
        <x:f>IF('Controls'!$D$7="Reference",1,IF(OR(D867=6,D867=7,D867=21,D867=46),'Paths'!$U$16,1))</x:f>
        <x:v>1</x:v>
      </x:c>
      <x:c r="H867" s="46" t="n">
        <x:f>IF('Controls'!$D$7="Reference",1,IF(OR(AND(D867&gt;=14,D867&lt;=16),AND(D867&gt;=34,D867&lt;=35),AND(D867&gt;=61,D867&lt;=63)),'Paths'!$V$16,1))</x:f>
        <x:v>1</x:v>
      </x:c>
      <x:c r="I867" s="46" t="n">
        <x:f>'Paths'!$W$16</x:f>
        <x:v>0.9</x:v>
      </x:c>
      <x:c r="J867" s="47" t="n">
        <x:f>IF(D867&lt;E867,0,MIN(F867*G867*H867*I867,IF('Paths'!$T$16&gt;0,MAX(0,'Paths'!$T$16-K866),1000000000)))</x:f>
        <x:v>25200</x:v>
      </x:c>
      <x:c r="K867" s="47" t="n">
        <x:f>K866+J867</x:f>
        <x:v>676710</x:v>
      </x:c>
      <x:c r="L867" s="46" t="n">
        <x:f>IF(C867="P0",1,IF(D867&lt;=3,0.8,IF(D867&lt;=14,0.65,IF(D867&lt;=45,0.5,0.3))))</x:f>
        <x:v>0.5</x:v>
      </x:c>
      <x:c r="M867" s="47" t="n">
        <x:f>J867*L867</x:f>
        <x:v>12600</x:v>
      </x:c>
      <x:c r="N867" s="47" t="n">
        <x:f>N866+M867</x:f>
        <x:v>352226.25</x:v>
      </x:c>
      <x:c r="O867" s="46" t="n">
        <x:f>IF(C867="P0",0,IF(D867&lt;=3,0.15,IF(D867&lt;=14,0.25,IF(D867&lt;=45,0.35,0.5))))</x:f>
        <x:v>0.35</x:v>
      </x:c>
      <x:c r="P867" s="47" t="n">
        <x:f>J867*O867</x:f>
        <x:v>8820</x:v>
      </x:c>
      <x:c r="Q867" s="46" t="n">
        <x:f>IF(C867="P0",0,IF(D867&lt;=3,0.05,IF(D867&lt;=14,0.1,IF(D867&lt;=45,0.15,0.2))))</x:f>
        <x:v>0.15</x:v>
      </x:c>
      <x:c r="R867" s="47" t="n">
        <x:f>J867*Q867</x:f>
        <x:v>3780</x:v>
      </x:c>
      <x:c r="S867" s="20" t="str">
        <x:f>IF(D867&lt;E867,"closed",IF(D867&lt;'Paths'!$N$16,"initial","expanded"))</x:f>
        <x:v>expanded</x:v>
      </x:c>
      <x:c r="T867" s="72"/>
    </x:row>
    <x:row r="868">
      <x:c r="C868" s="20" t="str">
        <x:v>P9</x:v>
      </x:c>
      <x:c r="D868" s="20" t="n">
        <x:v>42</x:v>
      </x:c>
      <x:c r="E868" s="45" t="n">
        <x:f>IF('Controls'!$D$7="Reference",'Paths'!$J$16,'Paths'!$K$16)</x:f>
        <x:v>6</x:v>
      </x:c>
      <x:c r="F868" s="47" t="n">
        <x:f>IF(D868&lt;'Paths'!$N$16,IF('Controls'!$D$7="Reference",'Paths'!$L$16,'Paths'!$M$16),IF('Controls'!$D$7="Reference",'Paths'!$O$16,'Paths'!$P$16))</x:f>
        <x:v>28000</x:v>
      </x:c>
      <x:c r="G868" s="46" t="n">
        <x:f>IF('Controls'!$D$7="Reference",1,IF(OR(D868=6,D868=7,D868=21,D868=46),'Paths'!$U$16,1))</x:f>
        <x:v>1</x:v>
      </x:c>
      <x:c r="H868" s="46" t="n">
        <x:f>IF('Controls'!$D$7="Reference",1,IF(OR(AND(D868&gt;=14,D868&lt;=16),AND(D868&gt;=34,D868&lt;=35),AND(D868&gt;=61,D868&lt;=63)),'Paths'!$V$16,1))</x:f>
        <x:v>1</x:v>
      </x:c>
      <x:c r="I868" s="46" t="n">
        <x:f>'Paths'!$W$16</x:f>
        <x:v>0.9</x:v>
      </x:c>
      <x:c r="J868" s="47" t="n">
        <x:f>IF(D868&lt;E868,0,MIN(F868*G868*H868*I868,IF('Paths'!$T$16&gt;0,MAX(0,'Paths'!$T$16-K867),1000000000)))</x:f>
        <x:v>25200</x:v>
      </x:c>
      <x:c r="K868" s="47" t="n">
        <x:f>K867+J868</x:f>
        <x:v>701910</x:v>
      </x:c>
      <x:c r="L868" s="46" t="n">
        <x:f>IF(C868="P0",1,IF(D868&lt;=3,0.8,IF(D868&lt;=14,0.65,IF(D868&lt;=45,0.5,0.3))))</x:f>
        <x:v>0.5</x:v>
      </x:c>
      <x:c r="M868" s="47" t="n">
        <x:f>J868*L868</x:f>
        <x:v>12600</x:v>
      </x:c>
      <x:c r="N868" s="47" t="n">
        <x:f>N867+M868</x:f>
        <x:v>364826.25</x:v>
      </x:c>
      <x:c r="O868" s="46" t="n">
        <x:f>IF(C868="P0",0,IF(D868&lt;=3,0.15,IF(D868&lt;=14,0.25,IF(D868&lt;=45,0.35,0.5))))</x:f>
        <x:v>0.35</x:v>
      </x:c>
      <x:c r="P868" s="47" t="n">
        <x:f>J868*O868</x:f>
        <x:v>8820</x:v>
      </x:c>
      <x:c r="Q868" s="46" t="n">
        <x:f>IF(C868="P0",0,IF(D868&lt;=3,0.05,IF(D868&lt;=14,0.1,IF(D868&lt;=45,0.15,0.2))))</x:f>
        <x:v>0.15</x:v>
      </x:c>
      <x:c r="R868" s="47" t="n">
        <x:f>J868*Q868</x:f>
        <x:v>3780</x:v>
      </x:c>
      <x:c r="S868" s="20" t="str">
        <x:f>IF(D868&lt;E868,"closed",IF(D868&lt;'Paths'!$N$16,"initial","expanded"))</x:f>
        <x:v>expanded</x:v>
      </x:c>
      <x:c r="T868" s="72"/>
    </x:row>
    <x:row r="869">
      <x:c r="C869" s="20" t="str">
        <x:v>P9</x:v>
      </x:c>
      <x:c r="D869" s="20" t="n">
        <x:v>43</x:v>
      </x:c>
      <x:c r="E869" s="45" t="n">
        <x:f>IF('Controls'!$D$7="Reference",'Paths'!$J$16,'Paths'!$K$16)</x:f>
        <x:v>6</x:v>
      </x:c>
      <x:c r="F869" s="47" t="n">
        <x:f>IF(D869&lt;'Paths'!$N$16,IF('Controls'!$D$7="Reference",'Paths'!$L$16,'Paths'!$M$16),IF('Controls'!$D$7="Reference",'Paths'!$O$16,'Paths'!$P$16))</x:f>
        <x:v>28000</x:v>
      </x:c>
      <x:c r="G869" s="46" t="n">
        <x:f>IF('Controls'!$D$7="Reference",1,IF(OR(D869=6,D869=7,D869=21,D869=46),'Paths'!$U$16,1))</x:f>
        <x:v>1</x:v>
      </x:c>
      <x:c r="H869" s="46" t="n">
        <x:f>IF('Controls'!$D$7="Reference",1,IF(OR(AND(D869&gt;=14,D869&lt;=16),AND(D869&gt;=34,D869&lt;=35),AND(D869&gt;=61,D869&lt;=63)),'Paths'!$V$16,1))</x:f>
        <x:v>1</x:v>
      </x:c>
      <x:c r="I869" s="46" t="n">
        <x:f>'Paths'!$W$16</x:f>
        <x:v>0.9</x:v>
      </x:c>
      <x:c r="J869" s="47" t="n">
        <x:f>IF(D869&lt;E869,0,MIN(F869*G869*H869*I869,IF('Paths'!$T$16&gt;0,MAX(0,'Paths'!$T$16-K868),1000000000)))</x:f>
        <x:v>25200</x:v>
      </x:c>
      <x:c r="K869" s="47" t="n">
        <x:f>K868+J869</x:f>
        <x:v>727110</x:v>
      </x:c>
      <x:c r="L869" s="46" t="n">
        <x:f>IF(C869="P0",1,IF(D869&lt;=3,0.8,IF(D869&lt;=14,0.65,IF(D869&lt;=45,0.5,0.3))))</x:f>
        <x:v>0.5</x:v>
      </x:c>
      <x:c r="M869" s="47" t="n">
        <x:f>J869*L869</x:f>
        <x:v>12600</x:v>
      </x:c>
      <x:c r="N869" s="47" t="n">
        <x:f>N868+M869</x:f>
        <x:v>377426.25</x:v>
      </x:c>
      <x:c r="O869" s="46" t="n">
        <x:f>IF(C869="P0",0,IF(D869&lt;=3,0.15,IF(D869&lt;=14,0.25,IF(D869&lt;=45,0.35,0.5))))</x:f>
        <x:v>0.35</x:v>
      </x:c>
      <x:c r="P869" s="47" t="n">
        <x:f>J869*O869</x:f>
        <x:v>8820</x:v>
      </x:c>
      <x:c r="Q869" s="46" t="n">
        <x:f>IF(C869="P0",0,IF(D869&lt;=3,0.05,IF(D869&lt;=14,0.1,IF(D869&lt;=45,0.15,0.2))))</x:f>
        <x:v>0.15</x:v>
      </x:c>
      <x:c r="R869" s="47" t="n">
        <x:f>J869*Q869</x:f>
        <x:v>3780</x:v>
      </x:c>
      <x:c r="S869" s="20" t="str">
        <x:f>IF(D869&lt;E869,"closed",IF(D869&lt;'Paths'!$N$16,"initial","expanded"))</x:f>
        <x:v>expanded</x:v>
      </x:c>
      <x:c r="T869" s="72"/>
    </x:row>
    <x:row r="870">
      <x:c r="C870" s="20" t="str">
        <x:v>P9</x:v>
      </x:c>
      <x:c r="D870" s="20" t="n">
        <x:v>44</x:v>
      </x:c>
      <x:c r="E870" s="45" t="n">
        <x:f>IF('Controls'!$D$7="Reference",'Paths'!$J$16,'Paths'!$K$16)</x:f>
        <x:v>6</x:v>
      </x:c>
      <x:c r="F870" s="47" t="n">
        <x:f>IF(D870&lt;'Paths'!$N$16,IF('Controls'!$D$7="Reference",'Paths'!$L$16,'Paths'!$M$16),IF('Controls'!$D$7="Reference",'Paths'!$O$16,'Paths'!$P$16))</x:f>
        <x:v>28000</x:v>
      </x:c>
      <x:c r="G870" s="46" t="n">
        <x:f>IF('Controls'!$D$7="Reference",1,IF(OR(D870=6,D870=7,D870=21,D870=46),'Paths'!$U$16,1))</x:f>
        <x:v>1</x:v>
      </x:c>
      <x:c r="H870" s="46" t="n">
        <x:f>IF('Controls'!$D$7="Reference",1,IF(OR(AND(D870&gt;=14,D870&lt;=16),AND(D870&gt;=34,D870&lt;=35),AND(D870&gt;=61,D870&lt;=63)),'Paths'!$V$16,1))</x:f>
        <x:v>1</x:v>
      </x:c>
      <x:c r="I870" s="46" t="n">
        <x:f>'Paths'!$W$16</x:f>
        <x:v>0.9</x:v>
      </x:c>
      <x:c r="J870" s="47" t="n">
        <x:f>IF(D870&lt;E870,0,MIN(F870*G870*H870*I870,IF('Paths'!$T$16&gt;0,MAX(0,'Paths'!$T$16-K869),1000000000)))</x:f>
        <x:v>25200</x:v>
      </x:c>
      <x:c r="K870" s="47" t="n">
        <x:f>K869+J870</x:f>
        <x:v>752310</x:v>
      </x:c>
      <x:c r="L870" s="46" t="n">
        <x:f>IF(C870="P0",1,IF(D870&lt;=3,0.8,IF(D870&lt;=14,0.65,IF(D870&lt;=45,0.5,0.3))))</x:f>
        <x:v>0.5</x:v>
      </x:c>
      <x:c r="M870" s="47" t="n">
        <x:f>J870*L870</x:f>
        <x:v>12600</x:v>
      </x:c>
      <x:c r="N870" s="47" t="n">
        <x:f>N869+M870</x:f>
        <x:v>390026.25</x:v>
      </x:c>
      <x:c r="O870" s="46" t="n">
        <x:f>IF(C870="P0",0,IF(D870&lt;=3,0.15,IF(D870&lt;=14,0.25,IF(D870&lt;=45,0.35,0.5))))</x:f>
        <x:v>0.35</x:v>
      </x:c>
      <x:c r="P870" s="47" t="n">
        <x:f>J870*O870</x:f>
        <x:v>8820</x:v>
      </x:c>
      <x:c r="Q870" s="46" t="n">
        <x:f>IF(C870="P0",0,IF(D870&lt;=3,0.05,IF(D870&lt;=14,0.1,IF(D870&lt;=45,0.15,0.2))))</x:f>
        <x:v>0.15</x:v>
      </x:c>
      <x:c r="R870" s="47" t="n">
        <x:f>J870*Q870</x:f>
        <x:v>3780</x:v>
      </x:c>
      <x:c r="S870" s="20" t="str">
        <x:f>IF(D870&lt;E870,"closed",IF(D870&lt;'Paths'!$N$16,"initial","expanded"))</x:f>
        <x:v>expanded</x:v>
      </x:c>
      <x:c r="T870" s="72"/>
    </x:row>
    <x:row r="871">
      <x:c r="C871" s="20" t="str">
        <x:v>P9</x:v>
      </x:c>
      <x:c r="D871" s="20" t="n">
        <x:v>45</x:v>
      </x:c>
      <x:c r="E871" s="45" t="n">
        <x:f>IF('Controls'!$D$7="Reference",'Paths'!$J$16,'Paths'!$K$16)</x:f>
        <x:v>6</x:v>
      </x:c>
      <x:c r="F871" s="47" t="n">
        <x:f>IF(D871&lt;'Paths'!$N$16,IF('Controls'!$D$7="Reference",'Paths'!$L$16,'Paths'!$M$16),IF('Controls'!$D$7="Reference",'Paths'!$O$16,'Paths'!$P$16))</x:f>
        <x:v>28000</x:v>
      </x:c>
      <x:c r="G871" s="46" t="n">
        <x:f>IF('Controls'!$D$7="Reference",1,IF(OR(D871=6,D871=7,D871=21,D871=46),'Paths'!$U$16,1))</x:f>
        <x:v>1</x:v>
      </x:c>
      <x:c r="H871" s="46" t="n">
        <x:f>IF('Controls'!$D$7="Reference",1,IF(OR(AND(D871&gt;=14,D871&lt;=16),AND(D871&gt;=34,D871&lt;=35),AND(D871&gt;=61,D871&lt;=63)),'Paths'!$V$16,1))</x:f>
        <x:v>1</x:v>
      </x:c>
      <x:c r="I871" s="46" t="n">
        <x:f>'Paths'!$W$16</x:f>
        <x:v>0.9</x:v>
      </x:c>
      <x:c r="J871" s="47" t="n">
        <x:f>IF(D871&lt;E871,0,MIN(F871*G871*H871*I871,IF('Paths'!$T$16&gt;0,MAX(0,'Paths'!$T$16-K870),1000000000)))</x:f>
        <x:v>25200</x:v>
      </x:c>
      <x:c r="K871" s="47" t="n">
        <x:f>K870+J871</x:f>
        <x:v>777510</x:v>
      </x:c>
      <x:c r="L871" s="46" t="n">
        <x:f>IF(C871="P0",1,IF(D871&lt;=3,0.8,IF(D871&lt;=14,0.65,IF(D871&lt;=45,0.5,0.3))))</x:f>
        <x:v>0.5</x:v>
      </x:c>
      <x:c r="M871" s="47" t="n">
        <x:f>J871*L871</x:f>
        <x:v>12600</x:v>
      </x:c>
      <x:c r="N871" s="47" t="n">
        <x:f>N870+M871</x:f>
        <x:v>402626.25</x:v>
      </x:c>
      <x:c r="O871" s="46" t="n">
        <x:f>IF(C871="P0",0,IF(D871&lt;=3,0.15,IF(D871&lt;=14,0.25,IF(D871&lt;=45,0.35,0.5))))</x:f>
        <x:v>0.35</x:v>
      </x:c>
      <x:c r="P871" s="47" t="n">
        <x:f>J871*O871</x:f>
        <x:v>8820</x:v>
      </x:c>
      <x:c r="Q871" s="46" t="n">
        <x:f>IF(C871="P0",0,IF(D871&lt;=3,0.05,IF(D871&lt;=14,0.1,IF(D871&lt;=45,0.15,0.2))))</x:f>
        <x:v>0.15</x:v>
      </x:c>
      <x:c r="R871" s="47" t="n">
        <x:f>J871*Q871</x:f>
        <x:v>3780</x:v>
      </x:c>
      <x:c r="S871" s="20" t="str">
        <x:f>IF(D871&lt;E871,"closed",IF(D871&lt;'Paths'!$N$16,"initial","expanded"))</x:f>
        <x:v>expanded</x:v>
      </x:c>
      <x:c r="T871" s="72"/>
    </x:row>
    <x:row r="872">
      <x:c r="C872" s="20" t="str">
        <x:v>P9</x:v>
      </x:c>
      <x:c r="D872" s="20" t="n">
        <x:v>46</x:v>
      </x:c>
      <x:c r="E872" s="45" t="n">
        <x:f>IF('Controls'!$D$7="Reference",'Paths'!$J$16,'Paths'!$K$16)</x:f>
        <x:v>6</x:v>
      </x:c>
      <x:c r="F872" s="47" t="n">
        <x:f>IF(D872&lt;'Paths'!$N$16,IF('Controls'!$D$7="Reference",'Paths'!$L$16,'Paths'!$M$16),IF('Controls'!$D$7="Reference",'Paths'!$O$16,'Paths'!$P$16))</x:f>
        <x:v>28000</x:v>
      </x:c>
      <x:c r="G872" s="46" t="n">
        <x:f>IF('Controls'!$D$7="Reference",1,IF(OR(D872=6,D872=7,D872=21,D872=46),'Paths'!$U$16,1))</x:f>
        <x:v>0.3</x:v>
      </x:c>
      <x:c r="H872" s="46" t="n">
        <x:f>IF('Controls'!$D$7="Reference",1,IF(OR(AND(D872&gt;=14,D872&lt;=16),AND(D872&gt;=34,D872&lt;=35),AND(D872&gt;=61,D872&lt;=63)),'Paths'!$V$16,1))</x:f>
        <x:v>1</x:v>
      </x:c>
      <x:c r="I872" s="46" t="n">
        <x:f>'Paths'!$W$16</x:f>
        <x:v>0.9</x:v>
      </x:c>
      <x:c r="J872" s="47" t="n">
        <x:f>IF(D872&lt;E872,0,MIN(F872*G872*H872*I872,IF('Paths'!$T$16&gt;0,MAX(0,'Paths'!$T$16-K871),1000000000)))</x:f>
        <x:v>7560</x:v>
      </x:c>
      <x:c r="K872" s="47" t="n">
        <x:f>K871+J872</x:f>
        <x:v>785070</x:v>
      </x:c>
      <x:c r="L872" s="46" t="n">
        <x:f>IF(C872="P0",1,IF(D872&lt;=3,0.8,IF(D872&lt;=14,0.65,IF(D872&lt;=45,0.5,0.3))))</x:f>
        <x:v>0.3</x:v>
      </x:c>
      <x:c r="M872" s="47" t="n">
        <x:f>J872*L872</x:f>
        <x:v>2268</x:v>
      </x:c>
      <x:c r="N872" s="47" t="n">
        <x:f>N871+M872</x:f>
        <x:v>404894.25</x:v>
      </x:c>
      <x:c r="O872" s="46" t="n">
        <x:f>IF(C872="P0",0,IF(D872&lt;=3,0.15,IF(D872&lt;=14,0.25,IF(D872&lt;=45,0.35,0.5))))</x:f>
        <x:v>0.5</x:v>
      </x:c>
      <x:c r="P872" s="47" t="n">
        <x:f>J872*O872</x:f>
        <x:v>3780</x:v>
      </x:c>
      <x:c r="Q872" s="46" t="n">
        <x:f>IF(C872="P0",0,IF(D872&lt;=3,0.05,IF(D872&lt;=14,0.1,IF(D872&lt;=45,0.15,0.2))))</x:f>
        <x:v>0.2</x:v>
      </x:c>
      <x:c r="R872" s="47" t="n">
        <x:f>J872*Q872</x:f>
        <x:v>1512</x:v>
      </x:c>
      <x:c r="S872" s="20" t="str">
        <x:f>IF(D872&lt;E872,"closed",IF(D872&lt;'Paths'!$N$16,"initial","expanded"))</x:f>
        <x:v>expanded</x:v>
      </x:c>
      <x:c r="T872" s="72"/>
    </x:row>
    <x:row r="873">
      <x:c r="C873" s="20" t="str">
        <x:v>P9</x:v>
      </x:c>
      <x:c r="D873" s="20" t="n">
        <x:v>47</x:v>
      </x:c>
      <x:c r="E873" s="45" t="n">
        <x:f>IF('Controls'!$D$7="Reference",'Paths'!$J$16,'Paths'!$K$16)</x:f>
        <x:v>6</x:v>
      </x:c>
      <x:c r="F873" s="47" t="n">
        <x:f>IF(D873&lt;'Paths'!$N$16,IF('Controls'!$D$7="Reference",'Paths'!$L$16,'Paths'!$M$16),IF('Controls'!$D$7="Reference",'Paths'!$O$16,'Paths'!$P$16))</x:f>
        <x:v>28000</x:v>
      </x:c>
      <x:c r="G873" s="46" t="n">
        <x:f>IF('Controls'!$D$7="Reference",1,IF(OR(D873=6,D873=7,D873=21,D873=46),'Paths'!$U$16,1))</x:f>
        <x:v>1</x:v>
      </x:c>
      <x:c r="H873" s="46" t="n">
        <x:f>IF('Controls'!$D$7="Reference",1,IF(OR(AND(D873&gt;=14,D873&lt;=16),AND(D873&gt;=34,D873&lt;=35),AND(D873&gt;=61,D873&lt;=63)),'Paths'!$V$16,1))</x:f>
        <x:v>1</x:v>
      </x:c>
      <x:c r="I873" s="46" t="n">
        <x:f>'Paths'!$W$16</x:f>
        <x:v>0.9</x:v>
      </x:c>
      <x:c r="J873" s="47" t="n">
        <x:f>IF(D873&lt;E873,0,MIN(F873*G873*H873*I873,IF('Paths'!$T$16&gt;0,MAX(0,'Paths'!$T$16-K872),1000000000)))</x:f>
        <x:v>25200</x:v>
      </x:c>
      <x:c r="K873" s="47" t="n">
        <x:f>K872+J873</x:f>
        <x:v>810270</x:v>
      </x:c>
      <x:c r="L873" s="46" t="n">
        <x:f>IF(C873="P0",1,IF(D873&lt;=3,0.8,IF(D873&lt;=14,0.65,IF(D873&lt;=45,0.5,0.3))))</x:f>
        <x:v>0.3</x:v>
      </x:c>
      <x:c r="M873" s="47" t="n">
        <x:f>J873*L873</x:f>
        <x:v>7560</x:v>
      </x:c>
      <x:c r="N873" s="47" t="n">
        <x:f>N872+M873</x:f>
        <x:v>412454.25</x:v>
      </x:c>
      <x:c r="O873" s="46" t="n">
        <x:f>IF(C873="P0",0,IF(D873&lt;=3,0.15,IF(D873&lt;=14,0.25,IF(D873&lt;=45,0.35,0.5))))</x:f>
        <x:v>0.5</x:v>
      </x:c>
      <x:c r="P873" s="47" t="n">
        <x:f>J873*O873</x:f>
        <x:v>12600</x:v>
      </x:c>
      <x:c r="Q873" s="46" t="n">
        <x:f>IF(C873="P0",0,IF(D873&lt;=3,0.05,IF(D873&lt;=14,0.1,IF(D873&lt;=45,0.15,0.2))))</x:f>
        <x:v>0.2</x:v>
      </x:c>
      <x:c r="R873" s="47" t="n">
        <x:f>J873*Q873</x:f>
        <x:v>5040</x:v>
      </x:c>
      <x:c r="S873" s="20" t="str">
        <x:f>IF(D873&lt;E873,"closed",IF(D873&lt;'Paths'!$N$16,"initial","expanded"))</x:f>
        <x:v>expanded</x:v>
      </x:c>
      <x:c r="T873" s="72"/>
    </x:row>
    <x:row r="874">
      <x:c r="C874" s="20" t="str">
        <x:v>P9</x:v>
      </x:c>
      <x:c r="D874" s="20" t="n">
        <x:v>48</x:v>
      </x:c>
      <x:c r="E874" s="45" t="n">
        <x:f>IF('Controls'!$D$7="Reference",'Paths'!$J$16,'Paths'!$K$16)</x:f>
        <x:v>6</x:v>
      </x:c>
      <x:c r="F874" s="47" t="n">
        <x:f>IF(D874&lt;'Paths'!$N$16,IF('Controls'!$D$7="Reference",'Paths'!$L$16,'Paths'!$M$16),IF('Controls'!$D$7="Reference",'Paths'!$O$16,'Paths'!$P$16))</x:f>
        <x:v>28000</x:v>
      </x:c>
      <x:c r="G874" s="46" t="n">
        <x:f>IF('Controls'!$D$7="Reference",1,IF(OR(D874=6,D874=7,D874=21,D874=46),'Paths'!$U$16,1))</x:f>
        <x:v>1</x:v>
      </x:c>
      <x:c r="H874" s="46" t="n">
        <x:f>IF('Controls'!$D$7="Reference",1,IF(OR(AND(D874&gt;=14,D874&lt;=16),AND(D874&gt;=34,D874&lt;=35),AND(D874&gt;=61,D874&lt;=63)),'Paths'!$V$16,1))</x:f>
        <x:v>1</x:v>
      </x:c>
      <x:c r="I874" s="46" t="n">
        <x:f>'Paths'!$W$16</x:f>
        <x:v>0.9</x:v>
      </x:c>
      <x:c r="J874" s="47" t="n">
        <x:f>IF(D874&lt;E874,0,MIN(F874*G874*H874*I874,IF('Paths'!$T$16&gt;0,MAX(0,'Paths'!$T$16-K873),1000000000)))</x:f>
        <x:v>25200</x:v>
      </x:c>
      <x:c r="K874" s="47" t="n">
        <x:f>K873+J874</x:f>
        <x:v>835470</x:v>
      </x:c>
      <x:c r="L874" s="46" t="n">
        <x:f>IF(C874="P0",1,IF(D874&lt;=3,0.8,IF(D874&lt;=14,0.65,IF(D874&lt;=45,0.5,0.3))))</x:f>
        <x:v>0.3</x:v>
      </x:c>
      <x:c r="M874" s="47" t="n">
        <x:f>J874*L874</x:f>
        <x:v>7560</x:v>
      </x:c>
      <x:c r="N874" s="47" t="n">
        <x:f>N873+M874</x:f>
        <x:v>420014.25</x:v>
      </x:c>
      <x:c r="O874" s="46" t="n">
        <x:f>IF(C874="P0",0,IF(D874&lt;=3,0.15,IF(D874&lt;=14,0.25,IF(D874&lt;=45,0.35,0.5))))</x:f>
        <x:v>0.5</x:v>
      </x:c>
      <x:c r="P874" s="47" t="n">
        <x:f>J874*O874</x:f>
        <x:v>12600</x:v>
      </x:c>
      <x:c r="Q874" s="46" t="n">
        <x:f>IF(C874="P0",0,IF(D874&lt;=3,0.05,IF(D874&lt;=14,0.1,IF(D874&lt;=45,0.15,0.2))))</x:f>
        <x:v>0.2</x:v>
      </x:c>
      <x:c r="R874" s="47" t="n">
        <x:f>J874*Q874</x:f>
        <x:v>5040</x:v>
      </x:c>
      <x:c r="S874" s="20" t="str">
        <x:f>IF(D874&lt;E874,"closed",IF(D874&lt;'Paths'!$N$16,"initial","expanded"))</x:f>
        <x:v>expanded</x:v>
      </x:c>
      <x:c r="T874" s="72"/>
    </x:row>
    <x:row r="875">
      <x:c r="C875" s="20" t="str">
        <x:v>P9</x:v>
      </x:c>
      <x:c r="D875" s="20" t="n">
        <x:v>49</x:v>
      </x:c>
      <x:c r="E875" s="45" t="n">
        <x:f>IF('Controls'!$D$7="Reference",'Paths'!$J$16,'Paths'!$K$16)</x:f>
        <x:v>6</x:v>
      </x:c>
      <x:c r="F875" s="47" t="n">
        <x:f>IF(D875&lt;'Paths'!$N$16,IF('Controls'!$D$7="Reference",'Paths'!$L$16,'Paths'!$M$16),IF('Controls'!$D$7="Reference",'Paths'!$O$16,'Paths'!$P$16))</x:f>
        <x:v>28000</x:v>
      </x:c>
      <x:c r="G875" s="46" t="n">
        <x:f>IF('Controls'!$D$7="Reference",1,IF(OR(D875=6,D875=7,D875=21,D875=46),'Paths'!$U$16,1))</x:f>
        <x:v>1</x:v>
      </x:c>
      <x:c r="H875" s="46" t="n">
        <x:f>IF('Controls'!$D$7="Reference",1,IF(OR(AND(D875&gt;=14,D875&lt;=16),AND(D875&gt;=34,D875&lt;=35),AND(D875&gt;=61,D875&lt;=63)),'Paths'!$V$16,1))</x:f>
        <x:v>1</x:v>
      </x:c>
      <x:c r="I875" s="46" t="n">
        <x:f>'Paths'!$W$16</x:f>
        <x:v>0.9</x:v>
      </x:c>
      <x:c r="J875" s="47" t="n">
        <x:f>IF(D875&lt;E875,0,MIN(F875*G875*H875*I875,IF('Paths'!$T$16&gt;0,MAX(0,'Paths'!$T$16-K874),1000000000)))</x:f>
        <x:v>25200</x:v>
      </x:c>
      <x:c r="K875" s="47" t="n">
        <x:f>K874+J875</x:f>
        <x:v>860670</x:v>
      </x:c>
      <x:c r="L875" s="46" t="n">
        <x:f>IF(C875="P0",1,IF(D875&lt;=3,0.8,IF(D875&lt;=14,0.65,IF(D875&lt;=45,0.5,0.3))))</x:f>
        <x:v>0.3</x:v>
      </x:c>
      <x:c r="M875" s="47" t="n">
        <x:f>J875*L875</x:f>
        <x:v>7560</x:v>
      </x:c>
      <x:c r="N875" s="47" t="n">
        <x:f>N874+M875</x:f>
        <x:v>427574.25</x:v>
      </x:c>
      <x:c r="O875" s="46" t="n">
        <x:f>IF(C875="P0",0,IF(D875&lt;=3,0.15,IF(D875&lt;=14,0.25,IF(D875&lt;=45,0.35,0.5))))</x:f>
        <x:v>0.5</x:v>
      </x:c>
      <x:c r="P875" s="47" t="n">
        <x:f>J875*O875</x:f>
        <x:v>12600</x:v>
      </x:c>
      <x:c r="Q875" s="46" t="n">
        <x:f>IF(C875="P0",0,IF(D875&lt;=3,0.05,IF(D875&lt;=14,0.1,IF(D875&lt;=45,0.15,0.2))))</x:f>
        <x:v>0.2</x:v>
      </x:c>
      <x:c r="R875" s="47" t="n">
        <x:f>J875*Q875</x:f>
        <x:v>5040</x:v>
      </x:c>
      <x:c r="S875" s="20" t="str">
        <x:f>IF(D875&lt;E875,"closed",IF(D875&lt;'Paths'!$N$16,"initial","expanded"))</x:f>
        <x:v>expanded</x:v>
      </x:c>
      <x:c r="T875" s="72"/>
    </x:row>
    <x:row r="876">
      <x:c r="C876" s="20" t="str">
        <x:v>P9</x:v>
      </x:c>
      <x:c r="D876" s="20" t="n">
        <x:v>50</x:v>
      </x:c>
      <x:c r="E876" s="45" t="n">
        <x:f>IF('Controls'!$D$7="Reference",'Paths'!$J$16,'Paths'!$K$16)</x:f>
        <x:v>6</x:v>
      </x:c>
      <x:c r="F876" s="47" t="n">
        <x:f>IF(D876&lt;'Paths'!$N$16,IF('Controls'!$D$7="Reference",'Paths'!$L$16,'Paths'!$M$16),IF('Controls'!$D$7="Reference",'Paths'!$O$16,'Paths'!$P$16))</x:f>
        <x:v>28000</x:v>
      </x:c>
      <x:c r="G876" s="46" t="n">
        <x:f>IF('Controls'!$D$7="Reference",1,IF(OR(D876=6,D876=7,D876=21,D876=46),'Paths'!$U$16,1))</x:f>
        <x:v>1</x:v>
      </x:c>
      <x:c r="H876" s="46" t="n">
        <x:f>IF('Controls'!$D$7="Reference",1,IF(OR(AND(D876&gt;=14,D876&lt;=16),AND(D876&gt;=34,D876&lt;=35),AND(D876&gt;=61,D876&lt;=63)),'Paths'!$V$16,1))</x:f>
        <x:v>1</x:v>
      </x:c>
      <x:c r="I876" s="46" t="n">
        <x:f>'Paths'!$W$16</x:f>
        <x:v>0.9</x:v>
      </x:c>
      <x:c r="J876" s="47" t="n">
        <x:f>IF(D876&lt;E876,0,MIN(F876*G876*H876*I876,IF('Paths'!$T$16&gt;0,MAX(0,'Paths'!$T$16-K875),1000000000)))</x:f>
        <x:v>25200</x:v>
      </x:c>
      <x:c r="K876" s="47" t="n">
        <x:f>K875+J876</x:f>
        <x:v>885870</x:v>
      </x:c>
      <x:c r="L876" s="46" t="n">
        <x:f>IF(C876="P0",1,IF(D876&lt;=3,0.8,IF(D876&lt;=14,0.65,IF(D876&lt;=45,0.5,0.3))))</x:f>
        <x:v>0.3</x:v>
      </x:c>
      <x:c r="M876" s="47" t="n">
        <x:f>J876*L876</x:f>
        <x:v>7560</x:v>
      </x:c>
      <x:c r="N876" s="47" t="n">
        <x:f>N875+M876</x:f>
        <x:v>435134.25</x:v>
      </x:c>
      <x:c r="O876" s="46" t="n">
        <x:f>IF(C876="P0",0,IF(D876&lt;=3,0.15,IF(D876&lt;=14,0.25,IF(D876&lt;=45,0.35,0.5))))</x:f>
        <x:v>0.5</x:v>
      </x:c>
      <x:c r="P876" s="47" t="n">
        <x:f>J876*O876</x:f>
        <x:v>12600</x:v>
      </x:c>
      <x:c r="Q876" s="46" t="n">
        <x:f>IF(C876="P0",0,IF(D876&lt;=3,0.05,IF(D876&lt;=14,0.1,IF(D876&lt;=45,0.15,0.2))))</x:f>
        <x:v>0.2</x:v>
      </x:c>
      <x:c r="R876" s="47" t="n">
        <x:f>J876*Q876</x:f>
        <x:v>5040</x:v>
      </x:c>
      <x:c r="S876" s="20" t="str">
        <x:f>IF(D876&lt;E876,"closed",IF(D876&lt;'Paths'!$N$16,"initial","expanded"))</x:f>
        <x:v>expanded</x:v>
      </x:c>
      <x:c r="T876" s="72"/>
    </x:row>
    <x:row r="877">
      <x:c r="C877" s="20" t="str">
        <x:v>P9</x:v>
      </x:c>
      <x:c r="D877" s="20" t="n">
        <x:v>51</x:v>
      </x:c>
      <x:c r="E877" s="45" t="n">
        <x:f>IF('Controls'!$D$7="Reference",'Paths'!$J$16,'Paths'!$K$16)</x:f>
        <x:v>6</x:v>
      </x:c>
      <x:c r="F877" s="47" t="n">
        <x:f>IF(D877&lt;'Paths'!$N$16,IF('Controls'!$D$7="Reference",'Paths'!$L$16,'Paths'!$M$16),IF('Controls'!$D$7="Reference",'Paths'!$O$16,'Paths'!$P$16))</x:f>
        <x:v>28000</x:v>
      </x:c>
      <x:c r="G877" s="46" t="n">
        <x:f>IF('Controls'!$D$7="Reference",1,IF(OR(D877=6,D877=7,D877=21,D877=46),'Paths'!$U$16,1))</x:f>
        <x:v>1</x:v>
      </x:c>
      <x:c r="H877" s="46" t="n">
        <x:f>IF('Controls'!$D$7="Reference",1,IF(OR(AND(D877&gt;=14,D877&lt;=16),AND(D877&gt;=34,D877&lt;=35),AND(D877&gt;=61,D877&lt;=63)),'Paths'!$V$16,1))</x:f>
        <x:v>1</x:v>
      </x:c>
      <x:c r="I877" s="46" t="n">
        <x:f>'Paths'!$W$16</x:f>
        <x:v>0.9</x:v>
      </x:c>
      <x:c r="J877" s="47" t="n">
        <x:f>IF(D877&lt;E877,0,MIN(F877*G877*H877*I877,IF('Paths'!$T$16&gt;0,MAX(0,'Paths'!$T$16-K876),1000000000)))</x:f>
        <x:v>25200</x:v>
      </x:c>
      <x:c r="K877" s="47" t="n">
        <x:f>K876+J877</x:f>
        <x:v>911070</x:v>
      </x:c>
      <x:c r="L877" s="46" t="n">
        <x:f>IF(C877="P0",1,IF(D877&lt;=3,0.8,IF(D877&lt;=14,0.65,IF(D877&lt;=45,0.5,0.3))))</x:f>
        <x:v>0.3</x:v>
      </x:c>
      <x:c r="M877" s="47" t="n">
        <x:f>J877*L877</x:f>
        <x:v>7560</x:v>
      </x:c>
      <x:c r="N877" s="47" t="n">
        <x:f>N876+M877</x:f>
        <x:v>442694.25</x:v>
      </x:c>
      <x:c r="O877" s="46" t="n">
        <x:f>IF(C877="P0",0,IF(D877&lt;=3,0.15,IF(D877&lt;=14,0.25,IF(D877&lt;=45,0.35,0.5))))</x:f>
        <x:v>0.5</x:v>
      </x:c>
      <x:c r="P877" s="47" t="n">
        <x:f>J877*O877</x:f>
        <x:v>12600</x:v>
      </x:c>
      <x:c r="Q877" s="46" t="n">
        <x:f>IF(C877="P0",0,IF(D877&lt;=3,0.05,IF(D877&lt;=14,0.1,IF(D877&lt;=45,0.15,0.2))))</x:f>
        <x:v>0.2</x:v>
      </x:c>
      <x:c r="R877" s="47" t="n">
        <x:f>J877*Q877</x:f>
        <x:v>5040</x:v>
      </x:c>
      <x:c r="S877" s="20" t="str">
        <x:f>IF(D877&lt;E877,"closed",IF(D877&lt;'Paths'!$N$16,"initial","expanded"))</x:f>
        <x:v>expanded</x:v>
      </x:c>
      <x:c r="T877" s="72"/>
    </x:row>
    <x:row r="878">
      <x:c r="C878" s="20" t="str">
        <x:v>P9</x:v>
      </x:c>
      <x:c r="D878" s="20" t="n">
        <x:v>52</x:v>
      </x:c>
      <x:c r="E878" s="45" t="n">
        <x:f>IF('Controls'!$D$7="Reference",'Paths'!$J$16,'Paths'!$K$16)</x:f>
        <x:v>6</x:v>
      </x:c>
      <x:c r="F878" s="47" t="n">
        <x:f>IF(D878&lt;'Paths'!$N$16,IF('Controls'!$D$7="Reference",'Paths'!$L$16,'Paths'!$M$16),IF('Controls'!$D$7="Reference",'Paths'!$O$16,'Paths'!$P$16))</x:f>
        <x:v>28000</x:v>
      </x:c>
      <x:c r="G878" s="46" t="n">
        <x:f>IF('Controls'!$D$7="Reference",1,IF(OR(D878=6,D878=7,D878=21,D878=46),'Paths'!$U$16,1))</x:f>
        <x:v>1</x:v>
      </x:c>
      <x:c r="H878" s="46" t="n">
        <x:f>IF('Controls'!$D$7="Reference",1,IF(OR(AND(D878&gt;=14,D878&lt;=16),AND(D878&gt;=34,D878&lt;=35),AND(D878&gt;=61,D878&lt;=63)),'Paths'!$V$16,1))</x:f>
        <x:v>1</x:v>
      </x:c>
      <x:c r="I878" s="46" t="n">
        <x:f>'Paths'!$W$16</x:f>
        <x:v>0.9</x:v>
      </x:c>
      <x:c r="J878" s="47" t="n">
        <x:f>IF(D878&lt;E878,0,MIN(F878*G878*H878*I878,IF('Paths'!$T$16&gt;0,MAX(0,'Paths'!$T$16-K877),1000000000)))</x:f>
        <x:v>25200</x:v>
      </x:c>
      <x:c r="K878" s="47" t="n">
        <x:f>K877+J878</x:f>
        <x:v>936270</x:v>
      </x:c>
      <x:c r="L878" s="46" t="n">
        <x:f>IF(C878="P0",1,IF(D878&lt;=3,0.8,IF(D878&lt;=14,0.65,IF(D878&lt;=45,0.5,0.3))))</x:f>
        <x:v>0.3</x:v>
      </x:c>
      <x:c r="M878" s="47" t="n">
        <x:f>J878*L878</x:f>
        <x:v>7560</x:v>
      </x:c>
      <x:c r="N878" s="47" t="n">
        <x:f>N877+M878</x:f>
        <x:v>450254.25</x:v>
      </x:c>
      <x:c r="O878" s="46" t="n">
        <x:f>IF(C878="P0",0,IF(D878&lt;=3,0.15,IF(D878&lt;=14,0.25,IF(D878&lt;=45,0.35,0.5))))</x:f>
        <x:v>0.5</x:v>
      </x:c>
      <x:c r="P878" s="47" t="n">
        <x:f>J878*O878</x:f>
        <x:v>12600</x:v>
      </x:c>
      <x:c r="Q878" s="46" t="n">
        <x:f>IF(C878="P0",0,IF(D878&lt;=3,0.05,IF(D878&lt;=14,0.1,IF(D878&lt;=45,0.15,0.2))))</x:f>
        <x:v>0.2</x:v>
      </x:c>
      <x:c r="R878" s="47" t="n">
        <x:f>J878*Q878</x:f>
        <x:v>5040</x:v>
      </x:c>
      <x:c r="S878" s="20" t="str">
        <x:f>IF(D878&lt;E878,"closed",IF(D878&lt;'Paths'!$N$16,"initial","expanded"))</x:f>
        <x:v>expanded</x:v>
      </x:c>
      <x:c r="T878" s="72"/>
    </x:row>
    <x:row r="879">
      <x:c r="C879" s="20" t="str">
        <x:v>P9</x:v>
      </x:c>
      <x:c r="D879" s="20" t="n">
        <x:v>53</x:v>
      </x:c>
      <x:c r="E879" s="45" t="n">
        <x:f>IF('Controls'!$D$7="Reference",'Paths'!$J$16,'Paths'!$K$16)</x:f>
        <x:v>6</x:v>
      </x:c>
      <x:c r="F879" s="47" t="n">
        <x:f>IF(D879&lt;'Paths'!$N$16,IF('Controls'!$D$7="Reference",'Paths'!$L$16,'Paths'!$M$16),IF('Controls'!$D$7="Reference",'Paths'!$O$16,'Paths'!$P$16))</x:f>
        <x:v>28000</x:v>
      </x:c>
      <x:c r="G879" s="46" t="n">
        <x:f>IF('Controls'!$D$7="Reference",1,IF(OR(D879=6,D879=7,D879=21,D879=46),'Paths'!$U$16,1))</x:f>
        <x:v>1</x:v>
      </x:c>
      <x:c r="H879" s="46" t="n">
        <x:f>IF('Controls'!$D$7="Reference",1,IF(OR(AND(D879&gt;=14,D879&lt;=16),AND(D879&gt;=34,D879&lt;=35),AND(D879&gt;=61,D879&lt;=63)),'Paths'!$V$16,1))</x:f>
        <x:v>1</x:v>
      </x:c>
      <x:c r="I879" s="46" t="n">
        <x:f>'Paths'!$W$16</x:f>
        <x:v>0.9</x:v>
      </x:c>
      <x:c r="J879" s="47" t="n">
        <x:f>IF(D879&lt;E879,0,MIN(F879*G879*H879*I879,IF('Paths'!$T$16&gt;0,MAX(0,'Paths'!$T$16-K878),1000000000)))</x:f>
        <x:v>25200</x:v>
      </x:c>
      <x:c r="K879" s="47" t="n">
        <x:f>K878+J879</x:f>
        <x:v>961470</x:v>
      </x:c>
      <x:c r="L879" s="46" t="n">
        <x:f>IF(C879="P0",1,IF(D879&lt;=3,0.8,IF(D879&lt;=14,0.65,IF(D879&lt;=45,0.5,0.3))))</x:f>
        <x:v>0.3</x:v>
      </x:c>
      <x:c r="M879" s="47" t="n">
        <x:f>J879*L879</x:f>
        <x:v>7560</x:v>
      </x:c>
      <x:c r="N879" s="47" t="n">
        <x:f>N878+M879</x:f>
        <x:v>457814.25</x:v>
      </x:c>
      <x:c r="O879" s="46" t="n">
        <x:f>IF(C879="P0",0,IF(D879&lt;=3,0.15,IF(D879&lt;=14,0.25,IF(D879&lt;=45,0.35,0.5))))</x:f>
        <x:v>0.5</x:v>
      </x:c>
      <x:c r="P879" s="47" t="n">
        <x:f>J879*O879</x:f>
        <x:v>12600</x:v>
      </x:c>
      <x:c r="Q879" s="46" t="n">
        <x:f>IF(C879="P0",0,IF(D879&lt;=3,0.05,IF(D879&lt;=14,0.1,IF(D879&lt;=45,0.15,0.2))))</x:f>
        <x:v>0.2</x:v>
      </x:c>
      <x:c r="R879" s="47" t="n">
        <x:f>J879*Q879</x:f>
        <x:v>5040</x:v>
      </x:c>
      <x:c r="S879" s="20" t="str">
        <x:f>IF(D879&lt;E879,"closed",IF(D879&lt;'Paths'!$N$16,"initial","expanded"))</x:f>
        <x:v>expanded</x:v>
      </x:c>
      <x:c r="T879" s="72"/>
    </x:row>
    <x:row r="880">
      <x:c r="C880" s="20" t="str">
        <x:v>P9</x:v>
      </x:c>
      <x:c r="D880" s="20" t="n">
        <x:v>54</x:v>
      </x:c>
      <x:c r="E880" s="45" t="n">
        <x:f>IF('Controls'!$D$7="Reference",'Paths'!$J$16,'Paths'!$K$16)</x:f>
        <x:v>6</x:v>
      </x:c>
      <x:c r="F880" s="47" t="n">
        <x:f>IF(D880&lt;'Paths'!$N$16,IF('Controls'!$D$7="Reference",'Paths'!$L$16,'Paths'!$M$16),IF('Controls'!$D$7="Reference",'Paths'!$O$16,'Paths'!$P$16))</x:f>
        <x:v>28000</x:v>
      </x:c>
      <x:c r="G880" s="46" t="n">
        <x:f>IF('Controls'!$D$7="Reference",1,IF(OR(D880=6,D880=7,D880=21,D880=46),'Paths'!$U$16,1))</x:f>
        <x:v>1</x:v>
      </x:c>
      <x:c r="H880" s="46" t="n">
        <x:f>IF('Controls'!$D$7="Reference",1,IF(OR(AND(D880&gt;=14,D880&lt;=16),AND(D880&gt;=34,D880&lt;=35),AND(D880&gt;=61,D880&lt;=63)),'Paths'!$V$16,1))</x:f>
        <x:v>1</x:v>
      </x:c>
      <x:c r="I880" s="46" t="n">
        <x:f>'Paths'!$W$16</x:f>
        <x:v>0.9</x:v>
      </x:c>
      <x:c r="J880" s="47" t="n">
        <x:f>IF(D880&lt;E880,0,MIN(F880*G880*H880*I880,IF('Paths'!$T$16&gt;0,MAX(0,'Paths'!$T$16-K879),1000000000)))</x:f>
        <x:v>25200</x:v>
      </x:c>
      <x:c r="K880" s="47" t="n">
        <x:f>K879+J880</x:f>
        <x:v>986670</x:v>
      </x:c>
      <x:c r="L880" s="46" t="n">
        <x:f>IF(C880="P0",1,IF(D880&lt;=3,0.8,IF(D880&lt;=14,0.65,IF(D880&lt;=45,0.5,0.3))))</x:f>
        <x:v>0.3</x:v>
      </x:c>
      <x:c r="M880" s="47" t="n">
        <x:f>J880*L880</x:f>
        <x:v>7560</x:v>
      </x:c>
      <x:c r="N880" s="47" t="n">
        <x:f>N879+M880</x:f>
        <x:v>465374.25</x:v>
      </x:c>
      <x:c r="O880" s="46" t="n">
        <x:f>IF(C880="P0",0,IF(D880&lt;=3,0.15,IF(D880&lt;=14,0.25,IF(D880&lt;=45,0.35,0.5))))</x:f>
        <x:v>0.5</x:v>
      </x:c>
      <x:c r="P880" s="47" t="n">
        <x:f>J880*O880</x:f>
        <x:v>12600</x:v>
      </x:c>
      <x:c r="Q880" s="46" t="n">
        <x:f>IF(C880="P0",0,IF(D880&lt;=3,0.05,IF(D880&lt;=14,0.1,IF(D880&lt;=45,0.15,0.2))))</x:f>
        <x:v>0.2</x:v>
      </x:c>
      <x:c r="R880" s="47" t="n">
        <x:f>J880*Q880</x:f>
        <x:v>5040</x:v>
      </x:c>
      <x:c r="S880" s="20" t="str">
        <x:f>IF(D880&lt;E880,"closed",IF(D880&lt;'Paths'!$N$16,"initial","expanded"))</x:f>
        <x:v>expanded</x:v>
      </x:c>
      <x:c r="T880" s="72"/>
    </x:row>
    <x:row r="881">
      <x:c r="C881" s="20" t="str">
        <x:v>P9</x:v>
      </x:c>
      <x:c r="D881" s="20" t="n">
        <x:v>55</x:v>
      </x:c>
      <x:c r="E881" s="45" t="n">
        <x:f>IF('Controls'!$D$7="Reference",'Paths'!$J$16,'Paths'!$K$16)</x:f>
        <x:v>6</x:v>
      </x:c>
      <x:c r="F881" s="47" t="n">
        <x:f>IF(D881&lt;'Paths'!$N$16,IF('Controls'!$D$7="Reference",'Paths'!$L$16,'Paths'!$M$16),IF('Controls'!$D$7="Reference",'Paths'!$O$16,'Paths'!$P$16))</x:f>
        <x:v>28000</x:v>
      </x:c>
      <x:c r="G881" s="46" t="n">
        <x:f>IF('Controls'!$D$7="Reference",1,IF(OR(D881=6,D881=7,D881=21,D881=46),'Paths'!$U$16,1))</x:f>
        <x:v>1</x:v>
      </x:c>
      <x:c r="H881" s="46" t="n">
        <x:f>IF('Controls'!$D$7="Reference",1,IF(OR(AND(D881&gt;=14,D881&lt;=16),AND(D881&gt;=34,D881&lt;=35),AND(D881&gt;=61,D881&lt;=63)),'Paths'!$V$16,1))</x:f>
        <x:v>1</x:v>
      </x:c>
      <x:c r="I881" s="46" t="n">
        <x:f>'Paths'!$W$16</x:f>
        <x:v>0.9</x:v>
      </x:c>
      <x:c r="J881" s="47" t="n">
        <x:f>IF(D881&lt;E881,0,MIN(F881*G881*H881*I881,IF('Paths'!$T$16&gt;0,MAX(0,'Paths'!$T$16-K880),1000000000)))</x:f>
        <x:v>25200</x:v>
      </x:c>
      <x:c r="K881" s="47" t="n">
        <x:f>K880+J881</x:f>
        <x:v>1011870</x:v>
      </x:c>
      <x:c r="L881" s="46" t="n">
        <x:f>IF(C881="P0",1,IF(D881&lt;=3,0.8,IF(D881&lt;=14,0.65,IF(D881&lt;=45,0.5,0.3))))</x:f>
        <x:v>0.3</x:v>
      </x:c>
      <x:c r="M881" s="47" t="n">
        <x:f>J881*L881</x:f>
        <x:v>7560</x:v>
      </x:c>
      <x:c r="N881" s="47" t="n">
        <x:f>N880+M881</x:f>
        <x:v>472934.25</x:v>
      </x:c>
      <x:c r="O881" s="46" t="n">
        <x:f>IF(C881="P0",0,IF(D881&lt;=3,0.15,IF(D881&lt;=14,0.25,IF(D881&lt;=45,0.35,0.5))))</x:f>
        <x:v>0.5</x:v>
      </x:c>
      <x:c r="P881" s="47" t="n">
        <x:f>J881*O881</x:f>
        <x:v>12600</x:v>
      </x:c>
      <x:c r="Q881" s="46" t="n">
        <x:f>IF(C881="P0",0,IF(D881&lt;=3,0.05,IF(D881&lt;=14,0.1,IF(D881&lt;=45,0.15,0.2))))</x:f>
        <x:v>0.2</x:v>
      </x:c>
      <x:c r="R881" s="47" t="n">
        <x:f>J881*Q881</x:f>
        <x:v>5040</x:v>
      </x:c>
      <x:c r="S881" s="20" t="str">
        <x:f>IF(D881&lt;E881,"closed",IF(D881&lt;'Paths'!$N$16,"initial","expanded"))</x:f>
        <x:v>expanded</x:v>
      </x:c>
      <x:c r="T881" s="72"/>
    </x:row>
    <x:row r="882">
      <x:c r="C882" s="20" t="str">
        <x:v>P9</x:v>
      </x:c>
      <x:c r="D882" s="20" t="n">
        <x:v>56</x:v>
      </x:c>
      <x:c r="E882" s="45" t="n">
        <x:f>IF('Controls'!$D$7="Reference",'Paths'!$J$16,'Paths'!$K$16)</x:f>
        <x:v>6</x:v>
      </x:c>
      <x:c r="F882" s="47" t="n">
        <x:f>IF(D882&lt;'Paths'!$N$16,IF('Controls'!$D$7="Reference",'Paths'!$L$16,'Paths'!$M$16),IF('Controls'!$D$7="Reference",'Paths'!$O$16,'Paths'!$P$16))</x:f>
        <x:v>28000</x:v>
      </x:c>
      <x:c r="G882" s="46" t="n">
        <x:f>IF('Controls'!$D$7="Reference",1,IF(OR(D882=6,D882=7,D882=21,D882=46),'Paths'!$U$16,1))</x:f>
        <x:v>1</x:v>
      </x:c>
      <x:c r="H882" s="46" t="n">
        <x:f>IF('Controls'!$D$7="Reference",1,IF(OR(AND(D882&gt;=14,D882&lt;=16),AND(D882&gt;=34,D882&lt;=35),AND(D882&gt;=61,D882&lt;=63)),'Paths'!$V$16,1))</x:f>
        <x:v>1</x:v>
      </x:c>
      <x:c r="I882" s="46" t="n">
        <x:f>'Paths'!$W$16</x:f>
        <x:v>0.9</x:v>
      </x:c>
      <x:c r="J882" s="47" t="n">
        <x:f>IF(D882&lt;E882,0,MIN(F882*G882*H882*I882,IF('Paths'!$T$16&gt;0,MAX(0,'Paths'!$T$16-K881),1000000000)))</x:f>
        <x:v>25200</x:v>
      </x:c>
      <x:c r="K882" s="47" t="n">
        <x:f>K881+J882</x:f>
        <x:v>1037070</x:v>
      </x:c>
      <x:c r="L882" s="46" t="n">
        <x:f>IF(C882="P0",1,IF(D882&lt;=3,0.8,IF(D882&lt;=14,0.65,IF(D882&lt;=45,0.5,0.3))))</x:f>
        <x:v>0.3</x:v>
      </x:c>
      <x:c r="M882" s="47" t="n">
        <x:f>J882*L882</x:f>
        <x:v>7560</x:v>
      </x:c>
      <x:c r="N882" s="47" t="n">
        <x:f>N881+M882</x:f>
        <x:v>480494.25</x:v>
      </x:c>
      <x:c r="O882" s="46" t="n">
        <x:f>IF(C882="P0",0,IF(D882&lt;=3,0.15,IF(D882&lt;=14,0.25,IF(D882&lt;=45,0.35,0.5))))</x:f>
        <x:v>0.5</x:v>
      </x:c>
      <x:c r="P882" s="47" t="n">
        <x:f>J882*O882</x:f>
        <x:v>12600</x:v>
      </x:c>
      <x:c r="Q882" s="46" t="n">
        <x:f>IF(C882="P0",0,IF(D882&lt;=3,0.05,IF(D882&lt;=14,0.1,IF(D882&lt;=45,0.15,0.2))))</x:f>
        <x:v>0.2</x:v>
      </x:c>
      <x:c r="R882" s="47" t="n">
        <x:f>J882*Q882</x:f>
        <x:v>5040</x:v>
      </x:c>
      <x:c r="S882" s="20" t="str">
        <x:f>IF(D882&lt;E882,"closed",IF(D882&lt;'Paths'!$N$16,"initial","expanded"))</x:f>
        <x:v>expanded</x:v>
      </x:c>
      <x:c r="T882" s="72"/>
    </x:row>
    <x:row r="883">
      <x:c r="C883" s="20" t="str">
        <x:v>P9</x:v>
      </x:c>
      <x:c r="D883" s="20" t="n">
        <x:v>57</x:v>
      </x:c>
      <x:c r="E883" s="45" t="n">
        <x:f>IF('Controls'!$D$7="Reference",'Paths'!$J$16,'Paths'!$K$16)</x:f>
        <x:v>6</x:v>
      </x:c>
      <x:c r="F883" s="47" t="n">
        <x:f>IF(D883&lt;'Paths'!$N$16,IF('Controls'!$D$7="Reference",'Paths'!$L$16,'Paths'!$M$16),IF('Controls'!$D$7="Reference",'Paths'!$O$16,'Paths'!$P$16))</x:f>
        <x:v>28000</x:v>
      </x:c>
      <x:c r="G883" s="46" t="n">
        <x:f>IF('Controls'!$D$7="Reference",1,IF(OR(D883=6,D883=7,D883=21,D883=46),'Paths'!$U$16,1))</x:f>
        <x:v>1</x:v>
      </x:c>
      <x:c r="H883" s="46" t="n">
        <x:f>IF('Controls'!$D$7="Reference",1,IF(OR(AND(D883&gt;=14,D883&lt;=16),AND(D883&gt;=34,D883&lt;=35),AND(D883&gt;=61,D883&lt;=63)),'Paths'!$V$16,1))</x:f>
        <x:v>1</x:v>
      </x:c>
      <x:c r="I883" s="46" t="n">
        <x:f>'Paths'!$W$16</x:f>
        <x:v>0.9</x:v>
      </x:c>
      <x:c r="J883" s="47" t="n">
        <x:f>IF(D883&lt;E883,0,MIN(F883*G883*H883*I883,IF('Paths'!$T$16&gt;0,MAX(0,'Paths'!$T$16-K882),1000000000)))</x:f>
        <x:v>25200</x:v>
      </x:c>
      <x:c r="K883" s="47" t="n">
        <x:f>K882+J883</x:f>
        <x:v>1062270</x:v>
      </x:c>
      <x:c r="L883" s="46" t="n">
        <x:f>IF(C883="P0",1,IF(D883&lt;=3,0.8,IF(D883&lt;=14,0.65,IF(D883&lt;=45,0.5,0.3))))</x:f>
        <x:v>0.3</x:v>
      </x:c>
      <x:c r="M883" s="47" t="n">
        <x:f>J883*L883</x:f>
        <x:v>7560</x:v>
      </x:c>
      <x:c r="N883" s="47" t="n">
        <x:f>N882+M883</x:f>
        <x:v>488054.25</x:v>
      </x:c>
      <x:c r="O883" s="46" t="n">
        <x:f>IF(C883="P0",0,IF(D883&lt;=3,0.15,IF(D883&lt;=14,0.25,IF(D883&lt;=45,0.35,0.5))))</x:f>
        <x:v>0.5</x:v>
      </x:c>
      <x:c r="P883" s="47" t="n">
        <x:f>J883*O883</x:f>
        <x:v>12600</x:v>
      </x:c>
      <x:c r="Q883" s="46" t="n">
        <x:f>IF(C883="P0",0,IF(D883&lt;=3,0.05,IF(D883&lt;=14,0.1,IF(D883&lt;=45,0.15,0.2))))</x:f>
        <x:v>0.2</x:v>
      </x:c>
      <x:c r="R883" s="47" t="n">
        <x:f>J883*Q883</x:f>
        <x:v>5040</x:v>
      </x:c>
      <x:c r="S883" s="20" t="str">
        <x:f>IF(D883&lt;E883,"closed",IF(D883&lt;'Paths'!$N$16,"initial","expanded"))</x:f>
        <x:v>expanded</x:v>
      </x:c>
      <x:c r="T883" s="72"/>
    </x:row>
    <x:row r="884">
      <x:c r="C884" s="20" t="str">
        <x:v>P9</x:v>
      </x:c>
      <x:c r="D884" s="20" t="n">
        <x:v>58</x:v>
      </x:c>
      <x:c r="E884" s="45" t="n">
        <x:f>IF('Controls'!$D$7="Reference",'Paths'!$J$16,'Paths'!$K$16)</x:f>
        <x:v>6</x:v>
      </x:c>
      <x:c r="F884" s="47" t="n">
        <x:f>IF(D884&lt;'Paths'!$N$16,IF('Controls'!$D$7="Reference",'Paths'!$L$16,'Paths'!$M$16),IF('Controls'!$D$7="Reference",'Paths'!$O$16,'Paths'!$P$16))</x:f>
        <x:v>28000</x:v>
      </x:c>
      <x:c r="G884" s="46" t="n">
        <x:f>IF('Controls'!$D$7="Reference",1,IF(OR(D884=6,D884=7,D884=21,D884=46),'Paths'!$U$16,1))</x:f>
        <x:v>1</x:v>
      </x:c>
      <x:c r="H884" s="46" t="n">
        <x:f>IF('Controls'!$D$7="Reference",1,IF(OR(AND(D884&gt;=14,D884&lt;=16),AND(D884&gt;=34,D884&lt;=35),AND(D884&gt;=61,D884&lt;=63)),'Paths'!$V$16,1))</x:f>
        <x:v>1</x:v>
      </x:c>
      <x:c r="I884" s="46" t="n">
        <x:f>'Paths'!$W$16</x:f>
        <x:v>0.9</x:v>
      </x:c>
      <x:c r="J884" s="47" t="n">
        <x:f>IF(D884&lt;E884,0,MIN(F884*G884*H884*I884,IF('Paths'!$T$16&gt;0,MAX(0,'Paths'!$T$16-K883),1000000000)))</x:f>
        <x:v>25200</x:v>
      </x:c>
      <x:c r="K884" s="47" t="n">
        <x:f>K883+J884</x:f>
        <x:v>1087470</x:v>
      </x:c>
      <x:c r="L884" s="46" t="n">
        <x:f>IF(C884="P0",1,IF(D884&lt;=3,0.8,IF(D884&lt;=14,0.65,IF(D884&lt;=45,0.5,0.3))))</x:f>
        <x:v>0.3</x:v>
      </x:c>
      <x:c r="M884" s="47" t="n">
        <x:f>J884*L884</x:f>
        <x:v>7560</x:v>
      </x:c>
      <x:c r="N884" s="47" t="n">
        <x:f>N883+M884</x:f>
        <x:v>495614.25</x:v>
      </x:c>
      <x:c r="O884" s="46" t="n">
        <x:f>IF(C884="P0",0,IF(D884&lt;=3,0.15,IF(D884&lt;=14,0.25,IF(D884&lt;=45,0.35,0.5))))</x:f>
        <x:v>0.5</x:v>
      </x:c>
      <x:c r="P884" s="47" t="n">
        <x:f>J884*O884</x:f>
        <x:v>12600</x:v>
      </x:c>
      <x:c r="Q884" s="46" t="n">
        <x:f>IF(C884="P0",0,IF(D884&lt;=3,0.05,IF(D884&lt;=14,0.1,IF(D884&lt;=45,0.15,0.2))))</x:f>
        <x:v>0.2</x:v>
      </x:c>
      <x:c r="R884" s="47" t="n">
        <x:f>J884*Q884</x:f>
        <x:v>5040</x:v>
      </x:c>
      <x:c r="S884" s="20" t="str">
        <x:f>IF(D884&lt;E884,"closed",IF(D884&lt;'Paths'!$N$16,"initial","expanded"))</x:f>
        <x:v>expanded</x:v>
      </x:c>
      <x:c r="T884" s="72"/>
    </x:row>
    <x:row r="885">
      <x:c r="C885" s="20" t="str">
        <x:v>P9</x:v>
      </x:c>
      <x:c r="D885" s="20" t="n">
        <x:v>59</x:v>
      </x:c>
      <x:c r="E885" s="45" t="n">
        <x:f>IF('Controls'!$D$7="Reference",'Paths'!$J$16,'Paths'!$K$16)</x:f>
        <x:v>6</x:v>
      </x:c>
      <x:c r="F885" s="47" t="n">
        <x:f>IF(D885&lt;'Paths'!$N$16,IF('Controls'!$D$7="Reference",'Paths'!$L$16,'Paths'!$M$16),IF('Controls'!$D$7="Reference",'Paths'!$O$16,'Paths'!$P$16))</x:f>
        <x:v>28000</x:v>
      </x:c>
      <x:c r="G885" s="46" t="n">
        <x:f>IF('Controls'!$D$7="Reference",1,IF(OR(D885=6,D885=7,D885=21,D885=46),'Paths'!$U$16,1))</x:f>
        <x:v>1</x:v>
      </x:c>
      <x:c r="H885" s="46" t="n">
        <x:f>IF('Controls'!$D$7="Reference",1,IF(OR(AND(D885&gt;=14,D885&lt;=16),AND(D885&gt;=34,D885&lt;=35),AND(D885&gt;=61,D885&lt;=63)),'Paths'!$V$16,1))</x:f>
        <x:v>1</x:v>
      </x:c>
      <x:c r="I885" s="46" t="n">
        <x:f>'Paths'!$W$16</x:f>
        <x:v>0.9</x:v>
      </x:c>
      <x:c r="J885" s="47" t="n">
        <x:f>IF(D885&lt;E885,0,MIN(F885*G885*H885*I885,IF('Paths'!$T$16&gt;0,MAX(0,'Paths'!$T$16-K884),1000000000)))</x:f>
        <x:v>25200</x:v>
      </x:c>
      <x:c r="K885" s="47" t="n">
        <x:f>K884+J885</x:f>
        <x:v>1112670</x:v>
      </x:c>
      <x:c r="L885" s="46" t="n">
        <x:f>IF(C885="P0",1,IF(D885&lt;=3,0.8,IF(D885&lt;=14,0.65,IF(D885&lt;=45,0.5,0.3))))</x:f>
        <x:v>0.3</x:v>
      </x:c>
      <x:c r="M885" s="47" t="n">
        <x:f>J885*L885</x:f>
        <x:v>7560</x:v>
      </x:c>
      <x:c r="N885" s="47" t="n">
        <x:f>N884+M885</x:f>
        <x:v>503174.25</x:v>
      </x:c>
      <x:c r="O885" s="46" t="n">
        <x:f>IF(C885="P0",0,IF(D885&lt;=3,0.15,IF(D885&lt;=14,0.25,IF(D885&lt;=45,0.35,0.5))))</x:f>
        <x:v>0.5</x:v>
      </x:c>
      <x:c r="P885" s="47" t="n">
        <x:f>J885*O885</x:f>
        <x:v>12600</x:v>
      </x:c>
      <x:c r="Q885" s="46" t="n">
        <x:f>IF(C885="P0",0,IF(D885&lt;=3,0.05,IF(D885&lt;=14,0.1,IF(D885&lt;=45,0.15,0.2))))</x:f>
        <x:v>0.2</x:v>
      </x:c>
      <x:c r="R885" s="47" t="n">
        <x:f>J885*Q885</x:f>
        <x:v>5040</x:v>
      </x:c>
      <x:c r="S885" s="20" t="str">
        <x:f>IF(D885&lt;E885,"closed",IF(D885&lt;'Paths'!$N$16,"initial","expanded"))</x:f>
        <x:v>expanded</x:v>
      </x:c>
      <x:c r="T885" s="72"/>
    </x:row>
    <x:row r="886">
      <x:c r="C886" s="20" t="str">
        <x:v>P9</x:v>
      </x:c>
      <x:c r="D886" s="20" t="n">
        <x:v>60</x:v>
      </x:c>
      <x:c r="E886" s="45" t="n">
        <x:f>IF('Controls'!$D$7="Reference",'Paths'!$J$16,'Paths'!$K$16)</x:f>
        <x:v>6</x:v>
      </x:c>
      <x:c r="F886" s="47" t="n">
        <x:f>IF(D886&lt;'Paths'!$N$16,IF('Controls'!$D$7="Reference",'Paths'!$L$16,'Paths'!$M$16),IF('Controls'!$D$7="Reference",'Paths'!$O$16,'Paths'!$P$16))</x:f>
        <x:v>28000</x:v>
      </x:c>
      <x:c r="G886" s="46" t="n">
        <x:f>IF('Controls'!$D$7="Reference",1,IF(OR(D886=6,D886=7,D886=21,D886=46),'Paths'!$U$16,1))</x:f>
        <x:v>1</x:v>
      </x:c>
      <x:c r="H886" s="46" t="n">
        <x:f>IF('Controls'!$D$7="Reference",1,IF(OR(AND(D886&gt;=14,D886&lt;=16),AND(D886&gt;=34,D886&lt;=35),AND(D886&gt;=61,D886&lt;=63)),'Paths'!$V$16,1))</x:f>
        <x:v>1</x:v>
      </x:c>
      <x:c r="I886" s="46" t="n">
        <x:f>'Paths'!$W$16</x:f>
        <x:v>0.9</x:v>
      </x:c>
      <x:c r="J886" s="47" t="n">
        <x:f>IF(D886&lt;E886,0,MIN(F886*G886*H886*I886,IF('Paths'!$T$16&gt;0,MAX(0,'Paths'!$T$16-K885),1000000000)))</x:f>
        <x:v>25200</x:v>
      </x:c>
      <x:c r="K886" s="47" t="n">
        <x:f>K885+J886</x:f>
        <x:v>1137870</x:v>
      </x:c>
      <x:c r="L886" s="46" t="n">
        <x:f>IF(C886="P0",1,IF(D886&lt;=3,0.8,IF(D886&lt;=14,0.65,IF(D886&lt;=45,0.5,0.3))))</x:f>
        <x:v>0.3</x:v>
      </x:c>
      <x:c r="M886" s="47" t="n">
        <x:f>J886*L886</x:f>
        <x:v>7560</x:v>
      </x:c>
      <x:c r="N886" s="47" t="n">
        <x:f>N885+M886</x:f>
        <x:v>510734.25</x:v>
      </x:c>
      <x:c r="O886" s="46" t="n">
        <x:f>IF(C886="P0",0,IF(D886&lt;=3,0.15,IF(D886&lt;=14,0.25,IF(D886&lt;=45,0.35,0.5))))</x:f>
        <x:v>0.5</x:v>
      </x:c>
      <x:c r="P886" s="47" t="n">
        <x:f>J886*O886</x:f>
        <x:v>12600</x:v>
      </x:c>
      <x:c r="Q886" s="46" t="n">
        <x:f>IF(C886="P0",0,IF(D886&lt;=3,0.05,IF(D886&lt;=14,0.1,IF(D886&lt;=45,0.15,0.2))))</x:f>
        <x:v>0.2</x:v>
      </x:c>
      <x:c r="R886" s="47" t="n">
        <x:f>J886*Q886</x:f>
        <x:v>5040</x:v>
      </x:c>
      <x:c r="S886" s="20" t="str">
        <x:f>IF(D886&lt;E886,"closed",IF(D886&lt;'Paths'!$N$16,"initial","expanded"))</x:f>
        <x:v>expanded</x:v>
      </x:c>
      <x:c r="T886" s="72"/>
    </x:row>
    <x:row r="887">
      <x:c r="C887" s="20" t="str">
        <x:v>P9</x:v>
      </x:c>
      <x:c r="D887" s="20" t="n">
        <x:v>61</x:v>
      </x:c>
      <x:c r="E887" s="45" t="n">
        <x:f>IF('Controls'!$D$7="Reference",'Paths'!$J$16,'Paths'!$K$16)</x:f>
        <x:v>6</x:v>
      </x:c>
      <x:c r="F887" s="47" t="n">
        <x:f>IF(D887&lt;'Paths'!$N$16,IF('Controls'!$D$7="Reference",'Paths'!$L$16,'Paths'!$M$16),IF('Controls'!$D$7="Reference",'Paths'!$O$16,'Paths'!$P$16))</x:f>
        <x:v>28000</x:v>
      </x:c>
      <x:c r="G887" s="46" t="n">
        <x:f>IF('Controls'!$D$7="Reference",1,IF(OR(D887=6,D887=7,D887=21,D887=46),'Paths'!$U$16,1))</x:f>
        <x:v>1</x:v>
      </x:c>
      <x:c r="H887" s="46" t="n">
        <x:f>IF('Controls'!$D$7="Reference",1,IF(OR(AND(D887&gt;=14,D887&lt;=16),AND(D887&gt;=34,D887&lt;=35),AND(D887&gt;=61,D887&lt;=63)),'Paths'!$V$16,1))</x:f>
        <x:v>0.25</x:v>
      </x:c>
      <x:c r="I887" s="46" t="n">
        <x:f>'Paths'!$W$16</x:f>
        <x:v>0.9</x:v>
      </x:c>
      <x:c r="J887" s="47" t="n">
        <x:f>IF(D887&lt;E887,0,MIN(F887*G887*H887*I887,IF('Paths'!$T$16&gt;0,MAX(0,'Paths'!$T$16-K886),1000000000)))</x:f>
        <x:v>6300</x:v>
      </x:c>
      <x:c r="K887" s="47" t="n">
        <x:f>K886+J887</x:f>
        <x:v>1144170</x:v>
      </x:c>
      <x:c r="L887" s="46" t="n">
        <x:f>IF(C887="P0",1,IF(D887&lt;=3,0.8,IF(D887&lt;=14,0.65,IF(D887&lt;=45,0.5,0.3))))</x:f>
        <x:v>0.3</x:v>
      </x:c>
      <x:c r="M887" s="47" t="n">
        <x:f>J887*L887</x:f>
        <x:v>1890</x:v>
      </x:c>
      <x:c r="N887" s="47" t="n">
        <x:f>N886+M887</x:f>
        <x:v>512624.25</x:v>
      </x:c>
      <x:c r="O887" s="46" t="n">
        <x:f>IF(C887="P0",0,IF(D887&lt;=3,0.15,IF(D887&lt;=14,0.25,IF(D887&lt;=45,0.35,0.5))))</x:f>
        <x:v>0.5</x:v>
      </x:c>
      <x:c r="P887" s="47" t="n">
        <x:f>J887*O887</x:f>
        <x:v>3150</x:v>
      </x:c>
      <x:c r="Q887" s="46" t="n">
        <x:f>IF(C887="P0",0,IF(D887&lt;=3,0.05,IF(D887&lt;=14,0.1,IF(D887&lt;=45,0.15,0.2))))</x:f>
        <x:v>0.2</x:v>
      </x:c>
      <x:c r="R887" s="47" t="n">
        <x:f>J887*Q887</x:f>
        <x:v>1260</x:v>
      </x:c>
      <x:c r="S887" s="20" t="str">
        <x:f>IF(D887&lt;E887,"closed",IF(D887&lt;'Paths'!$N$16,"initial","expanded"))</x:f>
        <x:v>expanded</x:v>
      </x:c>
      <x:c r="T887" s="72"/>
    </x:row>
    <x:row r="888">
      <x:c r="C888" s="20" t="str">
        <x:v>P9</x:v>
      </x:c>
      <x:c r="D888" s="20" t="n">
        <x:v>62</x:v>
      </x:c>
      <x:c r="E888" s="45" t="n">
        <x:f>IF('Controls'!$D$7="Reference",'Paths'!$J$16,'Paths'!$K$16)</x:f>
        <x:v>6</x:v>
      </x:c>
      <x:c r="F888" s="47" t="n">
        <x:f>IF(D888&lt;'Paths'!$N$16,IF('Controls'!$D$7="Reference",'Paths'!$L$16,'Paths'!$M$16),IF('Controls'!$D$7="Reference",'Paths'!$O$16,'Paths'!$P$16))</x:f>
        <x:v>28000</x:v>
      </x:c>
      <x:c r="G888" s="46" t="n">
        <x:f>IF('Controls'!$D$7="Reference",1,IF(OR(D888=6,D888=7,D888=21,D888=46),'Paths'!$U$16,1))</x:f>
        <x:v>1</x:v>
      </x:c>
      <x:c r="H888" s="46" t="n">
        <x:f>IF('Controls'!$D$7="Reference",1,IF(OR(AND(D888&gt;=14,D888&lt;=16),AND(D888&gt;=34,D888&lt;=35),AND(D888&gt;=61,D888&lt;=63)),'Paths'!$V$16,1))</x:f>
        <x:v>0.25</x:v>
      </x:c>
      <x:c r="I888" s="46" t="n">
        <x:f>'Paths'!$W$16</x:f>
        <x:v>0.9</x:v>
      </x:c>
      <x:c r="J888" s="47" t="n">
        <x:f>IF(D888&lt;E888,0,MIN(F888*G888*H888*I888,IF('Paths'!$T$16&gt;0,MAX(0,'Paths'!$T$16-K887),1000000000)))</x:f>
        <x:v>6300</x:v>
      </x:c>
      <x:c r="K888" s="47" t="n">
        <x:f>K887+J888</x:f>
        <x:v>1150470</x:v>
      </x:c>
      <x:c r="L888" s="46" t="n">
        <x:f>IF(C888="P0",1,IF(D888&lt;=3,0.8,IF(D888&lt;=14,0.65,IF(D888&lt;=45,0.5,0.3))))</x:f>
        <x:v>0.3</x:v>
      </x:c>
      <x:c r="M888" s="47" t="n">
        <x:f>J888*L888</x:f>
        <x:v>1890</x:v>
      </x:c>
      <x:c r="N888" s="47" t="n">
        <x:f>N887+M888</x:f>
        <x:v>514514.25</x:v>
      </x:c>
      <x:c r="O888" s="46" t="n">
        <x:f>IF(C888="P0",0,IF(D888&lt;=3,0.15,IF(D888&lt;=14,0.25,IF(D888&lt;=45,0.35,0.5))))</x:f>
        <x:v>0.5</x:v>
      </x:c>
      <x:c r="P888" s="47" t="n">
        <x:f>J888*O888</x:f>
        <x:v>3150</x:v>
      </x:c>
      <x:c r="Q888" s="46" t="n">
        <x:f>IF(C888="P0",0,IF(D888&lt;=3,0.05,IF(D888&lt;=14,0.1,IF(D888&lt;=45,0.15,0.2))))</x:f>
        <x:v>0.2</x:v>
      </x:c>
      <x:c r="R888" s="47" t="n">
        <x:f>J888*Q888</x:f>
        <x:v>1260</x:v>
      </x:c>
      <x:c r="S888" s="20" t="str">
        <x:f>IF(D888&lt;E888,"closed",IF(D888&lt;'Paths'!$N$16,"initial","expanded"))</x:f>
        <x:v>expanded</x:v>
      </x:c>
      <x:c r="T888" s="72"/>
    </x:row>
    <x:row r="889">
      <x:c r="C889" s="20" t="str">
        <x:v>P9</x:v>
      </x:c>
      <x:c r="D889" s="20" t="n">
        <x:v>63</x:v>
      </x:c>
      <x:c r="E889" s="45" t="n">
        <x:f>IF('Controls'!$D$7="Reference",'Paths'!$J$16,'Paths'!$K$16)</x:f>
        <x:v>6</x:v>
      </x:c>
      <x:c r="F889" s="47" t="n">
        <x:f>IF(D889&lt;'Paths'!$N$16,IF('Controls'!$D$7="Reference",'Paths'!$L$16,'Paths'!$M$16),IF('Controls'!$D$7="Reference",'Paths'!$O$16,'Paths'!$P$16))</x:f>
        <x:v>28000</x:v>
      </x:c>
      <x:c r="G889" s="46" t="n">
        <x:f>IF('Controls'!$D$7="Reference",1,IF(OR(D889=6,D889=7,D889=21,D889=46),'Paths'!$U$16,1))</x:f>
        <x:v>1</x:v>
      </x:c>
      <x:c r="H889" s="46" t="n">
        <x:f>IF('Controls'!$D$7="Reference",1,IF(OR(AND(D889&gt;=14,D889&lt;=16),AND(D889&gt;=34,D889&lt;=35),AND(D889&gt;=61,D889&lt;=63)),'Paths'!$V$16,1))</x:f>
        <x:v>0.25</x:v>
      </x:c>
      <x:c r="I889" s="46" t="n">
        <x:f>'Paths'!$W$16</x:f>
        <x:v>0.9</x:v>
      </x:c>
      <x:c r="J889" s="47" t="n">
        <x:f>IF(D889&lt;E889,0,MIN(F889*G889*H889*I889,IF('Paths'!$T$16&gt;0,MAX(0,'Paths'!$T$16-K888),1000000000)))</x:f>
        <x:v>6300</x:v>
      </x:c>
      <x:c r="K889" s="47" t="n">
        <x:f>K888+J889</x:f>
        <x:v>1156770</x:v>
      </x:c>
      <x:c r="L889" s="46" t="n">
        <x:f>IF(C889="P0",1,IF(D889&lt;=3,0.8,IF(D889&lt;=14,0.65,IF(D889&lt;=45,0.5,0.3))))</x:f>
        <x:v>0.3</x:v>
      </x:c>
      <x:c r="M889" s="47" t="n">
        <x:f>J889*L889</x:f>
        <x:v>1890</x:v>
      </x:c>
      <x:c r="N889" s="47" t="n">
        <x:f>N888+M889</x:f>
        <x:v>516404.25</x:v>
      </x:c>
      <x:c r="O889" s="46" t="n">
        <x:f>IF(C889="P0",0,IF(D889&lt;=3,0.15,IF(D889&lt;=14,0.25,IF(D889&lt;=45,0.35,0.5))))</x:f>
        <x:v>0.5</x:v>
      </x:c>
      <x:c r="P889" s="47" t="n">
        <x:f>J889*O889</x:f>
        <x:v>3150</x:v>
      </x:c>
      <x:c r="Q889" s="46" t="n">
        <x:f>IF(C889="P0",0,IF(D889&lt;=3,0.05,IF(D889&lt;=14,0.1,IF(D889&lt;=45,0.15,0.2))))</x:f>
        <x:v>0.2</x:v>
      </x:c>
      <x:c r="R889" s="47" t="n">
        <x:f>J889*Q889</x:f>
        <x:v>1260</x:v>
      </x:c>
      <x:c r="S889" s="20" t="str">
        <x:f>IF(D889&lt;E889,"closed",IF(D889&lt;'Paths'!$N$16,"initial","expanded"))</x:f>
        <x:v>expanded</x:v>
      </x:c>
      <x:c r="T889" s="72"/>
    </x:row>
    <x:row r="890">
      <x:c r="C890" s="20" t="str">
        <x:v>P9</x:v>
      </x:c>
      <x:c r="D890" s="20" t="n">
        <x:v>64</x:v>
      </x:c>
      <x:c r="E890" s="45" t="n">
        <x:f>IF('Controls'!$D$7="Reference",'Paths'!$J$16,'Paths'!$K$16)</x:f>
        <x:v>6</x:v>
      </x:c>
      <x:c r="F890" s="47" t="n">
        <x:f>IF(D890&lt;'Paths'!$N$16,IF('Controls'!$D$7="Reference",'Paths'!$L$16,'Paths'!$M$16),IF('Controls'!$D$7="Reference",'Paths'!$O$16,'Paths'!$P$16))</x:f>
        <x:v>28000</x:v>
      </x:c>
      <x:c r="G890" s="46" t="n">
        <x:f>IF('Controls'!$D$7="Reference",1,IF(OR(D890=6,D890=7,D890=21,D890=46),'Paths'!$U$16,1))</x:f>
        <x:v>1</x:v>
      </x:c>
      <x:c r="H890" s="46" t="n">
        <x:f>IF('Controls'!$D$7="Reference",1,IF(OR(AND(D890&gt;=14,D890&lt;=16),AND(D890&gt;=34,D890&lt;=35),AND(D890&gt;=61,D890&lt;=63)),'Paths'!$V$16,1))</x:f>
        <x:v>1</x:v>
      </x:c>
      <x:c r="I890" s="46" t="n">
        <x:f>'Paths'!$W$16</x:f>
        <x:v>0.9</x:v>
      </x:c>
      <x:c r="J890" s="47" t="n">
        <x:f>IF(D890&lt;E890,0,MIN(F890*G890*H890*I890,IF('Paths'!$T$16&gt;0,MAX(0,'Paths'!$T$16-K889),1000000000)))</x:f>
        <x:v>25200</x:v>
      </x:c>
      <x:c r="K890" s="47" t="n">
        <x:f>K889+J890</x:f>
        <x:v>1181970</x:v>
      </x:c>
      <x:c r="L890" s="46" t="n">
        <x:f>IF(C890="P0",1,IF(D890&lt;=3,0.8,IF(D890&lt;=14,0.65,IF(D890&lt;=45,0.5,0.3))))</x:f>
        <x:v>0.3</x:v>
      </x:c>
      <x:c r="M890" s="47" t="n">
        <x:f>J890*L890</x:f>
        <x:v>7560</x:v>
      </x:c>
      <x:c r="N890" s="47" t="n">
        <x:f>N889+M890</x:f>
        <x:v>523964.25</x:v>
      </x:c>
      <x:c r="O890" s="46" t="n">
        <x:f>IF(C890="P0",0,IF(D890&lt;=3,0.15,IF(D890&lt;=14,0.25,IF(D890&lt;=45,0.35,0.5))))</x:f>
        <x:v>0.5</x:v>
      </x:c>
      <x:c r="P890" s="47" t="n">
        <x:f>J890*O890</x:f>
        <x:v>12600</x:v>
      </x:c>
      <x:c r="Q890" s="46" t="n">
        <x:f>IF(C890="P0",0,IF(D890&lt;=3,0.05,IF(D890&lt;=14,0.1,IF(D890&lt;=45,0.15,0.2))))</x:f>
        <x:v>0.2</x:v>
      </x:c>
      <x:c r="R890" s="47" t="n">
        <x:f>J890*Q890</x:f>
        <x:v>5040</x:v>
      </x:c>
      <x:c r="S890" s="20" t="str">
        <x:f>IF(D890&lt;E890,"closed",IF(D890&lt;'Paths'!$N$16,"initial","expanded"))</x:f>
        <x:v>expanded</x:v>
      </x:c>
      <x:c r="T890" s="72"/>
    </x:row>
    <x:row r="891">
      <x:c r="C891" s="20" t="str">
        <x:v>P9</x:v>
      </x:c>
      <x:c r="D891" s="20" t="n">
        <x:v>65</x:v>
      </x:c>
      <x:c r="E891" s="45" t="n">
        <x:f>IF('Controls'!$D$7="Reference",'Paths'!$J$16,'Paths'!$K$16)</x:f>
        <x:v>6</x:v>
      </x:c>
      <x:c r="F891" s="47" t="n">
        <x:f>IF(D891&lt;'Paths'!$N$16,IF('Controls'!$D$7="Reference",'Paths'!$L$16,'Paths'!$M$16),IF('Controls'!$D$7="Reference",'Paths'!$O$16,'Paths'!$P$16))</x:f>
        <x:v>28000</x:v>
      </x:c>
      <x:c r="G891" s="46" t="n">
        <x:f>IF('Controls'!$D$7="Reference",1,IF(OR(D891=6,D891=7,D891=21,D891=46),'Paths'!$U$16,1))</x:f>
        <x:v>1</x:v>
      </x:c>
      <x:c r="H891" s="46" t="n">
        <x:f>IF('Controls'!$D$7="Reference",1,IF(OR(AND(D891&gt;=14,D891&lt;=16),AND(D891&gt;=34,D891&lt;=35),AND(D891&gt;=61,D891&lt;=63)),'Paths'!$V$16,1))</x:f>
        <x:v>1</x:v>
      </x:c>
      <x:c r="I891" s="46" t="n">
        <x:f>'Paths'!$W$16</x:f>
        <x:v>0.9</x:v>
      </x:c>
      <x:c r="J891" s="47" t="n">
        <x:f>IF(D891&lt;E891,0,MIN(F891*G891*H891*I891,IF('Paths'!$T$16&gt;0,MAX(0,'Paths'!$T$16-K890),1000000000)))</x:f>
        <x:v>25200</x:v>
      </x:c>
      <x:c r="K891" s="47" t="n">
        <x:f>K890+J891</x:f>
        <x:v>1207170</x:v>
      </x:c>
      <x:c r="L891" s="46" t="n">
        <x:f>IF(C891="P0",1,IF(D891&lt;=3,0.8,IF(D891&lt;=14,0.65,IF(D891&lt;=45,0.5,0.3))))</x:f>
        <x:v>0.3</x:v>
      </x:c>
      <x:c r="M891" s="47" t="n">
        <x:f>J891*L891</x:f>
        <x:v>7560</x:v>
      </x:c>
      <x:c r="N891" s="47" t="n">
        <x:f>N890+M891</x:f>
        <x:v>531524.25</x:v>
      </x:c>
      <x:c r="O891" s="46" t="n">
        <x:f>IF(C891="P0",0,IF(D891&lt;=3,0.15,IF(D891&lt;=14,0.25,IF(D891&lt;=45,0.35,0.5))))</x:f>
        <x:v>0.5</x:v>
      </x:c>
      <x:c r="P891" s="47" t="n">
        <x:f>J891*O891</x:f>
        <x:v>12600</x:v>
      </x:c>
      <x:c r="Q891" s="46" t="n">
        <x:f>IF(C891="P0",0,IF(D891&lt;=3,0.05,IF(D891&lt;=14,0.1,IF(D891&lt;=45,0.15,0.2))))</x:f>
        <x:v>0.2</x:v>
      </x:c>
      <x:c r="R891" s="47" t="n">
        <x:f>J891*Q891</x:f>
        <x:v>5040</x:v>
      </x:c>
      <x:c r="S891" s="20" t="str">
        <x:f>IF(D891&lt;E891,"closed",IF(D891&lt;'Paths'!$N$16,"initial","expanded"))</x:f>
        <x:v>expanded</x:v>
      </x:c>
      <x:c r="T891" s="72"/>
    </x:row>
    <x:row r="892">
      <x:c r="C892" s="20" t="str">
        <x:v>P9</x:v>
      </x:c>
      <x:c r="D892" s="20" t="n">
        <x:v>66</x:v>
      </x:c>
      <x:c r="E892" s="45" t="n">
        <x:f>IF('Controls'!$D$7="Reference",'Paths'!$J$16,'Paths'!$K$16)</x:f>
        <x:v>6</x:v>
      </x:c>
      <x:c r="F892" s="47" t="n">
        <x:f>IF(D892&lt;'Paths'!$N$16,IF('Controls'!$D$7="Reference",'Paths'!$L$16,'Paths'!$M$16),IF('Controls'!$D$7="Reference",'Paths'!$O$16,'Paths'!$P$16))</x:f>
        <x:v>28000</x:v>
      </x:c>
      <x:c r="G892" s="46" t="n">
        <x:f>IF('Controls'!$D$7="Reference",1,IF(OR(D892=6,D892=7,D892=21,D892=46),'Paths'!$U$16,1))</x:f>
        <x:v>1</x:v>
      </x:c>
      <x:c r="H892" s="46" t="n">
        <x:f>IF('Controls'!$D$7="Reference",1,IF(OR(AND(D892&gt;=14,D892&lt;=16),AND(D892&gt;=34,D892&lt;=35),AND(D892&gt;=61,D892&lt;=63)),'Paths'!$V$16,1))</x:f>
        <x:v>1</x:v>
      </x:c>
      <x:c r="I892" s="46" t="n">
        <x:f>'Paths'!$W$16</x:f>
        <x:v>0.9</x:v>
      </x:c>
      <x:c r="J892" s="47" t="n">
        <x:f>IF(D892&lt;E892,0,MIN(F892*G892*H892*I892,IF('Paths'!$T$16&gt;0,MAX(0,'Paths'!$T$16-K891),1000000000)))</x:f>
        <x:v>25200</x:v>
      </x:c>
      <x:c r="K892" s="47" t="n">
        <x:f>K891+J892</x:f>
        <x:v>1232370</x:v>
      </x:c>
      <x:c r="L892" s="46" t="n">
        <x:f>IF(C892="P0",1,IF(D892&lt;=3,0.8,IF(D892&lt;=14,0.65,IF(D892&lt;=45,0.5,0.3))))</x:f>
        <x:v>0.3</x:v>
      </x:c>
      <x:c r="M892" s="47" t="n">
        <x:f>J892*L892</x:f>
        <x:v>7560</x:v>
      </x:c>
      <x:c r="N892" s="47" t="n">
        <x:f>N891+M892</x:f>
        <x:v>539084.25</x:v>
      </x:c>
      <x:c r="O892" s="46" t="n">
        <x:f>IF(C892="P0",0,IF(D892&lt;=3,0.15,IF(D892&lt;=14,0.25,IF(D892&lt;=45,0.35,0.5))))</x:f>
        <x:v>0.5</x:v>
      </x:c>
      <x:c r="P892" s="47" t="n">
        <x:f>J892*O892</x:f>
        <x:v>12600</x:v>
      </x:c>
      <x:c r="Q892" s="46" t="n">
        <x:f>IF(C892="P0",0,IF(D892&lt;=3,0.05,IF(D892&lt;=14,0.1,IF(D892&lt;=45,0.15,0.2))))</x:f>
        <x:v>0.2</x:v>
      </x:c>
      <x:c r="R892" s="47" t="n">
        <x:f>J892*Q892</x:f>
        <x:v>5040</x:v>
      </x:c>
      <x:c r="S892" s="20" t="str">
        <x:f>IF(D892&lt;E892,"closed",IF(D892&lt;'Paths'!$N$16,"initial","expanded"))</x:f>
        <x:v>expanded</x:v>
      </x:c>
      <x:c r="T892" s="72"/>
    </x:row>
    <x:row r="893">
      <x:c r="C893" s="20" t="str">
        <x:v>P9</x:v>
      </x:c>
      <x:c r="D893" s="20" t="n">
        <x:v>67</x:v>
      </x:c>
      <x:c r="E893" s="45" t="n">
        <x:f>IF('Controls'!$D$7="Reference",'Paths'!$J$16,'Paths'!$K$16)</x:f>
        <x:v>6</x:v>
      </x:c>
      <x:c r="F893" s="47" t="n">
        <x:f>IF(D893&lt;'Paths'!$N$16,IF('Controls'!$D$7="Reference",'Paths'!$L$16,'Paths'!$M$16),IF('Controls'!$D$7="Reference",'Paths'!$O$16,'Paths'!$P$16))</x:f>
        <x:v>28000</x:v>
      </x:c>
      <x:c r="G893" s="46" t="n">
        <x:f>IF('Controls'!$D$7="Reference",1,IF(OR(D893=6,D893=7,D893=21,D893=46),'Paths'!$U$16,1))</x:f>
        <x:v>1</x:v>
      </x:c>
      <x:c r="H893" s="46" t="n">
        <x:f>IF('Controls'!$D$7="Reference",1,IF(OR(AND(D893&gt;=14,D893&lt;=16),AND(D893&gt;=34,D893&lt;=35),AND(D893&gt;=61,D893&lt;=63)),'Paths'!$V$16,1))</x:f>
        <x:v>1</x:v>
      </x:c>
      <x:c r="I893" s="46" t="n">
        <x:f>'Paths'!$W$16</x:f>
        <x:v>0.9</x:v>
      </x:c>
      <x:c r="J893" s="47" t="n">
        <x:f>IF(D893&lt;E893,0,MIN(F893*G893*H893*I893,IF('Paths'!$T$16&gt;0,MAX(0,'Paths'!$T$16-K892),1000000000)))</x:f>
        <x:v>25200</x:v>
      </x:c>
      <x:c r="K893" s="47" t="n">
        <x:f>K892+J893</x:f>
        <x:v>1257570</x:v>
      </x:c>
      <x:c r="L893" s="46" t="n">
        <x:f>IF(C893="P0",1,IF(D893&lt;=3,0.8,IF(D893&lt;=14,0.65,IF(D893&lt;=45,0.5,0.3))))</x:f>
        <x:v>0.3</x:v>
      </x:c>
      <x:c r="M893" s="47" t="n">
        <x:f>J893*L893</x:f>
        <x:v>7560</x:v>
      </x:c>
      <x:c r="N893" s="47" t="n">
        <x:f>N892+M893</x:f>
        <x:v>546644.25</x:v>
      </x:c>
      <x:c r="O893" s="46" t="n">
        <x:f>IF(C893="P0",0,IF(D893&lt;=3,0.15,IF(D893&lt;=14,0.25,IF(D893&lt;=45,0.35,0.5))))</x:f>
        <x:v>0.5</x:v>
      </x:c>
      <x:c r="P893" s="47" t="n">
        <x:f>J893*O893</x:f>
        <x:v>12600</x:v>
      </x:c>
      <x:c r="Q893" s="46" t="n">
        <x:f>IF(C893="P0",0,IF(D893&lt;=3,0.05,IF(D893&lt;=14,0.1,IF(D893&lt;=45,0.15,0.2))))</x:f>
        <x:v>0.2</x:v>
      </x:c>
      <x:c r="R893" s="47" t="n">
        <x:f>J893*Q893</x:f>
        <x:v>5040</x:v>
      </x:c>
      <x:c r="S893" s="20" t="str">
        <x:f>IF(D893&lt;E893,"closed",IF(D893&lt;'Paths'!$N$16,"initial","expanded"))</x:f>
        <x:v>expanded</x:v>
      </x:c>
      <x:c r="T893" s="72"/>
    </x:row>
    <x:row r="894">
      <x:c r="C894" s="20" t="str">
        <x:v>P9</x:v>
      </x:c>
      <x:c r="D894" s="20" t="n">
        <x:v>68</x:v>
      </x:c>
      <x:c r="E894" s="45" t="n">
        <x:f>IF('Controls'!$D$7="Reference",'Paths'!$J$16,'Paths'!$K$16)</x:f>
        <x:v>6</x:v>
      </x:c>
      <x:c r="F894" s="47" t="n">
        <x:f>IF(D894&lt;'Paths'!$N$16,IF('Controls'!$D$7="Reference",'Paths'!$L$16,'Paths'!$M$16),IF('Controls'!$D$7="Reference",'Paths'!$O$16,'Paths'!$P$16))</x:f>
        <x:v>28000</x:v>
      </x:c>
      <x:c r="G894" s="46" t="n">
        <x:f>IF('Controls'!$D$7="Reference",1,IF(OR(D894=6,D894=7,D894=21,D894=46),'Paths'!$U$16,1))</x:f>
        <x:v>1</x:v>
      </x:c>
      <x:c r="H894" s="46" t="n">
        <x:f>IF('Controls'!$D$7="Reference",1,IF(OR(AND(D894&gt;=14,D894&lt;=16),AND(D894&gt;=34,D894&lt;=35),AND(D894&gt;=61,D894&lt;=63)),'Paths'!$V$16,1))</x:f>
        <x:v>1</x:v>
      </x:c>
      <x:c r="I894" s="46" t="n">
        <x:f>'Paths'!$W$16</x:f>
        <x:v>0.9</x:v>
      </x:c>
      <x:c r="J894" s="47" t="n">
        <x:f>IF(D894&lt;E894,0,MIN(F894*G894*H894*I894,IF('Paths'!$T$16&gt;0,MAX(0,'Paths'!$T$16-K893),1000000000)))</x:f>
        <x:v>25200</x:v>
      </x:c>
      <x:c r="K894" s="47" t="n">
        <x:f>K893+J894</x:f>
        <x:v>1282770</x:v>
      </x:c>
      <x:c r="L894" s="46" t="n">
        <x:f>IF(C894="P0",1,IF(D894&lt;=3,0.8,IF(D894&lt;=14,0.65,IF(D894&lt;=45,0.5,0.3))))</x:f>
        <x:v>0.3</x:v>
      </x:c>
      <x:c r="M894" s="47" t="n">
        <x:f>J894*L894</x:f>
        <x:v>7560</x:v>
      </x:c>
      <x:c r="N894" s="47" t="n">
        <x:f>N893+M894</x:f>
        <x:v>554204.25</x:v>
      </x:c>
      <x:c r="O894" s="46" t="n">
        <x:f>IF(C894="P0",0,IF(D894&lt;=3,0.15,IF(D894&lt;=14,0.25,IF(D894&lt;=45,0.35,0.5))))</x:f>
        <x:v>0.5</x:v>
      </x:c>
      <x:c r="P894" s="47" t="n">
        <x:f>J894*O894</x:f>
        <x:v>12600</x:v>
      </x:c>
      <x:c r="Q894" s="46" t="n">
        <x:f>IF(C894="P0",0,IF(D894&lt;=3,0.05,IF(D894&lt;=14,0.1,IF(D894&lt;=45,0.15,0.2))))</x:f>
        <x:v>0.2</x:v>
      </x:c>
      <x:c r="R894" s="47" t="n">
        <x:f>J894*Q894</x:f>
        <x:v>5040</x:v>
      </x:c>
      <x:c r="S894" s="20" t="str">
        <x:f>IF(D894&lt;E894,"closed",IF(D894&lt;'Paths'!$N$16,"initial","expanded"))</x:f>
        <x:v>expanded</x:v>
      </x:c>
      <x:c r="T894" s="72"/>
    </x:row>
    <x:row r="895">
      <x:c r="C895" s="20" t="str">
        <x:v>P9</x:v>
      </x:c>
      <x:c r="D895" s="20" t="n">
        <x:v>69</x:v>
      </x:c>
      <x:c r="E895" s="45" t="n">
        <x:f>IF('Controls'!$D$7="Reference",'Paths'!$J$16,'Paths'!$K$16)</x:f>
        <x:v>6</x:v>
      </x:c>
      <x:c r="F895" s="47" t="n">
        <x:f>IF(D895&lt;'Paths'!$N$16,IF('Controls'!$D$7="Reference",'Paths'!$L$16,'Paths'!$M$16),IF('Controls'!$D$7="Reference",'Paths'!$O$16,'Paths'!$P$16))</x:f>
        <x:v>28000</x:v>
      </x:c>
      <x:c r="G895" s="46" t="n">
        <x:f>IF('Controls'!$D$7="Reference",1,IF(OR(D895=6,D895=7,D895=21,D895=46),'Paths'!$U$16,1))</x:f>
        <x:v>1</x:v>
      </x:c>
      <x:c r="H895" s="46" t="n">
        <x:f>IF('Controls'!$D$7="Reference",1,IF(OR(AND(D895&gt;=14,D895&lt;=16),AND(D895&gt;=34,D895&lt;=35),AND(D895&gt;=61,D895&lt;=63)),'Paths'!$V$16,1))</x:f>
        <x:v>1</x:v>
      </x:c>
      <x:c r="I895" s="46" t="n">
        <x:f>'Paths'!$W$16</x:f>
        <x:v>0.9</x:v>
      </x:c>
      <x:c r="J895" s="47" t="n">
        <x:f>IF(D895&lt;E895,0,MIN(F895*G895*H895*I895,IF('Paths'!$T$16&gt;0,MAX(0,'Paths'!$T$16-K894),1000000000)))</x:f>
        <x:v>25200</x:v>
      </x:c>
      <x:c r="K895" s="47" t="n">
        <x:f>K894+J895</x:f>
        <x:v>1307970</x:v>
      </x:c>
      <x:c r="L895" s="46" t="n">
        <x:f>IF(C895="P0",1,IF(D895&lt;=3,0.8,IF(D895&lt;=14,0.65,IF(D895&lt;=45,0.5,0.3))))</x:f>
        <x:v>0.3</x:v>
      </x:c>
      <x:c r="M895" s="47" t="n">
        <x:f>J895*L895</x:f>
        <x:v>7560</x:v>
      </x:c>
      <x:c r="N895" s="47" t="n">
        <x:f>N894+M895</x:f>
        <x:v>561764.25</x:v>
      </x:c>
      <x:c r="O895" s="46" t="n">
        <x:f>IF(C895="P0",0,IF(D895&lt;=3,0.15,IF(D895&lt;=14,0.25,IF(D895&lt;=45,0.35,0.5))))</x:f>
        <x:v>0.5</x:v>
      </x:c>
      <x:c r="P895" s="47" t="n">
        <x:f>J895*O895</x:f>
        <x:v>12600</x:v>
      </x:c>
      <x:c r="Q895" s="46" t="n">
        <x:f>IF(C895="P0",0,IF(D895&lt;=3,0.05,IF(D895&lt;=14,0.1,IF(D895&lt;=45,0.15,0.2))))</x:f>
        <x:v>0.2</x:v>
      </x:c>
      <x:c r="R895" s="47" t="n">
        <x:f>J895*Q895</x:f>
        <x:v>5040</x:v>
      </x:c>
      <x:c r="S895" s="20" t="str">
        <x:f>IF(D895&lt;E895,"closed",IF(D895&lt;'Paths'!$N$16,"initial","expanded"))</x:f>
        <x:v>expanded</x:v>
      </x:c>
      <x:c r="T895" s="72"/>
    </x:row>
    <x:row r="896">
      <x:c r="C896" s="20" t="str">
        <x:v>P9</x:v>
      </x:c>
      <x:c r="D896" s="20" t="n">
        <x:v>70</x:v>
      </x:c>
      <x:c r="E896" s="45" t="n">
        <x:f>IF('Controls'!$D$7="Reference",'Paths'!$J$16,'Paths'!$K$16)</x:f>
        <x:v>6</x:v>
      </x:c>
      <x:c r="F896" s="47" t="n">
        <x:f>IF(D896&lt;'Paths'!$N$16,IF('Controls'!$D$7="Reference",'Paths'!$L$16,'Paths'!$M$16),IF('Controls'!$D$7="Reference",'Paths'!$O$16,'Paths'!$P$16))</x:f>
        <x:v>28000</x:v>
      </x:c>
      <x:c r="G896" s="46" t="n">
        <x:f>IF('Controls'!$D$7="Reference",1,IF(OR(D896=6,D896=7,D896=21,D896=46),'Paths'!$U$16,1))</x:f>
        <x:v>1</x:v>
      </x:c>
      <x:c r="H896" s="46" t="n">
        <x:f>IF('Controls'!$D$7="Reference",1,IF(OR(AND(D896&gt;=14,D896&lt;=16),AND(D896&gt;=34,D896&lt;=35),AND(D896&gt;=61,D896&lt;=63)),'Paths'!$V$16,1))</x:f>
        <x:v>1</x:v>
      </x:c>
      <x:c r="I896" s="46" t="n">
        <x:f>'Paths'!$W$16</x:f>
        <x:v>0.9</x:v>
      </x:c>
      <x:c r="J896" s="47" t="n">
        <x:f>IF(D896&lt;E896,0,MIN(F896*G896*H896*I896,IF('Paths'!$T$16&gt;0,MAX(0,'Paths'!$T$16-K895),1000000000)))</x:f>
        <x:v>25200</x:v>
      </x:c>
      <x:c r="K896" s="47" t="n">
        <x:f>K895+J896</x:f>
        <x:v>1333170</x:v>
      </x:c>
      <x:c r="L896" s="46" t="n">
        <x:f>IF(C896="P0",1,IF(D896&lt;=3,0.8,IF(D896&lt;=14,0.65,IF(D896&lt;=45,0.5,0.3))))</x:f>
        <x:v>0.3</x:v>
      </x:c>
      <x:c r="M896" s="47" t="n">
        <x:f>J896*L896</x:f>
        <x:v>7560</x:v>
      </x:c>
      <x:c r="N896" s="47" t="n">
        <x:f>N895+M896</x:f>
        <x:v>569324.25</x:v>
      </x:c>
      <x:c r="O896" s="46" t="n">
        <x:f>IF(C896="P0",0,IF(D896&lt;=3,0.15,IF(D896&lt;=14,0.25,IF(D896&lt;=45,0.35,0.5))))</x:f>
        <x:v>0.5</x:v>
      </x:c>
      <x:c r="P896" s="47" t="n">
        <x:f>J896*O896</x:f>
        <x:v>12600</x:v>
      </x:c>
      <x:c r="Q896" s="46" t="n">
        <x:f>IF(C896="P0",0,IF(D896&lt;=3,0.05,IF(D896&lt;=14,0.1,IF(D896&lt;=45,0.15,0.2))))</x:f>
        <x:v>0.2</x:v>
      </x:c>
      <x:c r="R896" s="47" t="n">
        <x:f>J896*Q896</x:f>
        <x:v>5040</x:v>
      </x:c>
      <x:c r="S896" s="20" t="str">
        <x:f>IF(D896&lt;E896,"closed",IF(D896&lt;'Paths'!$N$16,"initial","expanded"))</x:f>
        <x:v>expanded</x:v>
      </x:c>
      <x:c r="T896" s="72"/>
    </x:row>
    <x:row r="897">
      <x:c r="C897" s="20" t="str">
        <x:v>P9</x:v>
      </x:c>
      <x:c r="D897" s="20" t="n">
        <x:v>71</x:v>
      </x:c>
      <x:c r="E897" s="45" t="n">
        <x:f>IF('Controls'!$D$7="Reference",'Paths'!$J$16,'Paths'!$K$16)</x:f>
        <x:v>6</x:v>
      </x:c>
      <x:c r="F897" s="47" t="n">
        <x:f>IF(D897&lt;'Paths'!$N$16,IF('Controls'!$D$7="Reference",'Paths'!$L$16,'Paths'!$M$16),IF('Controls'!$D$7="Reference",'Paths'!$O$16,'Paths'!$P$16))</x:f>
        <x:v>28000</x:v>
      </x:c>
      <x:c r="G897" s="46" t="n">
        <x:f>IF('Controls'!$D$7="Reference",1,IF(OR(D897=6,D897=7,D897=21,D897=46),'Paths'!$U$16,1))</x:f>
        <x:v>1</x:v>
      </x:c>
      <x:c r="H897" s="46" t="n">
        <x:f>IF('Controls'!$D$7="Reference",1,IF(OR(AND(D897&gt;=14,D897&lt;=16),AND(D897&gt;=34,D897&lt;=35),AND(D897&gt;=61,D897&lt;=63)),'Paths'!$V$16,1))</x:f>
        <x:v>1</x:v>
      </x:c>
      <x:c r="I897" s="46" t="n">
        <x:f>'Paths'!$W$16</x:f>
        <x:v>0.9</x:v>
      </x:c>
      <x:c r="J897" s="47" t="n">
        <x:f>IF(D897&lt;E897,0,MIN(F897*G897*H897*I897,IF('Paths'!$T$16&gt;0,MAX(0,'Paths'!$T$16-K896),1000000000)))</x:f>
        <x:v>25200</x:v>
      </x:c>
      <x:c r="K897" s="47" t="n">
        <x:f>K896+J897</x:f>
        <x:v>1358370</x:v>
      </x:c>
      <x:c r="L897" s="46" t="n">
        <x:f>IF(C897="P0",1,IF(D897&lt;=3,0.8,IF(D897&lt;=14,0.65,IF(D897&lt;=45,0.5,0.3))))</x:f>
        <x:v>0.3</x:v>
      </x:c>
      <x:c r="M897" s="47" t="n">
        <x:f>J897*L897</x:f>
        <x:v>7560</x:v>
      </x:c>
      <x:c r="N897" s="47" t="n">
        <x:f>N896+M897</x:f>
        <x:v>576884.25</x:v>
      </x:c>
      <x:c r="O897" s="46" t="n">
        <x:f>IF(C897="P0",0,IF(D897&lt;=3,0.15,IF(D897&lt;=14,0.25,IF(D897&lt;=45,0.35,0.5))))</x:f>
        <x:v>0.5</x:v>
      </x:c>
      <x:c r="P897" s="47" t="n">
        <x:f>J897*O897</x:f>
        <x:v>12600</x:v>
      </x:c>
      <x:c r="Q897" s="46" t="n">
        <x:f>IF(C897="P0",0,IF(D897&lt;=3,0.05,IF(D897&lt;=14,0.1,IF(D897&lt;=45,0.15,0.2))))</x:f>
        <x:v>0.2</x:v>
      </x:c>
      <x:c r="R897" s="47" t="n">
        <x:f>J897*Q897</x:f>
        <x:v>5040</x:v>
      </x:c>
      <x:c r="S897" s="20" t="str">
        <x:f>IF(D897&lt;E897,"closed",IF(D897&lt;'Paths'!$N$16,"initial","expanded"))</x:f>
        <x:v>expanded</x:v>
      </x:c>
      <x:c r="T897" s="72"/>
    </x:row>
    <x:row r="898">
      <x:c r="C898" s="20" t="str">
        <x:v>P9</x:v>
      </x:c>
      <x:c r="D898" s="20" t="n">
        <x:v>72</x:v>
      </x:c>
      <x:c r="E898" s="45" t="n">
        <x:f>IF('Controls'!$D$7="Reference",'Paths'!$J$16,'Paths'!$K$16)</x:f>
        <x:v>6</x:v>
      </x:c>
      <x:c r="F898" s="47" t="n">
        <x:f>IF(D898&lt;'Paths'!$N$16,IF('Controls'!$D$7="Reference",'Paths'!$L$16,'Paths'!$M$16),IF('Controls'!$D$7="Reference",'Paths'!$O$16,'Paths'!$P$16))</x:f>
        <x:v>28000</x:v>
      </x:c>
      <x:c r="G898" s="46" t="n">
        <x:f>IF('Controls'!$D$7="Reference",1,IF(OR(D898=6,D898=7,D898=21,D898=46),'Paths'!$U$16,1))</x:f>
        <x:v>1</x:v>
      </x:c>
      <x:c r="H898" s="46" t="n">
        <x:f>IF('Controls'!$D$7="Reference",1,IF(OR(AND(D898&gt;=14,D898&lt;=16),AND(D898&gt;=34,D898&lt;=35),AND(D898&gt;=61,D898&lt;=63)),'Paths'!$V$16,1))</x:f>
        <x:v>1</x:v>
      </x:c>
      <x:c r="I898" s="46" t="n">
        <x:f>'Paths'!$W$16</x:f>
        <x:v>0.9</x:v>
      </x:c>
      <x:c r="J898" s="47" t="n">
        <x:f>IF(D898&lt;E898,0,MIN(F898*G898*H898*I898,IF('Paths'!$T$16&gt;0,MAX(0,'Paths'!$T$16-K897),1000000000)))</x:f>
        <x:v>25200</x:v>
      </x:c>
      <x:c r="K898" s="47" t="n">
        <x:f>K897+J898</x:f>
        <x:v>1383570</x:v>
      </x:c>
      <x:c r="L898" s="46" t="n">
        <x:f>IF(C898="P0",1,IF(D898&lt;=3,0.8,IF(D898&lt;=14,0.65,IF(D898&lt;=45,0.5,0.3))))</x:f>
        <x:v>0.3</x:v>
      </x:c>
      <x:c r="M898" s="47" t="n">
        <x:f>J898*L898</x:f>
        <x:v>7560</x:v>
      </x:c>
      <x:c r="N898" s="47" t="n">
        <x:f>N897+M898</x:f>
        <x:v>584444.25</x:v>
      </x:c>
      <x:c r="O898" s="46" t="n">
        <x:f>IF(C898="P0",0,IF(D898&lt;=3,0.15,IF(D898&lt;=14,0.25,IF(D898&lt;=45,0.35,0.5))))</x:f>
        <x:v>0.5</x:v>
      </x:c>
      <x:c r="P898" s="47" t="n">
        <x:f>J898*O898</x:f>
        <x:v>12600</x:v>
      </x:c>
      <x:c r="Q898" s="46" t="n">
        <x:f>IF(C898="P0",0,IF(D898&lt;=3,0.05,IF(D898&lt;=14,0.1,IF(D898&lt;=45,0.15,0.2))))</x:f>
        <x:v>0.2</x:v>
      </x:c>
      <x:c r="R898" s="47" t="n">
        <x:f>J898*Q898</x:f>
        <x:v>5040</x:v>
      </x:c>
      <x:c r="S898" s="20" t="str">
        <x:f>IF(D898&lt;E898,"closed",IF(D898&lt;'Paths'!$N$16,"initial","expanded"))</x:f>
        <x:v>expanded</x:v>
      </x:c>
      <x:c r="T898" s="72"/>
    </x:row>
    <x:row r="899">
      <x:c r="C899" s="20" t="str">
        <x:v>P9</x:v>
      </x:c>
      <x:c r="D899" s="20" t="n">
        <x:v>73</x:v>
      </x:c>
      <x:c r="E899" s="45" t="n">
        <x:f>IF('Controls'!$D$7="Reference",'Paths'!$J$16,'Paths'!$K$16)</x:f>
        <x:v>6</x:v>
      </x:c>
      <x:c r="F899" s="47" t="n">
        <x:f>IF(D899&lt;'Paths'!$N$16,IF('Controls'!$D$7="Reference",'Paths'!$L$16,'Paths'!$M$16),IF('Controls'!$D$7="Reference",'Paths'!$O$16,'Paths'!$P$16))</x:f>
        <x:v>28000</x:v>
      </x:c>
      <x:c r="G899" s="46" t="n">
        <x:f>IF('Controls'!$D$7="Reference",1,IF(OR(D899=6,D899=7,D899=21,D899=46),'Paths'!$U$16,1))</x:f>
        <x:v>1</x:v>
      </x:c>
      <x:c r="H899" s="46" t="n">
        <x:f>IF('Controls'!$D$7="Reference",1,IF(OR(AND(D899&gt;=14,D899&lt;=16),AND(D899&gt;=34,D899&lt;=35),AND(D899&gt;=61,D899&lt;=63)),'Paths'!$V$16,1))</x:f>
        <x:v>1</x:v>
      </x:c>
      <x:c r="I899" s="46" t="n">
        <x:f>'Paths'!$W$16</x:f>
        <x:v>0.9</x:v>
      </x:c>
      <x:c r="J899" s="47" t="n">
        <x:f>IF(D899&lt;E899,0,MIN(F899*G899*H899*I899,IF('Paths'!$T$16&gt;0,MAX(0,'Paths'!$T$16-K898),1000000000)))</x:f>
        <x:v>25200</x:v>
      </x:c>
      <x:c r="K899" s="47" t="n">
        <x:f>K898+J899</x:f>
        <x:v>1408770</x:v>
      </x:c>
      <x:c r="L899" s="46" t="n">
        <x:f>IF(C899="P0",1,IF(D899&lt;=3,0.8,IF(D899&lt;=14,0.65,IF(D899&lt;=45,0.5,0.3))))</x:f>
        <x:v>0.3</x:v>
      </x:c>
      <x:c r="M899" s="47" t="n">
        <x:f>J899*L899</x:f>
        <x:v>7560</x:v>
      </x:c>
      <x:c r="N899" s="47" t="n">
        <x:f>N898+M899</x:f>
        <x:v>592004.25</x:v>
      </x:c>
      <x:c r="O899" s="46" t="n">
        <x:f>IF(C899="P0",0,IF(D899&lt;=3,0.15,IF(D899&lt;=14,0.25,IF(D899&lt;=45,0.35,0.5))))</x:f>
        <x:v>0.5</x:v>
      </x:c>
      <x:c r="P899" s="47" t="n">
        <x:f>J899*O899</x:f>
        <x:v>12600</x:v>
      </x:c>
      <x:c r="Q899" s="46" t="n">
        <x:f>IF(C899="P0",0,IF(D899&lt;=3,0.05,IF(D899&lt;=14,0.1,IF(D899&lt;=45,0.15,0.2))))</x:f>
        <x:v>0.2</x:v>
      </x:c>
      <x:c r="R899" s="47" t="n">
        <x:f>J899*Q899</x:f>
        <x:v>5040</x:v>
      </x:c>
      <x:c r="S899" s="20" t="str">
        <x:f>IF(D899&lt;E899,"closed",IF(D899&lt;'Paths'!$N$16,"initial","expanded"))</x:f>
        <x:v>expanded</x:v>
      </x:c>
      <x:c r="T899" s="72"/>
    </x:row>
    <x:row r="900">
      <x:c r="C900" s="20" t="str">
        <x:v>P9</x:v>
      </x:c>
      <x:c r="D900" s="20" t="n">
        <x:v>74</x:v>
      </x:c>
      <x:c r="E900" s="45" t="n">
        <x:f>IF('Controls'!$D$7="Reference",'Paths'!$J$16,'Paths'!$K$16)</x:f>
        <x:v>6</x:v>
      </x:c>
      <x:c r="F900" s="47" t="n">
        <x:f>IF(D900&lt;'Paths'!$N$16,IF('Controls'!$D$7="Reference",'Paths'!$L$16,'Paths'!$M$16),IF('Controls'!$D$7="Reference",'Paths'!$O$16,'Paths'!$P$16))</x:f>
        <x:v>28000</x:v>
      </x:c>
      <x:c r="G900" s="46" t="n">
        <x:f>IF('Controls'!$D$7="Reference",1,IF(OR(D900=6,D900=7,D900=21,D900=46),'Paths'!$U$16,1))</x:f>
        <x:v>1</x:v>
      </x:c>
      <x:c r="H900" s="46" t="n">
        <x:f>IF('Controls'!$D$7="Reference",1,IF(OR(AND(D900&gt;=14,D900&lt;=16),AND(D900&gt;=34,D900&lt;=35),AND(D900&gt;=61,D900&lt;=63)),'Paths'!$V$16,1))</x:f>
        <x:v>1</x:v>
      </x:c>
      <x:c r="I900" s="46" t="n">
        <x:f>'Paths'!$W$16</x:f>
        <x:v>0.9</x:v>
      </x:c>
      <x:c r="J900" s="47" t="n">
        <x:f>IF(D900&lt;E900,0,MIN(F900*G900*H900*I900,IF('Paths'!$T$16&gt;0,MAX(0,'Paths'!$T$16-K899),1000000000)))</x:f>
        <x:v>25200</x:v>
      </x:c>
      <x:c r="K900" s="47" t="n">
        <x:f>K899+J900</x:f>
        <x:v>1433970</x:v>
      </x:c>
      <x:c r="L900" s="46" t="n">
        <x:f>IF(C900="P0",1,IF(D900&lt;=3,0.8,IF(D900&lt;=14,0.65,IF(D900&lt;=45,0.5,0.3))))</x:f>
        <x:v>0.3</x:v>
      </x:c>
      <x:c r="M900" s="47" t="n">
        <x:f>J900*L900</x:f>
        <x:v>7560</x:v>
      </x:c>
      <x:c r="N900" s="47" t="n">
        <x:f>N899+M900</x:f>
        <x:v>599564.25</x:v>
      </x:c>
      <x:c r="O900" s="46" t="n">
        <x:f>IF(C900="P0",0,IF(D900&lt;=3,0.15,IF(D900&lt;=14,0.25,IF(D900&lt;=45,0.35,0.5))))</x:f>
        <x:v>0.5</x:v>
      </x:c>
      <x:c r="P900" s="47" t="n">
        <x:f>J900*O900</x:f>
        <x:v>12600</x:v>
      </x:c>
      <x:c r="Q900" s="46" t="n">
        <x:f>IF(C900="P0",0,IF(D900&lt;=3,0.05,IF(D900&lt;=14,0.1,IF(D900&lt;=45,0.15,0.2))))</x:f>
        <x:v>0.2</x:v>
      </x:c>
      <x:c r="R900" s="47" t="n">
        <x:f>J900*Q900</x:f>
        <x:v>5040</x:v>
      </x:c>
      <x:c r="S900" s="20" t="str">
        <x:f>IF(D900&lt;E900,"closed",IF(D900&lt;'Paths'!$N$16,"initial","expanded"))</x:f>
        <x:v>expanded</x:v>
      </x:c>
      <x:c r="T900" s="72"/>
    </x:row>
    <x:row r="901">
      <x:c r="C901" s="20" t="str">
        <x:v>P9</x:v>
      </x:c>
      <x:c r="D901" s="20" t="n">
        <x:v>75</x:v>
      </x:c>
      <x:c r="E901" s="45" t="n">
        <x:f>IF('Controls'!$D$7="Reference",'Paths'!$J$16,'Paths'!$K$16)</x:f>
        <x:v>6</x:v>
      </x:c>
      <x:c r="F901" s="47" t="n">
        <x:f>IF(D901&lt;'Paths'!$N$16,IF('Controls'!$D$7="Reference",'Paths'!$L$16,'Paths'!$M$16),IF('Controls'!$D$7="Reference",'Paths'!$O$16,'Paths'!$P$16))</x:f>
        <x:v>28000</x:v>
      </x:c>
      <x:c r="G901" s="46" t="n">
        <x:f>IF('Controls'!$D$7="Reference",1,IF(OR(D901=6,D901=7,D901=21,D901=46),'Paths'!$U$16,1))</x:f>
        <x:v>1</x:v>
      </x:c>
      <x:c r="H901" s="46" t="n">
        <x:f>IF('Controls'!$D$7="Reference",1,IF(OR(AND(D901&gt;=14,D901&lt;=16),AND(D901&gt;=34,D901&lt;=35),AND(D901&gt;=61,D901&lt;=63)),'Paths'!$V$16,1))</x:f>
        <x:v>1</x:v>
      </x:c>
      <x:c r="I901" s="46" t="n">
        <x:f>'Paths'!$W$16</x:f>
        <x:v>0.9</x:v>
      </x:c>
      <x:c r="J901" s="47" t="n">
        <x:f>IF(D901&lt;E901,0,MIN(F901*G901*H901*I901,IF('Paths'!$T$16&gt;0,MAX(0,'Paths'!$T$16-K900),1000000000)))</x:f>
        <x:v>25200</x:v>
      </x:c>
      <x:c r="K901" s="47" t="n">
        <x:f>K900+J901</x:f>
        <x:v>1459170</x:v>
      </x:c>
      <x:c r="L901" s="46" t="n">
        <x:f>IF(C901="P0",1,IF(D901&lt;=3,0.8,IF(D901&lt;=14,0.65,IF(D901&lt;=45,0.5,0.3))))</x:f>
        <x:v>0.3</x:v>
      </x:c>
      <x:c r="M901" s="47" t="n">
        <x:f>J901*L901</x:f>
        <x:v>7560</x:v>
      </x:c>
      <x:c r="N901" s="47" t="n">
        <x:f>N900+M901</x:f>
        <x:v>607124.25</x:v>
      </x:c>
      <x:c r="O901" s="46" t="n">
        <x:f>IF(C901="P0",0,IF(D901&lt;=3,0.15,IF(D901&lt;=14,0.25,IF(D901&lt;=45,0.35,0.5))))</x:f>
        <x:v>0.5</x:v>
      </x:c>
      <x:c r="P901" s="47" t="n">
        <x:f>J901*O901</x:f>
        <x:v>12600</x:v>
      </x:c>
      <x:c r="Q901" s="46" t="n">
        <x:f>IF(C901="P0",0,IF(D901&lt;=3,0.05,IF(D901&lt;=14,0.1,IF(D901&lt;=45,0.15,0.2))))</x:f>
        <x:v>0.2</x:v>
      </x:c>
      <x:c r="R901" s="47" t="n">
        <x:f>J901*Q901</x:f>
        <x:v>5040</x:v>
      </x:c>
      <x:c r="S901" s="20" t="str">
        <x:f>IF(D901&lt;E901,"closed",IF(D901&lt;'Paths'!$N$16,"initial","expanded"))</x:f>
        <x:v>expanded</x:v>
      </x:c>
      <x:c r="T901" s="72"/>
    </x:row>
    <x:row r="902">
      <x:c r="C902" s="20" t="str">
        <x:v>P9</x:v>
      </x:c>
      <x:c r="D902" s="20" t="n">
        <x:v>76</x:v>
      </x:c>
      <x:c r="E902" s="45" t="n">
        <x:f>IF('Controls'!$D$7="Reference",'Paths'!$J$16,'Paths'!$K$16)</x:f>
        <x:v>6</x:v>
      </x:c>
      <x:c r="F902" s="47" t="n">
        <x:f>IF(D902&lt;'Paths'!$N$16,IF('Controls'!$D$7="Reference",'Paths'!$L$16,'Paths'!$M$16),IF('Controls'!$D$7="Reference",'Paths'!$O$16,'Paths'!$P$16))</x:f>
        <x:v>28000</x:v>
      </x:c>
      <x:c r="G902" s="46" t="n">
        <x:f>IF('Controls'!$D$7="Reference",1,IF(OR(D902=6,D902=7,D902=21,D902=46),'Paths'!$U$16,1))</x:f>
        <x:v>1</x:v>
      </x:c>
      <x:c r="H902" s="46" t="n">
        <x:f>IF('Controls'!$D$7="Reference",1,IF(OR(AND(D902&gt;=14,D902&lt;=16),AND(D902&gt;=34,D902&lt;=35),AND(D902&gt;=61,D902&lt;=63)),'Paths'!$V$16,1))</x:f>
        <x:v>1</x:v>
      </x:c>
      <x:c r="I902" s="46" t="n">
        <x:f>'Paths'!$W$16</x:f>
        <x:v>0.9</x:v>
      </x:c>
      <x:c r="J902" s="47" t="n">
        <x:f>IF(D902&lt;E902,0,MIN(F902*G902*H902*I902,IF('Paths'!$T$16&gt;0,MAX(0,'Paths'!$T$16-K901),1000000000)))</x:f>
        <x:v>25200</x:v>
      </x:c>
      <x:c r="K902" s="47" t="n">
        <x:f>K901+J902</x:f>
        <x:v>1484370</x:v>
      </x:c>
      <x:c r="L902" s="46" t="n">
        <x:f>IF(C902="P0",1,IF(D902&lt;=3,0.8,IF(D902&lt;=14,0.65,IF(D902&lt;=45,0.5,0.3))))</x:f>
        <x:v>0.3</x:v>
      </x:c>
      <x:c r="M902" s="47" t="n">
        <x:f>J902*L902</x:f>
        <x:v>7560</x:v>
      </x:c>
      <x:c r="N902" s="47" t="n">
        <x:f>N901+M902</x:f>
        <x:v>614684.25</x:v>
      </x:c>
      <x:c r="O902" s="46" t="n">
        <x:f>IF(C902="P0",0,IF(D902&lt;=3,0.15,IF(D902&lt;=14,0.25,IF(D902&lt;=45,0.35,0.5))))</x:f>
        <x:v>0.5</x:v>
      </x:c>
      <x:c r="P902" s="47" t="n">
        <x:f>J902*O902</x:f>
        <x:v>12600</x:v>
      </x:c>
      <x:c r="Q902" s="46" t="n">
        <x:f>IF(C902="P0",0,IF(D902&lt;=3,0.05,IF(D902&lt;=14,0.1,IF(D902&lt;=45,0.15,0.2))))</x:f>
        <x:v>0.2</x:v>
      </x:c>
      <x:c r="R902" s="47" t="n">
        <x:f>J902*Q902</x:f>
        <x:v>5040</x:v>
      </x:c>
      <x:c r="S902" s="20" t="str">
        <x:f>IF(D902&lt;E902,"closed",IF(D902&lt;'Paths'!$N$16,"initial","expanded"))</x:f>
        <x:v>expanded</x:v>
      </x:c>
      <x:c r="T902" s="72"/>
    </x:row>
    <x:row r="903">
      <x:c r="C903" s="20" t="str">
        <x:v>P9</x:v>
      </x:c>
      <x:c r="D903" s="20" t="n">
        <x:v>77</x:v>
      </x:c>
      <x:c r="E903" s="45" t="n">
        <x:f>IF('Controls'!$D$7="Reference",'Paths'!$J$16,'Paths'!$K$16)</x:f>
        <x:v>6</x:v>
      </x:c>
      <x:c r="F903" s="47" t="n">
        <x:f>IF(D903&lt;'Paths'!$N$16,IF('Controls'!$D$7="Reference",'Paths'!$L$16,'Paths'!$M$16),IF('Controls'!$D$7="Reference",'Paths'!$O$16,'Paths'!$P$16))</x:f>
        <x:v>28000</x:v>
      </x:c>
      <x:c r="G903" s="46" t="n">
        <x:f>IF('Controls'!$D$7="Reference",1,IF(OR(D903=6,D903=7,D903=21,D903=46),'Paths'!$U$16,1))</x:f>
        <x:v>1</x:v>
      </x:c>
      <x:c r="H903" s="46" t="n">
        <x:f>IF('Controls'!$D$7="Reference",1,IF(OR(AND(D903&gt;=14,D903&lt;=16),AND(D903&gt;=34,D903&lt;=35),AND(D903&gt;=61,D903&lt;=63)),'Paths'!$V$16,1))</x:f>
        <x:v>1</x:v>
      </x:c>
      <x:c r="I903" s="46" t="n">
        <x:f>'Paths'!$W$16</x:f>
        <x:v>0.9</x:v>
      </x:c>
      <x:c r="J903" s="47" t="n">
        <x:f>IF(D903&lt;E903,0,MIN(F903*G903*H903*I903,IF('Paths'!$T$16&gt;0,MAX(0,'Paths'!$T$16-K902),1000000000)))</x:f>
        <x:v>25200</x:v>
      </x:c>
      <x:c r="K903" s="47" t="n">
        <x:f>K902+J903</x:f>
        <x:v>1509570</x:v>
      </x:c>
      <x:c r="L903" s="46" t="n">
        <x:f>IF(C903="P0",1,IF(D903&lt;=3,0.8,IF(D903&lt;=14,0.65,IF(D903&lt;=45,0.5,0.3))))</x:f>
        <x:v>0.3</x:v>
      </x:c>
      <x:c r="M903" s="47" t="n">
        <x:f>J903*L903</x:f>
        <x:v>7560</x:v>
      </x:c>
      <x:c r="N903" s="47" t="n">
        <x:f>N902+M903</x:f>
        <x:v>622244.25</x:v>
      </x:c>
      <x:c r="O903" s="46" t="n">
        <x:f>IF(C903="P0",0,IF(D903&lt;=3,0.15,IF(D903&lt;=14,0.25,IF(D903&lt;=45,0.35,0.5))))</x:f>
        <x:v>0.5</x:v>
      </x:c>
      <x:c r="P903" s="47" t="n">
        <x:f>J903*O903</x:f>
        <x:v>12600</x:v>
      </x:c>
      <x:c r="Q903" s="46" t="n">
        <x:f>IF(C903="P0",0,IF(D903&lt;=3,0.05,IF(D903&lt;=14,0.1,IF(D903&lt;=45,0.15,0.2))))</x:f>
        <x:v>0.2</x:v>
      </x:c>
      <x:c r="R903" s="47" t="n">
        <x:f>J903*Q903</x:f>
        <x:v>5040</x:v>
      </x:c>
      <x:c r="S903" s="20" t="str">
        <x:f>IF(D903&lt;E903,"closed",IF(D903&lt;'Paths'!$N$16,"initial","expanded"))</x:f>
        <x:v>expanded</x:v>
      </x:c>
      <x:c r="T903" s="72"/>
    </x:row>
    <x:row r="904">
      <x:c r="C904" s="20" t="str">
        <x:v>P9</x:v>
      </x:c>
      <x:c r="D904" s="20" t="n">
        <x:v>78</x:v>
      </x:c>
      <x:c r="E904" s="45" t="n">
        <x:f>IF('Controls'!$D$7="Reference",'Paths'!$J$16,'Paths'!$K$16)</x:f>
        <x:v>6</x:v>
      </x:c>
      <x:c r="F904" s="47" t="n">
        <x:f>IF(D904&lt;'Paths'!$N$16,IF('Controls'!$D$7="Reference",'Paths'!$L$16,'Paths'!$M$16),IF('Controls'!$D$7="Reference",'Paths'!$O$16,'Paths'!$P$16))</x:f>
        <x:v>28000</x:v>
      </x:c>
      <x:c r="G904" s="46" t="n">
        <x:f>IF('Controls'!$D$7="Reference",1,IF(OR(D904=6,D904=7,D904=21,D904=46),'Paths'!$U$16,1))</x:f>
        <x:v>1</x:v>
      </x:c>
      <x:c r="H904" s="46" t="n">
        <x:f>IF('Controls'!$D$7="Reference",1,IF(OR(AND(D904&gt;=14,D904&lt;=16),AND(D904&gt;=34,D904&lt;=35),AND(D904&gt;=61,D904&lt;=63)),'Paths'!$V$16,1))</x:f>
        <x:v>1</x:v>
      </x:c>
      <x:c r="I904" s="46" t="n">
        <x:f>'Paths'!$W$16</x:f>
        <x:v>0.9</x:v>
      </x:c>
      <x:c r="J904" s="47" t="n">
        <x:f>IF(D904&lt;E904,0,MIN(F904*G904*H904*I904,IF('Paths'!$T$16&gt;0,MAX(0,'Paths'!$T$16-K903),1000000000)))</x:f>
        <x:v>25200</x:v>
      </x:c>
      <x:c r="K904" s="47" t="n">
        <x:f>K903+J904</x:f>
        <x:v>1534770</x:v>
      </x:c>
      <x:c r="L904" s="46" t="n">
        <x:f>IF(C904="P0",1,IF(D904&lt;=3,0.8,IF(D904&lt;=14,0.65,IF(D904&lt;=45,0.5,0.3))))</x:f>
        <x:v>0.3</x:v>
      </x:c>
      <x:c r="M904" s="47" t="n">
        <x:f>J904*L904</x:f>
        <x:v>7560</x:v>
      </x:c>
      <x:c r="N904" s="47" t="n">
        <x:f>N903+M904</x:f>
        <x:v>629804.25</x:v>
      </x:c>
      <x:c r="O904" s="46" t="n">
        <x:f>IF(C904="P0",0,IF(D904&lt;=3,0.15,IF(D904&lt;=14,0.25,IF(D904&lt;=45,0.35,0.5))))</x:f>
        <x:v>0.5</x:v>
      </x:c>
      <x:c r="P904" s="47" t="n">
        <x:f>J904*O904</x:f>
        <x:v>12600</x:v>
      </x:c>
      <x:c r="Q904" s="46" t="n">
        <x:f>IF(C904="P0",0,IF(D904&lt;=3,0.05,IF(D904&lt;=14,0.1,IF(D904&lt;=45,0.15,0.2))))</x:f>
        <x:v>0.2</x:v>
      </x:c>
      <x:c r="R904" s="47" t="n">
        <x:f>J904*Q904</x:f>
        <x:v>5040</x:v>
      </x:c>
      <x:c r="S904" s="20" t="str">
        <x:f>IF(D904&lt;E904,"closed",IF(D904&lt;'Paths'!$N$16,"initial","expanded"))</x:f>
        <x:v>expanded</x:v>
      </x:c>
      <x:c r="T904" s="72"/>
    </x:row>
    <x:row r="905">
      <x:c r="C905" s="20" t="str">
        <x:v>P9</x:v>
      </x:c>
      <x:c r="D905" s="20" t="n">
        <x:v>79</x:v>
      </x:c>
      <x:c r="E905" s="45" t="n">
        <x:f>IF('Controls'!$D$7="Reference",'Paths'!$J$16,'Paths'!$K$16)</x:f>
        <x:v>6</x:v>
      </x:c>
      <x:c r="F905" s="47" t="n">
        <x:f>IF(D905&lt;'Paths'!$N$16,IF('Controls'!$D$7="Reference",'Paths'!$L$16,'Paths'!$M$16),IF('Controls'!$D$7="Reference",'Paths'!$O$16,'Paths'!$P$16))</x:f>
        <x:v>28000</x:v>
      </x:c>
      <x:c r="G905" s="46" t="n">
        <x:f>IF('Controls'!$D$7="Reference",1,IF(OR(D905=6,D905=7,D905=21,D905=46),'Paths'!$U$16,1))</x:f>
        <x:v>1</x:v>
      </x:c>
      <x:c r="H905" s="46" t="n">
        <x:f>IF('Controls'!$D$7="Reference",1,IF(OR(AND(D905&gt;=14,D905&lt;=16),AND(D905&gt;=34,D905&lt;=35),AND(D905&gt;=61,D905&lt;=63)),'Paths'!$V$16,1))</x:f>
        <x:v>1</x:v>
      </x:c>
      <x:c r="I905" s="46" t="n">
        <x:f>'Paths'!$W$16</x:f>
        <x:v>0.9</x:v>
      </x:c>
      <x:c r="J905" s="47" t="n">
        <x:f>IF(D905&lt;E905,0,MIN(F905*G905*H905*I905,IF('Paths'!$T$16&gt;0,MAX(0,'Paths'!$T$16-K904),1000000000)))</x:f>
        <x:v>25200</x:v>
      </x:c>
      <x:c r="K905" s="47" t="n">
        <x:f>K904+J905</x:f>
        <x:v>1559970</x:v>
      </x:c>
      <x:c r="L905" s="46" t="n">
        <x:f>IF(C905="P0",1,IF(D905&lt;=3,0.8,IF(D905&lt;=14,0.65,IF(D905&lt;=45,0.5,0.3))))</x:f>
        <x:v>0.3</x:v>
      </x:c>
      <x:c r="M905" s="47" t="n">
        <x:f>J905*L905</x:f>
        <x:v>7560</x:v>
      </x:c>
      <x:c r="N905" s="47" t="n">
        <x:f>N904+M905</x:f>
        <x:v>637364.25</x:v>
      </x:c>
      <x:c r="O905" s="46" t="n">
        <x:f>IF(C905="P0",0,IF(D905&lt;=3,0.15,IF(D905&lt;=14,0.25,IF(D905&lt;=45,0.35,0.5))))</x:f>
        <x:v>0.5</x:v>
      </x:c>
      <x:c r="P905" s="47" t="n">
        <x:f>J905*O905</x:f>
        <x:v>12600</x:v>
      </x:c>
      <x:c r="Q905" s="46" t="n">
        <x:f>IF(C905="P0",0,IF(D905&lt;=3,0.05,IF(D905&lt;=14,0.1,IF(D905&lt;=45,0.15,0.2))))</x:f>
        <x:v>0.2</x:v>
      </x:c>
      <x:c r="R905" s="47" t="n">
        <x:f>J905*Q905</x:f>
        <x:v>5040</x:v>
      </x:c>
      <x:c r="S905" s="20" t="str">
        <x:f>IF(D905&lt;E905,"closed",IF(D905&lt;'Paths'!$N$16,"initial","expanded"))</x:f>
        <x:v>expanded</x:v>
      </x:c>
      <x:c r="T905" s="72"/>
    </x:row>
    <x:row r="906">
      <x:c r="C906" s="20" t="str">
        <x:v>P9</x:v>
      </x:c>
      <x:c r="D906" s="20" t="n">
        <x:v>80</x:v>
      </x:c>
      <x:c r="E906" s="45" t="n">
        <x:f>IF('Controls'!$D$7="Reference",'Paths'!$J$16,'Paths'!$K$16)</x:f>
        <x:v>6</x:v>
      </x:c>
      <x:c r="F906" s="47" t="n">
        <x:f>IF(D906&lt;'Paths'!$N$16,IF('Controls'!$D$7="Reference",'Paths'!$L$16,'Paths'!$M$16),IF('Controls'!$D$7="Reference",'Paths'!$O$16,'Paths'!$P$16))</x:f>
        <x:v>28000</x:v>
      </x:c>
      <x:c r="G906" s="46" t="n">
        <x:f>IF('Controls'!$D$7="Reference",1,IF(OR(D906=6,D906=7,D906=21,D906=46),'Paths'!$U$16,1))</x:f>
        <x:v>1</x:v>
      </x:c>
      <x:c r="H906" s="46" t="n">
        <x:f>IF('Controls'!$D$7="Reference",1,IF(OR(AND(D906&gt;=14,D906&lt;=16),AND(D906&gt;=34,D906&lt;=35),AND(D906&gt;=61,D906&lt;=63)),'Paths'!$V$16,1))</x:f>
        <x:v>1</x:v>
      </x:c>
      <x:c r="I906" s="46" t="n">
        <x:f>'Paths'!$W$16</x:f>
        <x:v>0.9</x:v>
      </x:c>
      <x:c r="J906" s="47" t="n">
        <x:f>IF(D906&lt;E906,0,MIN(F906*G906*H906*I906,IF('Paths'!$T$16&gt;0,MAX(0,'Paths'!$T$16-K905),1000000000)))</x:f>
        <x:v>25200</x:v>
      </x:c>
      <x:c r="K906" s="47" t="n">
        <x:f>K905+J906</x:f>
        <x:v>1585170</x:v>
      </x:c>
      <x:c r="L906" s="46" t="n">
        <x:f>IF(C906="P0",1,IF(D906&lt;=3,0.8,IF(D906&lt;=14,0.65,IF(D906&lt;=45,0.5,0.3))))</x:f>
        <x:v>0.3</x:v>
      </x:c>
      <x:c r="M906" s="47" t="n">
        <x:f>J906*L906</x:f>
        <x:v>7560</x:v>
      </x:c>
      <x:c r="N906" s="47" t="n">
        <x:f>N905+M906</x:f>
        <x:v>644924.25</x:v>
      </x:c>
      <x:c r="O906" s="46" t="n">
        <x:f>IF(C906="P0",0,IF(D906&lt;=3,0.15,IF(D906&lt;=14,0.25,IF(D906&lt;=45,0.35,0.5))))</x:f>
        <x:v>0.5</x:v>
      </x:c>
      <x:c r="P906" s="47" t="n">
        <x:f>J906*O906</x:f>
        <x:v>12600</x:v>
      </x:c>
      <x:c r="Q906" s="46" t="n">
        <x:f>IF(C906="P0",0,IF(D906&lt;=3,0.05,IF(D906&lt;=14,0.1,IF(D906&lt;=45,0.15,0.2))))</x:f>
        <x:v>0.2</x:v>
      </x:c>
      <x:c r="R906" s="47" t="n">
        <x:f>J906*Q906</x:f>
        <x:v>5040</x:v>
      </x:c>
      <x:c r="S906" s="20" t="str">
        <x:f>IF(D906&lt;E906,"closed",IF(D906&lt;'Paths'!$N$16,"initial","expanded"))</x:f>
        <x:v>expanded</x:v>
      </x:c>
      <x:c r="T906" s="72"/>
    </x:row>
    <x:row r="907">
      <x:c r="C907" s="20" t="str">
        <x:v>P9</x:v>
      </x:c>
      <x:c r="D907" s="20" t="n">
        <x:v>81</x:v>
      </x:c>
      <x:c r="E907" s="45" t="n">
        <x:f>IF('Controls'!$D$7="Reference",'Paths'!$J$16,'Paths'!$K$16)</x:f>
        <x:v>6</x:v>
      </x:c>
      <x:c r="F907" s="47" t="n">
        <x:f>IF(D907&lt;'Paths'!$N$16,IF('Controls'!$D$7="Reference",'Paths'!$L$16,'Paths'!$M$16),IF('Controls'!$D$7="Reference",'Paths'!$O$16,'Paths'!$P$16))</x:f>
        <x:v>28000</x:v>
      </x:c>
      <x:c r="G907" s="46" t="n">
        <x:f>IF('Controls'!$D$7="Reference",1,IF(OR(D907=6,D907=7,D907=21,D907=46),'Paths'!$U$16,1))</x:f>
        <x:v>1</x:v>
      </x:c>
      <x:c r="H907" s="46" t="n">
        <x:f>IF('Controls'!$D$7="Reference",1,IF(OR(AND(D907&gt;=14,D907&lt;=16),AND(D907&gt;=34,D907&lt;=35),AND(D907&gt;=61,D907&lt;=63)),'Paths'!$V$16,1))</x:f>
        <x:v>1</x:v>
      </x:c>
      <x:c r="I907" s="46" t="n">
        <x:f>'Paths'!$W$16</x:f>
        <x:v>0.9</x:v>
      </x:c>
      <x:c r="J907" s="47" t="n">
        <x:f>IF(D907&lt;E907,0,MIN(F907*G907*H907*I907,IF('Paths'!$T$16&gt;0,MAX(0,'Paths'!$T$16-K906),1000000000)))</x:f>
        <x:v>25200</x:v>
      </x:c>
      <x:c r="K907" s="47" t="n">
        <x:f>K906+J907</x:f>
        <x:v>1610370</x:v>
      </x:c>
      <x:c r="L907" s="46" t="n">
        <x:f>IF(C907="P0",1,IF(D907&lt;=3,0.8,IF(D907&lt;=14,0.65,IF(D907&lt;=45,0.5,0.3))))</x:f>
        <x:v>0.3</x:v>
      </x:c>
      <x:c r="M907" s="47" t="n">
        <x:f>J907*L907</x:f>
        <x:v>7560</x:v>
      </x:c>
      <x:c r="N907" s="47" t="n">
        <x:f>N906+M907</x:f>
        <x:v>652484.25</x:v>
      </x:c>
      <x:c r="O907" s="46" t="n">
        <x:f>IF(C907="P0",0,IF(D907&lt;=3,0.15,IF(D907&lt;=14,0.25,IF(D907&lt;=45,0.35,0.5))))</x:f>
        <x:v>0.5</x:v>
      </x:c>
      <x:c r="P907" s="47" t="n">
        <x:f>J907*O907</x:f>
        <x:v>12600</x:v>
      </x:c>
      <x:c r="Q907" s="46" t="n">
        <x:f>IF(C907="P0",0,IF(D907&lt;=3,0.05,IF(D907&lt;=14,0.1,IF(D907&lt;=45,0.15,0.2))))</x:f>
        <x:v>0.2</x:v>
      </x:c>
      <x:c r="R907" s="47" t="n">
        <x:f>J907*Q907</x:f>
        <x:v>5040</x:v>
      </x:c>
      <x:c r="S907" s="20" t="str">
        <x:f>IF(D907&lt;E907,"closed",IF(D907&lt;'Paths'!$N$16,"initial","expanded"))</x:f>
        <x:v>expanded</x:v>
      </x:c>
      <x:c r="T907" s="72"/>
    </x:row>
    <x:row r="908">
      <x:c r="C908" s="20" t="str">
        <x:v>P9</x:v>
      </x:c>
      <x:c r="D908" s="20" t="n">
        <x:v>82</x:v>
      </x:c>
      <x:c r="E908" s="45" t="n">
        <x:f>IF('Controls'!$D$7="Reference",'Paths'!$J$16,'Paths'!$K$16)</x:f>
        <x:v>6</x:v>
      </x:c>
      <x:c r="F908" s="47" t="n">
        <x:f>IF(D908&lt;'Paths'!$N$16,IF('Controls'!$D$7="Reference",'Paths'!$L$16,'Paths'!$M$16),IF('Controls'!$D$7="Reference",'Paths'!$O$16,'Paths'!$P$16))</x:f>
        <x:v>28000</x:v>
      </x:c>
      <x:c r="G908" s="46" t="n">
        <x:f>IF('Controls'!$D$7="Reference",1,IF(OR(D908=6,D908=7,D908=21,D908=46),'Paths'!$U$16,1))</x:f>
        <x:v>1</x:v>
      </x:c>
      <x:c r="H908" s="46" t="n">
        <x:f>IF('Controls'!$D$7="Reference",1,IF(OR(AND(D908&gt;=14,D908&lt;=16),AND(D908&gt;=34,D908&lt;=35),AND(D908&gt;=61,D908&lt;=63)),'Paths'!$V$16,1))</x:f>
        <x:v>1</x:v>
      </x:c>
      <x:c r="I908" s="46" t="n">
        <x:f>'Paths'!$W$16</x:f>
        <x:v>0.9</x:v>
      </x:c>
      <x:c r="J908" s="47" t="n">
        <x:f>IF(D908&lt;E908,0,MIN(F908*G908*H908*I908,IF('Paths'!$T$16&gt;0,MAX(0,'Paths'!$T$16-K907),1000000000)))</x:f>
        <x:v>25200</x:v>
      </x:c>
      <x:c r="K908" s="47" t="n">
        <x:f>K907+J908</x:f>
        <x:v>1635570</x:v>
      </x:c>
      <x:c r="L908" s="46" t="n">
        <x:f>IF(C908="P0",1,IF(D908&lt;=3,0.8,IF(D908&lt;=14,0.65,IF(D908&lt;=45,0.5,0.3))))</x:f>
        <x:v>0.3</x:v>
      </x:c>
      <x:c r="M908" s="47" t="n">
        <x:f>J908*L908</x:f>
        <x:v>7560</x:v>
      </x:c>
      <x:c r="N908" s="47" t="n">
        <x:f>N907+M908</x:f>
        <x:v>660044.25</x:v>
      </x:c>
      <x:c r="O908" s="46" t="n">
        <x:f>IF(C908="P0",0,IF(D908&lt;=3,0.15,IF(D908&lt;=14,0.25,IF(D908&lt;=45,0.35,0.5))))</x:f>
        <x:v>0.5</x:v>
      </x:c>
      <x:c r="P908" s="47" t="n">
        <x:f>J908*O908</x:f>
        <x:v>12600</x:v>
      </x:c>
      <x:c r="Q908" s="46" t="n">
        <x:f>IF(C908="P0",0,IF(D908&lt;=3,0.05,IF(D908&lt;=14,0.1,IF(D908&lt;=45,0.15,0.2))))</x:f>
        <x:v>0.2</x:v>
      </x:c>
      <x:c r="R908" s="47" t="n">
        <x:f>J908*Q908</x:f>
        <x:v>5040</x:v>
      </x:c>
      <x:c r="S908" s="20" t="str">
        <x:f>IF(D908&lt;E908,"closed",IF(D908&lt;'Paths'!$N$16,"initial","expanded"))</x:f>
        <x:v>expanded</x:v>
      </x:c>
      <x:c r="T908" s="72"/>
    </x:row>
    <x:row r="909">
      <x:c r="C909" s="20" t="str">
        <x:v>P9</x:v>
      </x:c>
      <x:c r="D909" s="20" t="n">
        <x:v>83</x:v>
      </x:c>
      <x:c r="E909" s="45" t="n">
        <x:f>IF('Controls'!$D$7="Reference",'Paths'!$J$16,'Paths'!$K$16)</x:f>
        <x:v>6</x:v>
      </x:c>
      <x:c r="F909" s="47" t="n">
        <x:f>IF(D909&lt;'Paths'!$N$16,IF('Controls'!$D$7="Reference",'Paths'!$L$16,'Paths'!$M$16),IF('Controls'!$D$7="Reference",'Paths'!$O$16,'Paths'!$P$16))</x:f>
        <x:v>28000</x:v>
      </x:c>
      <x:c r="G909" s="46" t="n">
        <x:f>IF('Controls'!$D$7="Reference",1,IF(OR(D909=6,D909=7,D909=21,D909=46),'Paths'!$U$16,1))</x:f>
        <x:v>1</x:v>
      </x:c>
      <x:c r="H909" s="46" t="n">
        <x:f>IF('Controls'!$D$7="Reference",1,IF(OR(AND(D909&gt;=14,D909&lt;=16),AND(D909&gt;=34,D909&lt;=35),AND(D909&gt;=61,D909&lt;=63)),'Paths'!$V$16,1))</x:f>
        <x:v>1</x:v>
      </x:c>
      <x:c r="I909" s="46" t="n">
        <x:f>'Paths'!$W$16</x:f>
        <x:v>0.9</x:v>
      </x:c>
      <x:c r="J909" s="47" t="n">
        <x:f>IF(D909&lt;E909,0,MIN(F909*G909*H909*I909,IF('Paths'!$T$16&gt;0,MAX(0,'Paths'!$T$16-K908),1000000000)))</x:f>
        <x:v>25200</x:v>
      </x:c>
      <x:c r="K909" s="47" t="n">
        <x:f>K908+J909</x:f>
        <x:v>1660770</x:v>
      </x:c>
      <x:c r="L909" s="46" t="n">
        <x:f>IF(C909="P0",1,IF(D909&lt;=3,0.8,IF(D909&lt;=14,0.65,IF(D909&lt;=45,0.5,0.3))))</x:f>
        <x:v>0.3</x:v>
      </x:c>
      <x:c r="M909" s="47" t="n">
        <x:f>J909*L909</x:f>
        <x:v>7560</x:v>
      </x:c>
      <x:c r="N909" s="47" t="n">
        <x:f>N908+M909</x:f>
        <x:v>667604.25</x:v>
      </x:c>
      <x:c r="O909" s="46" t="n">
        <x:f>IF(C909="P0",0,IF(D909&lt;=3,0.15,IF(D909&lt;=14,0.25,IF(D909&lt;=45,0.35,0.5))))</x:f>
        <x:v>0.5</x:v>
      </x:c>
      <x:c r="P909" s="47" t="n">
        <x:f>J909*O909</x:f>
        <x:v>12600</x:v>
      </x:c>
      <x:c r="Q909" s="46" t="n">
        <x:f>IF(C909="P0",0,IF(D909&lt;=3,0.05,IF(D909&lt;=14,0.1,IF(D909&lt;=45,0.15,0.2))))</x:f>
        <x:v>0.2</x:v>
      </x:c>
      <x:c r="R909" s="47" t="n">
        <x:f>J909*Q909</x:f>
        <x:v>5040</x:v>
      </x:c>
      <x:c r="S909" s="20" t="str">
        <x:f>IF(D909&lt;E909,"closed",IF(D909&lt;'Paths'!$N$16,"initial","expanded"))</x:f>
        <x:v>expanded</x:v>
      </x:c>
      <x:c r="T909" s="72"/>
    </x:row>
    <x:row r="910">
      <x:c r="C910" s="20" t="str">
        <x:v>P9</x:v>
      </x:c>
      <x:c r="D910" s="20" t="n">
        <x:v>84</x:v>
      </x:c>
      <x:c r="E910" s="45" t="n">
        <x:f>IF('Controls'!$D$7="Reference",'Paths'!$J$16,'Paths'!$K$16)</x:f>
        <x:v>6</x:v>
      </x:c>
      <x:c r="F910" s="47" t="n">
        <x:f>IF(D910&lt;'Paths'!$N$16,IF('Controls'!$D$7="Reference",'Paths'!$L$16,'Paths'!$M$16),IF('Controls'!$D$7="Reference",'Paths'!$O$16,'Paths'!$P$16))</x:f>
        <x:v>28000</x:v>
      </x:c>
      <x:c r="G910" s="46" t="n">
        <x:f>IF('Controls'!$D$7="Reference",1,IF(OR(D910=6,D910=7,D910=21,D910=46),'Paths'!$U$16,1))</x:f>
        <x:v>1</x:v>
      </x:c>
      <x:c r="H910" s="46" t="n">
        <x:f>IF('Controls'!$D$7="Reference",1,IF(OR(AND(D910&gt;=14,D910&lt;=16),AND(D910&gt;=34,D910&lt;=35),AND(D910&gt;=61,D910&lt;=63)),'Paths'!$V$16,1))</x:f>
        <x:v>1</x:v>
      </x:c>
      <x:c r="I910" s="46" t="n">
        <x:f>'Paths'!$W$16</x:f>
        <x:v>0.9</x:v>
      </x:c>
      <x:c r="J910" s="47" t="n">
        <x:f>IF(D910&lt;E910,0,MIN(F910*G910*H910*I910,IF('Paths'!$T$16&gt;0,MAX(0,'Paths'!$T$16-K909),1000000000)))</x:f>
        <x:v>25200</x:v>
      </x:c>
      <x:c r="K910" s="47" t="n">
        <x:f>K909+J910</x:f>
        <x:v>1685970</x:v>
      </x:c>
      <x:c r="L910" s="46" t="n">
        <x:f>IF(C910="P0",1,IF(D910&lt;=3,0.8,IF(D910&lt;=14,0.65,IF(D910&lt;=45,0.5,0.3))))</x:f>
        <x:v>0.3</x:v>
      </x:c>
      <x:c r="M910" s="47" t="n">
        <x:f>J910*L910</x:f>
        <x:v>7560</x:v>
      </x:c>
      <x:c r="N910" s="47" t="n">
        <x:f>N909+M910</x:f>
        <x:v>675164.25</x:v>
      </x:c>
      <x:c r="O910" s="46" t="n">
        <x:f>IF(C910="P0",0,IF(D910&lt;=3,0.15,IF(D910&lt;=14,0.25,IF(D910&lt;=45,0.35,0.5))))</x:f>
        <x:v>0.5</x:v>
      </x:c>
      <x:c r="P910" s="47" t="n">
        <x:f>J910*O910</x:f>
        <x:v>12600</x:v>
      </x:c>
      <x:c r="Q910" s="46" t="n">
        <x:f>IF(C910="P0",0,IF(D910&lt;=3,0.05,IF(D910&lt;=14,0.1,IF(D910&lt;=45,0.15,0.2))))</x:f>
        <x:v>0.2</x:v>
      </x:c>
      <x:c r="R910" s="47" t="n">
        <x:f>J910*Q910</x:f>
        <x:v>5040</x:v>
      </x:c>
      <x:c r="S910" s="20" t="str">
        <x:f>IF(D910&lt;E910,"closed",IF(D910&lt;'Paths'!$N$16,"initial","expanded"))</x:f>
        <x:v>expanded</x:v>
      </x:c>
      <x:c r="T910" s="72"/>
    </x:row>
    <x:row r="911">
      <x:c r="C911" s="20" t="str">
        <x:v>P9</x:v>
      </x:c>
      <x:c r="D911" s="20" t="n">
        <x:v>85</x:v>
      </x:c>
      <x:c r="E911" s="45" t="n">
        <x:f>IF('Controls'!$D$7="Reference",'Paths'!$J$16,'Paths'!$K$16)</x:f>
        <x:v>6</x:v>
      </x:c>
      <x:c r="F911" s="47" t="n">
        <x:f>IF(D911&lt;'Paths'!$N$16,IF('Controls'!$D$7="Reference",'Paths'!$L$16,'Paths'!$M$16),IF('Controls'!$D$7="Reference",'Paths'!$O$16,'Paths'!$P$16))</x:f>
        <x:v>28000</x:v>
      </x:c>
      <x:c r="G911" s="46" t="n">
        <x:f>IF('Controls'!$D$7="Reference",1,IF(OR(D911=6,D911=7,D911=21,D911=46),'Paths'!$U$16,1))</x:f>
        <x:v>1</x:v>
      </x:c>
      <x:c r="H911" s="46" t="n">
        <x:f>IF('Controls'!$D$7="Reference",1,IF(OR(AND(D911&gt;=14,D911&lt;=16),AND(D911&gt;=34,D911&lt;=35),AND(D911&gt;=61,D911&lt;=63)),'Paths'!$V$16,1))</x:f>
        <x:v>1</x:v>
      </x:c>
      <x:c r="I911" s="46" t="n">
        <x:f>'Paths'!$W$16</x:f>
        <x:v>0.9</x:v>
      </x:c>
      <x:c r="J911" s="47" t="n">
        <x:f>IF(D911&lt;E911,0,MIN(F911*G911*H911*I911,IF('Paths'!$T$16&gt;0,MAX(0,'Paths'!$T$16-K910),1000000000)))</x:f>
        <x:v>25200</x:v>
      </x:c>
      <x:c r="K911" s="47" t="n">
        <x:f>K910+J911</x:f>
        <x:v>1711170</x:v>
      </x:c>
      <x:c r="L911" s="46" t="n">
        <x:f>IF(C911="P0",1,IF(D911&lt;=3,0.8,IF(D911&lt;=14,0.65,IF(D911&lt;=45,0.5,0.3))))</x:f>
        <x:v>0.3</x:v>
      </x:c>
      <x:c r="M911" s="47" t="n">
        <x:f>J911*L911</x:f>
        <x:v>7560</x:v>
      </x:c>
      <x:c r="N911" s="47" t="n">
        <x:f>N910+M911</x:f>
        <x:v>682724.25</x:v>
      </x:c>
      <x:c r="O911" s="46" t="n">
        <x:f>IF(C911="P0",0,IF(D911&lt;=3,0.15,IF(D911&lt;=14,0.25,IF(D911&lt;=45,0.35,0.5))))</x:f>
        <x:v>0.5</x:v>
      </x:c>
      <x:c r="P911" s="47" t="n">
        <x:f>J911*O911</x:f>
        <x:v>12600</x:v>
      </x:c>
      <x:c r="Q911" s="46" t="n">
        <x:f>IF(C911="P0",0,IF(D911&lt;=3,0.05,IF(D911&lt;=14,0.1,IF(D911&lt;=45,0.15,0.2))))</x:f>
        <x:v>0.2</x:v>
      </x:c>
      <x:c r="R911" s="47" t="n">
        <x:f>J911*Q911</x:f>
        <x:v>5040</x:v>
      </x:c>
      <x:c r="S911" s="20" t="str">
        <x:f>IF(D911&lt;E911,"closed",IF(D911&lt;'Paths'!$N$16,"initial","expanded"))</x:f>
        <x:v>expanded</x:v>
      </x:c>
      <x:c r="T911" s="72"/>
    </x:row>
    <x:row r="912">
      <x:c r="C912" s="20" t="str">
        <x:v>P9</x:v>
      </x:c>
      <x:c r="D912" s="20" t="n">
        <x:v>86</x:v>
      </x:c>
      <x:c r="E912" s="45" t="n">
        <x:f>IF('Controls'!$D$7="Reference",'Paths'!$J$16,'Paths'!$K$16)</x:f>
        <x:v>6</x:v>
      </x:c>
      <x:c r="F912" s="47" t="n">
        <x:f>IF(D912&lt;'Paths'!$N$16,IF('Controls'!$D$7="Reference",'Paths'!$L$16,'Paths'!$M$16),IF('Controls'!$D$7="Reference",'Paths'!$O$16,'Paths'!$P$16))</x:f>
        <x:v>28000</x:v>
      </x:c>
      <x:c r="G912" s="46" t="n">
        <x:f>IF('Controls'!$D$7="Reference",1,IF(OR(D912=6,D912=7,D912=21,D912=46),'Paths'!$U$16,1))</x:f>
        <x:v>1</x:v>
      </x:c>
      <x:c r="H912" s="46" t="n">
        <x:f>IF('Controls'!$D$7="Reference",1,IF(OR(AND(D912&gt;=14,D912&lt;=16),AND(D912&gt;=34,D912&lt;=35),AND(D912&gt;=61,D912&lt;=63)),'Paths'!$V$16,1))</x:f>
        <x:v>1</x:v>
      </x:c>
      <x:c r="I912" s="46" t="n">
        <x:f>'Paths'!$W$16</x:f>
        <x:v>0.9</x:v>
      </x:c>
      <x:c r="J912" s="47" t="n">
        <x:f>IF(D912&lt;E912,0,MIN(F912*G912*H912*I912,IF('Paths'!$T$16&gt;0,MAX(0,'Paths'!$T$16-K911),1000000000)))</x:f>
        <x:v>25200</x:v>
      </x:c>
      <x:c r="K912" s="47" t="n">
        <x:f>K911+J912</x:f>
        <x:v>1736370</x:v>
      </x:c>
      <x:c r="L912" s="46" t="n">
        <x:f>IF(C912="P0",1,IF(D912&lt;=3,0.8,IF(D912&lt;=14,0.65,IF(D912&lt;=45,0.5,0.3))))</x:f>
        <x:v>0.3</x:v>
      </x:c>
      <x:c r="M912" s="47" t="n">
        <x:f>J912*L912</x:f>
        <x:v>7560</x:v>
      </x:c>
      <x:c r="N912" s="47" t="n">
        <x:f>N911+M912</x:f>
        <x:v>690284.25</x:v>
      </x:c>
      <x:c r="O912" s="46" t="n">
        <x:f>IF(C912="P0",0,IF(D912&lt;=3,0.15,IF(D912&lt;=14,0.25,IF(D912&lt;=45,0.35,0.5))))</x:f>
        <x:v>0.5</x:v>
      </x:c>
      <x:c r="P912" s="47" t="n">
        <x:f>J912*O912</x:f>
        <x:v>12600</x:v>
      </x:c>
      <x:c r="Q912" s="46" t="n">
        <x:f>IF(C912="P0",0,IF(D912&lt;=3,0.05,IF(D912&lt;=14,0.1,IF(D912&lt;=45,0.15,0.2))))</x:f>
        <x:v>0.2</x:v>
      </x:c>
      <x:c r="R912" s="47" t="n">
        <x:f>J912*Q912</x:f>
        <x:v>5040</x:v>
      </x:c>
      <x:c r="S912" s="20" t="str">
        <x:f>IF(D912&lt;E912,"closed",IF(D912&lt;'Paths'!$N$16,"initial","expanded"))</x:f>
        <x:v>expanded</x:v>
      </x:c>
      <x:c r="T912" s="72"/>
    </x:row>
    <x:row r="913">
      <x:c r="C913" s="20" t="str">
        <x:v>P9</x:v>
      </x:c>
      <x:c r="D913" s="20" t="n">
        <x:v>87</x:v>
      </x:c>
      <x:c r="E913" s="45" t="n">
        <x:f>IF('Controls'!$D$7="Reference",'Paths'!$J$16,'Paths'!$K$16)</x:f>
        <x:v>6</x:v>
      </x:c>
      <x:c r="F913" s="47" t="n">
        <x:f>IF(D913&lt;'Paths'!$N$16,IF('Controls'!$D$7="Reference",'Paths'!$L$16,'Paths'!$M$16),IF('Controls'!$D$7="Reference",'Paths'!$O$16,'Paths'!$P$16))</x:f>
        <x:v>28000</x:v>
      </x:c>
      <x:c r="G913" s="46" t="n">
        <x:f>IF('Controls'!$D$7="Reference",1,IF(OR(D913=6,D913=7,D913=21,D913=46),'Paths'!$U$16,1))</x:f>
        <x:v>1</x:v>
      </x:c>
      <x:c r="H913" s="46" t="n">
        <x:f>IF('Controls'!$D$7="Reference",1,IF(OR(AND(D913&gt;=14,D913&lt;=16),AND(D913&gt;=34,D913&lt;=35),AND(D913&gt;=61,D913&lt;=63)),'Paths'!$V$16,1))</x:f>
        <x:v>1</x:v>
      </x:c>
      <x:c r="I913" s="46" t="n">
        <x:f>'Paths'!$W$16</x:f>
        <x:v>0.9</x:v>
      </x:c>
      <x:c r="J913" s="47" t="n">
        <x:f>IF(D913&lt;E913,0,MIN(F913*G913*H913*I913,IF('Paths'!$T$16&gt;0,MAX(0,'Paths'!$T$16-K912),1000000000)))</x:f>
        <x:v>25200</x:v>
      </x:c>
      <x:c r="K913" s="47" t="n">
        <x:f>K912+J913</x:f>
        <x:v>1761570</x:v>
      </x:c>
      <x:c r="L913" s="46" t="n">
        <x:f>IF(C913="P0",1,IF(D913&lt;=3,0.8,IF(D913&lt;=14,0.65,IF(D913&lt;=45,0.5,0.3))))</x:f>
        <x:v>0.3</x:v>
      </x:c>
      <x:c r="M913" s="47" t="n">
        <x:f>J913*L913</x:f>
        <x:v>7560</x:v>
      </x:c>
      <x:c r="N913" s="47" t="n">
        <x:f>N912+M913</x:f>
        <x:v>697844.25</x:v>
      </x:c>
      <x:c r="O913" s="46" t="n">
        <x:f>IF(C913="P0",0,IF(D913&lt;=3,0.15,IF(D913&lt;=14,0.25,IF(D913&lt;=45,0.35,0.5))))</x:f>
        <x:v>0.5</x:v>
      </x:c>
      <x:c r="P913" s="47" t="n">
        <x:f>J913*O913</x:f>
        <x:v>12600</x:v>
      </x:c>
      <x:c r="Q913" s="46" t="n">
        <x:f>IF(C913="P0",0,IF(D913&lt;=3,0.05,IF(D913&lt;=14,0.1,IF(D913&lt;=45,0.15,0.2))))</x:f>
        <x:v>0.2</x:v>
      </x:c>
      <x:c r="R913" s="47" t="n">
        <x:f>J913*Q913</x:f>
        <x:v>5040</x:v>
      </x:c>
      <x:c r="S913" s="20" t="str">
        <x:f>IF(D913&lt;E913,"closed",IF(D913&lt;'Paths'!$N$16,"initial","expanded"))</x:f>
        <x:v>expanded</x:v>
      </x:c>
      <x:c r="T913" s="72"/>
    </x:row>
    <x:row r="914">
      <x:c r="C914" s="20" t="str">
        <x:v>P9</x:v>
      </x:c>
      <x:c r="D914" s="20" t="n">
        <x:v>88</x:v>
      </x:c>
      <x:c r="E914" s="45" t="n">
        <x:f>IF('Controls'!$D$7="Reference",'Paths'!$J$16,'Paths'!$K$16)</x:f>
        <x:v>6</x:v>
      </x:c>
      <x:c r="F914" s="47" t="n">
        <x:f>IF(D914&lt;'Paths'!$N$16,IF('Controls'!$D$7="Reference",'Paths'!$L$16,'Paths'!$M$16),IF('Controls'!$D$7="Reference",'Paths'!$O$16,'Paths'!$P$16))</x:f>
        <x:v>28000</x:v>
      </x:c>
      <x:c r="G914" s="46" t="n">
        <x:f>IF('Controls'!$D$7="Reference",1,IF(OR(D914=6,D914=7,D914=21,D914=46),'Paths'!$U$16,1))</x:f>
        <x:v>1</x:v>
      </x:c>
      <x:c r="H914" s="46" t="n">
        <x:f>IF('Controls'!$D$7="Reference",1,IF(OR(AND(D914&gt;=14,D914&lt;=16),AND(D914&gt;=34,D914&lt;=35),AND(D914&gt;=61,D914&lt;=63)),'Paths'!$V$16,1))</x:f>
        <x:v>1</x:v>
      </x:c>
      <x:c r="I914" s="46" t="n">
        <x:f>'Paths'!$W$16</x:f>
        <x:v>0.9</x:v>
      </x:c>
      <x:c r="J914" s="47" t="n">
        <x:f>IF(D914&lt;E914,0,MIN(F914*G914*H914*I914,IF('Paths'!$T$16&gt;0,MAX(0,'Paths'!$T$16-K913),1000000000)))</x:f>
        <x:v>25200</x:v>
      </x:c>
      <x:c r="K914" s="47" t="n">
        <x:f>K913+J914</x:f>
        <x:v>1786770</x:v>
      </x:c>
      <x:c r="L914" s="46" t="n">
        <x:f>IF(C914="P0",1,IF(D914&lt;=3,0.8,IF(D914&lt;=14,0.65,IF(D914&lt;=45,0.5,0.3))))</x:f>
        <x:v>0.3</x:v>
      </x:c>
      <x:c r="M914" s="47" t="n">
        <x:f>J914*L914</x:f>
        <x:v>7560</x:v>
      </x:c>
      <x:c r="N914" s="47" t="n">
        <x:f>N913+M914</x:f>
        <x:v>705404.25</x:v>
      </x:c>
      <x:c r="O914" s="46" t="n">
        <x:f>IF(C914="P0",0,IF(D914&lt;=3,0.15,IF(D914&lt;=14,0.25,IF(D914&lt;=45,0.35,0.5))))</x:f>
        <x:v>0.5</x:v>
      </x:c>
      <x:c r="P914" s="47" t="n">
        <x:f>J914*O914</x:f>
        <x:v>12600</x:v>
      </x:c>
      <x:c r="Q914" s="46" t="n">
        <x:f>IF(C914="P0",0,IF(D914&lt;=3,0.05,IF(D914&lt;=14,0.1,IF(D914&lt;=45,0.15,0.2))))</x:f>
        <x:v>0.2</x:v>
      </x:c>
      <x:c r="R914" s="47" t="n">
        <x:f>J914*Q914</x:f>
        <x:v>5040</x:v>
      </x:c>
      <x:c r="S914" s="20" t="str">
        <x:f>IF(D914&lt;E914,"closed",IF(D914&lt;'Paths'!$N$16,"initial","expanded"))</x:f>
        <x:v>expanded</x:v>
      </x:c>
      <x:c r="T914" s="72"/>
    </x:row>
    <x:row r="915">
      <x:c r="C915" s="20" t="str">
        <x:v>P9</x:v>
      </x:c>
      <x:c r="D915" s="20" t="n">
        <x:v>89</x:v>
      </x:c>
      <x:c r="E915" s="45" t="n">
        <x:f>IF('Controls'!$D$7="Reference",'Paths'!$J$16,'Paths'!$K$16)</x:f>
        <x:v>6</x:v>
      </x:c>
      <x:c r="F915" s="47" t="n">
        <x:f>IF(D915&lt;'Paths'!$N$16,IF('Controls'!$D$7="Reference",'Paths'!$L$16,'Paths'!$M$16),IF('Controls'!$D$7="Reference",'Paths'!$O$16,'Paths'!$P$16))</x:f>
        <x:v>28000</x:v>
      </x:c>
      <x:c r="G915" s="46" t="n">
        <x:f>IF('Controls'!$D$7="Reference",1,IF(OR(D915=6,D915=7,D915=21,D915=46),'Paths'!$U$16,1))</x:f>
        <x:v>1</x:v>
      </x:c>
      <x:c r="H915" s="46" t="n">
        <x:f>IF('Controls'!$D$7="Reference",1,IF(OR(AND(D915&gt;=14,D915&lt;=16),AND(D915&gt;=34,D915&lt;=35),AND(D915&gt;=61,D915&lt;=63)),'Paths'!$V$16,1))</x:f>
        <x:v>1</x:v>
      </x:c>
      <x:c r="I915" s="46" t="n">
        <x:f>'Paths'!$W$16</x:f>
        <x:v>0.9</x:v>
      </x:c>
      <x:c r="J915" s="47" t="n">
        <x:f>IF(D915&lt;E915,0,MIN(F915*G915*H915*I915,IF('Paths'!$T$16&gt;0,MAX(0,'Paths'!$T$16-K914),1000000000)))</x:f>
        <x:v>25200</x:v>
      </x:c>
      <x:c r="K915" s="47" t="n">
        <x:f>K914+J915</x:f>
        <x:v>1811970</x:v>
      </x:c>
      <x:c r="L915" s="46" t="n">
        <x:f>IF(C915="P0",1,IF(D915&lt;=3,0.8,IF(D915&lt;=14,0.65,IF(D915&lt;=45,0.5,0.3))))</x:f>
        <x:v>0.3</x:v>
      </x:c>
      <x:c r="M915" s="47" t="n">
        <x:f>J915*L915</x:f>
        <x:v>7560</x:v>
      </x:c>
      <x:c r="N915" s="47" t="n">
        <x:f>N914+M915</x:f>
        <x:v>712964.25</x:v>
      </x:c>
      <x:c r="O915" s="46" t="n">
        <x:f>IF(C915="P0",0,IF(D915&lt;=3,0.15,IF(D915&lt;=14,0.25,IF(D915&lt;=45,0.35,0.5))))</x:f>
        <x:v>0.5</x:v>
      </x:c>
      <x:c r="P915" s="47" t="n">
        <x:f>J915*O915</x:f>
        <x:v>12600</x:v>
      </x:c>
      <x:c r="Q915" s="46" t="n">
        <x:f>IF(C915="P0",0,IF(D915&lt;=3,0.05,IF(D915&lt;=14,0.1,IF(D915&lt;=45,0.15,0.2))))</x:f>
        <x:v>0.2</x:v>
      </x:c>
      <x:c r="R915" s="47" t="n">
        <x:f>J915*Q915</x:f>
        <x:v>5040</x:v>
      </x:c>
      <x:c r="S915" s="20" t="str">
        <x:f>IF(D915&lt;E915,"closed",IF(D915&lt;'Paths'!$N$16,"initial","expanded"))</x:f>
        <x:v>expanded</x:v>
      </x:c>
      <x:c r="T915" s="72"/>
    </x:row>
    <x:row r="916">
      <x:c r="C916" s="20" t="str">
        <x:v>P9</x:v>
      </x:c>
      <x:c r="D916" s="20" t="n">
        <x:v>90</x:v>
      </x:c>
      <x:c r="E916" s="45" t="n">
        <x:f>IF('Controls'!$D$7="Reference",'Paths'!$J$16,'Paths'!$K$16)</x:f>
        <x:v>6</x:v>
      </x:c>
      <x:c r="F916" s="47" t="n">
        <x:f>IF(D916&lt;'Paths'!$N$16,IF('Controls'!$D$7="Reference",'Paths'!$L$16,'Paths'!$M$16),IF('Controls'!$D$7="Reference",'Paths'!$O$16,'Paths'!$P$16))</x:f>
        <x:v>28000</x:v>
      </x:c>
      <x:c r="G916" s="46" t="n">
        <x:f>IF('Controls'!$D$7="Reference",1,IF(OR(D916=6,D916=7,D916=21,D916=46),'Paths'!$U$16,1))</x:f>
        <x:v>1</x:v>
      </x:c>
      <x:c r="H916" s="46" t="n">
        <x:f>IF('Controls'!$D$7="Reference",1,IF(OR(AND(D916&gt;=14,D916&lt;=16),AND(D916&gt;=34,D916&lt;=35),AND(D916&gt;=61,D916&lt;=63)),'Paths'!$V$16,1))</x:f>
        <x:v>1</x:v>
      </x:c>
      <x:c r="I916" s="46" t="n">
        <x:f>'Paths'!$W$16</x:f>
        <x:v>0.9</x:v>
      </x:c>
      <x:c r="J916" s="47" t="n">
        <x:f>IF(D916&lt;E916,0,MIN(F916*G916*H916*I916,IF('Paths'!$T$16&gt;0,MAX(0,'Paths'!$T$16-K915),1000000000)))</x:f>
        <x:v>25200</x:v>
      </x:c>
      <x:c r="K916" s="47" t="n">
        <x:f>K915+J916</x:f>
        <x:v>1837170</x:v>
      </x:c>
      <x:c r="L916" s="46" t="n">
        <x:f>IF(C916="P0",1,IF(D916&lt;=3,0.8,IF(D916&lt;=14,0.65,IF(D916&lt;=45,0.5,0.3))))</x:f>
        <x:v>0.3</x:v>
      </x:c>
      <x:c r="M916" s="47" t="n">
        <x:f>J916*L916</x:f>
        <x:v>7560</x:v>
      </x:c>
      <x:c r="N916" s="47" t="n">
        <x:f>N915+M916</x:f>
        <x:v>720524.25</x:v>
      </x:c>
      <x:c r="O916" s="46" t="n">
        <x:f>IF(C916="P0",0,IF(D916&lt;=3,0.15,IF(D916&lt;=14,0.25,IF(D916&lt;=45,0.35,0.5))))</x:f>
        <x:v>0.5</x:v>
      </x:c>
      <x:c r="P916" s="47" t="n">
        <x:f>J916*O916</x:f>
        <x:v>12600</x:v>
      </x:c>
      <x:c r="Q916" s="46" t="n">
        <x:f>IF(C916="P0",0,IF(D916&lt;=3,0.05,IF(D916&lt;=14,0.1,IF(D916&lt;=45,0.15,0.2))))</x:f>
        <x:v>0.2</x:v>
      </x:c>
      <x:c r="R916" s="47" t="n">
        <x:f>J916*Q916</x:f>
        <x:v>5040</x:v>
      </x:c>
      <x:c r="S916" s="20" t="str">
        <x:f>IF(D916&lt;E916,"closed",IF(D916&lt;'Paths'!$N$16,"initial","expanded"))</x:f>
        <x:v>expanded</x:v>
      </x:c>
      <x:c r="T916" s="72"/>
    </x:row>
    <x:row r="917">
      <x:c r="C917" s="20" t="str">
        <x:v>P10</x:v>
      </x:c>
      <x:c r="D917" s="20" t="n">
        <x:v>0</x:v>
      </x:c>
      <x:c r="E917" s="45" t="n">
        <x:f>IF('Controls'!$D$7="Reference",'Paths'!$J$17,'Paths'!$K$17)</x:f>
        <x:v>14</x:v>
      </x:c>
      <x:c r="F917" s="47" t="n">
        <x:f>IF(D917&lt;'Paths'!$N$17,IF('Controls'!$D$7="Reference",'Paths'!$L$17,'Paths'!$M$17),IF('Controls'!$D$7="Reference",'Paths'!$O$17,'Paths'!$P$17))</x:f>
        <x:v>16000</x:v>
      </x:c>
      <x:c r="G917" s="46" t="n">
        <x:f>IF('Controls'!$D$7="Reference",1,IF(OR(D917=6,D917=7,D917=21,D917=46),'Paths'!$U$17,1))</x:f>
        <x:v>1</x:v>
      </x:c>
      <x:c r="H917" s="46" t="n">
        <x:f>IF('Controls'!$D$7="Reference",1,IF(OR(AND(D917&gt;=14,D917&lt;=16),AND(D917&gt;=34,D917&lt;=35),AND(D917&gt;=61,D917&lt;=63)),'Paths'!$V$17,1))</x:f>
        <x:v>1</x:v>
      </x:c>
      <x:c r="I917" s="46" t="n">
        <x:f>'Paths'!$W$17</x:f>
        <x:v>0.85</x:v>
      </x:c>
      <x:c r="J917" s="47" t="n">
        <x:f>IF(D917&lt;E917,0,MIN(F917*G917*H917*I917,IF('Paths'!$T$17&gt;0,MAX(0,'Paths'!$T$17-0),1000000000)))</x:f>
        <x:v>0</x:v>
      </x:c>
      <x:c r="K917" s="47" t="n">
        <x:f>0+J917</x:f>
        <x:v>0</x:v>
      </x:c>
      <x:c r="L917" s="46" t="n">
        <x:f>IF(C917="P0",1,IF(D917&lt;=3,0.8,IF(D917&lt;=14,0.65,IF(D917&lt;=45,0.5,0.3))))</x:f>
        <x:v>0.8</x:v>
      </x:c>
      <x:c r="M917" s="47" t="n">
        <x:f>J917*L917</x:f>
        <x:v>0</x:v>
      </x:c>
      <x:c r="N917" s="47" t="n">
        <x:f>0+M917</x:f>
        <x:v>0</x:v>
      </x:c>
      <x:c r="O917" s="46" t="n">
        <x:f>IF(C917="P0",0,IF(D917&lt;=3,0.15,IF(D917&lt;=14,0.25,IF(D917&lt;=45,0.35,0.5))))</x:f>
        <x:v>0.15</x:v>
      </x:c>
      <x:c r="P917" s="47" t="n">
        <x:f>J917*O917</x:f>
        <x:v>0</x:v>
      </x:c>
      <x:c r="Q917" s="46" t="n">
        <x:f>IF(C917="P0",0,IF(D917&lt;=3,0.05,IF(D917&lt;=14,0.1,IF(D917&lt;=45,0.15,0.2))))</x:f>
        <x:v>0.05</x:v>
      </x:c>
      <x:c r="R917" s="47" t="n">
        <x:f>J917*Q917</x:f>
        <x:v>0</x:v>
      </x:c>
      <x:c r="S917" s="20" t="str">
        <x:f>IF(D917&lt;E917,"closed",IF(D917&lt;'Paths'!$N$17,"initial","expanded"))</x:f>
        <x:v>closed</x:v>
      </x:c>
      <x:c r="T917" s="72"/>
    </x:row>
    <x:row r="918">
      <x:c r="C918" s="20" t="str">
        <x:v>P10</x:v>
      </x:c>
      <x:c r="D918" s="20" t="n">
        <x:v>1</x:v>
      </x:c>
      <x:c r="E918" s="45" t="n">
        <x:f>IF('Controls'!$D$7="Reference",'Paths'!$J$17,'Paths'!$K$17)</x:f>
        <x:v>14</x:v>
      </x:c>
      <x:c r="F918" s="47" t="n">
        <x:f>IF(D918&lt;'Paths'!$N$17,IF('Controls'!$D$7="Reference",'Paths'!$L$17,'Paths'!$M$17),IF('Controls'!$D$7="Reference",'Paths'!$O$17,'Paths'!$P$17))</x:f>
        <x:v>16000</x:v>
      </x:c>
      <x:c r="G918" s="46" t="n">
        <x:f>IF('Controls'!$D$7="Reference",1,IF(OR(D918=6,D918=7,D918=21,D918=46),'Paths'!$U$17,1))</x:f>
        <x:v>1</x:v>
      </x:c>
      <x:c r="H918" s="46" t="n">
        <x:f>IF('Controls'!$D$7="Reference",1,IF(OR(AND(D918&gt;=14,D918&lt;=16),AND(D918&gt;=34,D918&lt;=35),AND(D918&gt;=61,D918&lt;=63)),'Paths'!$V$17,1))</x:f>
        <x:v>1</x:v>
      </x:c>
      <x:c r="I918" s="46" t="n">
        <x:f>'Paths'!$W$17</x:f>
        <x:v>0.85</x:v>
      </x:c>
      <x:c r="J918" s="47" t="n">
        <x:f>IF(D918&lt;E918,0,MIN(F918*G918*H918*I918,IF('Paths'!$T$17&gt;0,MAX(0,'Paths'!$T$17-K917),1000000000)))</x:f>
        <x:v>0</x:v>
      </x:c>
      <x:c r="K918" s="47" t="n">
        <x:f>K917+J918</x:f>
        <x:v>0</x:v>
      </x:c>
      <x:c r="L918" s="46" t="n">
        <x:f>IF(C918="P0",1,IF(D918&lt;=3,0.8,IF(D918&lt;=14,0.65,IF(D918&lt;=45,0.5,0.3))))</x:f>
        <x:v>0.8</x:v>
      </x:c>
      <x:c r="M918" s="47" t="n">
        <x:f>J918*L918</x:f>
        <x:v>0</x:v>
      </x:c>
      <x:c r="N918" s="47" t="n">
        <x:f>N917+M918</x:f>
        <x:v>0</x:v>
      </x:c>
      <x:c r="O918" s="46" t="n">
        <x:f>IF(C918="P0",0,IF(D918&lt;=3,0.15,IF(D918&lt;=14,0.25,IF(D918&lt;=45,0.35,0.5))))</x:f>
        <x:v>0.15</x:v>
      </x:c>
      <x:c r="P918" s="47" t="n">
        <x:f>J918*O918</x:f>
        <x:v>0</x:v>
      </x:c>
      <x:c r="Q918" s="46" t="n">
        <x:f>IF(C918="P0",0,IF(D918&lt;=3,0.05,IF(D918&lt;=14,0.1,IF(D918&lt;=45,0.15,0.2))))</x:f>
        <x:v>0.05</x:v>
      </x:c>
      <x:c r="R918" s="47" t="n">
        <x:f>J918*Q918</x:f>
        <x:v>0</x:v>
      </x:c>
      <x:c r="S918" s="20" t="str">
        <x:f>IF(D918&lt;E918,"closed",IF(D918&lt;'Paths'!$N$17,"initial","expanded"))</x:f>
        <x:v>closed</x:v>
      </x:c>
      <x:c r="T918" s="72"/>
    </x:row>
    <x:row r="919">
      <x:c r="C919" s="20" t="str">
        <x:v>P10</x:v>
      </x:c>
      <x:c r="D919" s="20" t="n">
        <x:v>2</x:v>
      </x:c>
      <x:c r="E919" s="45" t="n">
        <x:f>IF('Controls'!$D$7="Reference",'Paths'!$J$17,'Paths'!$K$17)</x:f>
        <x:v>14</x:v>
      </x:c>
      <x:c r="F919" s="47" t="n">
        <x:f>IF(D919&lt;'Paths'!$N$17,IF('Controls'!$D$7="Reference",'Paths'!$L$17,'Paths'!$M$17),IF('Controls'!$D$7="Reference",'Paths'!$O$17,'Paths'!$P$17))</x:f>
        <x:v>16000</x:v>
      </x:c>
      <x:c r="G919" s="46" t="n">
        <x:f>IF('Controls'!$D$7="Reference",1,IF(OR(D919=6,D919=7,D919=21,D919=46),'Paths'!$U$17,1))</x:f>
        <x:v>1</x:v>
      </x:c>
      <x:c r="H919" s="46" t="n">
        <x:f>IF('Controls'!$D$7="Reference",1,IF(OR(AND(D919&gt;=14,D919&lt;=16),AND(D919&gt;=34,D919&lt;=35),AND(D919&gt;=61,D919&lt;=63)),'Paths'!$V$17,1))</x:f>
        <x:v>1</x:v>
      </x:c>
      <x:c r="I919" s="46" t="n">
        <x:f>'Paths'!$W$17</x:f>
        <x:v>0.85</x:v>
      </x:c>
      <x:c r="J919" s="47" t="n">
        <x:f>IF(D919&lt;E919,0,MIN(F919*G919*H919*I919,IF('Paths'!$T$17&gt;0,MAX(0,'Paths'!$T$17-K918),1000000000)))</x:f>
        <x:v>0</x:v>
      </x:c>
      <x:c r="K919" s="47" t="n">
        <x:f>K918+J919</x:f>
        <x:v>0</x:v>
      </x:c>
      <x:c r="L919" s="46" t="n">
        <x:f>IF(C919="P0",1,IF(D919&lt;=3,0.8,IF(D919&lt;=14,0.65,IF(D919&lt;=45,0.5,0.3))))</x:f>
        <x:v>0.8</x:v>
      </x:c>
      <x:c r="M919" s="47" t="n">
        <x:f>J919*L919</x:f>
        <x:v>0</x:v>
      </x:c>
      <x:c r="N919" s="47" t="n">
        <x:f>N918+M919</x:f>
        <x:v>0</x:v>
      </x:c>
      <x:c r="O919" s="46" t="n">
        <x:f>IF(C919="P0",0,IF(D919&lt;=3,0.15,IF(D919&lt;=14,0.25,IF(D919&lt;=45,0.35,0.5))))</x:f>
        <x:v>0.15</x:v>
      </x:c>
      <x:c r="P919" s="47" t="n">
        <x:f>J919*O919</x:f>
        <x:v>0</x:v>
      </x:c>
      <x:c r="Q919" s="46" t="n">
        <x:f>IF(C919="P0",0,IF(D919&lt;=3,0.05,IF(D919&lt;=14,0.1,IF(D919&lt;=45,0.15,0.2))))</x:f>
        <x:v>0.05</x:v>
      </x:c>
      <x:c r="R919" s="47" t="n">
        <x:f>J919*Q919</x:f>
        <x:v>0</x:v>
      </x:c>
      <x:c r="S919" s="20" t="str">
        <x:f>IF(D919&lt;E919,"closed",IF(D919&lt;'Paths'!$N$17,"initial","expanded"))</x:f>
        <x:v>closed</x:v>
      </x:c>
      <x:c r="T919" s="72"/>
    </x:row>
    <x:row r="920">
      <x:c r="C920" s="20" t="str">
        <x:v>P10</x:v>
      </x:c>
      <x:c r="D920" s="20" t="n">
        <x:v>3</x:v>
      </x:c>
      <x:c r="E920" s="45" t="n">
        <x:f>IF('Controls'!$D$7="Reference",'Paths'!$J$17,'Paths'!$K$17)</x:f>
        <x:v>14</x:v>
      </x:c>
      <x:c r="F920" s="47" t="n">
        <x:f>IF(D920&lt;'Paths'!$N$17,IF('Controls'!$D$7="Reference",'Paths'!$L$17,'Paths'!$M$17),IF('Controls'!$D$7="Reference",'Paths'!$O$17,'Paths'!$P$17))</x:f>
        <x:v>16000</x:v>
      </x:c>
      <x:c r="G920" s="46" t="n">
        <x:f>IF('Controls'!$D$7="Reference",1,IF(OR(D920=6,D920=7,D920=21,D920=46),'Paths'!$U$17,1))</x:f>
        <x:v>1</x:v>
      </x:c>
      <x:c r="H920" s="46" t="n">
        <x:f>IF('Controls'!$D$7="Reference",1,IF(OR(AND(D920&gt;=14,D920&lt;=16),AND(D920&gt;=34,D920&lt;=35),AND(D920&gt;=61,D920&lt;=63)),'Paths'!$V$17,1))</x:f>
        <x:v>1</x:v>
      </x:c>
      <x:c r="I920" s="46" t="n">
        <x:f>'Paths'!$W$17</x:f>
        <x:v>0.85</x:v>
      </x:c>
      <x:c r="J920" s="47" t="n">
        <x:f>IF(D920&lt;E920,0,MIN(F920*G920*H920*I920,IF('Paths'!$T$17&gt;0,MAX(0,'Paths'!$T$17-K919),1000000000)))</x:f>
        <x:v>0</x:v>
      </x:c>
      <x:c r="K920" s="47" t="n">
        <x:f>K919+J920</x:f>
        <x:v>0</x:v>
      </x:c>
      <x:c r="L920" s="46" t="n">
        <x:f>IF(C920="P0",1,IF(D920&lt;=3,0.8,IF(D920&lt;=14,0.65,IF(D920&lt;=45,0.5,0.3))))</x:f>
        <x:v>0.8</x:v>
      </x:c>
      <x:c r="M920" s="47" t="n">
        <x:f>J920*L920</x:f>
        <x:v>0</x:v>
      </x:c>
      <x:c r="N920" s="47" t="n">
        <x:f>N919+M920</x:f>
        <x:v>0</x:v>
      </x:c>
      <x:c r="O920" s="46" t="n">
        <x:f>IF(C920="P0",0,IF(D920&lt;=3,0.15,IF(D920&lt;=14,0.25,IF(D920&lt;=45,0.35,0.5))))</x:f>
        <x:v>0.15</x:v>
      </x:c>
      <x:c r="P920" s="47" t="n">
        <x:f>J920*O920</x:f>
        <x:v>0</x:v>
      </x:c>
      <x:c r="Q920" s="46" t="n">
        <x:f>IF(C920="P0",0,IF(D920&lt;=3,0.05,IF(D920&lt;=14,0.1,IF(D920&lt;=45,0.15,0.2))))</x:f>
        <x:v>0.05</x:v>
      </x:c>
      <x:c r="R920" s="47" t="n">
        <x:f>J920*Q920</x:f>
        <x:v>0</x:v>
      </x:c>
      <x:c r="S920" s="20" t="str">
        <x:f>IF(D920&lt;E920,"closed",IF(D920&lt;'Paths'!$N$17,"initial","expanded"))</x:f>
        <x:v>closed</x:v>
      </x:c>
      <x:c r="T920" s="72"/>
    </x:row>
    <x:row r="921">
      <x:c r="C921" s="20" t="str">
        <x:v>P10</x:v>
      </x:c>
      <x:c r="D921" s="20" t="n">
        <x:v>4</x:v>
      </x:c>
      <x:c r="E921" s="45" t="n">
        <x:f>IF('Controls'!$D$7="Reference",'Paths'!$J$17,'Paths'!$K$17)</x:f>
        <x:v>14</x:v>
      </x:c>
      <x:c r="F921" s="47" t="n">
        <x:f>IF(D921&lt;'Paths'!$N$17,IF('Controls'!$D$7="Reference",'Paths'!$L$17,'Paths'!$M$17),IF('Controls'!$D$7="Reference",'Paths'!$O$17,'Paths'!$P$17))</x:f>
        <x:v>16000</x:v>
      </x:c>
      <x:c r="G921" s="46" t="n">
        <x:f>IF('Controls'!$D$7="Reference",1,IF(OR(D921=6,D921=7,D921=21,D921=46),'Paths'!$U$17,1))</x:f>
        <x:v>1</x:v>
      </x:c>
      <x:c r="H921" s="46" t="n">
        <x:f>IF('Controls'!$D$7="Reference",1,IF(OR(AND(D921&gt;=14,D921&lt;=16),AND(D921&gt;=34,D921&lt;=35),AND(D921&gt;=61,D921&lt;=63)),'Paths'!$V$17,1))</x:f>
        <x:v>1</x:v>
      </x:c>
      <x:c r="I921" s="46" t="n">
        <x:f>'Paths'!$W$17</x:f>
        <x:v>0.85</x:v>
      </x:c>
      <x:c r="J921" s="47" t="n">
        <x:f>IF(D921&lt;E921,0,MIN(F921*G921*H921*I921,IF('Paths'!$T$17&gt;0,MAX(0,'Paths'!$T$17-K920),1000000000)))</x:f>
        <x:v>0</x:v>
      </x:c>
      <x:c r="K921" s="47" t="n">
        <x:f>K920+J921</x:f>
        <x:v>0</x:v>
      </x:c>
      <x:c r="L921" s="46" t="n">
        <x:f>IF(C921="P0",1,IF(D921&lt;=3,0.8,IF(D921&lt;=14,0.65,IF(D921&lt;=45,0.5,0.3))))</x:f>
        <x:v>0.65</x:v>
      </x:c>
      <x:c r="M921" s="47" t="n">
        <x:f>J921*L921</x:f>
        <x:v>0</x:v>
      </x:c>
      <x:c r="N921" s="47" t="n">
        <x:f>N920+M921</x:f>
        <x:v>0</x:v>
      </x:c>
      <x:c r="O921" s="46" t="n">
        <x:f>IF(C921="P0",0,IF(D921&lt;=3,0.15,IF(D921&lt;=14,0.25,IF(D921&lt;=45,0.35,0.5))))</x:f>
        <x:v>0.25</x:v>
      </x:c>
      <x:c r="P921" s="47" t="n">
        <x:f>J921*O921</x:f>
        <x:v>0</x:v>
      </x:c>
      <x:c r="Q921" s="46" t="n">
        <x:f>IF(C921="P0",0,IF(D921&lt;=3,0.05,IF(D921&lt;=14,0.1,IF(D921&lt;=45,0.15,0.2))))</x:f>
        <x:v>0.1</x:v>
      </x:c>
      <x:c r="R921" s="47" t="n">
        <x:f>J921*Q921</x:f>
        <x:v>0</x:v>
      </x:c>
      <x:c r="S921" s="20" t="str">
        <x:f>IF(D921&lt;E921,"closed",IF(D921&lt;'Paths'!$N$17,"initial","expanded"))</x:f>
        <x:v>closed</x:v>
      </x:c>
      <x:c r="T921" s="72"/>
    </x:row>
    <x:row r="922">
      <x:c r="C922" s="20" t="str">
        <x:v>P10</x:v>
      </x:c>
      <x:c r="D922" s="20" t="n">
        <x:v>5</x:v>
      </x:c>
      <x:c r="E922" s="45" t="n">
        <x:f>IF('Controls'!$D$7="Reference",'Paths'!$J$17,'Paths'!$K$17)</x:f>
        <x:v>14</x:v>
      </x:c>
      <x:c r="F922" s="47" t="n">
        <x:f>IF(D922&lt;'Paths'!$N$17,IF('Controls'!$D$7="Reference",'Paths'!$L$17,'Paths'!$M$17),IF('Controls'!$D$7="Reference",'Paths'!$O$17,'Paths'!$P$17))</x:f>
        <x:v>16000</x:v>
      </x:c>
      <x:c r="G922" s="46" t="n">
        <x:f>IF('Controls'!$D$7="Reference",1,IF(OR(D922=6,D922=7,D922=21,D922=46),'Paths'!$U$17,1))</x:f>
        <x:v>1</x:v>
      </x:c>
      <x:c r="H922" s="46" t="n">
        <x:f>IF('Controls'!$D$7="Reference",1,IF(OR(AND(D922&gt;=14,D922&lt;=16),AND(D922&gt;=34,D922&lt;=35),AND(D922&gt;=61,D922&lt;=63)),'Paths'!$V$17,1))</x:f>
        <x:v>1</x:v>
      </x:c>
      <x:c r="I922" s="46" t="n">
        <x:f>'Paths'!$W$17</x:f>
        <x:v>0.85</x:v>
      </x:c>
      <x:c r="J922" s="47" t="n">
        <x:f>IF(D922&lt;E922,0,MIN(F922*G922*H922*I922,IF('Paths'!$T$17&gt;0,MAX(0,'Paths'!$T$17-K921),1000000000)))</x:f>
        <x:v>0</x:v>
      </x:c>
      <x:c r="K922" s="47" t="n">
        <x:f>K921+J922</x:f>
        <x:v>0</x:v>
      </x:c>
      <x:c r="L922" s="46" t="n">
        <x:f>IF(C922="P0",1,IF(D922&lt;=3,0.8,IF(D922&lt;=14,0.65,IF(D922&lt;=45,0.5,0.3))))</x:f>
        <x:v>0.65</x:v>
      </x:c>
      <x:c r="M922" s="47" t="n">
        <x:f>J922*L922</x:f>
        <x:v>0</x:v>
      </x:c>
      <x:c r="N922" s="47" t="n">
        <x:f>N921+M922</x:f>
        <x:v>0</x:v>
      </x:c>
      <x:c r="O922" s="46" t="n">
        <x:f>IF(C922="P0",0,IF(D922&lt;=3,0.15,IF(D922&lt;=14,0.25,IF(D922&lt;=45,0.35,0.5))))</x:f>
        <x:v>0.25</x:v>
      </x:c>
      <x:c r="P922" s="47" t="n">
        <x:f>J922*O922</x:f>
        <x:v>0</x:v>
      </x:c>
      <x:c r="Q922" s="46" t="n">
        <x:f>IF(C922="P0",0,IF(D922&lt;=3,0.05,IF(D922&lt;=14,0.1,IF(D922&lt;=45,0.15,0.2))))</x:f>
        <x:v>0.1</x:v>
      </x:c>
      <x:c r="R922" s="47" t="n">
        <x:f>J922*Q922</x:f>
        <x:v>0</x:v>
      </x:c>
      <x:c r="S922" s="20" t="str">
        <x:f>IF(D922&lt;E922,"closed",IF(D922&lt;'Paths'!$N$17,"initial","expanded"))</x:f>
        <x:v>closed</x:v>
      </x:c>
      <x:c r="T922" s="72"/>
    </x:row>
    <x:row r="923">
      <x:c r="C923" s="20" t="str">
        <x:v>P10</x:v>
      </x:c>
      <x:c r="D923" s="20" t="n">
        <x:v>6</x:v>
      </x:c>
      <x:c r="E923" s="45" t="n">
        <x:f>IF('Controls'!$D$7="Reference",'Paths'!$J$17,'Paths'!$K$17)</x:f>
        <x:v>14</x:v>
      </x:c>
      <x:c r="F923" s="47" t="n">
        <x:f>IF(D923&lt;'Paths'!$N$17,IF('Controls'!$D$7="Reference",'Paths'!$L$17,'Paths'!$M$17),IF('Controls'!$D$7="Reference",'Paths'!$O$17,'Paths'!$P$17))</x:f>
        <x:v>16000</x:v>
      </x:c>
      <x:c r="G923" s="46" t="n">
        <x:f>IF('Controls'!$D$7="Reference",1,IF(OR(D923=6,D923=7,D923=21,D923=46),'Paths'!$U$17,1))</x:f>
        <x:v>0.3</x:v>
      </x:c>
      <x:c r="H923" s="46" t="n">
        <x:f>IF('Controls'!$D$7="Reference",1,IF(OR(AND(D923&gt;=14,D923&lt;=16),AND(D923&gt;=34,D923&lt;=35),AND(D923&gt;=61,D923&lt;=63)),'Paths'!$V$17,1))</x:f>
        <x:v>1</x:v>
      </x:c>
      <x:c r="I923" s="46" t="n">
        <x:f>'Paths'!$W$17</x:f>
        <x:v>0.85</x:v>
      </x:c>
      <x:c r="J923" s="47" t="n">
        <x:f>IF(D923&lt;E923,0,MIN(F923*G923*H923*I923,IF('Paths'!$T$17&gt;0,MAX(0,'Paths'!$T$17-K922),1000000000)))</x:f>
        <x:v>0</x:v>
      </x:c>
      <x:c r="K923" s="47" t="n">
        <x:f>K922+J923</x:f>
        <x:v>0</x:v>
      </x:c>
      <x:c r="L923" s="46" t="n">
        <x:f>IF(C923="P0",1,IF(D923&lt;=3,0.8,IF(D923&lt;=14,0.65,IF(D923&lt;=45,0.5,0.3))))</x:f>
        <x:v>0.65</x:v>
      </x:c>
      <x:c r="M923" s="47" t="n">
        <x:f>J923*L923</x:f>
        <x:v>0</x:v>
      </x:c>
      <x:c r="N923" s="47" t="n">
        <x:f>N922+M923</x:f>
        <x:v>0</x:v>
      </x:c>
      <x:c r="O923" s="46" t="n">
        <x:f>IF(C923="P0",0,IF(D923&lt;=3,0.15,IF(D923&lt;=14,0.25,IF(D923&lt;=45,0.35,0.5))))</x:f>
        <x:v>0.25</x:v>
      </x:c>
      <x:c r="P923" s="47" t="n">
        <x:f>J923*O923</x:f>
        <x:v>0</x:v>
      </x:c>
      <x:c r="Q923" s="46" t="n">
        <x:f>IF(C923="P0",0,IF(D923&lt;=3,0.05,IF(D923&lt;=14,0.1,IF(D923&lt;=45,0.15,0.2))))</x:f>
        <x:v>0.1</x:v>
      </x:c>
      <x:c r="R923" s="47" t="n">
        <x:f>J923*Q923</x:f>
        <x:v>0</x:v>
      </x:c>
      <x:c r="S923" s="20" t="str">
        <x:f>IF(D923&lt;E923,"closed",IF(D923&lt;'Paths'!$N$17,"initial","expanded"))</x:f>
        <x:v>closed</x:v>
      </x:c>
      <x:c r="T923" s="72"/>
    </x:row>
    <x:row r="924">
      <x:c r="C924" s="20" t="str">
        <x:v>P10</x:v>
      </x:c>
      <x:c r="D924" s="20" t="n">
        <x:v>7</x:v>
      </x:c>
      <x:c r="E924" s="45" t="n">
        <x:f>IF('Controls'!$D$7="Reference",'Paths'!$J$17,'Paths'!$K$17)</x:f>
        <x:v>14</x:v>
      </x:c>
      <x:c r="F924" s="47" t="n">
        <x:f>IF(D924&lt;'Paths'!$N$17,IF('Controls'!$D$7="Reference",'Paths'!$L$17,'Paths'!$M$17),IF('Controls'!$D$7="Reference",'Paths'!$O$17,'Paths'!$P$17))</x:f>
        <x:v>16000</x:v>
      </x:c>
      <x:c r="G924" s="46" t="n">
        <x:f>IF('Controls'!$D$7="Reference",1,IF(OR(D924=6,D924=7,D924=21,D924=46),'Paths'!$U$17,1))</x:f>
        <x:v>0.3</x:v>
      </x:c>
      <x:c r="H924" s="46" t="n">
        <x:f>IF('Controls'!$D$7="Reference",1,IF(OR(AND(D924&gt;=14,D924&lt;=16),AND(D924&gt;=34,D924&lt;=35),AND(D924&gt;=61,D924&lt;=63)),'Paths'!$V$17,1))</x:f>
        <x:v>1</x:v>
      </x:c>
      <x:c r="I924" s="46" t="n">
        <x:f>'Paths'!$W$17</x:f>
        <x:v>0.85</x:v>
      </x:c>
      <x:c r="J924" s="47" t="n">
        <x:f>IF(D924&lt;E924,0,MIN(F924*G924*H924*I924,IF('Paths'!$T$17&gt;0,MAX(0,'Paths'!$T$17-K923),1000000000)))</x:f>
        <x:v>0</x:v>
      </x:c>
      <x:c r="K924" s="47" t="n">
        <x:f>K923+J924</x:f>
        <x:v>0</x:v>
      </x:c>
      <x:c r="L924" s="46" t="n">
        <x:f>IF(C924="P0",1,IF(D924&lt;=3,0.8,IF(D924&lt;=14,0.65,IF(D924&lt;=45,0.5,0.3))))</x:f>
        <x:v>0.65</x:v>
      </x:c>
      <x:c r="M924" s="47" t="n">
        <x:f>J924*L924</x:f>
        <x:v>0</x:v>
      </x:c>
      <x:c r="N924" s="47" t="n">
        <x:f>N923+M924</x:f>
        <x:v>0</x:v>
      </x:c>
      <x:c r="O924" s="46" t="n">
        <x:f>IF(C924="P0",0,IF(D924&lt;=3,0.15,IF(D924&lt;=14,0.25,IF(D924&lt;=45,0.35,0.5))))</x:f>
        <x:v>0.25</x:v>
      </x:c>
      <x:c r="P924" s="47" t="n">
        <x:f>J924*O924</x:f>
        <x:v>0</x:v>
      </x:c>
      <x:c r="Q924" s="46" t="n">
        <x:f>IF(C924="P0",0,IF(D924&lt;=3,0.05,IF(D924&lt;=14,0.1,IF(D924&lt;=45,0.15,0.2))))</x:f>
        <x:v>0.1</x:v>
      </x:c>
      <x:c r="R924" s="47" t="n">
        <x:f>J924*Q924</x:f>
        <x:v>0</x:v>
      </x:c>
      <x:c r="S924" s="20" t="str">
        <x:f>IF(D924&lt;E924,"closed",IF(D924&lt;'Paths'!$N$17,"initial","expanded"))</x:f>
        <x:v>closed</x:v>
      </x:c>
      <x:c r="T924" s="72"/>
    </x:row>
    <x:row r="925">
      <x:c r="C925" s="20" t="str">
        <x:v>P10</x:v>
      </x:c>
      <x:c r="D925" s="20" t="n">
        <x:v>8</x:v>
      </x:c>
      <x:c r="E925" s="45" t="n">
        <x:f>IF('Controls'!$D$7="Reference",'Paths'!$J$17,'Paths'!$K$17)</x:f>
        <x:v>14</x:v>
      </x:c>
      <x:c r="F925" s="47" t="n">
        <x:f>IF(D925&lt;'Paths'!$N$17,IF('Controls'!$D$7="Reference",'Paths'!$L$17,'Paths'!$M$17),IF('Controls'!$D$7="Reference",'Paths'!$O$17,'Paths'!$P$17))</x:f>
        <x:v>16000</x:v>
      </x:c>
      <x:c r="G925" s="46" t="n">
        <x:f>IF('Controls'!$D$7="Reference",1,IF(OR(D925=6,D925=7,D925=21,D925=46),'Paths'!$U$17,1))</x:f>
        <x:v>1</x:v>
      </x:c>
      <x:c r="H925" s="46" t="n">
        <x:f>IF('Controls'!$D$7="Reference",1,IF(OR(AND(D925&gt;=14,D925&lt;=16),AND(D925&gt;=34,D925&lt;=35),AND(D925&gt;=61,D925&lt;=63)),'Paths'!$V$17,1))</x:f>
        <x:v>1</x:v>
      </x:c>
      <x:c r="I925" s="46" t="n">
        <x:f>'Paths'!$W$17</x:f>
        <x:v>0.85</x:v>
      </x:c>
      <x:c r="J925" s="47" t="n">
        <x:f>IF(D925&lt;E925,0,MIN(F925*G925*H925*I925,IF('Paths'!$T$17&gt;0,MAX(0,'Paths'!$T$17-K924),1000000000)))</x:f>
        <x:v>0</x:v>
      </x:c>
      <x:c r="K925" s="47" t="n">
        <x:f>K924+J925</x:f>
        <x:v>0</x:v>
      </x:c>
      <x:c r="L925" s="46" t="n">
        <x:f>IF(C925="P0",1,IF(D925&lt;=3,0.8,IF(D925&lt;=14,0.65,IF(D925&lt;=45,0.5,0.3))))</x:f>
        <x:v>0.65</x:v>
      </x:c>
      <x:c r="M925" s="47" t="n">
        <x:f>J925*L925</x:f>
        <x:v>0</x:v>
      </x:c>
      <x:c r="N925" s="47" t="n">
        <x:f>N924+M925</x:f>
        <x:v>0</x:v>
      </x:c>
      <x:c r="O925" s="46" t="n">
        <x:f>IF(C925="P0",0,IF(D925&lt;=3,0.15,IF(D925&lt;=14,0.25,IF(D925&lt;=45,0.35,0.5))))</x:f>
        <x:v>0.25</x:v>
      </x:c>
      <x:c r="P925" s="47" t="n">
        <x:f>J925*O925</x:f>
        <x:v>0</x:v>
      </x:c>
      <x:c r="Q925" s="46" t="n">
        <x:f>IF(C925="P0",0,IF(D925&lt;=3,0.05,IF(D925&lt;=14,0.1,IF(D925&lt;=45,0.15,0.2))))</x:f>
        <x:v>0.1</x:v>
      </x:c>
      <x:c r="R925" s="47" t="n">
        <x:f>J925*Q925</x:f>
        <x:v>0</x:v>
      </x:c>
      <x:c r="S925" s="20" t="str">
        <x:f>IF(D925&lt;E925,"closed",IF(D925&lt;'Paths'!$N$17,"initial","expanded"))</x:f>
        <x:v>closed</x:v>
      </x:c>
      <x:c r="T925" s="72"/>
    </x:row>
    <x:row r="926">
      <x:c r="C926" s="20" t="str">
        <x:v>P10</x:v>
      </x:c>
      <x:c r="D926" s="20" t="n">
        <x:v>9</x:v>
      </x:c>
      <x:c r="E926" s="45" t="n">
        <x:f>IF('Controls'!$D$7="Reference",'Paths'!$J$17,'Paths'!$K$17)</x:f>
        <x:v>14</x:v>
      </x:c>
      <x:c r="F926" s="47" t="n">
        <x:f>IF(D926&lt;'Paths'!$N$17,IF('Controls'!$D$7="Reference",'Paths'!$L$17,'Paths'!$M$17),IF('Controls'!$D$7="Reference",'Paths'!$O$17,'Paths'!$P$17))</x:f>
        <x:v>16000</x:v>
      </x:c>
      <x:c r="G926" s="46" t="n">
        <x:f>IF('Controls'!$D$7="Reference",1,IF(OR(D926=6,D926=7,D926=21,D926=46),'Paths'!$U$17,1))</x:f>
        <x:v>1</x:v>
      </x:c>
      <x:c r="H926" s="46" t="n">
        <x:f>IF('Controls'!$D$7="Reference",1,IF(OR(AND(D926&gt;=14,D926&lt;=16),AND(D926&gt;=34,D926&lt;=35),AND(D926&gt;=61,D926&lt;=63)),'Paths'!$V$17,1))</x:f>
        <x:v>1</x:v>
      </x:c>
      <x:c r="I926" s="46" t="n">
        <x:f>'Paths'!$W$17</x:f>
        <x:v>0.85</x:v>
      </x:c>
      <x:c r="J926" s="47" t="n">
        <x:f>IF(D926&lt;E926,0,MIN(F926*G926*H926*I926,IF('Paths'!$T$17&gt;0,MAX(0,'Paths'!$T$17-K925),1000000000)))</x:f>
        <x:v>0</x:v>
      </x:c>
      <x:c r="K926" s="47" t="n">
        <x:f>K925+J926</x:f>
        <x:v>0</x:v>
      </x:c>
      <x:c r="L926" s="46" t="n">
        <x:f>IF(C926="P0",1,IF(D926&lt;=3,0.8,IF(D926&lt;=14,0.65,IF(D926&lt;=45,0.5,0.3))))</x:f>
        <x:v>0.65</x:v>
      </x:c>
      <x:c r="M926" s="47" t="n">
        <x:f>J926*L926</x:f>
        <x:v>0</x:v>
      </x:c>
      <x:c r="N926" s="47" t="n">
        <x:f>N925+M926</x:f>
        <x:v>0</x:v>
      </x:c>
      <x:c r="O926" s="46" t="n">
        <x:f>IF(C926="P0",0,IF(D926&lt;=3,0.15,IF(D926&lt;=14,0.25,IF(D926&lt;=45,0.35,0.5))))</x:f>
        <x:v>0.25</x:v>
      </x:c>
      <x:c r="P926" s="47" t="n">
        <x:f>J926*O926</x:f>
        <x:v>0</x:v>
      </x:c>
      <x:c r="Q926" s="46" t="n">
        <x:f>IF(C926="P0",0,IF(D926&lt;=3,0.05,IF(D926&lt;=14,0.1,IF(D926&lt;=45,0.15,0.2))))</x:f>
        <x:v>0.1</x:v>
      </x:c>
      <x:c r="R926" s="47" t="n">
        <x:f>J926*Q926</x:f>
        <x:v>0</x:v>
      </x:c>
      <x:c r="S926" s="20" t="str">
        <x:f>IF(D926&lt;E926,"closed",IF(D926&lt;'Paths'!$N$17,"initial","expanded"))</x:f>
        <x:v>closed</x:v>
      </x:c>
      <x:c r="T926" s="72"/>
    </x:row>
    <x:row r="927">
      <x:c r="C927" s="20" t="str">
        <x:v>P10</x:v>
      </x:c>
      <x:c r="D927" s="20" t="n">
        <x:v>10</x:v>
      </x:c>
      <x:c r="E927" s="45" t="n">
        <x:f>IF('Controls'!$D$7="Reference",'Paths'!$J$17,'Paths'!$K$17)</x:f>
        <x:v>14</x:v>
      </x:c>
      <x:c r="F927" s="47" t="n">
        <x:f>IF(D927&lt;'Paths'!$N$17,IF('Controls'!$D$7="Reference",'Paths'!$L$17,'Paths'!$M$17),IF('Controls'!$D$7="Reference",'Paths'!$O$17,'Paths'!$P$17))</x:f>
        <x:v>16000</x:v>
      </x:c>
      <x:c r="G927" s="46" t="n">
        <x:f>IF('Controls'!$D$7="Reference",1,IF(OR(D927=6,D927=7,D927=21,D927=46),'Paths'!$U$17,1))</x:f>
        <x:v>1</x:v>
      </x:c>
      <x:c r="H927" s="46" t="n">
        <x:f>IF('Controls'!$D$7="Reference",1,IF(OR(AND(D927&gt;=14,D927&lt;=16),AND(D927&gt;=34,D927&lt;=35),AND(D927&gt;=61,D927&lt;=63)),'Paths'!$V$17,1))</x:f>
        <x:v>1</x:v>
      </x:c>
      <x:c r="I927" s="46" t="n">
        <x:f>'Paths'!$W$17</x:f>
        <x:v>0.85</x:v>
      </x:c>
      <x:c r="J927" s="47" t="n">
        <x:f>IF(D927&lt;E927,0,MIN(F927*G927*H927*I927,IF('Paths'!$T$17&gt;0,MAX(0,'Paths'!$T$17-K926),1000000000)))</x:f>
        <x:v>0</x:v>
      </x:c>
      <x:c r="K927" s="47" t="n">
        <x:f>K926+J927</x:f>
        <x:v>0</x:v>
      </x:c>
      <x:c r="L927" s="46" t="n">
        <x:f>IF(C927="P0",1,IF(D927&lt;=3,0.8,IF(D927&lt;=14,0.65,IF(D927&lt;=45,0.5,0.3))))</x:f>
        <x:v>0.65</x:v>
      </x:c>
      <x:c r="M927" s="47" t="n">
        <x:f>J927*L927</x:f>
        <x:v>0</x:v>
      </x:c>
      <x:c r="N927" s="47" t="n">
        <x:f>N926+M927</x:f>
        <x:v>0</x:v>
      </x:c>
      <x:c r="O927" s="46" t="n">
        <x:f>IF(C927="P0",0,IF(D927&lt;=3,0.15,IF(D927&lt;=14,0.25,IF(D927&lt;=45,0.35,0.5))))</x:f>
        <x:v>0.25</x:v>
      </x:c>
      <x:c r="P927" s="47" t="n">
        <x:f>J927*O927</x:f>
        <x:v>0</x:v>
      </x:c>
      <x:c r="Q927" s="46" t="n">
        <x:f>IF(C927="P0",0,IF(D927&lt;=3,0.05,IF(D927&lt;=14,0.1,IF(D927&lt;=45,0.15,0.2))))</x:f>
        <x:v>0.1</x:v>
      </x:c>
      <x:c r="R927" s="47" t="n">
        <x:f>J927*Q927</x:f>
        <x:v>0</x:v>
      </x:c>
      <x:c r="S927" s="20" t="str">
        <x:f>IF(D927&lt;E927,"closed",IF(D927&lt;'Paths'!$N$17,"initial","expanded"))</x:f>
        <x:v>closed</x:v>
      </x:c>
      <x:c r="T927" s="72"/>
    </x:row>
    <x:row r="928">
      <x:c r="C928" s="20" t="str">
        <x:v>P10</x:v>
      </x:c>
      <x:c r="D928" s="20" t="n">
        <x:v>11</x:v>
      </x:c>
      <x:c r="E928" s="45" t="n">
        <x:f>IF('Controls'!$D$7="Reference",'Paths'!$J$17,'Paths'!$K$17)</x:f>
        <x:v>14</x:v>
      </x:c>
      <x:c r="F928" s="47" t="n">
        <x:f>IF(D928&lt;'Paths'!$N$17,IF('Controls'!$D$7="Reference",'Paths'!$L$17,'Paths'!$M$17),IF('Controls'!$D$7="Reference",'Paths'!$O$17,'Paths'!$P$17))</x:f>
        <x:v>16000</x:v>
      </x:c>
      <x:c r="G928" s="46" t="n">
        <x:f>IF('Controls'!$D$7="Reference",1,IF(OR(D928=6,D928=7,D928=21,D928=46),'Paths'!$U$17,1))</x:f>
        <x:v>1</x:v>
      </x:c>
      <x:c r="H928" s="46" t="n">
        <x:f>IF('Controls'!$D$7="Reference",1,IF(OR(AND(D928&gt;=14,D928&lt;=16),AND(D928&gt;=34,D928&lt;=35),AND(D928&gt;=61,D928&lt;=63)),'Paths'!$V$17,1))</x:f>
        <x:v>1</x:v>
      </x:c>
      <x:c r="I928" s="46" t="n">
        <x:f>'Paths'!$W$17</x:f>
        <x:v>0.85</x:v>
      </x:c>
      <x:c r="J928" s="47" t="n">
        <x:f>IF(D928&lt;E928,0,MIN(F928*G928*H928*I928,IF('Paths'!$T$17&gt;0,MAX(0,'Paths'!$T$17-K927),1000000000)))</x:f>
        <x:v>0</x:v>
      </x:c>
      <x:c r="K928" s="47" t="n">
        <x:f>K927+J928</x:f>
        <x:v>0</x:v>
      </x:c>
      <x:c r="L928" s="46" t="n">
        <x:f>IF(C928="P0",1,IF(D928&lt;=3,0.8,IF(D928&lt;=14,0.65,IF(D928&lt;=45,0.5,0.3))))</x:f>
        <x:v>0.65</x:v>
      </x:c>
      <x:c r="M928" s="47" t="n">
        <x:f>J928*L928</x:f>
        <x:v>0</x:v>
      </x:c>
      <x:c r="N928" s="47" t="n">
        <x:f>N927+M928</x:f>
        <x:v>0</x:v>
      </x:c>
      <x:c r="O928" s="46" t="n">
        <x:f>IF(C928="P0",0,IF(D928&lt;=3,0.15,IF(D928&lt;=14,0.25,IF(D928&lt;=45,0.35,0.5))))</x:f>
        <x:v>0.25</x:v>
      </x:c>
      <x:c r="P928" s="47" t="n">
        <x:f>J928*O928</x:f>
        <x:v>0</x:v>
      </x:c>
      <x:c r="Q928" s="46" t="n">
        <x:f>IF(C928="P0",0,IF(D928&lt;=3,0.05,IF(D928&lt;=14,0.1,IF(D928&lt;=45,0.15,0.2))))</x:f>
        <x:v>0.1</x:v>
      </x:c>
      <x:c r="R928" s="47" t="n">
        <x:f>J928*Q928</x:f>
        <x:v>0</x:v>
      </x:c>
      <x:c r="S928" s="20" t="str">
        <x:f>IF(D928&lt;E928,"closed",IF(D928&lt;'Paths'!$N$17,"initial","expanded"))</x:f>
        <x:v>closed</x:v>
      </x:c>
      <x:c r="T928" s="72"/>
    </x:row>
    <x:row r="929">
      <x:c r="C929" s="20" t="str">
        <x:v>P10</x:v>
      </x:c>
      <x:c r="D929" s="20" t="n">
        <x:v>12</x:v>
      </x:c>
      <x:c r="E929" s="45" t="n">
        <x:f>IF('Controls'!$D$7="Reference",'Paths'!$J$17,'Paths'!$K$17)</x:f>
        <x:v>14</x:v>
      </x:c>
      <x:c r="F929" s="47" t="n">
        <x:f>IF(D929&lt;'Paths'!$N$17,IF('Controls'!$D$7="Reference",'Paths'!$L$17,'Paths'!$M$17),IF('Controls'!$D$7="Reference",'Paths'!$O$17,'Paths'!$P$17))</x:f>
        <x:v>16000</x:v>
      </x:c>
      <x:c r="G929" s="46" t="n">
        <x:f>IF('Controls'!$D$7="Reference",1,IF(OR(D929=6,D929=7,D929=21,D929=46),'Paths'!$U$17,1))</x:f>
        <x:v>1</x:v>
      </x:c>
      <x:c r="H929" s="46" t="n">
        <x:f>IF('Controls'!$D$7="Reference",1,IF(OR(AND(D929&gt;=14,D929&lt;=16),AND(D929&gt;=34,D929&lt;=35),AND(D929&gt;=61,D929&lt;=63)),'Paths'!$V$17,1))</x:f>
        <x:v>1</x:v>
      </x:c>
      <x:c r="I929" s="46" t="n">
        <x:f>'Paths'!$W$17</x:f>
        <x:v>0.85</x:v>
      </x:c>
      <x:c r="J929" s="47" t="n">
        <x:f>IF(D929&lt;E929,0,MIN(F929*G929*H929*I929,IF('Paths'!$T$17&gt;0,MAX(0,'Paths'!$T$17-K928),1000000000)))</x:f>
        <x:v>0</x:v>
      </x:c>
      <x:c r="K929" s="47" t="n">
        <x:f>K928+J929</x:f>
        <x:v>0</x:v>
      </x:c>
      <x:c r="L929" s="46" t="n">
        <x:f>IF(C929="P0",1,IF(D929&lt;=3,0.8,IF(D929&lt;=14,0.65,IF(D929&lt;=45,0.5,0.3))))</x:f>
        <x:v>0.65</x:v>
      </x:c>
      <x:c r="M929" s="47" t="n">
        <x:f>J929*L929</x:f>
        <x:v>0</x:v>
      </x:c>
      <x:c r="N929" s="47" t="n">
        <x:f>N928+M929</x:f>
        <x:v>0</x:v>
      </x:c>
      <x:c r="O929" s="46" t="n">
        <x:f>IF(C929="P0",0,IF(D929&lt;=3,0.15,IF(D929&lt;=14,0.25,IF(D929&lt;=45,0.35,0.5))))</x:f>
        <x:v>0.25</x:v>
      </x:c>
      <x:c r="P929" s="47" t="n">
        <x:f>J929*O929</x:f>
        <x:v>0</x:v>
      </x:c>
      <x:c r="Q929" s="46" t="n">
        <x:f>IF(C929="P0",0,IF(D929&lt;=3,0.05,IF(D929&lt;=14,0.1,IF(D929&lt;=45,0.15,0.2))))</x:f>
        <x:v>0.1</x:v>
      </x:c>
      <x:c r="R929" s="47" t="n">
        <x:f>J929*Q929</x:f>
        <x:v>0</x:v>
      </x:c>
      <x:c r="S929" s="20" t="str">
        <x:f>IF(D929&lt;E929,"closed",IF(D929&lt;'Paths'!$N$17,"initial","expanded"))</x:f>
        <x:v>closed</x:v>
      </x:c>
      <x:c r="T929" s="72"/>
    </x:row>
    <x:row r="930">
      <x:c r="C930" s="20" t="str">
        <x:v>P10</x:v>
      </x:c>
      <x:c r="D930" s="20" t="n">
        <x:v>13</x:v>
      </x:c>
      <x:c r="E930" s="45" t="n">
        <x:f>IF('Controls'!$D$7="Reference",'Paths'!$J$17,'Paths'!$K$17)</x:f>
        <x:v>14</x:v>
      </x:c>
      <x:c r="F930" s="47" t="n">
        <x:f>IF(D930&lt;'Paths'!$N$17,IF('Controls'!$D$7="Reference",'Paths'!$L$17,'Paths'!$M$17),IF('Controls'!$D$7="Reference",'Paths'!$O$17,'Paths'!$P$17))</x:f>
        <x:v>16000</x:v>
      </x:c>
      <x:c r="G930" s="46" t="n">
        <x:f>IF('Controls'!$D$7="Reference",1,IF(OR(D930=6,D930=7,D930=21,D930=46),'Paths'!$U$17,1))</x:f>
        <x:v>1</x:v>
      </x:c>
      <x:c r="H930" s="46" t="n">
        <x:f>IF('Controls'!$D$7="Reference",1,IF(OR(AND(D930&gt;=14,D930&lt;=16),AND(D930&gt;=34,D930&lt;=35),AND(D930&gt;=61,D930&lt;=63)),'Paths'!$V$17,1))</x:f>
        <x:v>1</x:v>
      </x:c>
      <x:c r="I930" s="46" t="n">
        <x:f>'Paths'!$W$17</x:f>
        <x:v>0.85</x:v>
      </x:c>
      <x:c r="J930" s="47" t="n">
        <x:f>IF(D930&lt;E930,0,MIN(F930*G930*H930*I930,IF('Paths'!$T$17&gt;0,MAX(0,'Paths'!$T$17-K929),1000000000)))</x:f>
        <x:v>0</x:v>
      </x:c>
      <x:c r="K930" s="47" t="n">
        <x:f>K929+J930</x:f>
        <x:v>0</x:v>
      </x:c>
      <x:c r="L930" s="46" t="n">
        <x:f>IF(C930="P0",1,IF(D930&lt;=3,0.8,IF(D930&lt;=14,0.65,IF(D930&lt;=45,0.5,0.3))))</x:f>
        <x:v>0.65</x:v>
      </x:c>
      <x:c r="M930" s="47" t="n">
        <x:f>J930*L930</x:f>
        <x:v>0</x:v>
      </x:c>
      <x:c r="N930" s="47" t="n">
        <x:f>N929+M930</x:f>
        <x:v>0</x:v>
      </x:c>
      <x:c r="O930" s="46" t="n">
        <x:f>IF(C930="P0",0,IF(D930&lt;=3,0.15,IF(D930&lt;=14,0.25,IF(D930&lt;=45,0.35,0.5))))</x:f>
        <x:v>0.25</x:v>
      </x:c>
      <x:c r="P930" s="47" t="n">
        <x:f>J930*O930</x:f>
        <x:v>0</x:v>
      </x:c>
      <x:c r="Q930" s="46" t="n">
        <x:f>IF(C930="P0",0,IF(D930&lt;=3,0.05,IF(D930&lt;=14,0.1,IF(D930&lt;=45,0.15,0.2))))</x:f>
        <x:v>0.1</x:v>
      </x:c>
      <x:c r="R930" s="47" t="n">
        <x:f>J930*Q930</x:f>
        <x:v>0</x:v>
      </x:c>
      <x:c r="S930" s="20" t="str">
        <x:f>IF(D930&lt;E930,"closed",IF(D930&lt;'Paths'!$N$17,"initial","expanded"))</x:f>
        <x:v>closed</x:v>
      </x:c>
      <x:c r="T930" s="72"/>
    </x:row>
    <x:row r="931">
      <x:c r="C931" s="20" t="str">
        <x:v>P10</x:v>
      </x:c>
      <x:c r="D931" s="20" t="n">
        <x:v>14</x:v>
      </x:c>
      <x:c r="E931" s="45" t="n">
        <x:f>IF('Controls'!$D$7="Reference",'Paths'!$J$17,'Paths'!$K$17)</x:f>
        <x:v>14</x:v>
      </x:c>
      <x:c r="F931" s="47" t="n">
        <x:f>IF(D931&lt;'Paths'!$N$17,IF('Controls'!$D$7="Reference",'Paths'!$L$17,'Paths'!$M$17),IF('Controls'!$D$7="Reference",'Paths'!$O$17,'Paths'!$P$17))</x:f>
        <x:v>16000</x:v>
      </x:c>
      <x:c r="G931" s="46" t="n">
        <x:f>IF('Controls'!$D$7="Reference",1,IF(OR(D931=6,D931=7,D931=21,D931=46),'Paths'!$U$17,1))</x:f>
        <x:v>1</x:v>
      </x:c>
      <x:c r="H931" s="46" t="n">
        <x:f>IF('Controls'!$D$7="Reference",1,IF(OR(AND(D931&gt;=14,D931&lt;=16),AND(D931&gt;=34,D931&lt;=35),AND(D931&gt;=61,D931&lt;=63)),'Paths'!$V$17,1))</x:f>
        <x:v>0.4</x:v>
      </x:c>
      <x:c r="I931" s="46" t="n">
        <x:f>'Paths'!$W$17</x:f>
        <x:v>0.85</x:v>
      </x:c>
      <x:c r="J931" s="47" t="n">
        <x:f>IF(D931&lt;E931,0,MIN(F931*G931*H931*I931,IF('Paths'!$T$17&gt;0,MAX(0,'Paths'!$T$17-K930),1000000000)))</x:f>
        <x:v>5440</x:v>
      </x:c>
      <x:c r="K931" s="47" t="n">
        <x:f>K930+J931</x:f>
        <x:v>5440</x:v>
      </x:c>
      <x:c r="L931" s="46" t="n">
        <x:f>IF(C931="P0",1,IF(D931&lt;=3,0.8,IF(D931&lt;=14,0.65,IF(D931&lt;=45,0.5,0.3))))</x:f>
        <x:v>0.65</x:v>
      </x:c>
      <x:c r="M931" s="47" t="n">
        <x:f>J931*L931</x:f>
        <x:v>3536</x:v>
      </x:c>
      <x:c r="N931" s="47" t="n">
        <x:f>N930+M931</x:f>
        <x:v>3536</x:v>
      </x:c>
      <x:c r="O931" s="46" t="n">
        <x:f>IF(C931="P0",0,IF(D931&lt;=3,0.15,IF(D931&lt;=14,0.25,IF(D931&lt;=45,0.35,0.5))))</x:f>
        <x:v>0.25</x:v>
      </x:c>
      <x:c r="P931" s="47" t="n">
        <x:f>J931*O931</x:f>
        <x:v>1360</x:v>
      </x:c>
      <x:c r="Q931" s="46" t="n">
        <x:f>IF(C931="P0",0,IF(D931&lt;=3,0.05,IF(D931&lt;=14,0.1,IF(D931&lt;=45,0.15,0.2))))</x:f>
        <x:v>0.1</x:v>
      </x:c>
      <x:c r="R931" s="47" t="n">
        <x:f>J931*Q931</x:f>
        <x:v>544</x:v>
      </x:c>
      <x:c r="S931" s="20" t="str">
        <x:f>IF(D931&lt;E931,"closed",IF(D931&lt;'Paths'!$N$17,"initial","expanded"))</x:f>
        <x:v>initial</x:v>
      </x:c>
      <x:c r="T931" s="72"/>
    </x:row>
    <x:row r="932">
      <x:c r="C932" s="20" t="str">
        <x:v>P10</x:v>
      </x:c>
      <x:c r="D932" s="20" t="n">
        <x:v>15</x:v>
      </x:c>
      <x:c r="E932" s="45" t="n">
        <x:f>IF('Controls'!$D$7="Reference",'Paths'!$J$17,'Paths'!$K$17)</x:f>
        <x:v>14</x:v>
      </x:c>
      <x:c r="F932" s="47" t="n">
        <x:f>IF(D932&lt;'Paths'!$N$17,IF('Controls'!$D$7="Reference",'Paths'!$L$17,'Paths'!$M$17),IF('Controls'!$D$7="Reference",'Paths'!$O$17,'Paths'!$P$17))</x:f>
        <x:v>16000</x:v>
      </x:c>
      <x:c r="G932" s="46" t="n">
        <x:f>IF('Controls'!$D$7="Reference",1,IF(OR(D932=6,D932=7,D932=21,D932=46),'Paths'!$U$17,1))</x:f>
        <x:v>1</x:v>
      </x:c>
      <x:c r="H932" s="46" t="n">
        <x:f>IF('Controls'!$D$7="Reference",1,IF(OR(AND(D932&gt;=14,D932&lt;=16),AND(D932&gt;=34,D932&lt;=35),AND(D932&gt;=61,D932&lt;=63)),'Paths'!$V$17,1))</x:f>
        <x:v>0.4</x:v>
      </x:c>
      <x:c r="I932" s="46" t="n">
        <x:f>'Paths'!$W$17</x:f>
        <x:v>0.85</x:v>
      </x:c>
      <x:c r="J932" s="47" t="n">
        <x:f>IF(D932&lt;E932,0,MIN(F932*G932*H932*I932,IF('Paths'!$T$17&gt;0,MAX(0,'Paths'!$T$17-K931),1000000000)))</x:f>
        <x:v>5440</x:v>
      </x:c>
      <x:c r="K932" s="47" t="n">
        <x:f>K931+J932</x:f>
        <x:v>10880</x:v>
      </x:c>
      <x:c r="L932" s="46" t="n">
        <x:f>IF(C932="P0",1,IF(D932&lt;=3,0.8,IF(D932&lt;=14,0.65,IF(D932&lt;=45,0.5,0.3))))</x:f>
        <x:v>0.5</x:v>
      </x:c>
      <x:c r="M932" s="47" t="n">
        <x:f>J932*L932</x:f>
        <x:v>2720</x:v>
      </x:c>
      <x:c r="N932" s="47" t="n">
        <x:f>N931+M932</x:f>
        <x:v>6256</x:v>
      </x:c>
      <x:c r="O932" s="46" t="n">
        <x:f>IF(C932="P0",0,IF(D932&lt;=3,0.15,IF(D932&lt;=14,0.25,IF(D932&lt;=45,0.35,0.5))))</x:f>
        <x:v>0.35</x:v>
      </x:c>
      <x:c r="P932" s="47" t="n">
        <x:f>J932*O932</x:f>
        <x:v>1903.9999999999998</x:v>
      </x:c>
      <x:c r="Q932" s="46" t="n">
        <x:f>IF(C932="P0",0,IF(D932&lt;=3,0.05,IF(D932&lt;=14,0.1,IF(D932&lt;=45,0.15,0.2))))</x:f>
        <x:v>0.15</x:v>
      </x:c>
      <x:c r="R932" s="47" t="n">
        <x:f>J932*Q932</x:f>
        <x:v>816</x:v>
      </x:c>
      <x:c r="S932" s="20" t="str">
        <x:f>IF(D932&lt;E932,"closed",IF(D932&lt;'Paths'!$N$17,"initial","expanded"))</x:f>
        <x:v>initial</x:v>
      </x:c>
      <x:c r="T932" s="72"/>
    </x:row>
    <x:row r="933">
      <x:c r="C933" s="20" t="str">
        <x:v>P10</x:v>
      </x:c>
      <x:c r="D933" s="20" t="n">
        <x:v>16</x:v>
      </x:c>
      <x:c r="E933" s="45" t="n">
        <x:f>IF('Controls'!$D$7="Reference",'Paths'!$J$17,'Paths'!$K$17)</x:f>
        <x:v>14</x:v>
      </x:c>
      <x:c r="F933" s="47" t="n">
        <x:f>IF(D933&lt;'Paths'!$N$17,IF('Controls'!$D$7="Reference",'Paths'!$L$17,'Paths'!$M$17),IF('Controls'!$D$7="Reference",'Paths'!$O$17,'Paths'!$P$17))</x:f>
        <x:v>16000</x:v>
      </x:c>
      <x:c r="G933" s="46" t="n">
        <x:f>IF('Controls'!$D$7="Reference",1,IF(OR(D933=6,D933=7,D933=21,D933=46),'Paths'!$U$17,1))</x:f>
        <x:v>1</x:v>
      </x:c>
      <x:c r="H933" s="46" t="n">
        <x:f>IF('Controls'!$D$7="Reference",1,IF(OR(AND(D933&gt;=14,D933&lt;=16),AND(D933&gt;=34,D933&lt;=35),AND(D933&gt;=61,D933&lt;=63)),'Paths'!$V$17,1))</x:f>
        <x:v>0.4</x:v>
      </x:c>
      <x:c r="I933" s="46" t="n">
        <x:f>'Paths'!$W$17</x:f>
        <x:v>0.85</x:v>
      </x:c>
      <x:c r="J933" s="47" t="n">
        <x:f>IF(D933&lt;E933,0,MIN(F933*G933*H933*I933,IF('Paths'!$T$17&gt;0,MAX(0,'Paths'!$T$17-K932),1000000000)))</x:f>
        <x:v>5440</x:v>
      </x:c>
      <x:c r="K933" s="47" t="n">
        <x:f>K932+J933</x:f>
        <x:v>16320</x:v>
      </x:c>
      <x:c r="L933" s="46" t="n">
        <x:f>IF(C933="P0",1,IF(D933&lt;=3,0.8,IF(D933&lt;=14,0.65,IF(D933&lt;=45,0.5,0.3))))</x:f>
        <x:v>0.5</x:v>
      </x:c>
      <x:c r="M933" s="47" t="n">
        <x:f>J933*L933</x:f>
        <x:v>2720</x:v>
      </x:c>
      <x:c r="N933" s="47" t="n">
        <x:f>N932+M933</x:f>
        <x:v>8976</x:v>
      </x:c>
      <x:c r="O933" s="46" t="n">
        <x:f>IF(C933="P0",0,IF(D933&lt;=3,0.15,IF(D933&lt;=14,0.25,IF(D933&lt;=45,0.35,0.5))))</x:f>
        <x:v>0.35</x:v>
      </x:c>
      <x:c r="P933" s="47" t="n">
        <x:f>J933*O933</x:f>
        <x:v>1903.9999999999998</x:v>
      </x:c>
      <x:c r="Q933" s="46" t="n">
        <x:f>IF(C933="P0",0,IF(D933&lt;=3,0.05,IF(D933&lt;=14,0.1,IF(D933&lt;=45,0.15,0.2))))</x:f>
        <x:v>0.15</x:v>
      </x:c>
      <x:c r="R933" s="47" t="n">
        <x:f>J933*Q933</x:f>
        <x:v>816</x:v>
      </x:c>
      <x:c r="S933" s="20" t="str">
        <x:f>IF(D933&lt;E933,"closed",IF(D933&lt;'Paths'!$N$17,"initial","expanded"))</x:f>
        <x:v>initial</x:v>
      </x:c>
      <x:c r="T933" s="72"/>
    </x:row>
    <x:row r="934">
      <x:c r="C934" s="20" t="str">
        <x:v>P10</x:v>
      </x:c>
      <x:c r="D934" s="20" t="n">
        <x:v>17</x:v>
      </x:c>
      <x:c r="E934" s="45" t="n">
        <x:f>IF('Controls'!$D$7="Reference",'Paths'!$J$17,'Paths'!$K$17)</x:f>
        <x:v>14</x:v>
      </x:c>
      <x:c r="F934" s="47" t="n">
        <x:f>IF(D934&lt;'Paths'!$N$17,IF('Controls'!$D$7="Reference",'Paths'!$L$17,'Paths'!$M$17),IF('Controls'!$D$7="Reference",'Paths'!$O$17,'Paths'!$P$17))</x:f>
        <x:v>16000</x:v>
      </x:c>
      <x:c r="G934" s="46" t="n">
        <x:f>IF('Controls'!$D$7="Reference",1,IF(OR(D934=6,D934=7,D934=21,D934=46),'Paths'!$U$17,1))</x:f>
        <x:v>1</x:v>
      </x:c>
      <x:c r="H934" s="46" t="n">
        <x:f>IF('Controls'!$D$7="Reference",1,IF(OR(AND(D934&gt;=14,D934&lt;=16),AND(D934&gt;=34,D934&lt;=35),AND(D934&gt;=61,D934&lt;=63)),'Paths'!$V$17,1))</x:f>
        <x:v>1</x:v>
      </x:c>
      <x:c r="I934" s="46" t="n">
        <x:f>'Paths'!$W$17</x:f>
        <x:v>0.85</x:v>
      </x:c>
      <x:c r="J934" s="47" t="n">
        <x:f>IF(D934&lt;E934,0,MIN(F934*G934*H934*I934,IF('Paths'!$T$17&gt;0,MAX(0,'Paths'!$T$17-K933),1000000000)))</x:f>
        <x:v>13600</x:v>
      </x:c>
      <x:c r="K934" s="47" t="n">
        <x:f>K933+J934</x:f>
        <x:v>29920</x:v>
      </x:c>
      <x:c r="L934" s="46" t="n">
        <x:f>IF(C934="P0",1,IF(D934&lt;=3,0.8,IF(D934&lt;=14,0.65,IF(D934&lt;=45,0.5,0.3))))</x:f>
        <x:v>0.5</x:v>
      </x:c>
      <x:c r="M934" s="47" t="n">
        <x:f>J934*L934</x:f>
        <x:v>6800</x:v>
      </x:c>
      <x:c r="N934" s="47" t="n">
        <x:f>N933+M934</x:f>
        <x:v>15776</x:v>
      </x:c>
      <x:c r="O934" s="46" t="n">
        <x:f>IF(C934="P0",0,IF(D934&lt;=3,0.15,IF(D934&lt;=14,0.25,IF(D934&lt;=45,0.35,0.5))))</x:f>
        <x:v>0.35</x:v>
      </x:c>
      <x:c r="P934" s="47" t="n">
        <x:f>J934*O934</x:f>
        <x:v>4760</x:v>
      </x:c>
      <x:c r="Q934" s="46" t="n">
        <x:f>IF(C934="P0",0,IF(D934&lt;=3,0.05,IF(D934&lt;=14,0.1,IF(D934&lt;=45,0.15,0.2))))</x:f>
        <x:v>0.15</x:v>
      </x:c>
      <x:c r="R934" s="47" t="n">
        <x:f>J934*Q934</x:f>
        <x:v>2040</x:v>
      </x:c>
      <x:c r="S934" s="20" t="str">
        <x:f>IF(D934&lt;E934,"closed",IF(D934&lt;'Paths'!$N$17,"initial","expanded"))</x:f>
        <x:v>initial</x:v>
      </x:c>
      <x:c r="T934" s="72"/>
    </x:row>
    <x:row r="935">
      <x:c r="C935" s="20" t="str">
        <x:v>P10</x:v>
      </x:c>
      <x:c r="D935" s="20" t="n">
        <x:v>18</x:v>
      </x:c>
      <x:c r="E935" s="45" t="n">
        <x:f>IF('Controls'!$D$7="Reference",'Paths'!$J$17,'Paths'!$K$17)</x:f>
        <x:v>14</x:v>
      </x:c>
      <x:c r="F935" s="47" t="n">
        <x:f>IF(D935&lt;'Paths'!$N$17,IF('Controls'!$D$7="Reference",'Paths'!$L$17,'Paths'!$M$17),IF('Controls'!$D$7="Reference",'Paths'!$O$17,'Paths'!$P$17))</x:f>
        <x:v>16000</x:v>
      </x:c>
      <x:c r="G935" s="46" t="n">
        <x:f>IF('Controls'!$D$7="Reference",1,IF(OR(D935=6,D935=7,D935=21,D935=46),'Paths'!$U$17,1))</x:f>
        <x:v>1</x:v>
      </x:c>
      <x:c r="H935" s="46" t="n">
        <x:f>IF('Controls'!$D$7="Reference",1,IF(OR(AND(D935&gt;=14,D935&lt;=16),AND(D935&gt;=34,D935&lt;=35),AND(D935&gt;=61,D935&lt;=63)),'Paths'!$V$17,1))</x:f>
        <x:v>1</x:v>
      </x:c>
      <x:c r="I935" s="46" t="n">
        <x:f>'Paths'!$W$17</x:f>
        <x:v>0.85</x:v>
      </x:c>
      <x:c r="J935" s="47" t="n">
        <x:f>IF(D935&lt;E935,0,MIN(F935*G935*H935*I935,IF('Paths'!$T$17&gt;0,MAX(0,'Paths'!$T$17-K934),1000000000)))</x:f>
        <x:v>13600</x:v>
      </x:c>
      <x:c r="K935" s="47" t="n">
        <x:f>K934+J935</x:f>
        <x:v>43520</x:v>
      </x:c>
      <x:c r="L935" s="46" t="n">
        <x:f>IF(C935="P0",1,IF(D935&lt;=3,0.8,IF(D935&lt;=14,0.65,IF(D935&lt;=45,0.5,0.3))))</x:f>
        <x:v>0.5</x:v>
      </x:c>
      <x:c r="M935" s="47" t="n">
        <x:f>J935*L935</x:f>
        <x:v>6800</x:v>
      </x:c>
      <x:c r="N935" s="47" t="n">
        <x:f>N934+M935</x:f>
        <x:v>22576</x:v>
      </x:c>
      <x:c r="O935" s="46" t="n">
        <x:f>IF(C935="P0",0,IF(D935&lt;=3,0.15,IF(D935&lt;=14,0.25,IF(D935&lt;=45,0.35,0.5))))</x:f>
        <x:v>0.35</x:v>
      </x:c>
      <x:c r="P935" s="47" t="n">
        <x:f>J935*O935</x:f>
        <x:v>4760</x:v>
      </x:c>
      <x:c r="Q935" s="46" t="n">
        <x:f>IF(C935="P0",0,IF(D935&lt;=3,0.05,IF(D935&lt;=14,0.1,IF(D935&lt;=45,0.15,0.2))))</x:f>
        <x:v>0.15</x:v>
      </x:c>
      <x:c r="R935" s="47" t="n">
        <x:f>J935*Q935</x:f>
        <x:v>2040</x:v>
      </x:c>
      <x:c r="S935" s="20" t="str">
        <x:f>IF(D935&lt;E935,"closed",IF(D935&lt;'Paths'!$N$17,"initial","expanded"))</x:f>
        <x:v>initial</x:v>
      </x:c>
      <x:c r="T935" s="72"/>
    </x:row>
    <x:row r="936">
      <x:c r="C936" s="20" t="str">
        <x:v>P10</x:v>
      </x:c>
      <x:c r="D936" s="20" t="n">
        <x:v>19</x:v>
      </x:c>
      <x:c r="E936" s="45" t="n">
        <x:f>IF('Controls'!$D$7="Reference",'Paths'!$J$17,'Paths'!$K$17)</x:f>
        <x:v>14</x:v>
      </x:c>
      <x:c r="F936" s="47" t="n">
        <x:f>IF(D936&lt;'Paths'!$N$17,IF('Controls'!$D$7="Reference",'Paths'!$L$17,'Paths'!$M$17),IF('Controls'!$D$7="Reference",'Paths'!$O$17,'Paths'!$P$17))</x:f>
        <x:v>16000</x:v>
      </x:c>
      <x:c r="G936" s="46" t="n">
        <x:f>IF('Controls'!$D$7="Reference",1,IF(OR(D936=6,D936=7,D936=21,D936=46),'Paths'!$U$17,1))</x:f>
        <x:v>1</x:v>
      </x:c>
      <x:c r="H936" s="46" t="n">
        <x:f>IF('Controls'!$D$7="Reference",1,IF(OR(AND(D936&gt;=14,D936&lt;=16),AND(D936&gt;=34,D936&lt;=35),AND(D936&gt;=61,D936&lt;=63)),'Paths'!$V$17,1))</x:f>
        <x:v>1</x:v>
      </x:c>
      <x:c r="I936" s="46" t="n">
        <x:f>'Paths'!$W$17</x:f>
        <x:v>0.85</x:v>
      </x:c>
      <x:c r="J936" s="47" t="n">
        <x:f>IF(D936&lt;E936,0,MIN(F936*G936*H936*I936,IF('Paths'!$T$17&gt;0,MAX(0,'Paths'!$T$17-K935),1000000000)))</x:f>
        <x:v>13600</x:v>
      </x:c>
      <x:c r="K936" s="47" t="n">
        <x:f>K935+J936</x:f>
        <x:v>57120</x:v>
      </x:c>
      <x:c r="L936" s="46" t="n">
        <x:f>IF(C936="P0",1,IF(D936&lt;=3,0.8,IF(D936&lt;=14,0.65,IF(D936&lt;=45,0.5,0.3))))</x:f>
        <x:v>0.5</x:v>
      </x:c>
      <x:c r="M936" s="47" t="n">
        <x:f>J936*L936</x:f>
        <x:v>6800</x:v>
      </x:c>
      <x:c r="N936" s="47" t="n">
        <x:f>N935+M936</x:f>
        <x:v>29376</x:v>
      </x:c>
      <x:c r="O936" s="46" t="n">
        <x:f>IF(C936="P0",0,IF(D936&lt;=3,0.15,IF(D936&lt;=14,0.25,IF(D936&lt;=45,0.35,0.5))))</x:f>
        <x:v>0.35</x:v>
      </x:c>
      <x:c r="P936" s="47" t="n">
        <x:f>J936*O936</x:f>
        <x:v>4760</x:v>
      </x:c>
      <x:c r="Q936" s="46" t="n">
        <x:f>IF(C936="P0",0,IF(D936&lt;=3,0.05,IF(D936&lt;=14,0.1,IF(D936&lt;=45,0.15,0.2))))</x:f>
        <x:v>0.15</x:v>
      </x:c>
      <x:c r="R936" s="47" t="n">
        <x:f>J936*Q936</x:f>
        <x:v>2040</x:v>
      </x:c>
      <x:c r="S936" s="20" t="str">
        <x:f>IF(D936&lt;E936,"closed",IF(D936&lt;'Paths'!$N$17,"initial","expanded"))</x:f>
        <x:v>initial</x:v>
      </x:c>
      <x:c r="T936" s="72"/>
    </x:row>
    <x:row r="937">
      <x:c r="C937" s="20" t="str">
        <x:v>P10</x:v>
      </x:c>
      <x:c r="D937" s="20" t="n">
        <x:v>20</x:v>
      </x:c>
      <x:c r="E937" s="45" t="n">
        <x:f>IF('Controls'!$D$7="Reference",'Paths'!$J$17,'Paths'!$K$17)</x:f>
        <x:v>14</x:v>
      </x:c>
      <x:c r="F937" s="47" t="n">
        <x:f>IF(D937&lt;'Paths'!$N$17,IF('Controls'!$D$7="Reference",'Paths'!$L$17,'Paths'!$M$17),IF('Controls'!$D$7="Reference",'Paths'!$O$17,'Paths'!$P$17))</x:f>
        <x:v>16000</x:v>
      </x:c>
      <x:c r="G937" s="46" t="n">
        <x:f>IF('Controls'!$D$7="Reference",1,IF(OR(D937=6,D937=7,D937=21,D937=46),'Paths'!$U$17,1))</x:f>
        <x:v>1</x:v>
      </x:c>
      <x:c r="H937" s="46" t="n">
        <x:f>IF('Controls'!$D$7="Reference",1,IF(OR(AND(D937&gt;=14,D937&lt;=16),AND(D937&gt;=34,D937&lt;=35),AND(D937&gt;=61,D937&lt;=63)),'Paths'!$V$17,1))</x:f>
        <x:v>1</x:v>
      </x:c>
      <x:c r="I937" s="46" t="n">
        <x:f>'Paths'!$W$17</x:f>
        <x:v>0.85</x:v>
      </x:c>
      <x:c r="J937" s="47" t="n">
        <x:f>IF(D937&lt;E937,0,MIN(F937*G937*H937*I937,IF('Paths'!$T$17&gt;0,MAX(0,'Paths'!$T$17-K936),1000000000)))</x:f>
        <x:v>13600</x:v>
      </x:c>
      <x:c r="K937" s="47" t="n">
        <x:f>K936+J937</x:f>
        <x:v>70720</x:v>
      </x:c>
      <x:c r="L937" s="46" t="n">
        <x:f>IF(C937="P0",1,IF(D937&lt;=3,0.8,IF(D937&lt;=14,0.65,IF(D937&lt;=45,0.5,0.3))))</x:f>
        <x:v>0.5</x:v>
      </x:c>
      <x:c r="M937" s="47" t="n">
        <x:f>J937*L937</x:f>
        <x:v>6800</x:v>
      </x:c>
      <x:c r="N937" s="47" t="n">
        <x:f>N936+M937</x:f>
        <x:v>36176</x:v>
      </x:c>
      <x:c r="O937" s="46" t="n">
        <x:f>IF(C937="P0",0,IF(D937&lt;=3,0.15,IF(D937&lt;=14,0.25,IF(D937&lt;=45,0.35,0.5))))</x:f>
        <x:v>0.35</x:v>
      </x:c>
      <x:c r="P937" s="47" t="n">
        <x:f>J937*O937</x:f>
        <x:v>4760</x:v>
      </x:c>
      <x:c r="Q937" s="46" t="n">
        <x:f>IF(C937="P0",0,IF(D937&lt;=3,0.05,IF(D937&lt;=14,0.1,IF(D937&lt;=45,0.15,0.2))))</x:f>
        <x:v>0.15</x:v>
      </x:c>
      <x:c r="R937" s="47" t="n">
        <x:f>J937*Q937</x:f>
        <x:v>2040</x:v>
      </x:c>
      <x:c r="S937" s="20" t="str">
        <x:f>IF(D937&lt;E937,"closed",IF(D937&lt;'Paths'!$N$17,"initial","expanded"))</x:f>
        <x:v>initial</x:v>
      </x:c>
      <x:c r="T937" s="72"/>
    </x:row>
    <x:row r="938">
      <x:c r="C938" s="20" t="str">
        <x:v>P10</x:v>
      </x:c>
      <x:c r="D938" s="20" t="n">
        <x:v>21</x:v>
      </x:c>
      <x:c r="E938" s="45" t="n">
        <x:f>IF('Controls'!$D$7="Reference",'Paths'!$J$17,'Paths'!$K$17)</x:f>
        <x:v>14</x:v>
      </x:c>
      <x:c r="F938" s="47" t="n">
        <x:f>IF(D938&lt;'Paths'!$N$17,IF('Controls'!$D$7="Reference",'Paths'!$L$17,'Paths'!$M$17),IF('Controls'!$D$7="Reference",'Paths'!$O$17,'Paths'!$P$17))</x:f>
        <x:v>16000</x:v>
      </x:c>
      <x:c r="G938" s="46" t="n">
        <x:f>IF('Controls'!$D$7="Reference",1,IF(OR(D938=6,D938=7,D938=21,D938=46),'Paths'!$U$17,1))</x:f>
        <x:v>0.3</x:v>
      </x:c>
      <x:c r="H938" s="46" t="n">
        <x:f>IF('Controls'!$D$7="Reference",1,IF(OR(AND(D938&gt;=14,D938&lt;=16),AND(D938&gt;=34,D938&lt;=35),AND(D938&gt;=61,D938&lt;=63)),'Paths'!$V$17,1))</x:f>
        <x:v>1</x:v>
      </x:c>
      <x:c r="I938" s="46" t="n">
        <x:f>'Paths'!$W$17</x:f>
        <x:v>0.85</x:v>
      </x:c>
      <x:c r="J938" s="47" t="n">
        <x:f>IF(D938&lt;E938,0,MIN(F938*G938*H938*I938,IF('Paths'!$T$17&gt;0,MAX(0,'Paths'!$T$17-K937),1000000000)))</x:f>
        <x:v>4080</x:v>
      </x:c>
      <x:c r="K938" s="47" t="n">
        <x:f>K937+J938</x:f>
        <x:v>74800</x:v>
      </x:c>
      <x:c r="L938" s="46" t="n">
        <x:f>IF(C938="P0",1,IF(D938&lt;=3,0.8,IF(D938&lt;=14,0.65,IF(D938&lt;=45,0.5,0.3))))</x:f>
        <x:v>0.5</x:v>
      </x:c>
      <x:c r="M938" s="47" t="n">
        <x:f>J938*L938</x:f>
        <x:v>2040</x:v>
      </x:c>
      <x:c r="N938" s="47" t="n">
        <x:f>N937+M938</x:f>
        <x:v>38216</x:v>
      </x:c>
      <x:c r="O938" s="46" t="n">
        <x:f>IF(C938="P0",0,IF(D938&lt;=3,0.15,IF(D938&lt;=14,0.25,IF(D938&lt;=45,0.35,0.5))))</x:f>
        <x:v>0.35</x:v>
      </x:c>
      <x:c r="P938" s="47" t="n">
        <x:f>J938*O938</x:f>
        <x:v>1428</x:v>
      </x:c>
      <x:c r="Q938" s="46" t="n">
        <x:f>IF(C938="P0",0,IF(D938&lt;=3,0.05,IF(D938&lt;=14,0.1,IF(D938&lt;=45,0.15,0.2))))</x:f>
        <x:v>0.15</x:v>
      </x:c>
      <x:c r="R938" s="47" t="n">
        <x:f>J938*Q938</x:f>
        <x:v>612</x:v>
      </x:c>
      <x:c r="S938" s="20" t="str">
        <x:f>IF(D938&lt;E938,"closed",IF(D938&lt;'Paths'!$N$17,"initial","expanded"))</x:f>
        <x:v>initial</x:v>
      </x:c>
      <x:c r="T938" s="72"/>
    </x:row>
    <x:row r="939">
      <x:c r="C939" s="20" t="str">
        <x:v>P10</x:v>
      </x:c>
      <x:c r="D939" s="20" t="n">
        <x:v>22</x:v>
      </x:c>
      <x:c r="E939" s="45" t="n">
        <x:f>IF('Controls'!$D$7="Reference",'Paths'!$J$17,'Paths'!$K$17)</x:f>
        <x:v>14</x:v>
      </x:c>
      <x:c r="F939" s="47" t="n">
        <x:f>IF(D939&lt;'Paths'!$N$17,IF('Controls'!$D$7="Reference",'Paths'!$L$17,'Paths'!$M$17),IF('Controls'!$D$7="Reference",'Paths'!$O$17,'Paths'!$P$17))</x:f>
        <x:v>16000</x:v>
      </x:c>
      <x:c r="G939" s="46" t="n">
        <x:f>IF('Controls'!$D$7="Reference",1,IF(OR(D939=6,D939=7,D939=21,D939=46),'Paths'!$U$17,1))</x:f>
        <x:v>1</x:v>
      </x:c>
      <x:c r="H939" s="46" t="n">
        <x:f>IF('Controls'!$D$7="Reference",1,IF(OR(AND(D939&gt;=14,D939&lt;=16),AND(D939&gt;=34,D939&lt;=35),AND(D939&gt;=61,D939&lt;=63)),'Paths'!$V$17,1))</x:f>
        <x:v>1</x:v>
      </x:c>
      <x:c r="I939" s="46" t="n">
        <x:f>'Paths'!$W$17</x:f>
        <x:v>0.85</x:v>
      </x:c>
      <x:c r="J939" s="47" t="n">
        <x:f>IF(D939&lt;E939,0,MIN(F939*G939*H939*I939,IF('Paths'!$T$17&gt;0,MAX(0,'Paths'!$T$17-K938),1000000000)))</x:f>
        <x:v>13600</x:v>
      </x:c>
      <x:c r="K939" s="47" t="n">
        <x:f>K938+J939</x:f>
        <x:v>88400</x:v>
      </x:c>
      <x:c r="L939" s="46" t="n">
        <x:f>IF(C939="P0",1,IF(D939&lt;=3,0.8,IF(D939&lt;=14,0.65,IF(D939&lt;=45,0.5,0.3))))</x:f>
        <x:v>0.5</x:v>
      </x:c>
      <x:c r="M939" s="47" t="n">
        <x:f>J939*L939</x:f>
        <x:v>6800</x:v>
      </x:c>
      <x:c r="N939" s="47" t="n">
        <x:f>N938+M939</x:f>
        <x:v>45016</x:v>
      </x:c>
      <x:c r="O939" s="46" t="n">
        <x:f>IF(C939="P0",0,IF(D939&lt;=3,0.15,IF(D939&lt;=14,0.25,IF(D939&lt;=45,0.35,0.5))))</x:f>
        <x:v>0.35</x:v>
      </x:c>
      <x:c r="P939" s="47" t="n">
        <x:f>J939*O939</x:f>
        <x:v>4760</x:v>
      </x:c>
      <x:c r="Q939" s="46" t="n">
        <x:f>IF(C939="P0",0,IF(D939&lt;=3,0.05,IF(D939&lt;=14,0.1,IF(D939&lt;=45,0.15,0.2))))</x:f>
        <x:v>0.15</x:v>
      </x:c>
      <x:c r="R939" s="47" t="n">
        <x:f>J939*Q939</x:f>
        <x:v>2040</x:v>
      </x:c>
      <x:c r="S939" s="20" t="str">
        <x:f>IF(D939&lt;E939,"closed",IF(D939&lt;'Paths'!$N$17,"initial","expanded"))</x:f>
        <x:v>initial</x:v>
      </x:c>
      <x:c r="T939" s="72"/>
    </x:row>
    <x:row r="940">
      <x:c r="C940" s="20" t="str">
        <x:v>P10</x:v>
      </x:c>
      <x:c r="D940" s="20" t="n">
        <x:v>23</x:v>
      </x:c>
      <x:c r="E940" s="45" t="n">
        <x:f>IF('Controls'!$D$7="Reference",'Paths'!$J$17,'Paths'!$K$17)</x:f>
        <x:v>14</x:v>
      </x:c>
      <x:c r="F940" s="47" t="n">
        <x:f>IF(D940&lt;'Paths'!$N$17,IF('Controls'!$D$7="Reference",'Paths'!$L$17,'Paths'!$M$17),IF('Controls'!$D$7="Reference",'Paths'!$O$17,'Paths'!$P$17))</x:f>
        <x:v>16000</x:v>
      </x:c>
      <x:c r="G940" s="46" t="n">
        <x:f>IF('Controls'!$D$7="Reference",1,IF(OR(D940=6,D940=7,D940=21,D940=46),'Paths'!$U$17,1))</x:f>
        <x:v>1</x:v>
      </x:c>
      <x:c r="H940" s="46" t="n">
        <x:f>IF('Controls'!$D$7="Reference",1,IF(OR(AND(D940&gt;=14,D940&lt;=16),AND(D940&gt;=34,D940&lt;=35),AND(D940&gt;=61,D940&lt;=63)),'Paths'!$V$17,1))</x:f>
        <x:v>1</x:v>
      </x:c>
      <x:c r="I940" s="46" t="n">
        <x:f>'Paths'!$W$17</x:f>
        <x:v>0.85</x:v>
      </x:c>
      <x:c r="J940" s="47" t="n">
        <x:f>IF(D940&lt;E940,0,MIN(F940*G940*H940*I940,IF('Paths'!$T$17&gt;0,MAX(0,'Paths'!$T$17-K939),1000000000)))</x:f>
        <x:v>13600</x:v>
      </x:c>
      <x:c r="K940" s="47" t="n">
        <x:f>K939+J940</x:f>
        <x:v>102000</x:v>
      </x:c>
      <x:c r="L940" s="46" t="n">
        <x:f>IF(C940="P0",1,IF(D940&lt;=3,0.8,IF(D940&lt;=14,0.65,IF(D940&lt;=45,0.5,0.3))))</x:f>
        <x:v>0.5</x:v>
      </x:c>
      <x:c r="M940" s="47" t="n">
        <x:f>J940*L940</x:f>
        <x:v>6800</x:v>
      </x:c>
      <x:c r="N940" s="47" t="n">
        <x:f>N939+M940</x:f>
        <x:v>51816</x:v>
      </x:c>
      <x:c r="O940" s="46" t="n">
        <x:f>IF(C940="P0",0,IF(D940&lt;=3,0.15,IF(D940&lt;=14,0.25,IF(D940&lt;=45,0.35,0.5))))</x:f>
        <x:v>0.35</x:v>
      </x:c>
      <x:c r="P940" s="47" t="n">
        <x:f>J940*O940</x:f>
        <x:v>4760</x:v>
      </x:c>
      <x:c r="Q940" s="46" t="n">
        <x:f>IF(C940="P0",0,IF(D940&lt;=3,0.05,IF(D940&lt;=14,0.1,IF(D940&lt;=45,0.15,0.2))))</x:f>
        <x:v>0.15</x:v>
      </x:c>
      <x:c r="R940" s="47" t="n">
        <x:f>J940*Q940</x:f>
        <x:v>2040</x:v>
      </x:c>
      <x:c r="S940" s="20" t="str">
        <x:f>IF(D940&lt;E940,"closed",IF(D940&lt;'Paths'!$N$17,"initial","expanded"))</x:f>
        <x:v>initial</x:v>
      </x:c>
      <x:c r="T940" s="72"/>
    </x:row>
    <x:row r="941">
      <x:c r="C941" s="20" t="str">
        <x:v>P10</x:v>
      </x:c>
      <x:c r="D941" s="20" t="n">
        <x:v>24</x:v>
      </x:c>
      <x:c r="E941" s="45" t="n">
        <x:f>IF('Controls'!$D$7="Reference",'Paths'!$J$17,'Paths'!$K$17)</x:f>
        <x:v>14</x:v>
      </x:c>
      <x:c r="F941" s="47" t="n">
        <x:f>IF(D941&lt;'Paths'!$N$17,IF('Controls'!$D$7="Reference",'Paths'!$L$17,'Paths'!$M$17),IF('Controls'!$D$7="Reference",'Paths'!$O$17,'Paths'!$P$17))</x:f>
        <x:v>16000</x:v>
      </x:c>
      <x:c r="G941" s="46" t="n">
        <x:f>IF('Controls'!$D$7="Reference",1,IF(OR(D941=6,D941=7,D941=21,D941=46),'Paths'!$U$17,1))</x:f>
        <x:v>1</x:v>
      </x:c>
      <x:c r="H941" s="46" t="n">
        <x:f>IF('Controls'!$D$7="Reference",1,IF(OR(AND(D941&gt;=14,D941&lt;=16),AND(D941&gt;=34,D941&lt;=35),AND(D941&gt;=61,D941&lt;=63)),'Paths'!$V$17,1))</x:f>
        <x:v>1</x:v>
      </x:c>
      <x:c r="I941" s="46" t="n">
        <x:f>'Paths'!$W$17</x:f>
        <x:v>0.85</x:v>
      </x:c>
      <x:c r="J941" s="47" t="n">
        <x:f>IF(D941&lt;E941,0,MIN(F941*G941*H941*I941,IF('Paths'!$T$17&gt;0,MAX(0,'Paths'!$T$17-K940),1000000000)))</x:f>
        <x:v>13600</x:v>
      </x:c>
      <x:c r="K941" s="47" t="n">
        <x:f>K940+J941</x:f>
        <x:v>115600</x:v>
      </x:c>
      <x:c r="L941" s="46" t="n">
        <x:f>IF(C941="P0",1,IF(D941&lt;=3,0.8,IF(D941&lt;=14,0.65,IF(D941&lt;=45,0.5,0.3))))</x:f>
        <x:v>0.5</x:v>
      </x:c>
      <x:c r="M941" s="47" t="n">
        <x:f>J941*L941</x:f>
        <x:v>6800</x:v>
      </x:c>
      <x:c r="N941" s="47" t="n">
        <x:f>N940+M941</x:f>
        <x:v>58616</x:v>
      </x:c>
      <x:c r="O941" s="46" t="n">
        <x:f>IF(C941="P0",0,IF(D941&lt;=3,0.15,IF(D941&lt;=14,0.25,IF(D941&lt;=45,0.35,0.5))))</x:f>
        <x:v>0.35</x:v>
      </x:c>
      <x:c r="P941" s="47" t="n">
        <x:f>J941*O941</x:f>
        <x:v>4760</x:v>
      </x:c>
      <x:c r="Q941" s="46" t="n">
        <x:f>IF(C941="P0",0,IF(D941&lt;=3,0.05,IF(D941&lt;=14,0.1,IF(D941&lt;=45,0.15,0.2))))</x:f>
        <x:v>0.15</x:v>
      </x:c>
      <x:c r="R941" s="47" t="n">
        <x:f>J941*Q941</x:f>
        <x:v>2040</x:v>
      </x:c>
      <x:c r="S941" s="20" t="str">
        <x:f>IF(D941&lt;E941,"closed",IF(D941&lt;'Paths'!$N$17,"initial","expanded"))</x:f>
        <x:v>initial</x:v>
      </x:c>
      <x:c r="T941" s="72"/>
    </x:row>
    <x:row r="942">
      <x:c r="C942" s="20" t="str">
        <x:v>P10</x:v>
      </x:c>
      <x:c r="D942" s="20" t="n">
        <x:v>25</x:v>
      </x:c>
      <x:c r="E942" s="45" t="n">
        <x:f>IF('Controls'!$D$7="Reference",'Paths'!$J$17,'Paths'!$K$17)</x:f>
        <x:v>14</x:v>
      </x:c>
      <x:c r="F942" s="47" t="n">
        <x:f>IF(D942&lt;'Paths'!$N$17,IF('Controls'!$D$7="Reference",'Paths'!$L$17,'Paths'!$M$17),IF('Controls'!$D$7="Reference",'Paths'!$O$17,'Paths'!$P$17))</x:f>
        <x:v>38000</x:v>
      </x:c>
      <x:c r="G942" s="46" t="n">
        <x:f>IF('Controls'!$D$7="Reference",1,IF(OR(D942=6,D942=7,D942=21,D942=46),'Paths'!$U$17,1))</x:f>
        <x:v>1</x:v>
      </x:c>
      <x:c r="H942" s="46" t="n">
        <x:f>IF('Controls'!$D$7="Reference",1,IF(OR(AND(D942&gt;=14,D942&lt;=16),AND(D942&gt;=34,D942&lt;=35),AND(D942&gt;=61,D942&lt;=63)),'Paths'!$V$17,1))</x:f>
        <x:v>1</x:v>
      </x:c>
      <x:c r="I942" s="46" t="n">
        <x:f>'Paths'!$W$17</x:f>
        <x:v>0.85</x:v>
      </x:c>
      <x:c r="J942" s="47" t="n">
        <x:f>IF(D942&lt;E942,0,MIN(F942*G942*H942*I942,IF('Paths'!$T$17&gt;0,MAX(0,'Paths'!$T$17-K941),1000000000)))</x:f>
        <x:v>32300</x:v>
      </x:c>
      <x:c r="K942" s="47" t="n">
        <x:f>K941+J942</x:f>
        <x:v>147900</x:v>
      </x:c>
      <x:c r="L942" s="46" t="n">
        <x:f>IF(C942="P0",1,IF(D942&lt;=3,0.8,IF(D942&lt;=14,0.65,IF(D942&lt;=45,0.5,0.3))))</x:f>
        <x:v>0.5</x:v>
      </x:c>
      <x:c r="M942" s="47" t="n">
        <x:f>J942*L942</x:f>
        <x:v>16150</x:v>
      </x:c>
      <x:c r="N942" s="47" t="n">
        <x:f>N941+M942</x:f>
        <x:v>74766</x:v>
      </x:c>
      <x:c r="O942" s="46" t="n">
        <x:f>IF(C942="P0",0,IF(D942&lt;=3,0.15,IF(D942&lt;=14,0.25,IF(D942&lt;=45,0.35,0.5))))</x:f>
        <x:v>0.35</x:v>
      </x:c>
      <x:c r="P942" s="47" t="n">
        <x:f>J942*O942</x:f>
        <x:v>11305</x:v>
      </x:c>
      <x:c r="Q942" s="46" t="n">
        <x:f>IF(C942="P0",0,IF(D942&lt;=3,0.05,IF(D942&lt;=14,0.1,IF(D942&lt;=45,0.15,0.2))))</x:f>
        <x:v>0.15</x:v>
      </x:c>
      <x:c r="R942" s="47" t="n">
        <x:f>J942*Q942</x:f>
        <x:v>4845</x:v>
      </x:c>
      <x:c r="S942" s="20" t="str">
        <x:f>IF(D942&lt;E942,"closed",IF(D942&lt;'Paths'!$N$17,"initial","expanded"))</x:f>
        <x:v>expanded</x:v>
      </x:c>
      <x:c r="T942" s="72"/>
    </x:row>
    <x:row r="943">
      <x:c r="C943" s="20" t="str">
        <x:v>P10</x:v>
      </x:c>
      <x:c r="D943" s="20" t="n">
        <x:v>26</x:v>
      </x:c>
      <x:c r="E943" s="45" t="n">
        <x:f>IF('Controls'!$D$7="Reference",'Paths'!$J$17,'Paths'!$K$17)</x:f>
        <x:v>14</x:v>
      </x:c>
      <x:c r="F943" s="47" t="n">
        <x:f>IF(D943&lt;'Paths'!$N$17,IF('Controls'!$D$7="Reference",'Paths'!$L$17,'Paths'!$M$17),IF('Controls'!$D$7="Reference",'Paths'!$O$17,'Paths'!$P$17))</x:f>
        <x:v>38000</x:v>
      </x:c>
      <x:c r="G943" s="46" t="n">
        <x:f>IF('Controls'!$D$7="Reference",1,IF(OR(D943=6,D943=7,D943=21,D943=46),'Paths'!$U$17,1))</x:f>
        <x:v>1</x:v>
      </x:c>
      <x:c r="H943" s="46" t="n">
        <x:f>IF('Controls'!$D$7="Reference",1,IF(OR(AND(D943&gt;=14,D943&lt;=16),AND(D943&gt;=34,D943&lt;=35),AND(D943&gt;=61,D943&lt;=63)),'Paths'!$V$17,1))</x:f>
        <x:v>1</x:v>
      </x:c>
      <x:c r="I943" s="46" t="n">
        <x:f>'Paths'!$W$17</x:f>
        <x:v>0.85</x:v>
      </x:c>
      <x:c r="J943" s="47" t="n">
        <x:f>IF(D943&lt;E943,0,MIN(F943*G943*H943*I943,IF('Paths'!$T$17&gt;0,MAX(0,'Paths'!$T$17-K942),1000000000)))</x:f>
        <x:v>32300</x:v>
      </x:c>
      <x:c r="K943" s="47" t="n">
        <x:f>K942+J943</x:f>
        <x:v>180200</x:v>
      </x:c>
      <x:c r="L943" s="46" t="n">
        <x:f>IF(C943="P0",1,IF(D943&lt;=3,0.8,IF(D943&lt;=14,0.65,IF(D943&lt;=45,0.5,0.3))))</x:f>
        <x:v>0.5</x:v>
      </x:c>
      <x:c r="M943" s="47" t="n">
        <x:f>J943*L943</x:f>
        <x:v>16150</x:v>
      </x:c>
      <x:c r="N943" s="47" t="n">
        <x:f>N942+M943</x:f>
        <x:v>90916</x:v>
      </x:c>
      <x:c r="O943" s="46" t="n">
        <x:f>IF(C943="P0",0,IF(D943&lt;=3,0.15,IF(D943&lt;=14,0.25,IF(D943&lt;=45,0.35,0.5))))</x:f>
        <x:v>0.35</x:v>
      </x:c>
      <x:c r="P943" s="47" t="n">
        <x:f>J943*O943</x:f>
        <x:v>11305</x:v>
      </x:c>
      <x:c r="Q943" s="46" t="n">
        <x:f>IF(C943="P0",0,IF(D943&lt;=3,0.05,IF(D943&lt;=14,0.1,IF(D943&lt;=45,0.15,0.2))))</x:f>
        <x:v>0.15</x:v>
      </x:c>
      <x:c r="R943" s="47" t="n">
        <x:f>J943*Q943</x:f>
        <x:v>4845</x:v>
      </x:c>
      <x:c r="S943" s="20" t="str">
        <x:f>IF(D943&lt;E943,"closed",IF(D943&lt;'Paths'!$N$17,"initial","expanded"))</x:f>
        <x:v>expanded</x:v>
      </x:c>
      <x:c r="T943" s="72"/>
    </x:row>
    <x:row r="944">
      <x:c r="C944" s="20" t="str">
        <x:v>P10</x:v>
      </x:c>
      <x:c r="D944" s="20" t="n">
        <x:v>27</x:v>
      </x:c>
      <x:c r="E944" s="45" t="n">
        <x:f>IF('Controls'!$D$7="Reference",'Paths'!$J$17,'Paths'!$K$17)</x:f>
        <x:v>14</x:v>
      </x:c>
      <x:c r="F944" s="47" t="n">
        <x:f>IF(D944&lt;'Paths'!$N$17,IF('Controls'!$D$7="Reference",'Paths'!$L$17,'Paths'!$M$17),IF('Controls'!$D$7="Reference",'Paths'!$O$17,'Paths'!$P$17))</x:f>
        <x:v>38000</x:v>
      </x:c>
      <x:c r="G944" s="46" t="n">
        <x:f>IF('Controls'!$D$7="Reference",1,IF(OR(D944=6,D944=7,D944=21,D944=46),'Paths'!$U$17,1))</x:f>
        <x:v>1</x:v>
      </x:c>
      <x:c r="H944" s="46" t="n">
        <x:f>IF('Controls'!$D$7="Reference",1,IF(OR(AND(D944&gt;=14,D944&lt;=16),AND(D944&gt;=34,D944&lt;=35),AND(D944&gt;=61,D944&lt;=63)),'Paths'!$V$17,1))</x:f>
        <x:v>1</x:v>
      </x:c>
      <x:c r="I944" s="46" t="n">
        <x:f>'Paths'!$W$17</x:f>
        <x:v>0.85</x:v>
      </x:c>
      <x:c r="J944" s="47" t="n">
        <x:f>IF(D944&lt;E944,0,MIN(F944*G944*H944*I944,IF('Paths'!$T$17&gt;0,MAX(0,'Paths'!$T$17-K943),1000000000)))</x:f>
        <x:v>32300</x:v>
      </x:c>
      <x:c r="K944" s="47" t="n">
        <x:f>K943+J944</x:f>
        <x:v>212500</x:v>
      </x:c>
      <x:c r="L944" s="46" t="n">
        <x:f>IF(C944="P0",1,IF(D944&lt;=3,0.8,IF(D944&lt;=14,0.65,IF(D944&lt;=45,0.5,0.3))))</x:f>
        <x:v>0.5</x:v>
      </x:c>
      <x:c r="M944" s="47" t="n">
        <x:f>J944*L944</x:f>
        <x:v>16150</x:v>
      </x:c>
      <x:c r="N944" s="47" t="n">
        <x:f>N943+M944</x:f>
        <x:v>107066</x:v>
      </x:c>
      <x:c r="O944" s="46" t="n">
        <x:f>IF(C944="P0",0,IF(D944&lt;=3,0.15,IF(D944&lt;=14,0.25,IF(D944&lt;=45,0.35,0.5))))</x:f>
        <x:v>0.35</x:v>
      </x:c>
      <x:c r="P944" s="47" t="n">
        <x:f>J944*O944</x:f>
        <x:v>11305</x:v>
      </x:c>
      <x:c r="Q944" s="46" t="n">
        <x:f>IF(C944="P0",0,IF(D944&lt;=3,0.05,IF(D944&lt;=14,0.1,IF(D944&lt;=45,0.15,0.2))))</x:f>
        <x:v>0.15</x:v>
      </x:c>
      <x:c r="R944" s="47" t="n">
        <x:f>J944*Q944</x:f>
        <x:v>4845</x:v>
      </x:c>
      <x:c r="S944" s="20" t="str">
        <x:f>IF(D944&lt;E944,"closed",IF(D944&lt;'Paths'!$N$17,"initial","expanded"))</x:f>
        <x:v>expanded</x:v>
      </x:c>
      <x:c r="T944" s="72"/>
    </x:row>
    <x:row r="945">
      <x:c r="C945" s="20" t="str">
        <x:v>P10</x:v>
      </x:c>
      <x:c r="D945" s="20" t="n">
        <x:v>28</x:v>
      </x:c>
      <x:c r="E945" s="45" t="n">
        <x:f>IF('Controls'!$D$7="Reference",'Paths'!$J$17,'Paths'!$K$17)</x:f>
        <x:v>14</x:v>
      </x:c>
      <x:c r="F945" s="47" t="n">
        <x:f>IF(D945&lt;'Paths'!$N$17,IF('Controls'!$D$7="Reference",'Paths'!$L$17,'Paths'!$M$17),IF('Controls'!$D$7="Reference",'Paths'!$O$17,'Paths'!$P$17))</x:f>
        <x:v>38000</x:v>
      </x:c>
      <x:c r="G945" s="46" t="n">
        <x:f>IF('Controls'!$D$7="Reference",1,IF(OR(D945=6,D945=7,D945=21,D945=46),'Paths'!$U$17,1))</x:f>
        <x:v>1</x:v>
      </x:c>
      <x:c r="H945" s="46" t="n">
        <x:f>IF('Controls'!$D$7="Reference",1,IF(OR(AND(D945&gt;=14,D945&lt;=16),AND(D945&gt;=34,D945&lt;=35),AND(D945&gt;=61,D945&lt;=63)),'Paths'!$V$17,1))</x:f>
        <x:v>1</x:v>
      </x:c>
      <x:c r="I945" s="46" t="n">
        <x:f>'Paths'!$W$17</x:f>
        <x:v>0.85</x:v>
      </x:c>
      <x:c r="J945" s="47" t="n">
        <x:f>IF(D945&lt;E945,0,MIN(F945*G945*H945*I945,IF('Paths'!$T$17&gt;0,MAX(0,'Paths'!$T$17-K944),1000000000)))</x:f>
        <x:v>32300</x:v>
      </x:c>
      <x:c r="K945" s="47" t="n">
        <x:f>K944+J945</x:f>
        <x:v>244800</x:v>
      </x:c>
      <x:c r="L945" s="46" t="n">
        <x:f>IF(C945="P0",1,IF(D945&lt;=3,0.8,IF(D945&lt;=14,0.65,IF(D945&lt;=45,0.5,0.3))))</x:f>
        <x:v>0.5</x:v>
      </x:c>
      <x:c r="M945" s="47" t="n">
        <x:f>J945*L945</x:f>
        <x:v>16150</x:v>
      </x:c>
      <x:c r="N945" s="47" t="n">
        <x:f>N944+M945</x:f>
        <x:v>123216</x:v>
      </x:c>
      <x:c r="O945" s="46" t="n">
        <x:f>IF(C945="P0",0,IF(D945&lt;=3,0.15,IF(D945&lt;=14,0.25,IF(D945&lt;=45,0.35,0.5))))</x:f>
        <x:v>0.35</x:v>
      </x:c>
      <x:c r="P945" s="47" t="n">
        <x:f>J945*O945</x:f>
        <x:v>11305</x:v>
      </x:c>
      <x:c r="Q945" s="46" t="n">
        <x:f>IF(C945="P0",0,IF(D945&lt;=3,0.05,IF(D945&lt;=14,0.1,IF(D945&lt;=45,0.15,0.2))))</x:f>
        <x:v>0.15</x:v>
      </x:c>
      <x:c r="R945" s="47" t="n">
        <x:f>J945*Q945</x:f>
        <x:v>4845</x:v>
      </x:c>
      <x:c r="S945" s="20" t="str">
        <x:f>IF(D945&lt;E945,"closed",IF(D945&lt;'Paths'!$N$17,"initial","expanded"))</x:f>
        <x:v>expanded</x:v>
      </x:c>
      <x:c r="T945" s="72"/>
    </x:row>
    <x:row r="946">
      <x:c r="C946" s="20" t="str">
        <x:v>P10</x:v>
      </x:c>
      <x:c r="D946" s="20" t="n">
        <x:v>29</x:v>
      </x:c>
      <x:c r="E946" s="45" t="n">
        <x:f>IF('Controls'!$D$7="Reference",'Paths'!$J$17,'Paths'!$K$17)</x:f>
        <x:v>14</x:v>
      </x:c>
      <x:c r="F946" s="47" t="n">
        <x:f>IF(D946&lt;'Paths'!$N$17,IF('Controls'!$D$7="Reference",'Paths'!$L$17,'Paths'!$M$17),IF('Controls'!$D$7="Reference",'Paths'!$O$17,'Paths'!$P$17))</x:f>
        <x:v>38000</x:v>
      </x:c>
      <x:c r="G946" s="46" t="n">
        <x:f>IF('Controls'!$D$7="Reference",1,IF(OR(D946=6,D946=7,D946=21,D946=46),'Paths'!$U$17,1))</x:f>
        <x:v>1</x:v>
      </x:c>
      <x:c r="H946" s="46" t="n">
        <x:f>IF('Controls'!$D$7="Reference",1,IF(OR(AND(D946&gt;=14,D946&lt;=16),AND(D946&gt;=34,D946&lt;=35),AND(D946&gt;=61,D946&lt;=63)),'Paths'!$V$17,1))</x:f>
        <x:v>1</x:v>
      </x:c>
      <x:c r="I946" s="46" t="n">
        <x:f>'Paths'!$W$17</x:f>
        <x:v>0.85</x:v>
      </x:c>
      <x:c r="J946" s="47" t="n">
        <x:f>IF(D946&lt;E946,0,MIN(F946*G946*H946*I946,IF('Paths'!$T$17&gt;0,MAX(0,'Paths'!$T$17-K945),1000000000)))</x:f>
        <x:v>32300</x:v>
      </x:c>
      <x:c r="K946" s="47" t="n">
        <x:f>K945+J946</x:f>
        <x:v>277100</x:v>
      </x:c>
      <x:c r="L946" s="46" t="n">
        <x:f>IF(C946="P0",1,IF(D946&lt;=3,0.8,IF(D946&lt;=14,0.65,IF(D946&lt;=45,0.5,0.3))))</x:f>
        <x:v>0.5</x:v>
      </x:c>
      <x:c r="M946" s="47" t="n">
        <x:f>J946*L946</x:f>
        <x:v>16150</x:v>
      </x:c>
      <x:c r="N946" s="47" t="n">
        <x:f>N945+M946</x:f>
        <x:v>139366</x:v>
      </x:c>
      <x:c r="O946" s="46" t="n">
        <x:f>IF(C946="P0",0,IF(D946&lt;=3,0.15,IF(D946&lt;=14,0.25,IF(D946&lt;=45,0.35,0.5))))</x:f>
        <x:v>0.35</x:v>
      </x:c>
      <x:c r="P946" s="47" t="n">
        <x:f>J946*O946</x:f>
        <x:v>11305</x:v>
      </x:c>
      <x:c r="Q946" s="46" t="n">
        <x:f>IF(C946="P0",0,IF(D946&lt;=3,0.05,IF(D946&lt;=14,0.1,IF(D946&lt;=45,0.15,0.2))))</x:f>
        <x:v>0.15</x:v>
      </x:c>
      <x:c r="R946" s="47" t="n">
        <x:f>J946*Q946</x:f>
        <x:v>4845</x:v>
      </x:c>
      <x:c r="S946" s="20" t="str">
        <x:f>IF(D946&lt;E946,"closed",IF(D946&lt;'Paths'!$N$17,"initial","expanded"))</x:f>
        <x:v>expanded</x:v>
      </x:c>
      <x:c r="T946" s="72"/>
    </x:row>
    <x:row r="947">
      <x:c r="C947" s="20" t="str">
        <x:v>P10</x:v>
      </x:c>
      <x:c r="D947" s="20" t="n">
        <x:v>30</x:v>
      </x:c>
      <x:c r="E947" s="45" t="n">
        <x:f>IF('Controls'!$D$7="Reference",'Paths'!$J$17,'Paths'!$K$17)</x:f>
        <x:v>14</x:v>
      </x:c>
      <x:c r="F947" s="47" t="n">
        <x:f>IF(D947&lt;'Paths'!$N$17,IF('Controls'!$D$7="Reference",'Paths'!$L$17,'Paths'!$M$17),IF('Controls'!$D$7="Reference",'Paths'!$O$17,'Paths'!$P$17))</x:f>
        <x:v>38000</x:v>
      </x:c>
      <x:c r="G947" s="46" t="n">
        <x:f>IF('Controls'!$D$7="Reference",1,IF(OR(D947=6,D947=7,D947=21,D947=46),'Paths'!$U$17,1))</x:f>
        <x:v>1</x:v>
      </x:c>
      <x:c r="H947" s="46" t="n">
        <x:f>IF('Controls'!$D$7="Reference",1,IF(OR(AND(D947&gt;=14,D947&lt;=16),AND(D947&gt;=34,D947&lt;=35),AND(D947&gt;=61,D947&lt;=63)),'Paths'!$V$17,1))</x:f>
        <x:v>1</x:v>
      </x:c>
      <x:c r="I947" s="46" t="n">
        <x:f>'Paths'!$W$17</x:f>
        <x:v>0.85</x:v>
      </x:c>
      <x:c r="J947" s="47" t="n">
        <x:f>IF(D947&lt;E947,0,MIN(F947*G947*H947*I947,IF('Paths'!$T$17&gt;0,MAX(0,'Paths'!$T$17-K946),1000000000)))</x:f>
        <x:v>32300</x:v>
      </x:c>
      <x:c r="K947" s="47" t="n">
        <x:f>K946+J947</x:f>
        <x:v>309400</x:v>
      </x:c>
      <x:c r="L947" s="46" t="n">
        <x:f>IF(C947="P0",1,IF(D947&lt;=3,0.8,IF(D947&lt;=14,0.65,IF(D947&lt;=45,0.5,0.3))))</x:f>
        <x:v>0.5</x:v>
      </x:c>
      <x:c r="M947" s="47" t="n">
        <x:f>J947*L947</x:f>
        <x:v>16150</x:v>
      </x:c>
      <x:c r="N947" s="47" t="n">
        <x:f>N946+M947</x:f>
        <x:v>155516</x:v>
      </x:c>
      <x:c r="O947" s="46" t="n">
        <x:f>IF(C947="P0",0,IF(D947&lt;=3,0.15,IF(D947&lt;=14,0.25,IF(D947&lt;=45,0.35,0.5))))</x:f>
        <x:v>0.35</x:v>
      </x:c>
      <x:c r="P947" s="47" t="n">
        <x:f>J947*O947</x:f>
        <x:v>11305</x:v>
      </x:c>
      <x:c r="Q947" s="46" t="n">
        <x:f>IF(C947="P0",0,IF(D947&lt;=3,0.05,IF(D947&lt;=14,0.1,IF(D947&lt;=45,0.15,0.2))))</x:f>
        <x:v>0.15</x:v>
      </x:c>
      <x:c r="R947" s="47" t="n">
        <x:f>J947*Q947</x:f>
        <x:v>4845</x:v>
      </x:c>
      <x:c r="S947" s="20" t="str">
        <x:f>IF(D947&lt;E947,"closed",IF(D947&lt;'Paths'!$N$17,"initial","expanded"))</x:f>
        <x:v>expanded</x:v>
      </x:c>
      <x:c r="T947" s="72"/>
    </x:row>
    <x:row r="948">
      <x:c r="C948" s="20" t="str">
        <x:v>P10</x:v>
      </x:c>
      <x:c r="D948" s="20" t="n">
        <x:v>31</x:v>
      </x:c>
      <x:c r="E948" s="45" t="n">
        <x:f>IF('Controls'!$D$7="Reference",'Paths'!$J$17,'Paths'!$K$17)</x:f>
        <x:v>14</x:v>
      </x:c>
      <x:c r="F948" s="47" t="n">
        <x:f>IF(D948&lt;'Paths'!$N$17,IF('Controls'!$D$7="Reference",'Paths'!$L$17,'Paths'!$M$17),IF('Controls'!$D$7="Reference",'Paths'!$O$17,'Paths'!$P$17))</x:f>
        <x:v>38000</x:v>
      </x:c>
      <x:c r="G948" s="46" t="n">
        <x:f>IF('Controls'!$D$7="Reference",1,IF(OR(D948=6,D948=7,D948=21,D948=46),'Paths'!$U$17,1))</x:f>
        <x:v>1</x:v>
      </x:c>
      <x:c r="H948" s="46" t="n">
        <x:f>IF('Controls'!$D$7="Reference",1,IF(OR(AND(D948&gt;=14,D948&lt;=16),AND(D948&gt;=34,D948&lt;=35),AND(D948&gt;=61,D948&lt;=63)),'Paths'!$V$17,1))</x:f>
        <x:v>1</x:v>
      </x:c>
      <x:c r="I948" s="46" t="n">
        <x:f>'Paths'!$W$17</x:f>
        <x:v>0.85</x:v>
      </x:c>
      <x:c r="J948" s="47" t="n">
        <x:f>IF(D948&lt;E948,0,MIN(F948*G948*H948*I948,IF('Paths'!$T$17&gt;0,MAX(0,'Paths'!$T$17-K947),1000000000)))</x:f>
        <x:v>32300</x:v>
      </x:c>
      <x:c r="K948" s="47" t="n">
        <x:f>K947+J948</x:f>
        <x:v>341700</x:v>
      </x:c>
      <x:c r="L948" s="46" t="n">
        <x:f>IF(C948="P0",1,IF(D948&lt;=3,0.8,IF(D948&lt;=14,0.65,IF(D948&lt;=45,0.5,0.3))))</x:f>
        <x:v>0.5</x:v>
      </x:c>
      <x:c r="M948" s="47" t="n">
        <x:f>J948*L948</x:f>
        <x:v>16150</x:v>
      </x:c>
      <x:c r="N948" s="47" t="n">
        <x:f>N947+M948</x:f>
        <x:v>171666</x:v>
      </x:c>
      <x:c r="O948" s="46" t="n">
        <x:f>IF(C948="P0",0,IF(D948&lt;=3,0.15,IF(D948&lt;=14,0.25,IF(D948&lt;=45,0.35,0.5))))</x:f>
        <x:v>0.35</x:v>
      </x:c>
      <x:c r="P948" s="47" t="n">
        <x:f>J948*O948</x:f>
        <x:v>11305</x:v>
      </x:c>
      <x:c r="Q948" s="46" t="n">
        <x:f>IF(C948="P0",0,IF(D948&lt;=3,0.05,IF(D948&lt;=14,0.1,IF(D948&lt;=45,0.15,0.2))))</x:f>
        <x:v>0.15</x:v>
      </x:c>
      <x:c r="R948" s="47" t="n">
        <x:f>J948*Q948</x:f>
        <x:v>4845</x:v>
      </x:c>
      <x:c r="S948" s="20" t="str">
        <x:f>IF(D948&lt;E948,"closed",IF(D948&lt;'Paths'!$N$17,"initial","expanded"))</x:f>
        <x:v>expanded</x:v>
      </x:c>
      <x:c r="T948" s="72"/>
    </x:row>
    <x:row r="949">
      <x:c r="C949" s="20" t="str">
        <x:v>P10</x:v>
      </x:c>
      <x:c r="D949" s="20" t="n">
        <x:v>32</x:v>
      </x:c>
      <x:c r="E949" s="45" t="n">
        <x:f>IF('Controls'!$D$7="Reference",'Paths'!$J$17,'Paths'!$K$17)</x:f>
        <x:v>14</x:v>
      </x:c>
      <x:c r="F949" s="47" t="n">
        <x:f>IF(D949&lt;'Paths'!$N$17,IF('Controls'!$D$7="Reference",'Paths'!$L$17,'Paths'!$M$17),IF('Controls'!$D$7="Reference",'Paths'!$O$17,'Paths'!$P$17))</x:f>
        <x:v>38000</x:v>
      </x:c>
      <x:c r="G949" s="46" t="n">
        <x:f>IF('Controls'!$D$7="Reference",1,IF(OR(D949=6,D949=7,D949=21,D949=46),'Paths'!$U$17,1))</x:f>
        <x:v>1</x:v>
      </x:c>
      <x:c r="H949" s="46" t="n">
        <x:f>IF('Controls'!$D$7="Reference",1,IF(OR(AND(D949&gt;=14,D949&lt;=16),AND(D949&gt;=34,D949&lt;=35),AND(D949&gt;=61,D949&lt;=63)),'Paths'!$V$17,1))</x:f>
        <x:v>1</x:v>
      </x:c>
      <x:c r="I949" s="46" t="n">
        <x:f>'Paths'!$W$17</x:f>
        <x:v>0.85</x:v>
      </x:c>
      <x:c r="J949" s="47" t="n">
        <x:f>IF(D949&lt;E949,0,MIN(F949*G949*H949*I949,IF('Paths'!$T$17&gt;0,MAX(0,'Paths'!$T$17-K948),1000000000)))</x:f>
        <x:v>32300</x:v>
      </x:c>
      <x:c r="K949" s="47" t="n">
        <x:f>K948+J949</x:f>
        <x:v>374000</x:v>
      </x:c>
      <x:c r="L949" s="46" t="n">
        <x:f>IF(C949="P0",1,IF(D949&lt;=3,0.8,IF(D949&lt;=14,0.65,IF(D949&lt;=45,0.5,0.3))))</x:f>
        <x:v>0.5</x:v>
      </x:c>
      <x:c r="M949" s="47" t="n">
        <x:f>J949*L949</x:f>
        <x:v>16150</x:v>
      </x:c>
      <x:c r="N949" s="47" t="n">
        <x:f>N948+M949</x:f>
        <x:v>187816</x:v>
      </x:c>
      <x:c r="O949" s="46" t="n">
        <x:f>IF(C949="P0",0,IF(D949&lt;=3,0.15,IF(D949&lt;=14,0.25,IF(D949&lt;=45,0.35,0.5))))</x:f>
        <x:v>0.35</x:v>
      </x:c>
      <x:c r="P949" s="47" t="n">
        <x:f>J949*O949</x:f>
        <x:v>11305</x:v>
      </x:c>
      <x:c r="Q949" s="46" t="n">
        <x:f>IF(C949="P0",0,IF(D949&lt;=3,0.05,IF(D949&lt;=14,0.1,IF(D949&lt;=45,0.15,0.2))))</x:f>
        <x:v>0.15</x:v>
      </x:c>
      <x:c r="R949" s="47" t="n">
        <x:f>J949*Q949</x:f>
        <x:v>4845</x:v>
      </x:c>
      <x:c r="S949" s="20" t="str">
        <x:f>IF(D949&lt;E949,"closed",IF(D949&lt;'Paths'!$N$17,"initial","expanded"))</x:f>
        <x:v>expanded</x:v>
      </x:c>
      <x:c r="T949" s="72"/>
    </x:row>
    <x:row r="950">
      <x:c r="C950" s="20" t="str">
        <x:v>P10</x:v>
      </x:c>
      <x:c r="D950" s="20" t="n">
        <x:v>33</x:v>
      </x:c>
      <x:c r="E950" s="45" t="n">
        <x:f>IF('Controls'!$D$7="Reference",'Paths'!$J$17,'Paths'!$K$17)</x:f>
        <x:v>14</x:v>
      </x:c>
      <x:c r="F950" s="47" t="n">
        <x:f>IF(D950&lt;'Paths'!$N$17,IF('Controls'!$D$7="Reference",'Paths'!$L$17,'Paths'!$M$17),IF('Controls'!$D$7="Reference",'Paths'!$O$17,'Paths'!$P$17))</x:f>
        <x:v>38000</x:v>
      </x:c>
      <x:c r="G950" s="46" t="n">
        <x:f>IF('Controls'!$D$7="Reference",1,IF(OR(D950=6,D950=7,D950=21,D950=46),'Paths'!$U$17,1))</x:f>
        <x:v>1</x:v>
      </x:c>
      <x:c r="H950" s="46" t="n">
        <x:f>IF('Controls'!$D$7="Reference",1,IF(OR(AND(D950&gt;=14,D950&lt;=16),AND(D950&gt;=34,D950&lt;=35),AND(D950&gt;=61,D950&lt;=63)),'Paths'!$V$17,1))</x:f>
        <x:v>1</x:v>
      </x:c>
      <x:c r="I950" s="46" t="n">
        <x:f>'Paths'!$W$17</x:f>
        <x:v>0.85</x:v>
      </x:c>
      <x:c r="J950" s="47" t="n">
        <x:f>IF(D950&lt;E950,0,MIN(F950*G950*H950*I950,IF('Paths'!$T$17&gt;0,MAX(0,'Paths'!$T$17-K949),1000000000)))</x:f>
        <x:v>32300</x:v>
      </x:c>
      <x:c r="K950" s="47" t="n">
        <x:f>K949+J950</x:f>
        <x:v>406300</x:v>
      </x:c>
      <x:c r="L950" s="46" t="n">
        <x:f>IF(C950="P0",1,IF(D950&lt;=3,0.8,IF(D950&lt;=14,0.65,IF(D950&lt;=45,0.5,0.3))))</x:f>
        <x:v>0.5</x:v>
      </x:c>
      <x:c r="M950" s="47" t="n">
        <x:f>J950*L950</x:f>
        <x:v>16150</x:v>
      </x:c>
      <x:c r="N950" s="47" t="n">
        <x:f>N949+M950</x:f>
        <x:v>203966</x:v>
      </x:c>
      <x:c r="O950" s="46" t="n">
        <x:f>IF(C950="P0",0,IF(D950&lt;=3,0.15,IF(D950&lt;=14,0.25,IF(D950&lt;=45,0.35,0.5))))</x:f>
        <x:v>0.35</x:v>
      </x:c>
      <x:c r="P950" s="47" t="n">
        <x:f>J950*O950</x:f>
        <x:v>11305</x:v>
      </x:c>
      <x:c r="Q950" s="46" t="n">
        <x:f>IF(C950="P0",0,IF(D950&lt;=3,0.05,IF(D950&lt;=14,0.1,IF(D950&lt;=45,0.15,0.2))))</x:f>
        <x:v>0.15</x:v>
      </x:c>
      <x:c r="R950" s="47" t="n">
        <x:f>J950*Q950</x:f>
        <x:v>4845</x:v>
      </x:c>
      <x:c r="S950" s="20" t="str">
        <x:f>IF(D950&lt;E950,"closed",IF(D950&lt;'Paths'!$N$17,"initial","expanded"))</x:f>
        <x:v>expanded</x:v>
      </x:c>
      <x:c r="T950" s="72"/>
    </x:row>
    <x:row r="951">
      <x:c r="C951" s="20" t="str">
        <x:v>P10</x:v>
      </x:c>
      <x:c r="D951" s="20" t="n">
        <x:v>34</x:v>
      </x:c>
      <x:c r="E951" s="45" t="n">
        <x:f>IF('Controls'!$D$7="Reference",'Paths'!$J$17,'Paths'!$K$17)</x:f>
        <x:v>14</x:v>
      </x:c>
      <x:c r="F951" s="47" t="n">
        <x:f>IF(D951&lt;'Paths'!$N$17,IF('Controls'!$D$7="Reference",'Paths'!$L$17,'Paths'!$M$17),IF('Controls'!$D$7="Reference",'Paths'!$O$17,'Paths'!$P$17))</x:f>
        <x:v>38000</x:v>
      </x:c>
      <x:c r="G951" s="46" t="n">
        <x:f>IF('Controls'!$D$7="Reference",1,IF(OR(D951=6,D951=7,D951=21,D951=46),'Paths'!$U$17,1))</x:f>
        <x:v>1</x:v>
      </x:c>
      <x:c r="H951" s="46" t="n">
        <x:f>IF('Controls'!$D$7="Reference",1,IF(OR(AND(D951&gt;=14,D951&lt;=16),AND(D951&gt;=34,D951&lt;=35),AND(D951&gt;=61,D951&lt;=63)),'Paths'!$V$17,1))</x:f>
        <x:v>0.4</x:v>
      </x:c>
      <x:c r="I951" s="46" t="n">
        <x:f>'Paths'!$W$17</x:f>
        <x:v>0.85</x:v>
      </x:c>
      <x:c r="J951" s="47" t="n">
        <x:f>IF(D951&lt;E951,0,MIN(F951*G951*H951*I951,IF('Paths'!$T$17&gt;0,MAX(0,'Paths'!$T$17-K950),1000000000)))</x:f>
        <x:v>12920</x:v>
      </x:c>
      <x:c r="K951" s="47" t="n">
        <x:f>K950+J951</x:f>
        <x:v>419220</x:v>
      </x:c>
      <x:c r="L951" s="46" t="n">
        <x:f>IF(C951="P0",1,IF(D951&lt;=3,0.8,IF(D951&lt;=14,0.65,IF(D951&lt;=45,0.5,0.3))))</x:f>
        <x:v>0.5</x:v>
      </x:c>
      <x:c r="M951" s="47" t="n">
        <x:f>J951*L951</x:f>
        <x:v>6460</x:v>
      </x:c>
      <x:c r="N951" s="47" t="n">
        <x:f>N950+M951</x:f>
        <x:v>210426</x:v>
      </x:c>
      <x:c r="O951" s="46" t="n">
        <x:f>IF(C951="P0",0,IF(D951&lt;=3,0.15,IF(D951&lt;=14,0.25,IF(D951&lt;=45,0.35,0.5))))</x:f>
        <x:v>0.35</x:v>
      </x:c>
      <x:c r="P951" s="47" t="n">
        <x:f>J951*O951</x:f>
        <x:v>4522</x:v>
      </x:c>
      <x:c r="Q951" s="46" t="n">
        <x:f>IF(C951="P0",0,IF(D951&lt;=3,0.05,IF(D951&lt;=14,0.1,IF(D951&lt;=45,0.15,0.2))))</x:f>
        <x:v>0.15</x:v>
      </x:c>
      <x:c r="R951" s="47" t="n">
        <x:f>J951*Q951</x:f>
        <x:v>1938</x:v>
      </x:c>
      <x:c r="S951" s="20" t="str">
        <x:f>IF(D951&lt;E951,"closed",IF(D951&lt;'Paths'!$N$17,"initial","expanded"))</x:f>
        <x:v>expanded</x:v>
      </x:c>
      <x:c r="T951" s="72"/>
    </x:row>
    <x:row r="952">
      <x:c r="C952" s="20" t="str">
        <x:v>P10</x:v>
      </x:c>
      <x:c r="D952" s="20" t="n">
        <x:v>35</x:v>
      </x:c>
      <x:c r="E952" s="45" t="n">
        <x:f>IF('Controls'!$D$7="Reference",'Paths'!$J$17,'Paths'!$K$17)</x:f>
        <x:v>14</x:v>
      </x:c>
      <x:c r="F952" s="47" t="n">
        <x:f>IF(D952&lt;'Paths'!$N$17,IF('Controls'!$D$7="Reference",'Paths'!$L$17,'Paths'!$M$17),IF('Controls'!$D$7="Reference",'Paths'!$O$17,'Paths'!$P$17))</x:f>
        <x:v>38000</x:v>
      </x:c>
      <x:c r="G952" s="46" t="n">
        <x:f>IF('Controls'!$D$7="Reference",1,IF(OR(D952=6,D952=7,D952=21,D952=46),'Paths'!$U$17,1))</x:f>
        <x:v>1</x:v>
      </x:c>
      <x:c r="H952" s="46" t="n">
        <x:f>IF('Controls'!$D$7="Reference",1,IF(OR(AND(D952&gt;=14,D952&lt;=16),AND(D952&gt;=34,D952&lt;=35),AND(D952&gt;=61,D952&lt;=63)),'Paths'!$V$17,1))</x:f>
        <x:v>0.4</x:v>
      </x:c>
      <x:c r="I952" s="46" t="n">
        <x:f>'Paths'!$W$17</x:f>
        <x:v>0.85</x:v>
      </x:c>
      <x:c r="J952" s="47" t="n">
        <x:f>IF(D952&lt;E952,0,MIN(F952*G952*H952*I952,IF('Paths'!$T$17&gt;0,MAX(0,'Paths'!$T$17-K951),1000000000)))</x:f>
        <x:v>12920</x:v>
      </x:c>
      <x:c r="K952" s="47" t="n">
        <x:f>K951+J952</x:f>
        <x:v>432140</x:v>
      </x:c>
      <x:c r="L952" s="46" t="n">
        <x:f>IF(C952="P0",1,IF(D952&lt;=3,0.8,IF(D952&lt;=14,0.65,IF(D952&lt;=45,0.5,0.3))))</x:f>
        <x:v>0.5</x:v>
      </x:c>
      <x:c r="M952" s="47" t="n">
        <x:f>J952*L952</x:f>
        <x:v>6460</x:v>
      </x:c>
      <x:c r="N952" s="47" t="n">
        <x:f>N951+M952</x:f>
        <x:v>216886</x:v>
      </x:c>
      <x:c r="O952" s="46" t="n">
        <x:f>IF(C952="P0",0,IF(D952&lt;=3,0.15,IF(D952&lt;=14,0.25,IF(D952&lt;=45,0.35,0.5))))</x:f>
        <x:v>0.35</x:v>
      </x:c>
      <x:c r="P952" s="47" t="n">
        <x:f>J952*O952</x:f>
        <x:v>4522</x:v>
      </x:c>
      <x:c r="Q952" s="46" t="n">
        <x:f>IF(C952="P0",0,IF(D952&lt;=3,0.05,IF(D952&lt;=14,0.1,IF(D952&lt;=45,0.15,0.2))))</x:f>
        <x:v>0.15</x:v>
      </x:c>
      <x:c r="R952" s="47" t="n">
        <x:f>J952*Q952</x:f>
        <x:v>1938</x:v>
      </x:c>
      <x:c r="S952" s="20" t="str">
        <x:f>IF(D952&lt;E952,"closed",IF(D952&lt;'Paths'!$N$17,"initial","expanded"))</x:f>
        <x:v>expanded</x:v>
      </x:c>
      <x:c r="T952" s="72"/>
    </x:row>
    <x:row r="953">
      <x:c r="C953" s="20" t="str">
        <x:v>P10</x:v>
      </x:c>
      <x:c r="D953" s="20" t="n">
        <x:v>36</x:v>
      </x:c>
      <x:c r="E953" s="45" t="n">
        <x:f>IF('Controls'!$D$7="Reference",'Paths'!$J$17,'Paths'!$K$17)</x:f>
        <x:v>14</x:v>
      </x:c>
      <x:c r="F953" s="47" t="n">
        <x:f>IF(D953&lt;'Paths'!$N$17,IF('Controls'!$D$7="Reference",'Paths'!$L$17,'Paths'!$M$17),IF('Controls'!$D$7="Reference",'Paths'!$O$17,'Paths'!$P$17))</x:f>
        <x:v>38000</x:v>
      </x:c>
      <x:c r="G953" s="46" t="n">
        <x:f>IF('Controls'!$D$7="Reference",1,IF(OR(D953=6,D953=7,D953=21,D953=46),'Paths'!$U$17,1))</x:f>
        <x:v>1</x:v>
      </x:c>
      <x:c r="H953" s="46" t="n">
        <x:f>IF('Controls'!$D$7="Reference",1,IF(OR(AND(D953&gt;=14,D953&lt;=16),AND(D953&gt;=34,D953&lt;=35),AND(D953&gt;=61,D953&lt;=63)),'Paths'!$V$17,1))</x:f>
        <x:v>1</x:v>
      </x:c>
      <x:c r="I953" s="46" t="n">
        <x:f>'Paths'!$W$17</x:f>
        <x:v>0.85</x:v>
      </x:c>
      <x:c r="J953" s="47" t="n">
        <x:f>IF(D953&lt;E953,0,MIN(F953*G953*H953*I953,IF('Paths'!$T$17&gt;0,MAX(0,'Paths'!$T$17-K952),1000000000)))</x:f>
        <x:v>32300</x:v>
      </x:c>
      <x:c r="K953" s="47" t="n">
        <x:f>K952+J953</x:f>
        <x:v>464440</x:v>
      </x:c>
      <x:c r="L953" s="46" t="n">
        <x:f>IF(C953="P0",1,IF(D953&lt;=3,0.8,IF(D953&lt;=14,0.65,IF(D953&lt;=45,0.5,0.3))))</x:f>
        <x:v>0.5</x:v>
      </x:c>
      <x:c r="M953" s="47" t="n">
        <x:f>J953*L953</x:f>
        <x:v>16150</x:v>
      </x:c>
      <x:c r="N953" s="47" t="n">
        <x:f>N952+M953</x:f>
        <x:v>233036</x:v>
      </x:c>
      <x:c r="O953" s="46" t="n">
        <x:f>IF(C953="P0",0,IF(D953&lt;=3,0.15,IF(D953&lt;=14,0.25,IF(D953&lt;=45,0.35,0.5))))</x:f>
        <x:v>0.35</x:v>
      </x:c>
      <x:c r="P953" s="47" t="n">
        <x:f>J953*O953</x:f>
        <x:v>11305</x:v>
      </x:c>
      <x:c r="Q953" s="46" t="n">
        <x:f>IF(C953="P0",0,IF(D953&lt;=3,0.05,IF(D953&lt;=14,0.1,IF(D953&lt;=45,0.15,0.2))))</x:f>
        <x:v>0.15</x:v>
      </x:c>
      <x:c r="R953" s="47" t="n">
        <x:f>J953*Q953</x:f>
        <x:v>4845</x:v>
      </x:c>
      <x:c r="S953" s="20" t="str">
        <x:f>IF(D953&lt;E953,"closed",IF(D953&lt;'Paths'!$N$17,"initial","expanded"))</x:f>
        <x:v>expanded</x:v>
      </x:c>
      <x:c r="T953" s="72"/>
    </x:row>
    <x:row r="954">
      <x:c r="C954" s="20" t="str">
        <x:v>P10</x:v>
      </x:c>
      <x:c r="D954" s="20" t="n">
        <x:v>37</x:v>
      </x:c>
      <x:c r="E954" s="45" t="n">
        <x:f>IF('Controls'!$D$7="Reference",'Paths'!$J$17,'Paths'!$K$17)</x:f>
        <x:v>14</x:v>
      </x:c>
      <x:c r="F954" s="47" t="n">
        <x:f>IF(D954&lt;'Paths'!$N$17,IF('Controls'!$D$7="Reference",'Paths'!$L$17,'Paths'!$M$17),IF('Controls'!$D$7="Reference",'Paths'!$O$17,'Paths'!$P$17))</x:f>
        <x:v>38000</x:v>
      </x:c>
      <x:c r="G954" s="46" t="n">
        <x:f>IF('Controls'!$D$7="Reference",1,IF(OR(D954=6,D954=7,D954=21,D954=46),'Paths'!$U$17,1))</x:f>
        <x:v>1</x:v>
      </x:c>
      <x:c r="H954" s="46" t="n">
        <x:f>IF('Controls'!$D$7="Reference",1,IF(OR(AND(D954&gt;=14,D954&lt;=16),AND(D954&gt;=34,D954&lt;=35),AND(D954&gt;=61,D954&lt;=63)),'Paths'!$V$17,1))</x:f>
        <x:v>1</x:v>
      </x:c>
      <x:c r="I954" s="46" t="n">
        <x:f>'Paths'!$W$17</x:f>
        <x:v>0.85</x:v>
      </x:c>
      <x:c r="J954" s="47" t="n">
        <x:f>IF(D954&lt;E954,0,MIN(F954*G954*H954*I954,IF('Paths'!$T$17&gt;0,MAX(0,'Paths'!$T$17-K953),1000000000)))</x:f>
        <x:v>32300</x:v>
      </x:c>
      <x:c r="K954" s="47" t="n">
        <x:f>K953+J954</x:f>
        <x:v>496740</x:v>
      </x:c>
      <x:c r="L954" s="46" t="n">
        <x:f>IF(C954="P0",1,IF(D954&lt;=3,0.8,IF(D954&lt;=14,0.65,IF(D954&lt;=45,0.5,0.3))))</x:f>
        <x:v>0.5</x:v>
      </x:c>
      <x:c r="M954" s="47" t="n">
        <x:f>J954*L954</x:f>
        <x:v>16150</x:v>
      </x:c>
      <x:c r="N954" s="47" t="n">
        <x:f>N953+M954</x:f>
        <x:v>249186</x:v>
      </x:c>
      <x:c r="O954" s="46" t="n">
        <x:f>IF(C954="P0",0,IF(D954&lt;=3,0.15,IF(D954&lt;=14,0.25,IF(D954&lt;=45,0.35,0.5))))</x:f>
        <x:v>0.35</x:v>
      </x:c>
      <x:c r="P954" s="47" t="n">
        <x:f>J954*O954</x:f>
        <x:v>11305</x:v>
      </x:c>
      <x:c r="Q954" s="46" t="n">
        <x:f>IF(C954="P0",0,IF(D954&lt;=3,0.05,IF(D954&lt;=14,0.1,IF(D954&lt;=45,0.15,0.2))))</x:f>
        <x:v>0.15</x:v>
      </x:c>
      <x:c r="R954" s="47" t="n">
        <x:f>J954*Q954</x:f>
        <x:v>4845</x:v>
      </x:c>
      <x:c r="S954" s="20" t="str">
        <x:f>IF(D954&lt;E954,"closed",IF(D954&lt;'Paths'!$N$17,"initial","expanded"))</x:f>
        <x:v>expanded</x:v>
      </x:c>
      <x:c r="T954" s="72"/>
    </x:row>
    <x:row r="955">
      <x:c r="C955" s="20" t="str">
        <x:v>P10</x:v>
      </x:c>
      <x:c r="D955" s="20" t="n">
        <x:v>38</x:v>
      </x:c>
      <x:c r="E955" s="45" t="n">
        <x:f>IF('Controls'!$D$7="Reference",'Paths'!$J$17,'Paths'!$K$17)</x:f>
        <x:v>14</x:v>
      </x:c>
      <x:c r="F955" s="47" t="n">
        <x:f>IF(D955&lt;'Paths'!$N$17,IF('Controls'!$D$7="Reference",'Paths'!$L$17,'Paths'!$M$17),IF('Controls'!$D$7="Reference",'Paths'!$O$17,'Paths'!$P$17))</x:f>
        <x:v>38000</x:v>
      </x:c>
      <x:c r="G955" s="46" t="n">
        <x:f>IF('Controls'!$D$7="Reference",1,IF(OR(D955=6,D955=7,D955=21,D955=46),'Paths'!$U$17,1))</x:f>
        <x:v>1</x:v>
      </x:c>
      <x:c r="H955" s="46" t="n">
        <x:f>IF('Controls'!$D$7="Reference",1,IF(OR(AND(D955&gt;=14,D955&lt;=16),AND(D955&gt;=34,D955&lt;=35),AND(D955&gt;=61,D955&lt;=63)),'Paths'!$V$17,1))</x:f>
        <x:v>1</x:v>
      </x:c>
      <x:c r="I955" s="46" t="n">
        <x:f>'Paths'!$W$17</x:f>
        <x:v>0.85</x:v>
      </x:c>
      <x:c r="J955" s="47" t="n">
        <x:f>IF(D955&lt;E955,0,MIN(F955*G955*H955*I955,IF('Paths'!$T$17&gt;0,MAX(0,'Paths'!$T$17-K954),1000000000)))</x:f>
        <x:v>32300</x:v>
      </x:c>
      <x:c r="K955" s="47" t="n">
        <x:f>K954+J955</x:f>
        <x:v>529040</x:v>
      </x:c>
      <x:c r="L955" s="46" t="n">
        <x:f>IF(C955="P0",1,IF(D955&lt;=3,0.8,IF(D955&lt;=14,0.65,IF(D955&lt;=45,0.5,0.3))))</x:f>
        <x:v>0.5</x:v>
      </x:c>
      <x:c r="M955" s="47" t="n">
        <x:f>J955*L955</x:f>
        <x:v>16150</x:v>
      </x:c>
      <x:c r="N955" s="47" t="n">
        <x:f>N954+M955</x:f>
        <x:v>265336</x:v>
      </x:c>
      <x:c r="O955" s="46" t="n">
        <x:f>IF(C955="P0",0,IF(D955&lt;=3,0.15,IF(D955&lt;=14,0.25,IF(D955&lt;=45,0.35,0.5))))</x:f>
        <x:v>0.35</x:v>
      </x:c>
      <x:c r="P955" s="47" t="n">
        <x:f>J955*O955</x:f>
        <x:v>11305</x:v>
      </x:c>
      <x:c r="Q955" s="46" t="n">
        <x:f>IF(C955="P0",0,IF(D955&lt;=3,0.05,IF(D955&lt;=14,0.1,IF(D955&lt;=45,0.15,0.2))))</x:f>
        <x:v>0.15</x:v>
      </x:c>
      <x:c r="R955" s="47" t="n">
        <x:f>J955*Q955</x:f>
        <x:v>4845</x:v>
      </x:c>
      <x:c r="S955" s="20" t="str">
        <x:f>IF(D955&lt;E955,"closed",IF(D955&lt;'Paths'!$N$17,"initial","expanded"))</x:f>
        <x:v>expanded</x:v>
      </x:c>
      <x:c r="T955" s="72"/>
    </x:row>
    <x:row r="956">
      <x:c r="C956" s="20" t="str">
        <x:v>P10</x:v>
      </x:c>
      <x:c r="D956" s="20" t="n">
        <x:v>39</x:v>
      </x:c>
      <x:c r="E956" s="45" t="n">
        <x:f>IF('Controls'!$D$7="Reference",'Paths'!$J$17,'Paths'!$K$17)</x:f>
        <x:v>14</x:v>
      </x:c>
      <x:c r="F956" s="47" t="n">
        <x:f>IF(D956&lt;'Paths'!$N$17,IF('Controls'!$D$7="Reference",'Paths'!$L$17,'Paths'!$M$17),IF('Controls'!$D$7="Reference",'Paths'!$O$17,'Paths'!$P$17))</x:f>
        <x:v>38000</x:v>
      </x:c>
      <x:c r="G956" s="46" t="n">
        <x:f>IF('Controls'!$D$7="Reference",1,IF(OR(D956=6,D956=7,D956=21,D956=46),'Paths'!$U$17,1))</x:f>
        <x:v>1</x:v>
      </x:c>
      <x:c r="H956" s="46" t="n">
        <x:f>IF('Controls'!$D$7="Reference",1,IF(OR(AND(D956&gt;=14,D956&lt;=16),AND(D956&gt;=34,D956&lt;=35),AND(D956&gt;=61,D956&lt;=63)),'Paths'!$V$17,1))</x:f>
        <x:v>1</x:v>
      </x:c>
      <x:c r="I956" s="46" t="n">
        <x:f>'Paths'!$W$17</x:f>
        <x:v>0.85</x:v>
      </x:c>
      <x:c r="J956" s="47" t="n">
        <x:f>IF(D956&lt;E956,0,MIN(F956*G956*H956*I956,IF('Paths'!$T$17&gt;0,MAX(0,'Paths'!$T$17-K955),1000000000)))</x:f>
        <x:v>32300</x:v>
      </x:c>
      <x:c r="K956" s="47" t="n">
        <x:f>K955+J956</x:f>
        <x:v>561340</x:v>
      </x:c>
      <x:c r="L956" s="46" t="n">
        <x:f>IF(C956="P0",1,IF(D956&lt;=3,0.8,IF(D956&lt;=14,0.65,IF(D956&lt;=45,0.5,0.3))))</x:f>
        <x:v>0.5</x:v>
      </x:c>
      <x:c r="M956" s="47" t="n">
        <x:f>J956*L956</x:f>
        <x:v>16150</x:v>
      </x:c>
      <x:c r="N956" s="47" t="n">
        <x:f>N955+M956</x:f>
        <x:v>281486</x:v>
      </x:c>
      <x:c r="O956" s="46" t="n">
        <x:f>IF(C956="P0",0,IF(D956&lt;=3,0.15,IF(D956&lt;=14,0.25,IF(D956&lt;=45,0.35,0.5))))</x:f>
        <x:v>0.35</x:v>
      </x:c>
      <x:c r="P956" s="47" t="n">
        <x:f>J956*O956</x:f>
        <x:v>11305</x:v>
      </x:c>
      <x:c r="Q956" s="46" t="n">
        <x:f>IF(C956="P0",0,IF(D956&lt;=3,0.05,IF(D956&lt;=14,0.1,IF(D956&lt;=45,0.15,0.2))))</x:f>
        <x:v>0.15</x:v>
      </x:c>
      <x:c r="R956" s="47" t="n">
        <x:f>J956*Q956</x:f>
        <x:v>4845</x:v>
      </x:c>
      <x:c r="S956" s="20" t="str">
        <x:f>IF(D956&lt;E956,"closed",IF(D956&lt;'Paths'!$N$17,"initial","expanded"))</x:f>
        <x:v>expanded</x:v>
      </x:c>
      <x:c r="T956" s="72"/>
    </x:row>
    <x:row r="957">
      <x:c r="C957" s="20" t="str">
        <x:v>P10</x:v>
      </x:c>
      <x:c r="D957" s="20" t="n">
        <x:v>40</x:v>
      </x:c>
      <x:c r="E957" s="45" t="n">
        <x:f>IF('Controls'!$D$7="Reference",'Paths'!$J$17,'Paths'!$K$17)</x:f>
        <x:v>14</x:v>
      </x:c>
      <x:c r="F957" s="47" t="n">
        <x:f>IF(D957&lt;'Paths'!$N$17,IF('Controls'!$D$7="Reference",'Paths'!$L$17,'Paths'!$M$17),IF('Controls'!$D$7="Reference",'Paths'!$O$17,'Paths'!$P$17))</x:f>
        <x:v>38000</x:v>
      </x:c>
      <x:c r="G957" s="46" t="n">
        <x:f>IF('Controls'!$D$7="Reference",1,IF(OR(D957=6,D957=7,D957=21,D957=46),'Paths'!$U$17,1))</x:f>
        <x:v>1</x:v>
      </x:c>
      <x:c r="H957" s="46" t="n">
        <x:f>IF('Controls'!$D$7="Reference",1,IF(OR(AND(D957&gt;=14,D957&lt;=16),AND(D957&gt;=34,D957&lt;=35),AND(D957&gt;=61,D957&lt;=63)),'Paths'!$V$17,1))</x:f>
        <x:v>1</x:v>
      </x:c>
      <x:c r="I957" s="46" t="n">
        <x:f>'Paths'!$W$17</x:f>
        <x:v>0.85</x:v>
      </x:c>
      <x:c r="J957" s="47" t="n">
        <x:f>IF(D957&lt;E957,0,MIN(F957*G957*H957*I957,IF('Paths'!$T$17&gt;0,MAX(0,'Paths'!$T$17-K956),1000000000)))</x:f>
        <x:v>32300</x:v>
      </x:c>
      <x:c r="K957" s="47" t="n">
        <x:f>K956+J957</x:f>
        <x:v>593640</x:v>
      </x:c>
      <x:c r="L957" s="46" t="n">
        <x:f>IF(C957="P0",1,IF(D957&lt;=3,0.8,IF(D957&lt;=14,0.65,IF(D957&lt;=45,0.5,0.3))))</x:f>
        <x:v>0.5</x:v>
      </x:c>
      <x:c r="M957" s="47" t="n">
        <x:f>J957*L957</x:f>
        <x:v>16150</x:v>
      </x:c>
      <x:c r="N957" s="47" t="n">
        <x:f>N956+M957</x:f>
        <x:v>297636</x:v>
      </x:c>
      <x:c r="O957" s="46" t="n">
        <x:f>IF(C957="P0",0,IF(D957&lt;=3,0.15,IF(D957&lt;=14,0.25,IF(D957&lt;=45,0.35,0.5))))</x:f>
        <x:v>0.35</x:v>
      </x:c>
      <x:c r="P957" s="47" t="n">
        <x:f>J957*O957</x:f>
        <x:v>11305</x:v>
      </x:c>
      <x:c r="Q957" s="46" t="n">
        <x:f>IF(C957="P0",0,IF(D957&lt;=3,0.05,IF(D957&lt;=14,0.1,IF(D957&lt;=45,0.15,0.2))))</x:f>
        <x:v>0.15</x:v>
      </x:c>
      <x:c r="R957" s="47" t="n">
        <x:f>J957*Q957</x:f>
        <x:v>4845</x:v>
      </x:c>
      <x:c r="S957" s="20" t="str">
        <x:f>IF(D957&lt;E957,"closed",IF(D957&lt;'Paths'!$N$17,"initial","expanded"))</x:f>
        <x:v>expanded</x:v>
      </x:c>
      <x:c r="T957" s="72"/>
    </x:row>
    <x:row r="958">
      <x:c r="C958" s="20" t="str">
        <x:v>P10</x:v>
      </x:c>
      <x:c r="D958" s="20" t="n">
        <x:v>41</x:v>
      </x:c>
      <x:c r="E958" s="45" t="n">
        <x:f>IF('Controls'!$D$7="Reference",'Paths'!$J$17,'Paths'!$K$17)</x:f>
        <x:v>14</x:v>
      </x:c>
      <x:c r="F958" s="47" t="n">
        <x:f>IF(D958&lt;'Paths'!$N$17,IF('Controls'!$D$7="Reference",'Paths'!$L$17,'Paths'!$M$17),IF('Controls'!$D$7="Reference",'Paths'!$O$17,'Paths'!$P$17))</x:f>
        <x:v>38000</x:v>
      </x:c>
      <x:c r="G958" s="46" t="n">
        <x:f>IF('Controls'!$D$7="Reference",1,IF(OR(D958=6,D958=7,D958=21,D958=46),'Paths'!$U$17,1))</x:f>
        <x:v>1</x:v>
      </x:c>
      <x:c r="H958" s="46" t="n">
        <x:f>IF('Controls'!$D$7="Reference",1,IF(OR(AND(D958&gt;=14,D958&lt;=16),AND(D958&gt;=34,D958&lt;=35),AND(D958&gt;=61,D958&lt;=63)),'Paths'!$V$17,1))</x:f>
        <x:v>1</x:v>
      </x:c>
      <x:c r="I958" s="46" t="n">
        <x:f>'Paths'!$W$17</x:f>
        <x:v>0.85</x:v>
      </x:c>
      <x:c r="J958" s="47" t="n">
        <x:f>IF(D958&lt;E958,0,MIN(F958*G958*H958*I958,IF('Paths'!$T$17&gt;0,MAX(0,'Paths'!$T$17-K957),1000000000)))</x:f>
        <x:v>32300</x:v>
      </x:c>
      <x:c r="K958" s="47" t="n">
        <x:f>K957+J958</x:f>
        <x:v>625940</x:v>
      </x:c>
      <x:c r="L958" s="46" t="n">
        <x:f>IF(C958="P0",1,IF(D958&lt;=3,0.8,IF(D958&lt;=14,0.65,IF(D958&lt;=45,0.5,0.3))))</x:f>
        <x:v>0.5</x:v>
      </x:c>
      <x:c r="M958" s="47" t="n">
        <x:f>J958*L958</x:f>
        <x:v>16150</x:v>
      </x:c>
      <x:c r="N958" s="47" t="n">
        <x:f>N957+M958</x:f>
        <x:v>313786</x:v>
      </x:c>
      <x:c r="O958" s="46" t="n">
        <x:f>IF(C958="P0",0,IF(D958&lt;=3,0.15,IF(D958&lt;=14,0.25,IF(D958&lt;=45,0.35,0.5))))</x:f>
        <x:v>0.35</x:v>
      </x:c>
      <x:c r="P958" s="47" t="n">
        <x:f>J958*O958</x:f>
        <x:v>11305</x:v>
      </x:c>
      <x:c r="Q958" s="46" t="n">
        <x:f>IF(C958="P0",0,IF(D958&lt;=3,0.05,IF(D958&lt;=14,0.1,IF(D958&lt;=45,0.15,0.2))))</x:f>
        <x:v>0.15</x:v>
      </x:c>
      <x:c r="R958" s="47" t="n">
        <x:f>J958*Q958</x:f>
        <x:v>4845</x:v>
      </x:c>
      <x:c r="S958" s="20" t="str">
        <x:f>IF(D958&lt;E958,"closed",IF(D958&lt;'Paths'!$N$17,"initial","expanded"))</x:f>
        <x:v>expanded</x:v>
      </x:c>
      <x:c r="T958" s="72"/>
    </x:row>
    <x:row r="959">
      <x:c r="C959" s="20" t="str">
        <x:v>P10</x:v>
      </x:c>
      <x:c r="D959" s="20" t="n">
        <x:v>42</x:v>
      </x:c>
      <x:c r="E959" s="45" t="n">
        <x:f>IF('Controls'!$D$7="Reference",'Paths'!$J$17,'Paths'!$K$17)</x:f>
        <x:v>14</x:v>
      </x:c>
      <x:c r="F959" s="47" t="n">
        <x:f>IF(D959&lt;'Paths'!$N$17,IF('Controls'!$D$7="Reference",'Paths'!$L$17,'Paths'!$M$17),IF('Controls'!$D$7="Reference",'Paths'!$O$17,'Paths'!$P$17))</x:f>
        <x:v>38000</x:v>
      </x:c>
      <x:c r="G959" s="46" t="n">
        <x:f>IF('Controls'!$D$7="Reference",1,IF(OR(D959=6,D959=7,D959=21,D959=46),'Paths'!$U$17,1))</x:f>
        <x:v>1</x:v>
      </x:c>
      <x:c r="H959" s="46" t="n">
        <x:f>IF('Controls'!$D$7="Reference",1,IF(OR(AND(D959&gt;=14,D959&lt;=16),AND(D959&gt;=34,D959&lt;=35),AND(D959&gt;=61,D959&lt;=63)),'Paths'!$V$17,1))</x:f>
        <x:v>1</x:v>
      </x:c>
      <x:c r="I959" s="46" t="n">
        <x:f>'Paths'!$W$17</x:f>
        <x:v>0.85</x:v>
      </x:c>
      <x:c r="J959" s="47" t="n">
        <x:f>IF(D959&lt;E959,0,MIN(F959*G959*H959*I959,IF('Paths'!$T$17&gt;0,MAX(0,'Paths'!$T$17-K958),1000000000)))</x:f>
        <x:v>32300</x:v>
      </x:c>
      <x:c r="K959" s="47" t="n">
        <x:f>K958+J959</x:f>
        <x:v>658240</x:v>
      </x:c>
      <x:c r="L959" s="46" t="n">
        <x:f>IF(C959="P0",1,IF(D959&lt;=3,0.8,IF(D959&lt;=14,0.65,IF(D959&lt;=45,0.5,0.3))))</x:f>
        <x:v>0.5</x:v>
      </x:c>
      <x:c r="M959" s="47" t="n">
        <x:f>J959*L959</x:f>
        <x:v>16150</x:v>
      </x:c>
      <x:c r="N959" s="47" t="n">
        <x:f>N958+M959</x:f>
        <x:v>329936</x:v>
      </x:c>
      <x:c r="O959" s="46" t="n">
        <x:f>IF(C959="P0",0,IF(D959&lt;=3,0.15,IF(D959&lt;=14,0.25,IF(D959&lt;=45,0.35,0.5))))</x:f>
        <x:v>0.35</x:v>
      </x:c>
      <x:c r="P959" s="47" t="n">
        <x:f>J959*O959</x:f>
        <x:v>11305</x:v>
      </x:c>
      <x:c r="Q959" s="46" t="n">
        <x:f>IF(C959="P0",0,IF(D959&lt;=3,0.05,IF(D959&lt;=14,0.1,IF(D959&lt;=45,0.15,0.2))))</x:f>
        <x:v>0.15</x:v>
      </x:c>
      <x:c r="R959" s="47" t="n">
        <x:f>J959*Q959</x:f>
        <x:v>4845</x:v>
      </x:c>
      <x:c r="S959" s="20" t="str">
        <x:f>IF(D959&lt;E959,"closed",IF(D959&lt;'Paths'!$N$17,"initial","expanded"))</x:f>
        <x:v>expanded</x:v>
      </x:c>
      <x:c r="T959" s="72"/>
    </x:row>
    <x:row r="960">
      <x:c r="C960" s="20" t="str">
        <x:v>P10</x:v>
      </x:c>
      <x:c r="D960" s="20" t="n">
        <x:v>43</x:v>
      </x:c>
      <x:c r="E960" s="45" t="n">
        <x:f>IF('Controls'!$D$7="Reference",'Paths'!$J$17,'Paths'!$K$17)</x:f>
        <x:v>14</x:v>
      </x:c>
      <x:c r="F960" s="47" t="n">
        <x:f>IF(D960&lt;'Paths'!$N$17,IF('Controls'!$D$7="Reference",'Paths'!$L$17,'Paths'!$M$17),IF('Controls'!$D$7="Reference",'Paths'!$O$17,'Paths'!$P$17))</x:f>
        <x:v>38000</x:v>
      </x:c>
      <x:c r="G960" s="46" t="n">
        <x:f>IF('Controls'!$D$7="Reference",1,IF(OR(D960=6,D960=7,D960=21,D960=46),'Paths'!$U$17,1))</x:f>
        <x:v>1</x:v>
      </x:c>
      <x:c r="H960" s="46" t="n">
        <x:f>IF('Controls'!$D$7="Reference",1,IF(OR(AND(D960&gt;=14,D960&lt;=16),AND(D960&gt;=34,D960&lt;=35),AND(D960&gt;=61,D960&lt;=63)),'Paths'!$V$17,1))</x:f>
        <x:v>1</x:v>
      </x:c>
      <x:c r="I960" s="46" t="n">
        <x:f>'Paths'!$W$17</x:f>
        <x:v>0.85</x:v>
      </x:c>
      <x:c r="J960" s="47" t="n">
        <x:f>IF(D960&lt;E960,0,MIN(F960*G960*H960*I960,IF('Paths'!$T$17&gt;0,MAX(0,'Paths'!$T$17-K959),1000000000)))</x:f>
        <x:v>32300</x:v>
      </x:c>
      <x:c r="K960" s="47" t="n">
        <x:f>K959+J960</x:f>
        <x:v>690540</x:v>
      </x:c>
      <x:c r="L960" s="46" t="n">
        <x:f>IF(C960="P0",1,IF(D960&lt;=3,0.8,IF(D960&lt;=14,0.65,IF(D960&lt;=45,0.5,0.3))))</x:f>
        <x:v>0.5</x:v>
      </x:c>
      <x:c r="M960" s="47" t="n">
        <x:f>J960*L960</x:f>
        <x:v>16150</x:v>
      </x:c>
      <x:c r="N960" s="47" t="n">
        <x:f>N959+M960</x:f>
        <x:v>346086</x:v>
      </x:c>
      <x:c r="O960" s="46" t="n">
        <x:f>IF(C960="P0",0,IF(D960&lt;=3,0.15,IF(D960&lt;=14,0.25,IF(D960&lt;=45,0.35,0.5))))</x:f>
        <x:v>0.35</x:v>
      </x:c>
      <x:c r="P960" s="47" t="n">
        <x:f>J960*O960</x:f>
        <x:v>11305</x:v>
      </x:c>
      <x:c r="Q960" s="46" t="n">
        <x:f>IF(C960="P0",0,IF(D960&lt;=3,0.05,IF(D960&lt;=14,0.1,IF(D960&lt;=45,0.15,0.2))))</x:f>
        <x:v>0.15</x:v>
      </x:c>
      <x:c r="R960" s="47" t="n">
        <x:f>J960*Q960</x:f>
        <x:v>4845</x:v>
      </x:c>
      <x:c r="S960" s="20" t="str">
        <x:f>IF(D960&lt;E960,"closed",IF(D960&lt;'Paths'!$N$17,"initial","expanded"))</x:f>
        <x:v>expanded</x:v>
      </x:c>
      <x:c r="T960" s="72"/>
    </x:row>
    <x:row r="961">
      <x:c r="C961" s="20" t="str">
        <x:v>P10</x:v>
      </x:c>
      <x:c r="D961" s="20" t="n">
        <x:v>44</x:v>
      </x:c>
      <x:c r="E961" s="45" t="n">
        <x:f>IF('Controls'!$D$7="Reference",'Paths'!$J$17,'Paths'!$K$17)</x:f>
        <x:v>14</x:v>
      </x:c>
      <x:c r="F961" s="47" t="n">
        <x:f>IF(D961&lt;'Paths'!$N$17,IF('Controls'!$D$7="Reference",'Paths'!$L$17,'Paths'!$M$17),IF('Controls'!$D$7="Reference",'Paths'!$O$17,'Paths'!$P$17))</x:f>
        <x:v>38000</x:v>
      </x:c>
      <x:c r="G961" s="46" t="n">
        <x:f>IF('Controls'!$D$7="Reference",1,IF(OR(D961=6,D961=7,D961=21,D961=46),'Paths'!$U$17,1))</x:f>
        <x:v>1</x:v>
      </x:c>
      <x:c r="H961" s="46" t="n">
        <x:f>IF('Controls'!$D$7="Reference",1,IF(OR(AND(D961&gt;=14,D961&lt;=16),AND(D961&gt;=34,D961&lt;=35),AND(D961&gt;=61,D961&lt;=63)),'Paths'!$V$17,1))</x:f>
        <x:v>1</x:v>
      </x:c>
      <x:c r="I961" s="46" t="n">
        <x:f>'Paths'!$W$17</x:f>
        <x:v>0.85</x:v>
      </x:c>
      <x:c r="J961" s="47" t="n">
        <x:f>IF(D961&lt;E961,0,MIN(F961*G961*H961*I961,IF('Paths'!$T$17&gt;0,MAX(0,'Paths'!$T$17-K960),1000000000)))</x:f>
        <x:v>32300</x:v>
      </x:c>
      <x:c r="K961" s="47" t="n">
        <x:f>K960+J961</x:f>
        <x:v>722840</x:v>
      </x:c>
      <x:c r="L961" s="46" t="n">
        <x:f>IF(C961="P0",1,IF(D961&lt;=3,0.8,IF(D961&lt;=14,0.65,IF(D961&lt;=45,0.5,0.3))))</x:f>
        <x:v>0.5</x:v>
      </x:c>
      <x:c r="M961" s="47" t="n">
        <x:f>J961*L961</x:f>
        <x:v>16150</x:v>
      </x:c>
      <x:c r="N961" s="47" t="n">
        <x:f>N960+M961</x:f>
        <x:v>362236</x:v>
      </x:c>
      <x:c r="O961" s="46" t="n">
        <x:f>IF(C961="P0",0,IF(D961&lt;=3,0.15,IF(D961&lt;=14,0.25,IF(D961&lt;=45,0.35,0.5))))</x:f>
        <x:v>0.35</x:v>
      </x:c>
      <x:c r="P961" s="47" t="n">
        <x:f>J961*O961</x:f>
        <x:v>11305</x:v>
      </x:c>
      <x:c r="Q961" s="46" t="n">
        <x:f>IF(C961="P0",0,IF(D961&lt;=3,0.05,IF(D961&lt;=14,0.1,IF(D961&lt;=45,0.15,0.2))))</x:f>
        <x:v>0.15</x:v>
      </x:c>
      <x:c r="R961" s="47" t="n">
        <x:f>J961*Q961</x:f>
        <x:v>4845</x:v>
      </x:c>
      <x:c r="S961" s="20" t="str">
        <x:f>IF(D961&lt;E961,"closed",IF(D961&lt;'Paths'!$N$17,"initial","expanded"))</x:f>
        <x:v>expanded</x:v>
      </x:c>
      <x:c r="T961" s="72"/>
    </x:row>
    <x:row r="962">
      <x:c r="C962" s="20" t="str">
        <x:v>P10</x:v>
      </x:c>
      <x:c r="D962" s="20" t="n">
        <x:v>45</x:v>
      </x:c>
      <x:c r="E962" s="45" t="n">
        <x:f>IF('Controls'!$D$7="Reference",'Paths'!$J$17,'Paths'!$K$17)</x:f>
        <x:v>14</x:v>
      </x:c>
      <x:c r="F962" s="47" t="n">
        <x:f>IF(D962&lt;'Paths'!$N$17,IF('Controls'!$D$7="Reference",'Paths'!$L$17,'Paths'!$M$17),IF('Controls'!$D$7="Reference",'Paths'!$O$17,'Paths'!$P$17))</x:f>
        <x:v>38000</x:v>
      </x:c>
      <x:c r="G962" s="46" t="n">
        <x:f>IF('Controls'!$D$7="Reference",1,IF(OR(D962=6,D962=7,D962=21,D962=46),'Paths'!$U$17,1))</x:f>
        <x:v>1</x:v>
      </x:c>
      <x:c r="H962" s="46" t="n">
        <x:f>IF('Controls'!$D$7="Reference",1,IF(OR(AND(D962&gt;=14,D962&lt;=16),AND(D962&gt;=34,D962&lt;=35),AND(D962&gt;=61,D962&lt;=63)),'Paths'!$V$17,1))</x:f>
        <x:v>1</x:v>
      </x:c>
      <x:c r="I962" s="46" t="n">
        <x:f>'Paths'!$W$17</x:f>
        <x:v>0.85</x:v>
      </x:c>
      <x:c r="J962" s="47" t="n">
        <x:f>IF(D962&lt;E962,0,MIN(F962*G962*H962*I962,IF('Paths'!$T$17&gt;0,MAX(0,'Paths'!$T$17-K961),1000000000)))</x:f>
        <x:v>32300</x:v>
      </x:c>
      <x:c r="K962" s="47" t="n">
        <x:f>K961+J962</x:f>
        <x:v>755140</x:v>
      </x:c>
      <x:c r="L962" s="46" t="n">
        <x:f>IF(C962="P0",1,IF(D962&lt;=3,0.8,IF(D962&lt;=14,0.65,IF(D962&lt;=45,0.5,0.3))))</x:f>
        <x:v>0.5</x:v>
      </x:c>
      <x:c r="M962" s="47" t="n">
        <x:f>J962*L962</x:f>
        <x:v>16150</x:v>
      </x:c>
      <x:c r="N962" s="47" t="n">
        <x:f>N961+M962</x:f>
        <x:v>378386</x:v>
      </x:c>
      <x:c r="O962" s="46" t="n">
        <x:f>IF(C962="P0",0,IF(D962&lt;=3,0.15,IF(D962&lt;=14,0.25,IF(D962&lt;=45,0.35,0.5))))</x:f>
        <x:v>0.35</x:v>
      </x:c>
      <x:c r="P962" s="47" t="n">
        <x:f>J962*O962</x:f>
        <x:v>11305</x:v>
      </x:c>
      <x:c r="Q962" s="46" t="n">
        <x:f>IF(C962="P0",0,IF(D962&lt;=3,0.05,IF(D962&lt;=14,0.1,IF(D962&lt;=45,0.15,0.2))))</x:f>
        <x:v>0.15</x:v>
      </x:c>
      <x:c r="R962" s="47" t="n">
        <x:f>J962*Q962</x:f>
        <x:v>4845</x:v>
      </x:c>
      <x:c r="S962" s="20" t="str">
        <x:f>IF(D962&lt;E962,"closed",IF(D962&lt;'Paths'!$N$17,"initial","expanded"))</x:f>
        <x:v>expanded</x:v>
      </x:c>
      <x:c r="T962" s="72"/>
    </x:row>
    <x:row r="963">
      <x:c r="C963" s="20" t="str">
        <x:v>P10</x:v>
      </x:c>
      <x:c r="D963" s="20" t="n">
        <x:v>46</x:v>
      </x:c>
      <x:c r="E963" s="45" t="n">
        <x:f>IF('Controls'!$D$7="Reference",'Paths'!$J$17,'Paths'!$K$17)</x:f>
        <x:v>14</x:v>
      </x:c>
      <x:c r="F963" s="47" t="n">
        <x:f>IF(D963&lt;'Paths'!$N$17,IF('Controls'!$D$7="Reference",'Paths'!$L$17,'Paths'!$M$17),IF('Controls'!$D$7="Reference",'Paths'!$O$17,'Paths'!$P$17))</x:f>
        <x:v>38000</x:v>
      </x:c>
      <x:c r="G963" s="46" t="n">
        <x:f>IF('Controls'!$D$7="Reference",1,IF(OR(D963=6,D963=7,D963=21,D963=46),'Paths'!$U$17,1))</x:f>
        <x:v>0.3</x:v>
      </x:c>
      <x:c r="H963" s="46" t="n">
        <x:f>IF('Controls'!$D$7="Reference",1,IF(OR(AND(D963&gt;=14,D963&lt;=16),AND(D963&gt;=34,D963&lt;=35),AND(D963&gt;=61,D963&lt;=63)),'Paths'!$V$17,1))</x:f>
        <x:v>1</x:v>
      </x:c>
      <x:c r="I963" s="46" t="n">
        <x:f>'Paths'!$W$17</x:f>
        <x:v>0.85</x:v>
      </x:c>
      <x:c r="J963" s="47" t="n">
        <x:f>IF(D963&lt;E963,0,MIN(F963*G963*H963*I963,IF('Paths'!$T$17&gt;0,MAX(0,'Paths'!$T$17-K962),1000000000)))</x:f>
        <x:v>9690</x:v>
      </x:c>
      <x:c r="K963" s="47" t="n">
        <x:f>K962+J963</x:f>
        <x:v>764830</x:v>
      </x:c>
      <x:c r="L963" s="46" t="n">
        <x:f>IF(C963="P0",1,IF(D963&lt;=3,0.8,IF(D963&lt;=14,0.65,IF(D963&lt;=45,0.5,0.3))))</x:f>
        <x:v>0.3</x:v>
      </x:c>
      <x:c r="M963" s="47" t="n">
        <x:f>J963*L963</x:f>
        <x:v>2907</x:v>
      </x:c>
      <x:c r="N963" s="47" t="n">
        <x:f>N962+M963</x:f>
        <x:v>381293</x:v>
      </x:c>
      <x:c r="O963" s="46" t="n">
        <x:f>IF(C963="P0",0,IF(D963&lt;=3,0.15,IF(D963&lt;=14,0.25,IF(D963&lt;=45,0.35,0.5))))</x:f>
        <x:v>0.5</x:v>
      </x:c>
      <x:c r="P963" s="47" t="n">
        <x:f>J963*O963</x:f>
        <x:v>4845</x:v>
      </x:c>
      <x:c r="Q963" s="46" t="n">
        <x:f>IF(C963="P0",0,IF(D963&lt;=3,0.05,IF(D963&lt;=14,0.1,IF(D963&lt;=45,0.15,0.2))))</x:f>
        <x:v>0.2</x:v>
      </x:c>
      <x:c r="R963" s="47" t="n">
        <x:f>J963*Q963</x:f>
        <x:v>1938</x:v>
      </x:c>
      <x:c r="S963" s="20" t="str">
        <x:f>IF(D963&lt;E963,"closed",IF(D963&lt;'Paths'!$N$17,"initial","expanded"))</x:f>
        <x:v>expanded</x:v>
      </x:c>
      <x:c r="T963" s="72"/>
    </x:row>
    <x:row r="964">
      <x:c r="C964" s="20" t="str">
        <x:v>P10</x:v>
      </x:c>
      <x:c r="D964" s="20" t="n">
        <x:v>47</x:v>
      </x:c>
      <x:c r="E964" s="45" t="n">
        <x:f>IF('Controls'!$D$7="Reference",'Paths'!$J$17,'Paths'!$K$17)</x:f>
        <x:v>14</x:v>
      </x:c>
      <x:c r="F964" s="47" t="n">
        <x:f>IF(D964&lt;'Paths'!$N$17,IF('Controls'!$D$7="Reference",'Paths'!$L$17,'Paths'!$M$17),IF('Controls'!$D$7="Reference",'Paths'!$O$17,'Paths'!$P$17))</x:f>
        <x:v>38000</x:v>
      </x:c>
      <x:c r="G964" s="46" t="n">
        <x:f>IF('Controls'!$D$7="Reference",1,IF(OR(D964=6,D964=7,D964=21,D964=46),'Paths'!$U$17,1))</x:f>
        <x:v>1</x:v>
      </x:c>
      <x:c r="H964" s="46" t="n">
        <x:f>IF('Controls'!$D$7="Reference",1,IF(OR(AND(D964&gt;=14,D964&lt;=16),AND(D964&gt;=34,D964&lt;=35),AND(D964&gt;=61,D964&lt;=63)),'Paths'!$V$17,1))</x:f>
        <x:v>1</x:v>
      </x:c>
      <x:c r="I964" s="46" t="n">
        <x:f>'Paths'!$W$17</x:f>
        <x:v>0.85</x:v>
      </x:c>
      <x:c r="J964" s="47" t="n">
        <x:f>IF(D964&lt;E964,0,MIN(F964*G964*H964*I964,IF('Paths'!$T$17&gt;0,MAX(0,'Paths'!$T$17-K963),1000000000)))</x:f>
        <x:v>32300</x:v>
      </x:c>
      <x:c r="K964" s="47" t="n">
        <x:f>K963+J964</x:f>
        <x:v>797130</x:v>
      </x:c>
      <x:c r="L964" s="46" t="n">
        <x:f>IF(C964="P0",1,IF(D964&lt;=3,0.8,IF(D964&lt;=14,0.65,IF(D964&lt;=45,0.5,0.3))))</x:f>
        <x:v>0.3</x:v>
      </x:c>
      <x:c r="M964" s="47" t="n">
        <x:f>J964*L964</x:f>
        <x:v>9690</x:v>
      </x:c>
      <x:c r="N964" s="47" t="n">
        <x:f>N963+M964</x:f>
        <x:v>390983</x:v>
      </x:c>
      <x:c r="O964" s="46" t="n">
        <x:f>IF(C964="P0",0,IF(D964&lt;=3,0.15,IF(D964&lt;=14,0.25,IF(D964&lt;=45,0.35,0.5))))</x:f>
        <x:v>0.5</x:v>
      </x:c>
      <x:c r="P964" s="47" t="n">
        <x:f>J964*O964</x:f>
        <x:v>16150</x:v>
      </x:c>
      <x:c r="Q964" s="46" t="n">
        <x:f>IF(C964="P0",0,IF(D964&lt;=3,0.05,IF(D964&lt;=14,0.1,IF(D964&lt;=45,0.15,0.2))))</x:f>
        <x:v>0.2</x:v>
      </x:c>
      <x:c r="R964" s="47" t="n">
        <x:f>J964*Q964</x:f>
        <x:v>6460</x:v>
      </x:c>
      <x:c r="S964" s="20" t="str">
        <x:f>IF(D964&lt;E964,"closed",IF(D964&lt;'Paths'!$N$17,"initial","expanded"))</x:f>
        <x:v>expanded</x:v>
      </x:c>
      <x:c r="T964" s="72"/>
    </x:row>
    <x:row r="965">
      <x:c r="C965" s="20" t="str">
        <x:v>P10</x:v>
      </x:c>
      <x:c r="D965" s="20" t="n">
        <x:v>48</x:v>
      </x:c>
      <x:c r="E965" s="45" t="n">
        <x:f>IF('Controls'!$D$7="Reference",'Paths'!$J$17,'Paths'!$K$17)</x:f>
        <x:v>14</x:v>
      </x:c>
      <x:c r="F965" s="47" t="n">
        <x:f>IF(D965&lt;'Paths'!$N$17,IF('Controls'!$D$7="Reference",'Paths'!$L$17,'Paths'!$M$17),IF('Controls'!$D$7="Reference",'Paths'!$O$17,'Paths'!$P$17))</x:f>
        <x:v>38000</x:v>
      </x:c>
      <x:c r="G965" s="46" t="n">
        <x:f>IF('Controls'!$D$7="Reference",1,IF(OR(D965=6,D965=7,D965=21,D965=46),'Paths'!$U$17,1))</x:f>
        <x:v>1</x:v>
      </x:c>
      <x:c r="H965" s="46" t="n">
        <x:f>IF('Controls'!$D$7="Reference",1,IF(OR(AND(D965&gt;=14,D965&lt;=16),AND(D965&gt;=34,D965&lt;=35),AND(D965&gt;=61,D965&lt;=63)),'Paths'!$V$17,1))</x:f>
        <x:v>1</x:v>
      </x:c>
      <x:c r="I965" s="46" t="n">
        <x:f>'Paths'!$W$17</x:f>
        <x:v>0.85</x:v>
      </x:c>
      <x:c r="J965" s="47" t="n">
        <x:f>IF(D965&lt;E965,0,MIN(F965*G965*H965*I965,IF('Paths'!$T$17&gt;0,MAX(0,'Paths'!$T$17-K964),1000000000)))</x:f>
        <x:v>32300</x:v>
      </x:c>
      <x:c r="K965" s="47" t="n">
        <x:f>K964+J965</x:f>
        <x:v>829430</x:v>
      </x:c>
      <x:c r="L965" s="46" t="n">
        <x:f>IF(C965="P0",1,IF(D965&lt;=3,0.8,IF(D965&lt;=14,0.65,IF(D965&lt;=45,0.5,0.3))))</x:f>
        <x:v>0.3</x:v>
      </x:c>
      <x:c r="M965" s="47" t="n">
        <x:f>J965*L965</x:f>
        <x:v>9690</x:v>
      </x:c>
      <x:c r="N965" s="47" t="n">
        <x:f>N964+M965</x:f>
        <x:v>400673</x:v>
      </x:c>
      <x:c r="O965" s="46" t="n">
        <x:f>IF(C965="P0",0,IF(D965&lt;=3,0.15,IF(D965&lt;=14,0.25,IF(D965&lt;=45,0.35,0.5))))</x:f>
        <x:v>0.5</x:v>
      </x:c>
      <x:c r="P965" s="47" t="n">
        <x:f>J965*O965</x:f>
        <x:v>16150</x:v>
      </x:c>
      <x:c r="Q965" s="46" t="n">
        <x:f>IF(C965="P0",0,IF(D965&lt;=3,0.05,IF(D965&lt;=14,0.1,IF(D965&lt;=45,0.15,0.2))))</x:f>
        <x:v>0.2</x:v>
      </x:c>
      <x:c r="R965" s="47" t="n">
        <x:f>J965*Q965</x:f>
        <x:v>6460</x:v>
      </x:c>
      <x:c r="S965" s="20" t="str">
        <x:f>IF(D965&lt;E965,"closed",IF(D965&lt;'Paths'!$N$17,"initial","expanded"))</x:f>
        <x:v>expanded</x:v>
      </x:c>
      <x:c r="T965" s="72"/>
    </x:row>
    <x:row r="966">
      <x:c r="C966" s="20" t="str">
        <x:v>P10</x:v>
      </x:c>
      <x:c r="D966" s="20" t="n">
        <x:v>49</x:v>
      </x:c>
      <x:c r="E966" s="45" t="n">
        <x:f>IF('Controls'!$D$7="Reference",'Paths'!$J$17,'Paths'!$K$17)</x:f>
        <x:v>14</x:v>
      </x:c>
      <x:c r="F966" s="47" t="n">
        <x:f>IF(D966&lt;'Paths'!$N$17,IF('Controls'!$D$7="Reference",'Paths'!$L$17,'Paths'!$M$17),IF('Controls'!$D$7="Reference",'Paths'!$O$17,'Paths'!$P$17))</x:f>
        <x:v>38000</x:v>
      </x:c>
      <x:c r="G966" s="46" t="n">
        <x:f>IF('Controls'!$D$7="Reference",1,IF(OR(D966=6,D966=7,D966=21,D966=46),'Paths'!$U$17,1))</x:f>
        <x:v>1</x:v>
      </x:c>
      <x:c r="H966" s="46" t="n">
        <x:f>IF('Controls'!$D$7="Reference",1,IF(OR(AND(D966&gt;=14,D966&lt;=16),AND(D966&gt;=34,D966&lt;=35),AND(D966&gt;=61,D966&lt;=63)),'Paths'!$V$17,1))</x:f>
        <x:v>1</x:v>
      </x:c>
      <x:c r="I966" s="46" t="n">
        <x:f>'Paths'!$W$17</x:f>
        <x:v>0.85</x:v>
      </x:c>
      <x:c r="J966" s="47" t="n">
        <x:f>IF(D966&lt;E966,0,MIN(F966*G966*H966*I966,IF('Paths'!$T$17&gt;0,MAX(0,'Paths'!$T$17-K965),1000000000)))</x:f>
        <x:v>32300</x:v>
      </x:c>
      <x:c r="K966" s="47" t="n">
        <x:f>K965+J966</x:f>
        <x:v>861730</x:v>
      </x:c>
      <x:c r="L966" s="46" t="n">
        <x:f>IF(C966="P0",1,IF(D966&lt;=3,0.8,IF(D966&lt;=14,0.65,IF(D966&lt;=45,0.5,0.3))))</x:f>
        <x:v>0.3</x:v>
      </x:c>
      <x:c r="M966" s="47" t="n">
        <x:f>J966*L966</x:f>
        <x:v>9690</x:v>
      </x:c>
      <x:c r="N966" s="47" t="n">
        <x:f>N965+M966</x:f>
        <x:v>410363</x:v>
      </x:c>
      <x:c r="O966" s="46" t="n">
        <x:f>IF(C966="P0",0,IF(D966&lt;=3,0.15,IF(D966&lt;=14,0.25,IF(D966&lt;=45,0.35,0.5))))</x:f>
        <x:v>0.5</x:v>
      </x:c>
      <x:c r="P966" s="47" t="n">
        <x:f>J966*O966</x:f>
        <x:v>16150</x:v>
      </x:c>
      <x:c r="Q966" s="46" t="n">
        <x:f>IF(C966="P0",0,IF(D966&lt;=3,0.05,IF(D966&lt;=14,0.1,IF(D966&lt;=45,0.15,0.2))))</x:f>
        <x:v>0.2</x:v>
      </x:c>
      <x:c r="R966" s="47" t="n">
        <x:f>J966*Q966</x:f>
        <x:v>6460</x:v>
      </x:c>
      <x:c r="S966" s="20" t="str">
        <x:f>IF(D966&lt;E966,"closed",IF(D966&lt;'Paths'!$N$17,"initial","expanded"))</x:f>
        <x:v>expanded</x:v>
      </x:c>
      <x:c r="T966" s="72"/>
    </x:row>
    <x:row r="967">
      <x:c r="C967" s="20" t="str">
        <x:v>P10</x:v>
      </x:c>
      <x:c r="D967" s="20" t="n">
        <x:v>50</x:v>
      </x:c>
      <x:c r="E967" s="45" t="n">
        <x:f>IF('Controls'!$D$7="Reference",'Paths'!$J$17,'Paths'!$K$17)</x:f>
        <x:v>14</x:v>
      </x:c>
      <x:c r="F967" s="47" t="n">
        <x:f>IF(D967&lt;'Paths'!$N$17,IF('Controls'!$D$7="Reference",'Paths'!$L$17,'Paths'!$M$17),IF('Controls'!$D$7="Reference",'Paths'!$O$17,'Paths'!$P$17))</x:f>
        <x:v>38000</x:v>
      </x:c>
      <x:c r="G967" s="46" t="n">
        <x:f>IF('Controls'!$D$7="Reference",1,IF(OR(D967=6,D967=7,D967=21,D967=46),'Paths'!$U$17,1))</x:f>
        <x:v>1</x:v>
      </x:c>
      <x:c r="H967" s="46" t="n">
        <x:f>IF('Controls'!$D$7="Reference",1,IF(OR(AND(D967&gt;=14,D967&lt;=16),AND(D967&gt;=34,D967&lt;=35),AND(D967&gt;=61,D967&lt;=63)),'Paths'!$V$17,1))</x:f>
        <x:v>1</x:v>
      </x:c>
      <x:c r="I967" s="46" t="n">
        <x:f>'Paths'!$W$17</x:f>
        <x:v>0.85</x:v>
      </x:c>
      <x:c r="J967" s="47" t="n">
        <x:f>IF(D967&lt;E967,0,MIN(F967*G967*H967*I967,IF('Paths'!$T$17&gt;0,MAX(0,'Paths'!$T$17-K966),1000000000)))</x:f>
        <x:v>32300</x:v>
      </x:c>
      <x:c r="K967" s="47" t="n">
        <x:f>K966+J967</x:f>
        <x:v>894030</x:v>
      </x:c>
      <x:c r="L967" s="46" t="n">
        <x:f>IF(C967="P0",1,IF(D967&lt;=3,0.8,IF(D967&lt;=14,0.65,IF(D967&lt;=45,0.5,0.3))))</x:f>
        <x:v>0.3</x:v>
      </x:c>
      <x:c r="M967" s="47" t="n">
        <x:f>J967*L967</x:f>
        <x:v>9690</x:v>
      </x:c>
      <x:c r="N967" s="47" t="n">
        <x:f>N966+M967</x:f>
        <x:v>420053</x:v>
      </x:c>
      <x:c r="O967" s="46" t="n">
        <x:f>IF(C967="P0",0,IF(D967&lt;=3,0.15,IF(D967&lt;=14,0.25,IF(D967&lt;=45,0.35,0.5))))</x:f>
        <x:v>0.5</x:v>
      </x:c>
      <x:c r="P967" s="47" t="n">
        <x:f>J967*O967</x:f>
        <x:v>16150</x:v>
      </x:c>
      <x:c r="Q967" s="46" t="n">
        <x:f>IF(C967="P0",0,IF(D967&lt;=3,0.05,IF(D967&lt;=14,0.1,IF(D967&lt;=45,0.15,0.2))))</x:f>
        <x:v>0.2</x:v>
      </x:c>
      <x:c r="R967" s="47" t="n">
        <x:f>J967*Q967</x:f>
        <x:v>6460</x:v>
      </x:c>
      <x:c r="S967" s="20" t="str">
        <x:f>IF(D967&lt;E967,"closed",IF(D967&lt;'Paths'!$N$17,"initial","expanded"))</x:f>
        <x:v>expanded</x:v>
      </x:c>
      <x:c r="T967" s="72"/>
    </x:row>
    <x:row r="968">
      <x:c r="C968" s="20" t="str">
        <x:v>P10</x:v>
      </x:c>
      <x:c r="D968" s="20" t="n">
        <x:v>51</x:v>
      </x:c>
      <x:c r="E968" s="45" t="n">
        <x:f>IF('Controls'!$D$7="Reference",'Paths'!$J$17,'Paths'!$K$17)</x:f>
        <x:v>14</x:v>
      </x:c>
      <x:c r="F968" s="47" t="n">
        <x:f>IF(D968&lt;'Paths'!$N$17,IF('Controls'!$D$7="Reference",'Paths'!$L$17,'Paths'!$M$17),IF('Controls'!$D$7="Reference",'Paths'!$O$17,'Paths'!$P$17))</x:f>
        <x:v>38000</x:v>
      </x:c>
      <x:c r="G968" s="46" t="n">
        <x:f>IF('Controls'!$D$7="Reference",1,IF(OR(D968=6,D968=7,D968=21,D968=46),'Paths'!$U$17,1))</x:f>
        <x:v>1</x:v>
      </x:c>
      <x:c r="H968" s="46" t="n">
        <x:f>IF('Controls'!$D$7="Reference",1,IF(OR(AND(D968&gt;=14,D968&lt;=16),AND(D968&gt;=34,D968&lt;=35),AND(D968&gt;=61,D968&lt;=63)),'Paths'!$V$17,1))</x:f>
        <x:v>1</x:v>
      </x:c>
      <x:c r="I968" s="46" t="n">
        <x:f>'Paths'!$W$17</x:f>
        <x:v>0.85</x:v>
      </x:c>
      <x:c r="J968" s="47" t="n">
        <x:f>IF(D968&lt;E968,0,MIN(F968*G968*H968*I968,IF('Paths'!$T$17&gt;0,MAX(0,'Paths'!$T$17-K967),1000000000)))</x:f>
        <x:v>32300</x:v>
      </x:c>
      <x:c r="K968" s="47" t="n">
        <x:f>K967+J968</x:f>
        <x:v>926330</x:v>
      </x:c>
      <x:c r="L968" s="46" t="n">
        <x:f>IF(C968="P0",1,IF(D968&lt;=3,0.8,IF(D968&lt;=14,0.65,IF(D968&lt;=45,0.5,0.3))))</x:f>
        <x:v>0.3</x:v>
      </x:c>
      <x:c r="M968" s="47" t="n">
        <x:f>J968*L968</x:f>
        <x:v>9690</x:v>
      </x:c>
      <x:c r="N968" s="47" t="n">
        <x:f>N967+M968</x:f>
        <x:v>429743</x:v>
      </x:c>
      <x:c r="O968" s="46" t="n">
        <x:f>IF(C968="P0",0,IF(D968&lt;=3,0.15,IF(D968&lt;=14,0.25,IF(D968&lt;=45,0.35,0.5))))</x:f>
        <x:v>0.5</x:v>
      </x:c>
      <x:c r="P968" s="47" t="n">
        <x:f>J968*O968</x:f>
        <x:v>16150</x:v>
      </x:c>
      <x:c r="Q968" s="46" t="n">
        <x:f>IF(C968="P0",0,IF(D968&lt;=3,0.05,IF(D968&lt;=14,0.1,IF(D968&lt;=45,0.15,0.2))))</x:f>
        <x:v>0.2</x:v>
      </x:c>
      <x:c r="R968" s="47" t="n">
        <x:f>J968*Q968</x:f>
        <x:v>6460</x:v>
      </x:c>
      <x:c r="S968" s="20" t="str">
        <x:f>IF(D968&lt;E968,"closed",IF(D968&lt;'Paths'!$N$17,"initial","expanded"))</x:f>
        <x:v>expanded</x:v>
      </x:c>
      <x:c r="T968" s="72"/>
    </x:row>
    <x:row r="969">
      <x:c r="C969" s="20" t="str">
        <x:v>P10</x:v>
      </x:c>
      <x:c r="D969" s="20" t="n">
        <x:v>52</x:v>
      </x:c>
      <x:c r="E969" s="45" t="n">
        <x:f>IF('Controls'!$D$7="Reference",'Paths'!$J$17,'Paths'!$K$17)</x:f>
        <x:v>14</x:v>
      </x:c>
      <x:c r="F969" s="47" t="n">
        <x:f>IF(D969&lt;'Paths'!$N$17,IF('Controls'!$D$7="Reference",'Paths'!$L$17,'Paths'!$M$17),IF('Controls'!$D$7="Reference",'Paths'!$O$17,'Paths'!$P$17))</x:f>
        <x:v>38000</x:v>
      </x:c>
      <x:c r="G969" s="46" t="n">
        <x:f>IF('Controls'!$D$7="Reference",1,IF(OR(D969=6,D969=7,D969=21,D969=46),'Paths'!$U$17,1))</x:f>
        <x:v>1</x:v>
      </x:c>
      <x:c r="H969" s="46" t="n">
        <x:f>IF('Controls'!$D$7="Reference",1,IF(OR(AND(D969&gt;=14,D969&lt;=16),AND(D969&gt;=34,D969&lt;=35),AND(D969&gt;=61,D969&lt;=63)),'Paths'!$V$17,1))</x:f>
        <x:v>1</x:v>
      </x:c>
      <x:c r="I969" s="46" t="n">
        <x:f>'Paths'!$W$17</x:f>
        <x:v>0.85</x:v>
      </x:c>
      <x:c r="J969" s="47" t="n">
        <x:f>IF(D969&lt;E969,0,MIN(F969*G969*H969*I969,IF('Paths'!$T$17&gt;0,MAX(0,'Paths'!$T$17-K968),1000000000)))</x:f>
        <x:v>32300</x:v>
      </x:c>
      <x:c r="K969" s="47" t="n">
        <x:f>K968+J969</x:f>
        <x:v>958630</x:v>
      </x:c>
      <x:c r="L969" s="46" t="n">
        <x:f>IF(C969="P0",1,IF(D969&lt;=3,0.8,IF(D969&lt;=14,0.65,IF(D969&lt;=45,0.5,0.3))))</x:f>
        <x:v>0.3</x:v>
      </x:c>
      <x:c r="M969" s="47" t="n">
        <x:f>J969*L969</x:f>
        <x:v>9690</x:v>
      </x:c>
      <x:c r="N969" s="47" t="n">
        <x:f>N968+M969</x:f>
        <x:v>439433</x:v>
      </x:c>
      <x:c r="O969" s="46" t="n">
        <x:f>IF(C969="P0",0,IF(D969&lt;=3,0.15,IF(D969&lt;=14,0.25,IF(D969&lt;=45,0.35,0.5))))</x:f>
        <x:v>0.5</x:v>
      </x:c>
      <x:c r="P969" s="47" t="n">
        <x:f>J969*O969</x:f>
        <x:v>16150</x:v>
      </x:c>
      <x:c r="Q969" s="46" t="n">
        <x:f>IF(C969="P0",0,IF(D969&lt;=3,0.05,IF(D969&lt;=14,0.1,IF(D969&lt;=45,0.15,0.2))))</x:f>
        <x:v>0.2</x:v>
      </x:c>
      <x:c r="R969" s="47" t="n">
        <x:f>J969*Q969</x:f>
        <x:v>6460</x:v>
      </x:c>
      <x:c r="S969" s="20" t="str">
        <x:f>IF(D969&lt;E969,"closed",IF(D969&lt;'Paths'!$N$17,"initial","expanded"))</x:f>
        <x:v>expanded</x:v>
      </x:c>
      <x:c r="T969" s="72"/>
    </x:row>
    <x:row r="970">
      <x:c r="C970" s="20" t="str">
        <x:v>P10</x:v>
      </x:c>
      <x:c r="D970" s="20" t="n">
        <x:v>53</x:v>
      </x:c>
      <x:c r="E970" s="45" t="n">
        <x:f>IF('Controls'!$D$7="Reference",'Paths'!$J$17,'Paths'!$K$17)</x:f>
        <x:v>14</x:v>
      </x:c>
      <x:c r="F970" s="47" t="n">
        <x:f>IF(D970&lt;'Paths'!$N$17,IF('Controls'!$D$7="Reference",'Paths'!$L$17,'Paths'!$M$17),IF('Controls'!$D$7="Reference",'Paths'!$O$17,'Paths'!$P$17))</x:f>
        <x:v>38000</x:v>
      </x:c>
      <x:c r="G970" s="46" t="n">
        <x:f>IF('Controls'!$D$7="Reference",1,IF(OR(D970=6,D970=7,D970=21,D970=46),'Paths'!$U$17,1))</x:f>
        <x:v>1</x:v>
      </x:c>
      <x:c r="H970" s="46" t="n">
        <x:f>IF('Controls'!$D$7="Reference",1,IF(OR(AND(D970&gt;=14,D970&lt;=16),AND(D970&gt;=34,D970&lt;=35),AND(D970&gt;=61,D970&lt;=63)),'Paths'!$V$17,1))</x:f>
        <x:v>1</x:v>
      </x:c>
      <x:c r="I970" s="46" t="n">
        <x:f>'Paths'!$W$17</x:f>
        <x:v>0.85</x:v>
      </x:c>
      <x:c r="J970" s="47" t="n">
        <x:f>IF(D970&lt;E970,0,MIN(F970*G970*H970*I970,IF('Paths'!$T$17&gt;0,MAX(0,'Paths'!$T$17-K969),1000000000)))</x:f>
        <x:v>32300</x:v>
      </x:c>
      <x:c r="K970" s="47" t="n">
        <x:f>K969+J970</x:f>
        <x:v>990930</x:v>
      </x:c>
      <x:c r="L970" s="46" t="n">
        <x:f>IF(C970="P0",1,IF(D970&lt;=3,0.8,IF(D970&lt;=14,0.65,IF(D970&lt;=45,0.5,0.3))))</x:f>
        <x:v>0.3</x:v>
      </x:c>
      <x:c r="M970" s="47" t="n">
        <x:f>J970*L970</x:f>
        <x:v>9690</x:v>
      </x:c>
      <x:c r="N970" s="47" t="n">
        <x:f>N969+M970</x:f>
        <x:v>449123</x:v>
      </x:c>
      <x:c r="O970" s="46" t="n">
        <x:f>IF(C970="P0",0,IF(D970&lt;=3,0.15,IF(D970&lt;=14,0.25,IF(D970&lt;=45,0.35,0.5))))</x:f>
        <x:v>0.5</x:v>
      </x:c>
      <x:c r="P970" s="47" t="n">
        <x:f>J970*O970</x:f>
        <x:v>16150</x:v>
      </x:c>
      <x:c r="Q970" s="46" t="n">
        <x:f>IF(C970="P0",0,IF(D970&lt;=3,0.05,IF(D970&lt;=14,0.1,IF(D970&lt;=45,0.15,0.2))))</x:f>
        <x:v>0.2</x:v>
      </x:c>
      <x:c r="R970" s="47" t="n">
        <x:f>J970*Q970</x:f>
        <x:v>6460</x:v>
      </x:c>
      <x:c r="S970" s="20" t="str">
        <x:f>IF(D970&lt;E970,"closed",IF(D970&lt;'Paths'!$N$17,"initial","expanded"))</x:f>
        <x:v>expanded</x:v>
      </x:c>
      <x:c r="T970" s="72"/>
    </x:row>
    <x:row r="971">
      <x:c r="C971" s="20" t="str">
        <x:v>P10</x:v>
      </x:c>
      <x:c r="D971" s="20" t="n">
        <x:v>54</x:v>
      </x:c>
      <x:c r="E971" s="45" t="n">
        <x:f>IF('Controls'!$D$7="Reference",'Paths'!$J$17,'Paths'!$K$17)</x:f>
        <x:v>14</x:v>
      </x:c>
      <x:c r="F971" s="47" t="n">
        <x:f>IF(D971&lt;'Paths'!$N$17,IF('Controls'!$D$7="Reference",'Paths'!$L$17,'Paths'!$M$17),IF('Controls'!$D$7="Reference",'Paths'!$O$17,'Paths'!$P$17))</x:f>
        <x:v>38000</x:v>
      </x:c>
      <x:c r="G971" s="46" t="n">
        <x:f>IF('Controls'!$D$7="Reference",1,IF(OR(D971=6,D971=7,D971=21,D971=46),'Paths'!$U$17,1))</x:f>
        <x:v>1</x:v>
      </x:c>
      <x:c r="H971" s="46" t="n">
        <x:f>IF('Controls'!$D$7="Reference",1,IF(OR(AND(D971&gt;=14,D971&lt;=16),AND(D971&gt;=34,D971&lt;=35),AND(D971&gt;=61,D971&lt;=63)),'Paths'!$V$17,1))</x:f>
        <x:v>1</x:v>
      </x:c>
      <x:c r="I971" s="46" t="n">
        <x:f>'Paths'!$W$17</x:f>
        <x:v>0.85</x:v>
      </x:c>
      <x:c r="J971" s="47" t="n">
        <x:f>IF(D971&lt;E971,0,MIN(F971*G971*H971*I971,IF('Paths'!$T$17&gt;0,MAX(0,'Paths'!$T$17-K970),1000000000)))</x:f>
        <x:v>32300</x:v>
      </x:c>
      <x:c r="K971" s="47" t="n">
        <x:f>K970+J971</x:f>
        <x:v>1023230</x:v>
      </x:c>
      <x:c r="L971" s="46" t="n">
        <x:f>IF(C971="P0",1,IF(D971&lt;=3,0.8,IF(D971&lt;=14,0.65,IF(D971&lt;=45,0.5,0.3))))</x:f>
        <x:v>0.3</x:v>
      </x:c>
      <x:c r="M971" s="47" t="n">
        <x:f>J971*L971</x:f>
        <x:v>9690</x:v>
      </x:c>
      <x:c r="N971" s="47" t="n">
        <x:f>N970+M971</x:f>
        <x:v>458813</x:v>
      </x:c>
      <x:c r="O971" s="46" t="n">
        <x:f>IF(C971="P0",0,IF(D971&lt;=3,0.15,IF(D971&lt;=14,0.25,IF(D971&lt;=45,0.35,0.5))))</x:f>
        <x:v>0.5</x:v>
      </x:c>
      <x:c r="P971" s="47" t="n">
        <x:f>J971*O971</x:f>
        <x:v>16150</x:v>
      </x:c>
      <x:c r="Q971" s="46" t="n">
        <x:f>IF(C971="P0",0,IF(D971&lt;=3,0.05,IF(D971&lt;=14,0.1,IF(D971&lt;=45,0.15,0.2))))</x:f>
        <x:v>0.2</x:v>
      </x:c>
      <x:c r="R971" s="47" t="n">
        <x:f>J971*Q971</x:f>
        <x:v>6460</x:v>
      </x:c>
      <x:c r="S971" s="20" t="str">
        <x:f>IF(D971&lt;E971,"closed",IF(D971&lt;'Paths'!$N$17,"initial","expanded"))</x:f>
        <x:v>expanded</x:v>
      </x:c>
      <x:c r="T971" s="72"/>
    </x:row>
    <x:row r="972">
      <x:c r="C972" s="20" t="str">
        <x:v>P10</x:v>
      </x:c>
      <x:c r="D972" s="20" t="n">
        <x:v>55</x:v>
      </x:c>
      <x:c r="E972" s="45" t="n">
        <x:f>IF('Controls'!$D$7="Reference",'Paths'!$J$17,'Paths'!$K$17)</x:f>
        <x:v>14</x:v>
      </x:c>
      <x:c r="F972" s="47" t="n">
        <x:f>IF(D972&lt;'Paths'!$N$17,IF('Controls'!$D$7="Reference",'Paths'!$L$17,'Paths'!$M$17),IF('Controls'!$D$7="Reference",'Paths'!$O$17,'Paths'!$P$17))</x:f>
        <x:v>38000</x:v>
      </x:c>
      <x:c r="G972" s="46" t="n">
        <x:f>IF('Controls'!$D$7="Reference",1,IF(OR(D972=6,D972=7,D972=21,D972=46),'Paths'!$U$17,1))</x:f>
        <x:v>1</x:v>
      </x:c>
      <x:c r="H972" s="46" t="n">
        <x:f>IF('Controls'!$D$7="Reference",1,IF(OR(AND(D972&gt;=14,D972&lt;=16),AND(D972&gt;=34,D972&lt;=35),AND(D972&gt;=61,D972&lt;=63)),'Paths'!$V$17,1))</x:f>
        <x:v>1</x:v>
      </x:c>
      <x:c r="I972" s="46" t="n">
        <x:f>'Paths'!$W$17</x:f>
        <x:v>0.85</x:v>
      </x:c>
      <x:c r="J972" s="47" t="n">
        <x:f>IF(D972&lt;E972,0,MIN(F972*G972*H972*I972,IF('Paths'!$T$17&gt;0,MAX(0,'Paths'!$T$17-K971),1000000000)))</x:f>
        <x:v>32300</x:v>
      </x:c>
      <x:c r="K972" s="47" t="n">
        <x:f>K971+J972</x:f>
        <x:v>1055530</x:v>
      </x:c>
      <x:c r="L972" s="46" t="n">
        <x:f>IF(C972="P0",1,IF(D972&lt;=3,0.8,IF(D972&lt;=14,0.65,IF(D972&lt;=45,0.5,0.3))))</x:f>
        <x:v>0.3</x:v>
      </x:c>
      <x:c r="M972" s="47" t="n">
        <x:f>J972*L972</x:f>
        <x:v>9690</x:v>
      </x:c>
      <x:c r="N972" s="47" t="n">
        <x:f>N971+M972</x:f>
        <x:v>468503</x:v>
      </x:c>
      <x:c r="O972" s="46" t="n">
        <x:f>IF(C972="P0",0,IF(D972&lt;=3,0.15,IF(D972&lt;=14,0.25,IF(D972&lt;=45,0.35,0.5))))</x:f>
        <x:v>0.5</x:v>
      </x:c>
      <x:c r="P972" s="47" t="n">
        <x:f>J972*O972</x:f>
        <x:v>16150</x:v>
      </x:c>
      <x:c r="Q972" s="46" t="n">
        <x:f>IF(C972="P0",0,IF(D972&lt;=3,0.05,IF(D972&lt;=14,0.1,IF(D972&lt;=45,0.15,0.2))))</x:f>
        <x:v>0.2</x:v>
      </x:c>
      <x:c r="R972" s="47" t="n">
        <x:f>J972*Q972</x:f>
        <x:v>6460</x:v>
      </x:c>
      <x:c r="S972" s="20" t="str">
        <x:f>IF(D972&lt;E972,"closed",IF(D972&lt;'Paths'!$N$17,"initial","expanded"))</x:f>
        <x:v>expanded</x:v>
      </x:c>
      <x:c r="T972" s="72"/>
    </x:row>
    <x:row r="973">
      <x:c r="C973" s="20" t="str">
        <x:v>P10</x:v>
      </x:c>
      <x:c r="D973" s="20" t="n">
        <x:v>56</x:v>
      </x:c>
      <x:c r="E973" s="45" t="n">
        <x:f>IF('Controls'!$D$7="Reference",'Paths'!$J$17,'Paths'!$K$17)</x:f>
        <x:v>14</x:v>
      </x:c>
      <x:c r="F973" s="47" t="n">
        <x:f>IF(D973&lt;'Paths'!$N$17,IF('Controls'!$D$7="Reference",'Paths'!$L$17,'Paths'!$M$17),IF('Controls'!$D$7="Reference",'Paths'!$O$17,'Paths'!$P$17))</x:f>
        <x:v>38000</x:v>
      </x:c>
      <x:c r="G973" s="46" t="n">
        <x:f>IF('Controls'!$D$7="Reference",1,IF(OR(D973=6,D973=7,D973=21,D973=46),'Paths'!$U$17,1))</x:f>
        <x:v>1</x:v>
      </x:c>
      <x:c r="H973" s="46" t="n">
        <x:f>IF('Controls'!$D$7="Reference",1,IF(OR(AND(D973&gt;=14,D973&lt;=16),AND(D973&gt;=34,D973&lt;=35),AND(D973&gt;=61,D973&lt;=63)),'Paths'!$V$17,1))</x:f>
        <x:v>1</x:v>
      </x:c>
      <x:c r="I973" s="46" t="n">
        <x:f>'Paths'!$W$17</x:f>
        <x:v>0.85</x:v>
      </x:c>
      <x:c r="J973" s="47" t="n">
        <x:f>IF(D973&lt;E973,0,MIN(F973*G973*H973*I973,IF('Paths'!$T$17&gt;0,MAX(0,'Paths'!$T$17-K972),1000000000)))</x:f>
        <x:v>32300</x:v>
      </x:c>
      <x:c r="K973" s="47" t="n">
        <x:f>K972+J973</x:f>
        <x:v>1087830</x:v>
      </x:c>
      <x:c r="L973" s="46" t="n">
        <x:f>IF(C973="P0",1,IF(D973&lt;=3,0.8,IF(D973&lt;=14,0.65,IF(D973&lt;=45,0.5,0.3))))</x:f>
        <x:v>0.3</x:v>
      </x:c>
      <x:c r="M973" s="47" t="n">
        <x:f>J973*L973</x:f>
        <x:v>9690</x:v>
      </x:c>
      <x:c r="N973" s="47" t="n">
        <x:f>N972+M973</x:f>
        <x:v>478193</x:v>
      </x:c>
      <x:c r="O973" s="46" t="n">
        <x:f>IF(C973="P0",0,IF(D973&lt;=3,0.15,IF(D973&lt;=14,0.25,IF(D973&lt;=45,0.35,0.5))))</x:f>
        <x:v>0.5</x:v>
      </x:c>
      <x:c r="P973" s="47" t="n">
        <x:f>J973*O973</x:f>
        <x:v>16150</x:v>
      </x:c>
      <x:c r="Q973" s="46" t="n">
        <x:f>IF(C973="P0",0,IF(D973&lt;=3,0.05,IF(D973&lt;=14,0.1,IF(D973&lt;=45,0.15,0.2))))</x:f>
        <x:v>0.2</x:v>
      </x:c>
      <x:c r="R973" s="47" t="n">
        <x:f>J973*Q973</x:f>
        <x:v>6460</x:v>
      </x:c>
      <x:c r="S973" s="20" t="str">
        <x:f>IF(D973&lt;E973,"closed",IF(D973&lt;'Paths'!$N$17,"initial","expanded"))</x:f>
        <x:v>expanded</x:v>
      </x:c>
      <x:c r="T973" s="72"/>
    </x:row>
    <x:row r="974">
      <x:c r="C974" s="20" t="str">
        <x:v>P10</x:v>
      </x:c>
      <x:c r="D974" s="20" t="n">
        <x:v>57</x:v>
      </x:c>
      <x:c r="E974" s="45" t="n">
        <x:f>IF('Controls'!$D$7="Reference",'Paths'!$J$17,'Paths'!$K$17)</x:f>
        <x:v>14</x:v>
      </x:c>
      <x:c r="F974" s="47" t="n">
        <x:f>IF(D974&lt;'Paths'!$N$17,IF('Controls'!$D$7="Reference",'Paths'!$L$17,'Paths'!$M$17),IF('Controls'!$D$7="Reference",'Paths'!$O$17,'Paths'!$P$17))</x:f>
        <x:v>38000</x:v>
      </x:c>
      <x:c r="G974" s="46" t="n">
        <x:f>IF('Controls'!$D$7="Reference",1,IF(OR(D974=6,D974=7,D974=21,D974=46),'Paths'!$U$17,1))</x:f>
        <x:v>1</x:v>
      </x:c>
      <x:c r="H974" s="46" t="n">
        <x:f>IF('Controls'!$D$7="Reference",1,IF(OR(AND(D974&gt;=14,D974&lt;=16),AND(D974&gt;=34,D974&lt;=35),AND(D974&gt;=61,D974&lt;=63)),'Paths'!$V$17,1))</x:f>
        <x:v>1</x:v>
      </x:c>
      <x:c r="I974" s="46" t="n">
        <x:f>'Paths'!$W$17</x:f>
        <x:v>0.85</x:v>
      </x:c>
      <x:c r="J974" s="47" t="n">
        <x:f>IF(D974&lt;E974,0,MIN(F974*G974*H974*I974,IF('Paths'!$T$17&gt;0,MAX(0,'Paths'!$T$17-K973),1000000000)))</x:f>
        <x:v>32300</x:v>
      </x:c>
      <x:c r="K974" s="47" t="n">
        <x:f>K973+J974</x:f>
        <x:v>1120130</x:v>
      </x:c>
      <x:c r="L974" s="46" t="n">
        <x:f>IF(C974="P0",1,IF(D974&lt;=3,0.8,IF(D974&lt;=14,0.65,IF(D974&lt;=45,0.5,0.3))))</x:f>
        <x:v>0.3</x:v>
      </x:c>
      <x:c r="M974" s="47" t="n">
        <x:f>J974*L974</x:f>
        <x:v>9690</x:v>
      </x:c>
      <x:c r="N974" s="47" t="n">
        <x:f>N973+M974</x:f>
        <x:v>487883</x:v>
      </x:c>
      <x:c r="O974" s="46" t="n">
        <x:f>IF(C974="P0",0,IF(D974&lt;=3,0.15,IF(D974&lt;=14,0.25,IF(D974&lt;=45,0.35,0.5))))</x:f>
        <x:v>0.5</x:v>
      </x:c>
      <x:c r="P974" s="47" t="n">
        <x:f>J974*O974</x:f>
        <x:v>16150</x:v>
      </x:c>
      <x:c r="Q974" s="46" t="n">
        <x:f>IF(C974="P0",0,IF(D974&lt;=3,0.05,IF(D974&lt;=14,0.1,IF(D974&lt;=45,0.15,0.2))))</x:f>
        <x:v>0.2</x:v>
      </x:c>
      <x:c r="R974" s="47" t="n">
        <x:f>J974*Q974</x:f>
        <x:v>6460</x:v>
      </x:c>
      <x:c r="S974" s="20" t="str">
        <x:f>IF(D974&lt;E974,"closed",IF(D974&lt;'Paths'!$N$17,"initial","expanded"))</x:f>
        <x:v>expanded</x:v>
      </x:c>
      <x:c r="T974" s="72"/>
    </x:row>
    <x:row r="975">
      <x:c r="C975" s="20" t="str">
        <x:v>P10</x:v>
      </x:c>
      <x:c r="D975" s="20" t="n">
        <x:v>58</x:v>
      </x:c>
      <x:c r="E975" s="45" t="n">
        <x:f>IF('Controls'!$D$7="Reference",'Paths'!$J$17,'Paths'!$K$17)</x:f>
        <x:v>14</x:v>
      </x:c>
      <x:c r="F975" s="47" t="n">
        <x:f>IF(D975&lt;'Paths'!$N$17,IF('Controls'!$D$7="Reference",'Paths'!$L$17,'Paths'!$M$17),IF('Controls'!$D$7="Reference",'Paths'!$O$17,'Paths'!$P$17))</x:f>
        <x:v>38000</x:v>
      </x:c>
      <x:c r="G975" s="46" t="n">
        <x:f>IF('Controls'!$D$7="Reference",1,IF(OR(D975=6,D975=7,D975=21,D975=46),'Paths'!$U$17,1))</x:f>
        <x:v>1</x:v>
      </x:c>
      <x:c r="H975" s="46" t="n">
        <x:f>IF('Controls'!$D$7="Reference",1,IF(OR(AND(D975&gt;=14,D975&lt;=16),AND(D975&gt;=34,D975&lt;=35),AND(D975&gt;=61,D975&lt;=63)),'Paths'!$V$17,1))</x:f>
        <x:v>1</x:v>
      </x:c>
      <x:c r="I975" s="46" t="n">
        <x:f>'Paths'!$W$17</x:f>
        <x:v>0.85</x:v>
      </x:c>
      <x:c r="J975" s="47" t="n">
        <x:f>IF(D975&lt;E975,0,MIN(F975*G975*H975*I975,IF('Paths'!$T$17&gt;0,MAX(0,'Paths'!$T$17-K974),1000000000)))</x:f>
        <x:v>32300</x:v>
      </x:c>
      <x:c r="K975" s="47" t="n">
        <x:f>K974+J975</x:f>
        <x:v>1152430</x:v>
      </x:c>
      <x:c r="L975" s="46" t="n">
        <x:f>IF(C975="P0",1,IF(D975&lt;=3,0.8,IF(D975&lt;=14,0.65,IF(D975&lt;=45,0.5,0.3))))</x:f>
        <x:v>0.3</x:v>
      </x:c>
      <x:c r="M975" s="47" t="n">
        <x:f>J975*L975</x:f>
        <x:v>9690</x:v>
      </x:c>
      <x:c r="N975" s="47" t="n">
        <x:f>N974+M975</x:f>
        <x:v>497573</x:v>
      </x:c>
      <x:c r="O975" s="46" t="n">
        <x:f>IF(C975="P0",0,IF(D975&lt;=3,0.15,IF(D975&lt;=14,0.25,IF(D975&lt;=45,0.35,0.5))))</x:f>
        <x:v>0.5</x:v>
      </x:c>
      <x:c r="P975" s="47" t="n">
        <x:f>J975*O975</x:f>
        <x:v>16150</x:v>
      </x:c>
      <x:c r="Q975" s="46" t="n">
        <x:f>IF(C975="P0",0,IF(D975&lt;=3,0.05,IF(D975&lt;=14,0.1,IF(D975&lt;=45,0.15,0.2))))</x:f>
        <x:v>0.2</x:v>
      </x:c>
      <x:c r="R975" s="47" t="n">
        <x:f>J975*Q975</x:f>
        <x:v>6460</x:v>
      </x:c>
      <x:c r="S975" s="20" t="str">
        <x:f>IF(D975&lt;E975,"closed",IF(D975&lt;'Paths'!$N$17,"initial","expanded"))</x:f>
        <x:v>expanded</x:v>
      </x:c>
      <x:c r="T975" s="72"/>
    </x:row>
    <x:row r="976">
      <x:c r="C976" s="20" t="str">
        <x:v>P10</x:v>
      </x:c>
      <x:c r="D976" s="20" t="n">
        <x:v>59</x:v>
      </x:c>
      <x:c r="E976" s="45" t="n">
        <x:f>IF('Controls'!$D$7="Reference",'Paths'!$J$17,'Paths'!$K$17)</x:f>
        <x:v>14</x:v>
      </x:c>
      <x:c r="F976" s="47" t="n">
        <x:f>IF(D976&lt;'Paths'!$N$17,IF('Controls'!$D$7="Reference",'Paths'!$L$17,'Paths'!$M$17),IF('Controls'!$D$7="Reference",'Paths'!$O$17,'Paths'!$P$17))</x:f>
        <x:v>38000</x:v>
      </x:c>
      <x:c r="G976" s="46" t="n">
        <x:f>IF('Controls'!$D$7="Reference",1,IF(OR(D976=6,D976=7,D976=21,D976=46),'Paths'!$U$17,1))</x:f>
        <x:v>1</x:v>
      </x:c>
      <x:c r="H976" s="46" t="n">
        <x:f>IF('Controls'!$D$7="Reference",1,IF(OR(AND(D976&gt;=14,D976&lt;=16),AND(D976&gt;=34,D976&lt;=35),AND(D976&gt;=61,D976&lt;=63)),'Paths'!$V$17,1))</x:f>
        <x:v>1</x:v>
      </x:c>
      <x:c r="I976" s="46" t="n">
        <x:f>'Paths'!$W$17</x:f>
        <x:v>0.85</x:v>
      </x:c>
      <x:c r="J976" s="47" t="n">
        <x:f>IF(D976&lt;E976,0,MIN(F976*G976*H976*I976,IF('Paths'!$T$17&gt;0,MAX(0,'Paths'!$T$17-K975),1000000000)))</x:f>
        <x:v>32300</x:v>
      </x:c>
      <x:c r="K976" s="47" t="n">
        <x:f>K975+J976</x:f>
        <x:v>1184730</x:v>
      </x:c>
      <x:c r="L976" s="46" t="n">
        <x:f>IF(C976="P0",1,IF(D976&lt;=3,0.8,IF(D976&lt;=14,0.65,IF(D976&lt;=45,0.5,0.3))))</x:f>
        <x:v>0.3</x:v>
      </x:c>
      <x:c r="M976" s="47" t="n">
        <x:f>J976*L976</x:f>
        <x:v>9690</x:v>
      </x:c>
      <x:c r="N976" s="47" t="n">
        <x:f>N975+M976</x:f>
        <x:v>507263</x:v>
      </x:c>
      <x:c r="O976" s="46" t="n">
        <x:f>IF(C976="P0",0,IF(D976&lt;=3,0.15,IF(D976&lt;=14,0.25,IF(D976&lt;=45,0.35,0.5))))</x:f>
        <x:v>0.5</x:v>
      </x:c>
      <x:c r="P976" s="47" t="n">
        <x:f>J976*O976</x:f>
        <x:v>16150</x:v>
      </x:c>
      <x:c r="Q976" s="46" t="n">
        <x:f>IF(C976="P0",0,IF(D976&lt;=3,0.05,IF(D976&lt;=14,0.1,IF(D976&lt;=45,0.15,0.2))))</x:f>
        <x:v>0.2</x:v>
      </x:c>
      <x:c r="R976" s="47" t="n">
        <x:f>J976*Q976</x:f>
        <x:v>6460</x:v>
      </x:c>
      <x:c r="S976" s="20" t="str">
        <x:f>IF(D976&lt;E976,"closed",IF(D976&lt;'Paths'!$N$17,"initial","expanded"))</x:f>
        <x:v>expanded</x:v>
      </x:c>
      <x:c r="T976" s="72"/>
    </x:row>
    <x:row r="977">
      <x:c r="C977" s="20" t="str">
        <x:v>P10</x:v>
      </x:c>
      <x:c r="D977" s="20" t="n">
        <x:v>60</x:v>
      </x:c>
      <x:c r="E977" s="45" t="n">
        <x:f>IF('Controls'!$D$7="Reference",'Paths'!$J$17,'Paths'!$K$17)</x:f>
        <x:v>14</x:v>
      </x:c>
      <x:c r="F977" s="47" t="n">
        <x:f>IF(D977&lt;'Paths'!$N$17,IF('Controls'!$D$7="Reference",'Paths'!$L$17,'Paths'!$M$17),IF('Controls'!$D$7="Reference",'Paths'!$O$17,'Paths'!$P$17))</x:f>
        <x:v>38000</x:v>
      </x:c>
      <x:c r="G977" s="46" t="n">
        <x:f>IF('Controls'!$D$7="Reference",1,IF(OR(D977=6,D977=7,D977=21,D977=46),'Paths'!$U$17,1))</x:f>
        <x:v>1</x:v>
      </x:c>
      <x:c r="H977" s="46" t="n">
        <x:f>IF('Controls'!$D$7="Reference",1,IF(OR(AND(D977&gt;=14,D977&lt;=16),AND(D977&gt;=34,D977&lt;=35),AND(D977&gt;=61,D977&lt;=63)),'Paths'!$V$17,1))</x:f>
        <x:v>1</x:v>
      </x:c>
      <x:c r="I977" s="46" t="n">
        <x:f>'Paths'!$W$17</x:f>
        <x:v>0.85</x:v>
      </x:c>
      <x:c r="J977" s="47" t="n">
        <x:f>IF(D977&lt;E977,0,MIN(F977*G977*H977*I977,IF('Paths'!$T$17&gt;0,MAX(0,'Paths'!$T$17-K976),1000000000)))</x:f>
        <x:v>32300</x:v>
      </x:c>
      <x:c r="K977" s="47" t="n">
        <x:f>K976+J977</x:f>
        <x:v>1217030</x:v>
      </x:c>
      <x:c r="L977" s="46" t="n">
        <x:f>IF(C977="P0",1,IF(D977&lt;=3,0.8,IF(D977&lt;=14,0.65,IF(D977&lt;=45,0.5,0.3))))</x:f>
        <x:v>0.3</x:v>
      </x:c>
      <x:c r="M977" s="47" t="n">
        <x:f>J977*L977</x:f>
        <x:v>9690</x:v>
      </x:c>
      <x:c r="N977" s="47" t="n">
        <x:f>N976+M977</x:f>
        <x:v>516953</x:v>
      </x:c>
      <x:c r="O977" s="46" t="n">
        <x:f>IF(C977="P0",0,IF(D977&lt;=3,0.15,IF(D977&lt;=14,0.25,IF(D977&lt;=45,0.35,0.5))))</x:f>
        <x:v>0.5</x:v>
      </x:c>
      <x:c r="P977" s="47" t="n">
        <x:f>J977*O977</x:f>
        <x:v>16150</x:v>
      </x:c>
      <x:c r="Q977" s="46" t="n">
        <x:f>IF(C977="P0",0,IF(D977&lt;=3,0.05,IF(D977&lt;=14,0.1,IF(D977&lt;=45,0.15,0.2))))</x:f>
        <x:v>0.2</x:v>
      </x:c>
      <x:c r="R977" s="47" t="n">
        <x:f>J977*Q977</x:f>
        <x:v>6460</x:v>
      </x:c>
      <x:c r="S977" s="20" t="str">
        <x:f>IF(D977&lt;E977,"closed",IF(D977&lt;'Paths'!$N$17,"initial","expanded"))</x:f>
        <x:v>expanded</x:v>
      </x:c>
      <x:c r="T977" s="72"/>
    </x:row>
    <x:row r="978">
      <x:c r="C978" s="20" t="str">
        <x:v>P10</x:v>
      </x:c>
      <x:c r="D978" s="20" t="n">
        <x:v>61</x:v>
      </x:c>
      <x:c r="E978" s="45" t="n">
        <x:f>IF('Controls'!$D$7="Reference",'Paths'!$J$17,'Paths'!$K$17)</x:f>
        <x:v>14</x:v>
      </x:c>
      <x:c r="F978" s="47" t="n">
        <x:f>IF(D978&lt;'Paths'!$N$17,IF('Controls'!$D$7="Reference",'Paths'!$L$17,'Paths'!$M$17),IF('Controls'!$D$7="Reference",'Paths'!$O$17,'Paths'!$P$17))</x:f>
        <x:v>38000</x:v>
      </x:c>
      <x:c r="G978" s="46" t="n">
        <x:f>IF('Controls'!$D$7="Reference",1,IF(OR(D978=6,D978=7,D978=21,D978=46),'Paths'!$U$17,1))</x:f>
        <x:v>1</x:v>
      </x:c>
      <x:c r="H978" s="46" t="n">
        <x:f>IF('Controls'!$D$7="Reference",1,IF(OR(AND(D978&gt;=14,D978&lt;=16),AND(D978&gt;=34,D978&lt;=35),AND(D978&gt;=61,D978&lt;=63)),'Paths'!$V$17,1))</x:f>
        <x:v>0.4</x:v>
      </x:c>
      <x:c r="I978" s="46" t="n">
        <x:f>'Paths'!$W$17</x:f>
        <x:v>0.85</x:v>
      </x:c>
      <x:c r="J978" s="47" t="n">
        <x:f>IF(D978&lt;E978,0,MIN(F978*G978*H978*I978,IF('Paths'!$T$17&gt;0,MAX(0,'Paths'!$T$17-K977),1000000000)))</x:f>
        <x:v>12920</x:v>
      </x:c>
      <x:c r="K978" s="47" t="n">
        <x:f>K977+J978</x:f>
        <x:v>1229950</x:v>
      </x:c>
      <x:c r="L978" s="46" t="n">
        <x:f>IF(C978="P0",1,IF(D978&lt;=3,0.8,IF(D978&lt;=14,0.65,IF(D978&lt;=45,0.5,0.3))))</x:f>
        <x:v>0.3</x:v>
      </x:c>
      <x:c r="M978" s="47" t="n">
        <x:f>J978*L978</x:f>
        <x:v>3876</x:v>
      </x:c>
      <x:c r="N978" s="47" t="n">
        <x:f>N977+M978</x:f>
        <x:v>520829</x:v>
      </x:c>
      <x:c r="O978" s="46" t="n">
        <x:f>IF(C978="P0",0,IF(D978&lt;=3,0.15,IF(D978&lt;=14,0.25,IF(D978&lt;=45,0.35,0.5))))</x:f>
        <x:v>0.5</x:v>
      </x:c>
      <x:c r="P978" s="47" t="n">
        <x:f>J978*O978</x:f>
        <x:v>6460</x:v>
      </x:c>
      <x:c r="Q978" s="46" t="n">
        <x:f>IF(C978="P0",0,IF(D978&lt;=3,0.05,IF(D978&lt;=14,0.1,IF(D978&lt;=45,0.15,0.2))))</x:f>
        <x:v>0.2</x:v>
      </x:c>
      <x:c r="R978" s="47" t="n">
        <x:f>J978*Q978</x:f>
        <x:v>2584</x:v>
      </x:c>
      <x:c r="S978" s="20" t="str">
        <x:f>IF(D978&lt;E978,"closed",IF(D978&lt;'Paths'!$N$17,"initial","expanded"))</x:f>
        <x:v>expanded</x:v>
      </x:c>
      <x:c r="T978" s="72"/>
    </x:row>
    <x:row r="979">
      <x:c r="C979" s="20" t="str">
        <x:v>P10</x:v>
      </x:c>
      <x:c r="D979" s="20" t="n">
        <x:v>62</x:v>
      </x:c>
      <x:c r="E979" s="45" t="n">
        <x:f>IF('Controls'!$D$7="Reference",'Paths'!$J$17,'Paths'!$K$17)</x:f>
        <x:v>14</x:v>
      </x:c>
      <x:c r="F979" s="47" t="n">
        <x:f>IF(D979&lt;'Paths'!$N$17,IF('Controls'!$D$7="Reference",'Paths'!$L$17,'Paths'!$M$17),IF('Controls'!$D$7="Reference",'Paths'!$O$17,'Paths'!$P$17))</x:f>
        <x:v>38000</x:v>
      </x:c>
      <x:c r="G979" s="46" t="n">
        <x:f>IF('Controls'!$D$7="Reference",1,IF(OR(D979=6,D979=7,D979=21,D979=46),'Paths'!$U$17,1))</x:f>
        <x:v>1</x:v>
      </x:c>
      <x:c r="H979" s="46" t="n">
        <x:f>IF('Controls'!$D$7="Reference",1,IF(OR(AND(D979&gt;=14,D979&lt;=16),AND(D979&gt;=34,D979&lt;=35),AND(D979&gt;=61,D979&lt;=63)),'Paths'!$V$17,1))</x:f>
        <x:v>0.4</x:v>
      </x:c>
      <x:c r="I979" s="46" t="n">
        <x:f>'Paths'!$W$17</x:f>
        <x:v>0.85</x:v>
      </x:c>
      <x:c r="J979" s="47" t="n">
        <x:f>IF(D979&lt;E979,0,MIN(F979*G979*H979*I979,IF('Paths'!$T$17&gt;0,MAX(0,'Paths'!$T$17-K978),1000000000)))</x:f>
        <x:v>12920</x:v>
      </x:c>
      <x:c r="K979" s="47" t="n">
        <x:f>K978+J979</x:f>
        <x:v>1242870</x:v>
      </x:c>
      <x:c r="L979" s="46" t="n">
        <x:f>IF(C979="P0",1,IF(D979&lt;=3,0.8,IF(D979&lt;=14,0.65,IF(D979&lt;=45,0.5,0.3))))</x:f>
        <x:v>0.3</x:v>
      </x:c>
      <x:c r="M979" s="47" t="n">
        <x:f>J979*L979</x:f>
        <x:v>3876</x:v>
      </x:c>
      <x:c r="N979" s="47" t="n">
        <x:f>N978+M979</x:f>
        <x:v>524705</x:v>
      </x:c>
      <x:c r="O979" s="46" t="n">
        <x:f>IF(C979="P0",0,IF(D979&lt;=3,0.15,IF(D979&lt;=14,0.25,IF(D979&lt;=45,0.35,0.5))))</x:f>
        <x:v>0.5</x:v>
      </x:c>
      <x:c r="P979" s="47" t="n">
        <x:f>J979*O979</x:f>
        <x:v>6460</x:v>
      </x:c>
      <x:c r="Q979" s="46" t="n">
        <x:f>IF(C979="P0",0,IF(D979&lt;=3,0.05,IF(D979&lt;=14,0.1,IF(D979&lt;=45,0.15,0.2))))</x:f>
        <x:v>0.2</x:v>
      </x:c>
      <x:c r="R979" s="47" t="n">
        <x:f>J979*Q979</x:f>
        <x:v>2584</x:v>
      </x:c>
      <x:c r="S979" s="20" t="str">
        <x:f>IF(D979&lt;E979,"closed",IF(D979&lt;'Paths'!$N$17,"initial","expanded"))</x:f>
        <x:v>expanded</x:v>
      </x:c>
      <x:c r="T979" s="72"/>
    </x:row>
    <x:row r="980">
      <x:c r="C980" s="20" t="str">
        <x:v>P10</x:v>
      </x:c>
      <x:c r="D980" s="20" t="n">
        <x:v>63</x:v>
      </x:c>
      <x:c r="E980" s="45" t="n">
        <x:f>IF('Controls'!$D$7="Reference",'Paths'!$J$17,'Paths'!$K$17)</x:f>
        <x:v>14</x:v>
      </x:c>
      <x:c r="F980" s="47" t="n">
        <x:f>IF(D980&lt;'Paths'!$N$17,IF('Controls'!$D$7="Reference",'Paths'!$L$17,'Paths'!$M$17),IF('Controls'!$D$7="Reference",'Paths'!$O$17,'Paths'!$P$17))</x:f>
        <x:v>38000</x:v>
      </x:c>
      <x:c r="G980" s="46" t="n">
        <x:f>IF('Controls'!$D$7="Reference",1,IF(OR(D980=6,D980=7,D980=21,D980=46),'Paths'!$U$17,1))</x:f>
        <x:v>1</x:v>
      </x:c>
      <x:c r="H980" s="46" t="n">
        <x:f>IF('Controls'!$D$7="Reference",1,IF(OR(AND(D980&gt;=14,D980&lt;=16),AND(D980&gt;=34,D980&lt;=35),AND(D980&gt;=61,D980&lt;=63)),'Paths'!$V$17,1))</x:f>
        <x:v>0.4</x:v>
      </x:c>
      <x:c r="I980" s="46" t="n">
        <x:f>'Paths'!$W$17</x:f>
        <x:v>0.85</x:v>
      </x:c>
      <x:c r="J980" s="47" t="n">
        <x:f>IF(D980&lt;E980,0,MIN(F980*G980*H980*I980,IF('Paths'!$T$17&gt;0,MAX(0,'Paths'!$T$17-K979),1000000000)))</x:f>
        <x:v>12920</x:v>
      </x:c>
      <x:c r="K980" s="47" t="n">
        <x:f>K979+J980</x:f>
        <x:v>1255790</x:v>
      </x:c>
      <x:c r="L980" s="46" t="n">
        <x:f>IF(C980="P0",1,IF(D980&lt;=3,0.8,IF(D980&lt;=14,0.65,IF(D980&lt;=45,0.5,0.3))))</x:f>
        <x:v>0.3</x:v>
      </x:c>
      <x:c r="M980" s="47" t="n">
        <x:f>J980*L980</x:f>
        <x:v>3876</x:v>
      </x:c>
      <x:c r="N980" s="47" t="n">
        <x:f>N979+M980</x:f>
        <x:v>528581</x:v>
      </x:c>
      <x:c r="O980" s="46" t="n">
        <x:f>IF(C980="P0",0,IF(D980&lt;=3,0.15,IF(D980&lt;=14,0.25,IF(D980&lt;=45,0.35,0.5))))</x:f>
        <x:v>0.5</x:v>
      </x:c>
      <x:c r="P980" s="47" t="n">
        <x:f>J980*O980</x:f>
        <x:v>6460</x:v>
      </x:c>
      <x:c r="Q980" s="46" t="n">
        <x:f>IF(C980="P0",0,IF(D980&lt;=3,0.05,IF(D980&lt;=14,0.1,IF(D980&lt;=45,0.15,0.2))))</x:f>
        <x:v>0.2</x:v>
      </x:c>
      <x:c r="R980" s="47" t="n">
        <x:f>J980*Q980</x:f>
        <x:v>2584</x:v>
      </x:c>
      <x:c r="S980" s="20" t="str">
        <x:f>IF(D980&lt;E980,"closed",IF(D980&lt;'Paths'!$N$17,"initial","expanded"))</x:f>
        <x:v>expanded</x:v>
      </x:c>
      <x:c r="T980" s="72"/>
    </x:row>
    <x:row r="981">
      <x:c r="C981" s="20" t="str">
        <x:v>P10</x:v>
      </x:c>
      <x:c r="D981" s="20" t="n">
        <x:v>64</x:v>
      </x:c>
      <x:c r="E981" s="45" t="n">
        <x:f>IF('Controls'!$D$7="Reference",'Paths'!$J$17,'Paths'!$K$17)</x:f>
        <x:v>14</x:v>
      </x:c>
      <x:c r="F981" s="47" t="n">
        <x:f>IF(D981&lt;'Paths'!$N$17,IF('Controls'!$D$7="Reference",'Paths'!$L$17,'Paths'!$M$17),IF('Controls'!$D$7="Reference",'Paths'!$O$17,'Paths'!$P$17))</x:f>
        <x:v>38000</x:v>
      </x:c>
      <x:c r="G981" s="46" t="n">
        <x:f>IF('Controls'!$D$7="Reference",1,IF(OR(D981=6,D981=7,D981=21,D981=46),'Paths'!$U$17,1))</x:f>
        <x:v>1</x:v>
      </x:c>
      <x:c r="H981" s="46" t="n">
        <x:f>IF('Controls'!$D$7="Reference",1,IF(OR(AND(D981&gt;=14,D981&lt;=16),AND(D981&gt;=34,D981&lt;=35),AND(D981&gt;=61,D981&lt;=63)),'Paths'!$V$17,1))</x:f>
        <x:v>1</x:v>
      </x:c>
      <x:c r="I981" s="46" t="n">
        <x:f>'Paths'!$W$17</x:f>
        <x:v>0.85</x:v>
      </x:c>
      <x:c r="J981" s="47" t="n">
        <x:f>IF(D981&lt;E981,0,MIN(F981*G981*H981*I981,IF('Paths'!$T$17&gt;0,MAX(0,'Paths'!$T$17-K980),1000000000)))</x:f>
        <x:v>32300</x:v>
      </x:c>
      <x:c r="K981" s="47" t="n">
        <x:f>K980+J981</x:f>
        <x:v>1288090</x:v>
      </x:c>
      <x:c r="L981" s="46" t="n">
        <x:f>IF(C981="P0",1,IF(D981&lt;=3,0.8,IF(D981&lt;=14,0.65,IF(D981&lt;=45,0.5,0.3))))</x:f>
        <x:v>0.3</x:v>
      </x:c>
      <x:c r="M981" s="47" t="n">
        <x:f>J981*L981</x:f>
        <x:v>9690</x:v>
      </x:c>
      <x:c r="N981" s="47" t="n">
        <x:f>N980+M981</x:f>
        <x:v>538271</x:v>
      </x:c>
      <x:c r="O981" s="46" t="n">
        <x:f>IF(C981="P0",0,IF(D981&lt;=3,0.15,IF(D981&lt;=14,0.25,IF(D981&lt;=45,0.35,0.5))))</x:f>
        <x:v>0.5</x:v>
      </x:c>
      <x:c r="P981" s="47" t="n">
        <x:f>J981*O981</x:f>
        <x:v>16150</x:v>
      </x:c>
      <x:c r="Q981" s="46" t="n">
        <x:f>IF(C981="P0",0,IF(D981&lt;=3,0.05,IF(D981&lt;=14,0.1,IF(D981&lt;=45,0.15,0.2))))</x:f>
        <x:v>0.2</x:v>
      </x:c>
      <x:c r="R981" s="47" t="n">
        <x:f>J981*Q981</x:f>
        <x:v>6460</x:v>
      </x:c>
      <x:c r="S981" s="20" t="str">
        <x:f>IF(D981&lt;E981,"closed",IF(D981&lt;'Paths'!$N$17,"initial","expanded"))</x:f>
        <x:v>expanded</x:v>
      </x:c>
      <x:c r="T981" s="72"/>
    </x:row>
    <x:row r="982">
      <x:c r="C982" s="20" t="str">
        <x:v>P10</x:v>
      </x:c>
      <x:c r="D982" s="20" t="n">
        <x:v>65</x:v>
      </x:c>
      <x:c r="E982" s="45" t="n">
        <x:f>IF('Controls'!$D$7="Reference",'Paths'!$J$17,'Paths'!$K$17)</x:f>
        <x:v>14</x:v>
      </x:c>
      <x:c r="F982" s="47" t="n">
        <x:f>IF(D982&lt;'Paths'!$N$17,IF('Controls'!$D$7="Reference",'Paths'!$L$17,'Paths'!$M$17),IF('Controls'!$D$7="Reference",'Paths'!$O$17,'Paths'!$P$17))</x:f>
        <x:v>38000</x:v>
      </x:c>
      <x:c r="G982" s="46" t="n">
        <x:f>IF('Controls'!$D$7="Reference",1,IF(OR(D982=6,D982=7,D982=21,D982=46),'Paths'!$U$17,1))</x:f>
        <x:v>1</x:v>
      </x:c>
      <x:c r="H982" s="46" t="n">
        <x:f>IF('Controls'!$D$7="Reference",1,IF(OR(AND(D982&gt;=14,D982&lt;=16),AND(D982&gt;=34,D982&lt;=35),AND(D982&gt;=61,D982&lt;=63)),'Paths'!$V$17,1))</x:f>
        <x:v>1</x:v>
      </x:c>
      <x:c r="I982" s="46" t="n">
        <x:f>'Paths'!$W$17</x:f>
        <x:v>0.85</x:v>
      </x:c>
      <x:c r="J982" s="47" t="n">
        <x:f>IF(D982&lt;E982,0,MIN(F982*G982*H982*I982,IF('Paths'!$T$17&gt;0,MAX(0,'Paths'!$T$17-K981),1000000000)))</x:f>
        <x:v>32300</x:v>
      </x:c>
      <x:c r="K982" s="47" t="n">
        <x:f>K981+J982</x:f>
        <x:v>1320390</x:v>
      </x:c>
      <x:c r="L982" s="46" t="n">
        <x:f>IF(C982="P0",1,IF(D982&lt;=3,0.8,IF(D982&lt;=14,0.65,IF(D982&lt;=45,0.5,0.3))))</x:f>
        <x:v>0.3</x:v>
      </x:c>
      <x:c r="M982" s="47" t="n">
        <x:f>J982*L982</x:f>
        <x:v>9690</x:v>
      </x:c>
      <x:c r="N982" s="47" t="n">
        <x:f>N981+M982</x:f>
        <x:v>547961</x:v>
      </x:c>
      <x:c r="O982" s="46" t="n">
        <x:f>IF(C982="P0",0,IF(D982&lt;=3,0.15,IF(D982&lt;=14,0.25,IF(D982&lt;=45,0.35,0.5))))</x:f>
        <x:v>0.5</x:v>
      </x:c>
      <x:c r="P982" s="47" t="n">
        <x:f>J982*O982</x:f>
        <x:v>16150</x:v>
      </x:c>
      <x:c r="Q982" s="46" t="n">
        <x:f>IF(C982="P0",0,IF(D982&lt;=3,0.05,IF(D982&lt;=14,0.1,IF(D982&lt;=45,0.15,0.2))))</x:f>
        <x:v>0.2</x:v>
      </x:c>
      <x:c r="R982" s="47" t="n">
        <x:f>J982*Q982</x:f>
        <x:v>6460</x:v>
      </x:c>
      <x:c r="S982" s="20" t="str">
        <x:f>IF(D982&lt;E982,"closed",IF(D982&lt;'Paths'!$N$17,"initial","expanded"))</x:f>
        <x:v>expanded</x:v>
      </x:c>
      <x:c r="T982" s="72"/>
    </x:row>
    <x:row r="983">
      <x:c r="C983" s="20" t="str">
        <x:v>P10</x:v>
      </x:c>
      <x:c r="D983" s="20" t="n">
        <x:v>66</x:v>
      </x:c>
      <x:c r="E983" s="45" t="n">
        <x:f>IF('Controls'!$D$7="Reference",'Paths'!$J$17,'Paths'!$K$17)</x:f>
        <x:v>14</x:v>
      </x:c>
      <x:c r="F983" s="47" t="n">
        <x:f>IF(D983&lt;'Paths'!$N$17,IF('Controls'!$D$7="Reference",'Paths'!$L$17,'Paths'!$M$17),IF('Controls'!$D$7="Reference",'Paths'!$O$17,'Paths'!$P$17))</x:f>
        <x:v>38000</x:v>
      </x:c>
      <x:c r="G983" s="46" t="n">
        <x:f>IF('Controls'!$D$7="Reference",1,IF(OR(D983=6,D983=7,D983=21,D983=46),'Paths'!$U$17,1))</x:f>
        <x:v>1</x:v>
      </x:c>
      <x:c r="H983" s="46" t="n">
        <x:f>IF('Controls'!$D$7="Reference",1,IF(OR(AND(D983&gt;=14,D983&lt;=16),AND(D983&gt;=34,D983&lt;=35),AND(D983&gt;=61,D983&lt;=63)),'Paths'!$V$17,1))</x:f>
        <x:v>1</x:v>
      </x:c>
      <x:c r="I983" s="46" t="n">
        <x:f>'Paths'!$W$17</x:f>
        <x:v>0.85</x:v>
      </x:c>
      <x:c r="J983" s="47" t="n">
        <x:f>IF(D983&lt;E983,0,MIN(F983*G983*H983*I983,IF('Paths'!$T$17&gt;0,MAX(0,'Paths'!$T$17-K982),1000000000)))</x:f>
        <x:v>32300</x:v>
      </x:c>
      <x:c r="K983" s="47" t="n">
        <x:f>K982+J983</x:f>
        <x:v>1352690</x:v>
      </x:c>
      <x:c r="L983" s="46" t="n">
        <x:f>IF(C983="P0",1,IF(D983&lt;=3,0.8,IF(D983&lt;=14,0.65,IF(D983&lt;=45,0.5,0.3))))</x:f>
        <x:v>0.3</x:v>
      </x:c>
      <x:c r="M983" s="47" t="n">
        <x:f>J983*L983</x:f>
        <x:v>9690</x:v>
      </x:c>
      <x:c r="N983" s="47" t="n">
        <x:f>N982+M983</x:f>
        <x:v>557651</x:v>
      </x:c>
      <x:c r="O983" s="46" t="n">
        <x:f>IF(C983="P0",0,IF(D983&lt;=3,0.15,IF(D983&lt;=14,0.25,IF(D983&lt;=45,0.35,0.5))))</x:f>
        <x:v>0.5</x:v>
      </x:c>
      <x:c r="P983" s="47" t="n">
        <x:f>J983*O983</x:f>
        <x:v>16150</x:v>
      </x:c>
      <x:c r="Q983" s="46" t="n">
        <x:f>IF(C983="P0",0,IF(D983&lt;=3,0.05,IF(D983&lt;=14,0.1,IF(D983&lt;=45,0.15,0.2))))</x:f>
        <x:v>0.2</x:v>
      </x:c>
      <x:c r="R983" s="47" t="n">
        <x:f>J983*Q983</x:f>
        <x:v>6460</x:v>
      </x:c>
      <x:c r="S983" s="20" t="str">
        <x:f>IF(D983&lt;E983,"closed",IF(D983&lt;'Paths'!$N$17,"initial","expanded"))</x:f>
        <x:v>expanded</x:v>
      </x:c>
      <x:c r="T983" s="72"/>
    </x:row>
    <x:row r="984">
      <x:c r="C984" s="20" t="str">
        <x:v>P10</x:v>
      </x:c>
      <x:c r="D984" s="20" t="n">
        <x:v>67</x:v>
      </x:c>
      <x:c r="E984" s="45" t="n">
        <x:f>IF('Controls'!$D$7="Reference",'Paths'!$J$17,'Paths'!$K$17)</x:f>
        <x:v>14</x:v>
      </x:c>
      <x:c r="F984" s="47" t="n">
        <x:f>IF(D984&lt;'Paths'!$N$17,IF('Controls'!$D$7="Reference",'Paths'!$L$17,'Paths'!$M$17),IF('Controls'!$D$7="Reference",'Paths'!$O$17,'Paths'!$P$17))</x:f>
        <x:v>38000</x:v>
      </x:c>
      <x:c r="G984" s="46" t="n">
        <x:f>IF('Controls'!$D$7="Reference",1,IF(OR(D984=6,D984=7,D984=21,D984=46),'Paths'!$U$17,1))</x:f>
        <x:v>1</x:v>
      </x:c>
      <x:c r="H984" s="46" t="n">
        <x:f>IF('Controls'!$D$7="Reference",1,IF(OR(AND(D984&gt;=14,D984&lt;=16),AND(D984&gt;=34,D984&lt;=35),AND(D984&gt;=61,D984&lt;=63)),'Paths'!$V$17,1))</x:f>
        <x:v>1</x:v>
      </x:c>
      <x:c r="I984" s="46" t="n">
        <x:f>'Paths'!$W$17</x:f>
        <x:v>0.85</x:v>
      </x:c>
      <x:c r="J984" s="47" t="n">
        <x:f>IF(D984&lt;E984,0,MIN(F984*G984*H984*I984,IF('Paths'!$T$17&gt;0,MAX(0,'Paths'!$T$17-K983),1000000000)))</x:f>
        <x:v>32300</x:v>
      </x:c>
      <x:c r="K984" s="47" t="n">
        <x:f>K983+J984</x:f>
        <x:v>1384990</x:v>
      </x:c>
      <x:c r="L984" s="46" t="n">
        <x:f>IF(C984="P0",1,IF(D984&lt;=3,0.8,IF(D984&lt;=14,0.65,IF(D984&lt;=45,0.5,0.3))))</x:f>
        <x:v>0.3</x:v>
      </x:c>
      <x:c r="M984" s="47" t="n">
        <x:f>J984*L984</x:f>
        <x:v>9690</x:v>
      </x:c>
      <x:c r="N984" s="47" t="n">
        <x:f>N983+M984</x:f>
        <x:v>567341</x:v>
      </x:c>
      <x:c r="O984" s="46" t="n">
        <x:f>IF(C984="P0",0,IF(D984&lt;=3,0.15,IF(D984&lt;=14,0.25,IF(D984&lt;=45,0.35,0.5))))</x:f>
        <x:v>0.5</x:v>
      </x:c>
      <x:c r="P984" s="47" t="n">
        <x:f>J984*O984</x:f>
        <x:v>16150</x:v>
      </x:c>
      <x:c r="Q984" s="46" t="n">
        <x:f>IF(C984="P0",0,IF(D984&lt;=3,0.05,IF(D984&lt;=14,0.1,IF(D984&lt;=45,0.15,0.2))))</x:f>
        <x:v>0.2</x:v>
      </x:c>
      <x:c r="R984" s="47" t="n">
        <x:f>J984*Q984</x:f>
        <x:v>6460</x:v>
      </x:c>
      <x:c r="S984" s="20" t="str">
        <x:f>IF(D984&lt;E984,"closed",IF(D984&lt;'Paths'!$N$17,"initial","expanded"))</x:f>
        <x:v>expanded</x:v>
      </x:c>
      <x:c r="T984" s="72"/>
    </x:row>
    <x:row r="985">
      <x:c r="C985" s="20" t="str">
        <x:v>P10</x:v>
      </x:c>
      <x:c r="D985" s="20" t="n">
        <x:v>68</x:v>
      </x:c>
      <x:c r="E985" s="45" t="n">
        <x:f>IF('Controls'!$D$7="Reference",'Paths'!$J$17,'Paths'!$K$17)</x:f>
        <x:v>14</x:v>
      </x:c>
      <x:c r="F985" s="47" t="n">
        <x:f>IF(D985&lt;'Paths'!$N$17,IF('Controls'!$D$7="Reference",'Paths'!$L$17,'Paths'!$M$17),IF('Controls'!$D$7="Reference",'Paths'!$O$17,'Paths'!$P$17))</x:f>
        <x:v>38000</x:v>
      </x:c>
      <x:c r="G985" s="46" t="n">
        <x:f>IF('Controls'!$D$7="Reference",1,IF(OR(D985=6,D985=7,D985=21,D985=46),'Paths'!$U$17,1))</x:f>
        <x:v>1</x:v>
      </x:c>
      <x:c r="H985" s="46" t="n">
        <x:f>IF('Controls'!$D$7="Reference",1,IF(OR(AND(D985&gt;=14,D985&lt;=16),AND(D985&gt;=34,D985&lt;=35),AND(D985&gt;=61,D985&lt;=63)),'Paths'!$V$17,1))</x:f>
        <x:v>1</x:v>
      </x:c>
      <x:c r="I985" s="46" t="n">
        <x:f>'Paths'!$W$17</x:f>
        <x:v>0.85</x:v>
      </x:c>
      <x:c r="J985" s="47" t="n">
        <x:f>IF(D985&lt;E985,0,MIN(F985*G985*H985*I985,IF('Paths'!$T$17&gt;0,MAX(0,'Paths'!$T$17-K984),1000000000)))</x:f>
        <x:v>32300</x:v>
      </x:c>
      <x:c r="K985" s="47" t="n">
        <x:f>K984+J985</x:f>
        <x:v>1417290</x:v>
      </x:c>
      <x:c r="L985" s="46" t="n">
        <x:f>IF(C985="P0",1,IF(D985&lt;=3,0.8,IF(D985&lt;=14,0.65,IF(D985&lt;=45,0.5,0.3))))</x:f>
        <x:v>0.3</x:v>
      </x:c>
      <x:c r="M985" s="47" t="n">
        <x:f>J985*L985</x:f>
        <x:v>9690</x:v>
      </x:c>
      <x:c r="N985" s="47" t="n">
        <x:f>N984+M985</x:f>
        <x:v>577031</x:v>
      </x:c>
      <x:c r="O985" s="46" t="n">
        <x:f>IF(C985="P0",0,IF(D985&lt;=3,0.15,IF(D985&lt;=14,0.25,IF(D985&lt;=45,0.35,0.5))))</x:f>
        <x:v>0.5</x:v>
      </x:c>
      <x:c r="P985" s="47" t="n">
        <x:f>J985*O985</x:f>
        <x:v>16150</x:v>
      </x:c>
      <x:c r="Q985" s="46" t="n">
        <x:f>IF(C985="P0",0,IF(D985&lt;=3,0.05,IF(D985&lt;=14,0.1,IF(D985&lt;=45,0.15,0.2))))</x:f>
        <x:v>0.2</x:v>
      </x:c>
      <x:c r="R985" s="47" t="n">
        <x:f>J985*Q985</x:f>
        <x:v>6460</x:v>
      </x:c>
      <x:c r="S985" s="20" t="str">
        <x:f>IF(D985&lt;E985,"closed",IF(D985&lt;'Paths'!$N$17,"initial","expanded"))</x:f>
        <x:v>expanded</x:v>
      </x:c>
      <x:c r="T985" s="72"/>
    </x:row>
    <x:row r="986">
      <x:c r="C986" s="20" t="str">
        <x:v>P10</x:v>
      </x:c>
      <x:c r="D986" s="20" t="n">
        <x:v>69</x:v>
      </x:c>
      <x:c r="E986" s="45" t="n">
        <x:f>IF('Controls'!$D$7="Reference",'Paths'!$J$17,'Paths'!$K$17)</x:f>
        <x:v>14</x:v>
      </x:c>
      <x:c r="F986" s="47" t="n">
        <x:f>IF(D986&lt;'Paths'!$N$17,IF('Controls'!$D$7="Reference",'Paths'!$L$17,'Paths'!$M$17),IF('Controls'!$D$7="Reference",'Paths'!$O$17,'Paths'!$P$17))</x:f>
        <x:v>38000</x:v>
      </x:c>
      <x:c r="G986" s="46" t="n">
        <x:f>IF('Controls'!$D$7="Reference",1,IF(OR(D986=6,D986=7,D986=21,D986=46),'Paths'!$U$17,1))</x:f>
        <x:v>1</x:v>
      </x:c>
      <x:c r="H986" s="46" t="n">
        <x:f>IF('Controls'!$D$7="Reference",1,IF(OR(AND(D986&gt;=14,D986&lt;=16),AND(D986&gt;=34,D986&lt;=35),AND(D986&gt;=61,D986&lt;=63)),'Paths'!$V$17,1))</x:f>
        <x:v>1</x:v>
      </x:c>
      <x:c r="I986" s="46" t="n">
        <x:f>'Paths'!$W$17</x:f>
        <x:v>0.85</x:v>
      </x:c>
      <x:c r="J986" s="47" t="n">
        <x:f>IF(D986&lt;E986,0,MIN(F986*G986*H986*I986,IF('Paths'!$T$17&gt;0,MAX(0,'Paths'!$T$17-K985),1000000000)))</x:f>
        <x:v>32300</x:v>
      </x:c>
      <x:c r="K986" s="47" t="n">
        <x:f>K985+J986</x:f>
        <x:v>1449590</x:v>
      </x:c>
      <x:c r="L986" s="46" t="n">
        <x:f>IF(C986="P0",1,IF(D986&lt;=3,0.8,IF(D986&lt;=14,0.65,IF(D986&lt;=45,0.5,0.3))))</x:f>
        <x:v>0.3</x:v>
      </x:c>
      <x:c r="M986" s="47" t="n">
        <x:f>J986*L986</x:f>
        <x:v>9690</x:v>
      </x:c>
      <x:c r="N986" s="47" t="n">
        <x:f>N985+M986</x:f>
        <x:v>586721</x:v>
      </x:c>
      <x:c r="O986" s="46" t="n">
        <x:f>IF(C986="P0",0,IF(D986&lt;=3,0.15,IF(D986&lt;=14,0.25,IF(D986&lt;=45,0.35,0.5))))</x:f>
        <x:v>0.5</x:v>
      </x:c>
      <x:c r="P986" s="47" t="n">
        <x:f>J986*O986</x:f>
        <x:v>16150</x:v>
      </x:c>
      <x:c r="Q986" s="46" t="n">
        <x:f>IF(C986="P0",0,IF(D986&lt;=3,0.05,IF(D986&lt;=14,0.1,IF(D986&lt;=45,0.15,0.2))))</x:f>
        <x:v>0.2</x:v>
      </x:c>
      <x:c r="R986" s="47" t="n">
        <x:f>J986*Q986</x:f>
        <x:v>6460</x:v>
      </x:c>
      <x:c r="S986" s="20" t="str">
        <x:f>IF(D986&lt;E986,"closed",IF(D986&lt;'Paths'!$N$17,"initial","expanded"))</x:f>
        <x:v>expanded</x:v>
      </x:c>
      <x:c r="T986" s="72"/>
    </x:row>
    <x:row r="987">
      <x:c r="C987" s="20" t="str">
        <x:v>P10</x:v>
      </x:c>
      <x:c r="D987" s="20" t="n">
        <x:v>70</x:v>
      </x:c>
      <x:c r="E987" s="45" t="n">
        <x:f>IF('Controls'!$D$7="Reference",'Paths'!$J$17,'Paths'!$K$17)</x:f>
        <x:v>14</x:v>
      </x:c>
      <x:c r="F987" s="47" t="n">
        <x:f>IF(D987&lt;'Paths'!$N$17,IF('Controls'!$D$7="Reference",'Paths'!$L$17,'Paths'!$M$17),IF('Controls'!$D$7="Reference",'Paths'!$O$17,'Paths'!$P$17))</x:f>
        <x:v>38000</x:v>
      </x:c>
      <x:c r="G987" s="46" t="n">
        <x:f>IF('Controls'!$D$7="Reference",1,IF(OR(D987=6,D987=7,D987=21,D987=46),'Paths'!$U$17,1))</x:f>
        <x:v>1</x:v>
      </x:c>
      <x:c r="H987" s="46" t="n">
        <x:f>IF('Controls'!$D$7="Reference",1,IF(OR(AND(D987&gt;=14,D987&lt;=16),AND(D987&gt;=34,D987&lt;=35),AND(D987&gt;=61,D987&lt;=63)),'Paths'!$V$17,1))</x:f>
        <x:v>1</x:v>
      </x:c>
      <x:c r="I987" s="46" t="n">
        <x:f>'Paths'!$W$17</x:f>
        <x:v>0.85</x:v>
      </x:c>
      <x:c r="J987" s="47" t="n">
        <x:f>IF(D987&lt;E987,0,MIN(F987*G987*H987*I987,IF('Paths'!$T$17&gt;0,MAX(0,'Paths'!$T$17-K986),1000000000)))</x:f>
        <x:v>32300</x:v>
      </x:c>
      <x:c r="K987" s="47" t="n">
        <x:f>K986+J987</x:f>
        <x:v>1481890</x:v>
      </x:c>
      <x:c r="L987" s="46" t="n">
        <x:f>IF(C987="P0",1,IF(D987&lt;=3,0.8,IF(D987&lt;=14,0.65,IF(D987&lt;=45,0.5,0.3))))</x:f>
        <x:v>0.3</x:v>
      </x:c>
      <x:c r="M987" s="47" t="n">
        <x:f>J987*L987</x:f>
        <x:v>9690</x:v>
      </x:c>
      <x:c r="N987" s="47" t="n">
        <x:f>N986+M987</x:f>
        <x:v>596411</x:v>
      </x:c>
      <x:c r="O987" s="46" t="n">
        <x:f>IF(C987="P0",0,IF(D987&lt;=3,0.15,IF(D987&lt;=14,0.25,IF(D987&lt;=45,0.35,0.5))))</x:f>
        <x:v>0.5</x:v>
      </x:c>
      <x:c r="P987" s="47" t="n">
        <x:f>J987*O987</x:f>
        <x:v>16150</x:v>
      </x:c>
      <x:c r="Q987" s="46" t="n">
        <x:f>IF(C987="P0",0,IF(D987&lt;=3,0.05,IF(D987&lt;=14,0.1,IF(D987&lt;=45,0.15,0.2))))</x:f>
        <x:v>0.2</x:v>
      </x:c>
      <x:c r="R987" s="47" t="n">
        <x:f>J987*Q987</x:f>
        <x:v>6460</x:v>
      </x:c>
      <x:c r="S987" s="20" t="str">
        <x:f>IF(D987&lt;E987,"closed",IF(D987&lt;'Paths'!$N$17,"initial","expanded"))</x:f>
        <x:v>expanded</x:v>
      </x:c>
      <x:c r="T987" s="72"/>
    </x:row>
    <x:row r="988">
      <x:c r="C988" s="20" t="str">
        <x:v>P10</x:v>
      </x:c>
      <x:c r="D988" s="20" t="n">
        <x:v>71</x:v>
      </x:c>
      <x:c r="E988" s="45" t="n">
        <x:f>IF('Controls'!$D$7="Reference",'Paths'!$J$17,'Paths'!$K$17)</x:f>
        <x:v>14</x:v>
      </x:c>
      <x:c r="F988" s="47" t="n">
        <x:f>IF(D988&lt;'Paths'!$N$17,IF('Controls'!$D$7="Reference",'Paths'!$L$17,'Paths'!$M$17),IF('Controls'!$D$7="Reference",'Paths'!$O$17,'Paths'!$P$17))</x:f>
        <x:v>38000</x:v>
      </x:c>
      <x:c r="G988" s="46" t="n">
        <x:f>IF('Controls'!$D$7="Reference",1,IF(OR(D988=6,D988=7,D988=21,D988=46),'Paths'!$U$17,1))</x:f>
        <x:v>1</x:v>
      </x:c>
      <x:c r="H988" s="46" t="n">
        <x:f>IF('Controls'!$D$7="Reference",1,IF(OR(AND(D988&gt;=14,D988&lt;=16),AND(D988&gt;=34,D988&lt;=35),AND(D988&gt;=61,D988&lt;=63)),'Paths'!$V$17,1))</x:f>
        <x:v>1</x:v>
      </x:c>
      <x:c r="I988" s="46" t="n">
        <x:f>'Paths'!$W$17</x:f>
        <x:v>0.85</x:v>
      </x:c>
      <x:c r="J988" s="47" t="n">
        <x:f>IF(D988&lt;E988,0,MIN(F988*G988*H988*I988,IF('Paths'!$T$17&gt;0,MAX(0,'Paths'!$T$17-K987),1000000000)))</x:f>
        <x:v>32300</x:v>
      </x:c>
      <x:c r="K988" s="47" t="n">
        <x:f>K987+J988</x:f>
        <x:v>1514190</x:v>
      </x:c>
      <x:c r="L988" s="46" t="n">
        <x:f>IF(C988="P0",1,IF(D988&lt;=3,0.8,IF(D988&lt;=14,0.65,IF(D988&lt;=45,0.5,0.3))))</x:f>
        <x:v>0.3</x:v>
      </x:c>
      <x:c r="M988" s="47" t="n">
        <x:f>J988*L988</x:f>
        <x:v>9690</x:v>
      </x:c>
      <x:c r="N988" s="47" t="n">
        <x:f>N987+M988</x:f>
        <x:v>606101</x:v>
      </x:c>
      <x:c r="O988" s="46" t="n">
        <x:f>IF(C988="P0",0,IF(D988&lt;=3,0.15,IF(D988&lt;=14,0.25,IF(D988&lt;=45,0.35,0.5))))</x:f>
        <x:v>0.5</x:v>
      </x:c>
      <x:c r="P988" s="47" t="n">
        <x:f>J988*O988</x:f>
        <x:v>16150</x:v>
      </x:c>
      <x:c r="Q988" s="46" t="n">
        <x:f>IF(C988="P0",0,IF(D988&lt;=3,0.05,IF(D988&lt;=14,0.1,IF(D988&lt;=45,0.15,0.2))))</x:f>
        <x:v>0.2</x:v>
      </x:c>
      <x:c r="R988" s="47" t="n">
        <x:f>J988*Q988</x:f>
        <x:v>6460</x:v>
      </x:c>
      <x:c r="S988" s="20" t="str">
        <x:f>IF(D988&lt;E988,"closed",IF(D988&lt;'Paths'!$N$17,"initial","expanded"))</x:f>
        <x:v>expanded</x:v>
      </x:c>
      <x:c r="T988" s="72"/>
    </x:row>
    <x:row r="989">
      <x:c r="C989" s="20" t="str">
        <x:v>P10</x:v>
      </x:c>
      <x:c r="D989" s="20" t="n">
        <x:v>72</x:v>
      </x:c>
      <x:c r="E989" s="45" t="n">
        <x:f>IF('Controls'!$D$7="Reference",'Paths'!$J$17,'Paths'!$K$17)</x:f>
        <x:v>14</x:v>
      </x:c>
      <x:c r="F989" s="47" t="n">
        <x:f>IF(D989&lt;'Paths'!$N$17,IF('Controls'!$D$7="Reference",'Paths'!$L$17,'Paths'!$M$17),IF('Controls'!$D$7="Reference",'Paths'!$O$17,'Paths'!$P$17))</x:f>
        <x:v>38000</x:v>
      </x:c>
      <x:c r="G989" s="46" t="n">
        <x:f>IF('Controls'!$D$7="Reference",1,IF(OR(D989=6,D989=7,D989=21,D989=46),'Paths'!$U$17,1))</x:f>
        <x:v>1</x:v>
      </x:c>
      <x:c r="H989" s="46" t="n">
        <x:f>IF('Controls'!$D$7="Reference",1,IF(OR(AND(D989&gt;=14,D989&lt;=16),AND(D989&gt;=34,D989&lt;=35),AND(D989&gt;=61,D989&lt;=63)),'Paths'!$V$17,1))</x:f>
        <x:v>1</x:v>
      </x:c>
      <x:c r="I989" s="46" t="n">
        <x:f>'Paths'!$W$17</x:f>
        <x:v>0.85</x:v>
      </x:c>
      <x:c r="J989" s="47" t="n">
        <x:f>IF(D989&lt;E989,0,MIN(F989*G989*H989*I989,IF('Paths'!$T$17&gt;0,MAX(0,'Paths'!$T$17-K988),1000000000)))</x:f>
        <x:v>32300</x:v>
      </x:c>
      <x:c r="K989" s="47" t="n">
        <x:f>K988+J989</x:f>
        <x:v>1546490</x:v>
      </x:c>
      <x:c r="L989" s="46" t="n">
        <x:f>IF(C989="P0",1,IF(D989&lt;=3,0.8,IF(D989&lt;=14,0.65,IF(D989&lt;=45,0.5,0.3))))</x:f>
        <x:v>0.3</x:v>
      </x:c>
      <x:c r="M989" s="47" t="n">
        <x:f>J989*L989</x:f>
        <x:v>9690</x:v>
      </x:c>
      <x:c r="N989" s="47" t="n">
        <x:f>N988+M989</x:f>
        <x:v>615791</x:v>
      </x:c>
      <x:c r="O989" s="46" t="n">
        <x:f>IF(C989="P0",0,IF(D989&lt;=3,0.15,IF(D989&lt;=14,0.25,IF(D989&lt;=45,0.35,0.5))))</x:f>
        <x:v>0.5</x:v>
      </x:c>
      <x:c r="P989" s="47" t="n">
        <x:f>J989*O989</x:f>
        <x:v>16150</x:v>
      </x:c>
      <x:c r="Q989" s="46" t="n">
        <x:f>IF(C989="P0",0,IF(D989&lt;=3,0.05,IF(D989&lt;=14,0.1,IF(D989&lt;=45,0.15,0.2))))</x:f>
        <x:v>0.2</x:v>
      </x:c>
      <x:c r="R989" s="47" t="n">
        <x:f>J989*Q989</x:f>
        <x:v>6460</x:v>
      </x:c>
      <x:c r="S989" s="20" t="str">
        <x:f>IF(D989&lt;E989,"closed",IF(D989&lt;'Paths'!$N$17,"initial","expanded"))</x:f>
        <x:v>expanded</x:v>
      </x:c>
      <x:c r="T989" s="72"/>
    </x:row>
    <x:row r="990">
      <x:c r="C990" s="20" t="str">
        <x:v>P10</x:v>
      </x:c>
      <x:c r="D990" s="20" t="n">
        <x:v>73</x:v>
      </x:c>
      <x:c r="E990" s="45" t="n">
        <x:f>IF('Controls'!$D$7="Reference",'Paths'!$J$17,'Paths'!$K$17)</x:f>
        <x:v>14</x:v>
      </x:c>
      <x:c r="F990" s="47" t="n">
        <x:f>IF(D990&lt;'Paths'!$N$17,IF('Controls'!$D$7="Reference",'Paths'!$L$17,'Paths'!$M$17),IF('Controls'!$D$7="Reference",'Paths'!$O$17,'Paths'!$P$17))</x:f>
        <x:v>38000</x:v>
      </x:c>
      <x:c r="G990" s="46" t="n">
        <x:f>IF('Controls'!$D$7="Reference",1,IF(OR(D990=6,D990=7,D990=21,D990=46),'Paths'!$U$17,1))</x:f>
        <x:v>1</x:v>
      </x:c>
      <x:c r="H990" s="46" t="n">
        <x:f>IF('Controls'!$D$7="Reference",1,IF(OR(AND(D990&gt;=14,D990&lt;=16),AND(D990&gt;=34,D990&lt;=35),AND(D990&gt;=61,D990&lt;=63)),'Paths'!$V$17,1))</x:f>
        <x:v>1</x:v>
      </x:c>
      <x:c r="I990" s="46" t="n">
        <x:f>'Paths'!$W$17</x:f>
        <x:v>0.85</x:v>
      </x:c>
      <x:c r="J990" s="47" t="n">
        <x:f>IF(D990&lt;E990,0,MIN(F990*G990*H990*I990,IF('Paths'!$T$17&gt;0,MAX(0,'Paths'!$T$17-K989),1000000000)))</x:f>
        <x:v>32300</x:v>
      </x:c>
      <x:c r="K990" s="47" t="n">
        <x:f>K989+J990</x:f>
        <x:v>1578790</x:v>
      </x:c>
      <x:c r="L990" s="46" t="n">
        <x:f>IF(C990="P0",1,IF(D990&lt;=3,0.8,IF(D990&lt;=14,0.65,IF(D990&lt;=45,0.5,0.3))))</x:f>
        <x:v>0.3</x:v>
      </x:c>
      <x:c r="M990" s="47" t="n">
        <x:f>J990*L990</x:f>
        <x:v>9690</x:v>
      </x:c>
      <x:c r="N990" s="47" t="n">
        <x:f>N989+M990</x:f>
        <x:v>625481</x:v>
      </x:c>
      <x:c r="O990" s="46" t="n">
        <x:f>IF(C990="P0",0,IF(D990&lt;=3,0.15,IF(D990&lt;=14,0.25,IF(D990&lt;=45,0.35,0.5))))</x:f>
        <x:v>0.5</x:v>
      </x:c>
      <x:c r="P990" s="47" t="n">
        <x:f>J990*O990</x:f>
        <x:v>16150</x:v>
      </x:c>
      <x:c r="Q990" s="46" t="n">
        <x:f>IF(C990="P0",0,IF(D990&lt;=3,0.05,IF(D990&lt;=14,0.1,IF(D990&lt;=45,0.15,0.2))))</x:f>
        <x:v>0.2</x:v>
      </x:c>
      <x:c r="R990" s="47" t="n">
        <x:f>J990*Q990</x:f>
        <x:v>6460</x:v>
      </x:c>
      <x:c r="S990" s="20" t="str">
        <x:f>IF(D990&lt;E990,"closed",IF(D990&lt;'Paths'!$N$17,"initial","expanded"))</x:f>
        <x:v>expanded</x:v>
      </x:c>
      <x:c r="T990" s="72"/>
    </x:row>
    <x:row r="991">
      <x:c r="C991" s="20" t="str">
        <x:v>P10</x:v>
      </x:c>
      <x:c r="D991" s="20" t="n">
        <x:v>74</x:v>
      </x:c>
      <x:c r="E991" s="45" t="n">
        <x:f>IF('Controls'!$D$7="Reference",'Paths'!$J$17,'Paths'!$K$17)</x:f>
        <x:v>14</x:v>
      </x:c>
      <x:c r="F991" s="47" t="n">
        <x:f>IF(D991&lt;'Paths'!$N$17,IF('Controls'!$D$7="Reference",'Paths'!$L$17,'Paths'!$M$17),IF('Controls'!$D$7="Reference",'Paths'!$O$17,'Paths'!$P$17))</x:f>
        <x:v>38000</x:v>
      </x:c>
      <x:c r="G991" s="46" t="n">
        <x:f>IF('Controls'!$D$7="Reference",1,IF(OR(D991=6,D991=7,D991=21,D991=46),'Paths'!$U$17,1))</x:f>
        <x:v>1</x:v>
      </x:c>
      <x:c r="H991" s="46" t="n">
        <x:f>IF('Controls'!$D$7="Reference",1,IF(OR(AND(D991&gt;=14,D991&lt;=16),AND(D991&gt;=34,D991&lt;=35),AND(D991&gt;=61,D991&lt;=63)),'Paths'!$V$17,1))</x:f>
        <x:v>1</x:v>
      </x:c>
      <x:c r="I991" s="46" t="n">
        <x:f>'Paths'!$W$17</x:f>
        <x:v>0.85</x:v>
      </x:c>
      <x:c r="J991" s="47" t="n">
        <x:f>IF(D991&lt;E991,0,MIN(F991*G991*H991*I991,IF('Paths'!$T$17&gt;0,MAX(0,'Paths'!$T$17-K990),1000000000)))</x:f>
        <x:v>32300</x:v>
      </x:c>
      <x:c r="K991" s="47" t="n">
        <x:f>K990+J991</x:f>
        <x:v>1611090</x:v>
      </x:c>
      <x:c r="L991" s="46" t="n">
        <x:f>IF(C991="P0",1,IF(D991&lt;=3,0.8,IF(D991&lt;=14,0.65,IF(D991&lt;=45,0.5,0.3))))</x:f>
        <x:v>0.3</x:v>
      </x:c>
      <x:c r="M991" s="47" t="n">
        <x:f>J991*L991</x:f>
        <x:v>9690</x:v>
      </x:c>
      <x:c r="N991" s="47" t="n">
        <x:f>N990+M991</x:f>
        <x:v>635171</x:v>
      </x:c>
      <x:c r="O991" s="46" t="n">
        <x:f>IF(C991="P0",0,IF(D991&lt;=3,0.15,IF(D991&lt;=14,0.25,IF(D991&lt;=45,0.35,0.5))))</x:f>
        <x:v>0.5</x:v>
      </x:c>
      <x:c r="P991" s="47" t="n">
        <x:f>J991*O991</x:f>
        <x:v>16150</x:v>
      </x:c>
      <x:c r="Q991" s="46" t="n">
        <x:f>IF(C991="P0",0,IF(D991&lt;=3,0.05,IF(D991&lt;=14,0.1,IF(D991&lt;=45,0.15,0.2))))</x:f>
        <x:v>0.2</x:v>
      </x:c>
      <x:c r="R991" s="47" t="n">
        <x:f>J991*Q991</x:f>
        <x:v>6460</x:v>
      </x:c>
      <x:c r="S991" s="20" t="str">
        <x:f>IF(D991&lt;E991,"closed",IF(D991&lt;'Paths'!$N$17,"initial","expanded"))</x:f>
        <x:v>expanded</x:v>
      </x:c>
      <x:c r="T991" s="72"/>
    </x:row>
    <x:row r="992">
      <x:c r="C992" s="20" t="str">
        <x:v>P10</x:v>
      </x:c>
      <x:c r="D992" s="20" t="n">
        <x:v>75</x:v>
      </x:c>
      <x:c r="E992" s="45" t="n">
        <x:f>IF('Controls'!$D$7="Reference",'Paths'!$J$17,'Paths'!$K$17)</x:f>
        <x:v>14</x:v>
      </x:c>
      <x:c r="F992" s="47" t="n">
        <x:f>IF(D992&lt;'Paths'!$N$17,IF('Controls'!$D$7="Reference",'Paths'!$L$17,'Paths'!$M$17),IF('Controls'!$D$7="Reference",'Paths'!$O$17,'Paths'!$P$17))</x:f>
        <x:v>38000</x:v>
      </x:c>
      <x:c r="G992" s="46" t="n">
        <x:f>IF('Controls'!$D$7="Reference",1,IF(OR(D992=6,D992=7,D992=21,D992=46),'Paths'!$U$17,1))</x:f>
        <x:v>1</x:v>
      </x:c>
      <x:c r="H992" s="46" t="n">
        <x:f>IF('Controls'!$D$7="Reference",1,IF(OR(AND(D992&gt;=14,D992&lt;=16),AND(D992&gt;=34,D992&lt;=35),AND(D992&gt;=61,D992&lt;=63)),'Paths'!$V$17,1))</x:f>
        <x:v>1</x:v>
      </x:c>
      <x:c r="I992" s="46" t="n">
        <x:f>'Paths'!$W$17</x:f>
        <x:v>0.85</x:v>
      </x:c>
      <x:c r="J992" s="47" t="n">
        <x:f>IF(D992&lt;E992,0,MIN(F992*G992*H992*I992,IF('Paths'!$T$17&gt;0,MAX(0,'Paths'!$T$17-K991),1000000000)))</x:f>
        <x:v>32300</x:v>
      </x:c>
      <x:c r="K992" s="47" t="n">
        <x:f>K991+J992</x:f>
        <x:v>1643390</x:v>
      </x:c>
      <x:c r="L992" s="46" t="n">
        <x:f>IF(C992="P0",1,IF(D992&lt;=3,0.8,IF(D992&lt;=14,0.65,IF(D992&lt;=45,0.5,0.3))))</x:f>
        <x:v>0.3</x:v>
      </x:c>
      <x:c r="M992" s="47" t="n">
        <x:f>J992*L992</x:f>
        <x:v>9690</x:v>
      </x:c>
      <x:c r="N992" s="47" t="n">
        <x:f>N991+M992</x:f>
        <x:v>644861</x:v>
      </x:c>
      <x:c r="O992" s="46" t="n">
        <x:f>IF(C992="P0",0,IF(D992&lt;=3,0.15,IF(D992&lt;=14,0.25,IF(D992&lt;=45,0.35,0.5))))</x:f>
        <x:v>0.5</x:v>
      </x:c>
      <x:c r="P992" s="47" t="n">
        <x:f>J992*O992</x:f>
        <x:v>16150</x:v>
      </x:c>
      <x:c r="Q992" s="46" t="n">
        <x:f>IF(C992="P0",0,IF(D992&lt;=3,0.05,IF(D992&lt;=14,0.1,IF(D992&lt;=45,0.15,0.2))))</x:f>
        <x:v>0.2</x:v>
      </x:c>
      <x:c r="R992" s="47" t="n">
        <x:f>J992*Q992</x:f>
        <x:v>6460</x:v>
      </x:c>
      <x:c r="S992" s="20" t="str">
        <x:f>IF(D992&lt;E992,"closed",IF(D992&lt;'Paths'!$N$17,"initial","expanded"))</x:f>
        <x:v>expanded</x:v>
      </x:c>
      <x:c r="T992" s="72"/>
    </x:row>
    <x:row r="993">
      <x:c r="C993" s="20" t="str">
        <x:v>P10</x:v>
      </x:c>
      <x:c r="D993" s="20" t="n">
        <x:v>76</x:v>
      </x:c>
      <x:c r="E993" s="45" t="n">
        <x:f>IF('Controls'!$D$7="Reference",'Paths'!$J$17,'Paths'!$K$17)</x:f>
        <x:v>14</x:v>
      </x:c>
      <x:c r="F993" s="47" t="n">
        <x:f>IF(D993&lt;'Paths'!$N$17,IF('Controls'!$D$7="Reference",'Paths'!$L$17,'Paths'!$M$17),IF('Controls'!$D$7="Reference",'Paths'!$O$17,'Paths'!$P$17))</x:f>
        <x:v>38000</x:v>
      </x:c>
      <x:c r="G993" s="46" t="n">
        <x:f>IF('Controls'!$D$7="Reference",1,IF(OR(D993=6,D993=7,D993=21,D993=46),'Paths'!$U$17,1))</x:f>
        <x:v>1</x:v>
      </x:c>
      <x:c r="H993" s="46" t="n">
        <x:f>IF('Controls'!$D$7="Reference",1,IF(OR(AND(D993&gt;=14,D993&lt;=16),AND(D993&gt;=34,D993&lt;=35),AND(D993&gt;=61,D993&lt;=63)),'Paths'!$V$17,1))</x:f>
        <x:v>1</x:v>
      </x:c>
      <x:c r="I993" s="46" t="n">
        <x:f>'Paths'!$W$17</x:f>
        <x:v>0.85</x:v>
      </x:c>
      <x:c r="J993" s="47" t="n">
        <x:f>IF(D993&lt;E993,0,MIN(F993*G993*H993*I993,IF('Paths'!$T$17&gt;0,MAX(0,'Paths'!$T$17-K992),1000000000)))</x:f>
        <x:v>32300</x:v>
      </x:c>
      <x:c r="K993" s="47" t="n">
        <x:f>K992+J993</x:f>
        <x:v>1675690</x:v>
      </x:c>
      <x:c r="L993" s="46" t="n">
        <x:f>IF(C993="P0",1,IF(D993&lt;=3,0.8,IF(D993&lt;=14,0.65,IF(D993&lt;=45,0.5,0.3))))</x:f>
        <x:v>0.3</x:v>
      </x:c>
      <x:c r="M993" s="47" t="n">
        <x:f>J993*L993</x:f>
        <x:v>9690</x:v>
      </x:c>
      <x:c r="N993" s="47" t="n">
        <x:f>N992+M993</x:f>
        <x:v>654551</x:v>
      </x:c>
      <x:c r="O993" s="46" t="n">
        <x:f>IF(C993="P0",0,IF(D993&lt;=3,0.15,IF(D993&lt;=14,0.25,IF(D993&lt;=45,0.35,0.5))))</x:f>
        <x:v>0.5</x:v>
      </x:c>
      <x:c r="P993" s="47" t="n">
        <x:f>J993*O993</x:f>
        <x:v>16150</x:v>
      </x:c>
      <x:c r="Q993" s="46" t="n">
        <x:f>IF(C993="P0",0,IF(D993&lt;=3,0.05,IF(D993&lt;=14,0.1,IF(D993&lt;=45,0.15,0.2))))</x:f>
        <x:v>0.2</x:v>
      </x:c>
      <x:c r="R993" s="47" t="n">
        <x:f>J993*Q993</x:f>
        <x:v>6460</x:v>
      </x:c>
      <x:c r="S993" s="20" t="str">
        <x:f>IF(D993&lt;E993,"closed",IF(D993&lt;'Paths'!$N$17,"initial","expanded"))</x:f>
        <x:v>expanded</x:v>
      </x:c>
      <x:c r="T993" s="72"/>
    </x:row>
    <x:row r="994">
      <x:c r="C994" s="20" t="str">
        <x:v>P10</x:v>
      </x:c>
      <x:c r="D994" s="20" t="n">
        <x:v>77</x:v>
      </x:c>
      <x:c r="E994" s="45" t="n">
        <x:f>IF('Controls'!$D$7="Reference",'Paths'!$J$17,'Paths'!$K$17)</x:f>
        <x:v>14</x:v>
      </x:c>
      <x:c r="F994" s="47" t="n">
        <x:f>IF(D994&lt;'Paths'!$N$17,IF('Controls'!$D$7="Reference",'Paths'!$L$17,'Paths'!$M$17),IF('Controls'!$D$7="Reference",'Paths'!$O$17,'Paths'!$P$17))</x:f>
        <x:v>38000</x:v>
      </x:c>
      <x:c r="G994" s="46" t="n">
        <x:f>IF('Controls'!$D$7="Reference",1,IF(OR(D994=6,D994=7,D994=21,D994=46),'Paths'!$U$17,1))</x:f>
        <x:v>1</x:v>
      </x:c>
      <x:c r="H994" s="46" t="n">
        <x:f>IF('Controls'!$D$7="Reference",1,IF(OR(AND(D994&gt;=14,D994&lt;=16),AND(D994&gt;=34,D994&lt;=35),AND(D994&gt;=61,D994&lt;=63)),'Paths'!$V$17,1))</x:f>
        <x:v>1</x:v>
      </x:c>
      <x:c r="I994" s="46" t="n">
        <x:f>'Paths'!$W$17</x:f>
        <x:v>0.85</x:v>
      </x:c>
      <x:c r="J994" s="47" t="n">
        <x:f>IF(D994&lt;E994,0,MIN(F994*G994*H994*I994,IF('Paths'!$T$17&gt;0,MAX(0,'Paths'!$T$17-K993),1000000000)))</x:f>
        <x:v>32300</x:v>
      </x:c>
      <x:c r="K994" s="47" t="n">
        <x:f>K993+J994</x:f>
        <x:v>1707990</x:v>
      </x:c>
      <x:c r="L994" s="46" t="n">
        <x:f>IF(C994="P0",1,IF(D994&lt;=3,0.8,IF(D994&lt;=14,0.65,IF(D994&lt;=45,0.5,0.3))))</x:f>
        <x:v>0.3</x:v>
      </x:c>
      <x:c r="M994" s="47" t="n">
        <x:f>J994*L994</x:f>
        <x:v>9690</x:v>
      </x:c>
      <x:c r="N994" s="47" t="n">
        <x:f>N993+M994</x:f>
        <x:v>664241</x:v>
      </x:c>
      <x:c r="O994" s="46" t="n">
        <x:f>IF(C994="P0",0,IF(D994&lt;=3,0.15,IF(D994&lt;=14,0.25,IF(D994&lt;=45,0.35,0.5))))</x:f>
        <x:v>0.5</x:v>
      </x:c>
      <x:c r="P994" s="47" t="n">
        <x:f>J994*O994</x:f>
        <x:v>16150</x:v>
      </x:c>
      <x:c r="Q994" s="46" t="n">
        <x:f>IF(C994="P0",0,IF(D994&lt;=3,0.05,IF(D994&lt;=14,0.1,IF(D994&lt;=45,0.15,0.2))))</x:f>
        <x:v>0.2</x:v>
      </x:c>
      <x:c r="R994" s="47" t="n">
        <x:f>J994*Q994</x:f>
        <x:v>6460</x:v>
      </x:c>
      <x:c r="S994" s="20" t="str">
        <x:f>IF(D994&lt;E994,"closed",IF(D994&lt;'Paths'!$N$17,"initial","expanded"))</x:f>
        <x:v>expanded</x:v>
      </x:c>
      <x:c r="T994" s="72"/>
    </x:row>
    <x:row r="995">
      <x:c r="C995" s="20" t="str">
        <x:v>P10</x:v>
      </x:c>
      <x:c r="D995" s="20" t="n">
        <x:v>78</x:v>
      </x:c>
      <x:c r="E995" s="45" t="n">
        <x:f>IF('Controls'!$D$7="Reference",'Paths'!$J$17,'Paths'!$K$17)</x:f>
        <x:v>14</x:v>
      </x:c>
      <x:c r="F995" s="47" t="n">
        <x:f>IF(D995&lt;'Paths'!$N$17,IF('Controls'!$D$7="Reference",'Paths'!$L$17,'Paths'!$M$17),IF('Controls'!$D$7="Reference",'Paths'!$O$17,'Paths'!$P$17))</x:f>
        <x:v>38000</x:v>
      </x:c>
      <x:c r="G995" s="46" t="n">
        <x:f>IF('Controls'!$D$7="Reference",1,IF(OR(D995=6,D995=7,D995=21,D995=46),'Paths'!$U$17,1))</x:f>
        <x:v>1</x:v>
      </x:c>
      <x:c r="H995" s="46" t="n">
        <x:f>IF('Controls'!$D$7="Reference",1,IF(OR(AND(D995&gt;=14,D995&lt;=16),AND(D995&gt;=34,D995&lt;=35),AND(D995&gt;=61,D995&lt;=63)),'Paths'!$V$17,1))</x:f>
        <x:v>1</x:v>
      </x:c>
      <x:c r="I995" s="46" t="n">
        <x:f>'Paths'!$W$17</x:f>
        <x:v>0.85</x:v>
      </x:c>
      <x:c r="J995" s="47" t="n">
        <x:f>IF(D995&lt;E995,0,MIN(F995*G995*H995*I995,IF('Paths'!$T$17&gt;0,MAX(0,'Paths'!$T$17-K994),1000000000)))</x:f>
        <x:v>32300</x:v>
      </x:c>
      <x:c r="K995" s="47" t="n">
        <x:f>K994+J995</x:f>
        <x:v>1740290</x:v>
      </x:c>
      <x:c r="L995" s="46" t="n">
        <x:f>IF(C995="P0",1,IF(D995&lt;=3,0.8,IF(D995&lt;=14,0.65,IF(D995&lt;=45,0.5,0.3))))</x:f>
        <x:v>0.3</x:v>
      </x:c>
      <x:c r="M995" s="47" t="n">
        <x:f>J995*L995</x:f>
        <x:v>9690</x:v>
      </x:c>
      <x:c r="N995" s="47" t="n">
        <x:f>N994+M995</x:f>
        <x:v>673931</x:v>
      </x:c>
      <x:c r="O995" s="46" t="n">
        <x:f>IF(C995="P0",0,IF(D995&lt;=3,0.15,IF(D995&lt;=14,0.25,IF(D995&lt;=45,0.35,0.5))))</x:f>
        <x:v>0.5</x:v>
      </x:c>
      <x:c r="P995" s="47" t="n">
        <x:f>J995*O995</x:f>
        <x:v>16150</x:v>
      </x:c>
      <x:c r="Q995" s="46" t="n">
        <x:f>IF(C995="P0",0,IF(D995&lt;=3,0.05,IF(D995&lt;=14,0.1,IF(D995&lt;=45,0.15,0.2))))</x:f>
        <x:v>0.2</x:v>
      </x:c>
      <x:c r="R995" s="47" t="n">
        <x:f>J995*Q995</x:f>
        <x:v>6460</x:v>
      </x:c>
      <x:c r="S995" s="20" t="str">
        <x:f>IF(D995&lt;E995,"closed",IF(D995&lt;'Paths'!$N$17,"initial","expanded"))</x:f>
        <x:v>expanded</x:v>
      </x:c>
      <x:c r="T995" s="72"/>
    </x:row>
    <x:row r="996">
      <x:c r="C996" s="20" t="str">
        <x:v>P10</x:v>
      </x:c>
      <x:c r="D996" s="20" t="n">
        <x:v>79</x:v>
      </x:c>
      <x:c r="E996" s="45" t="n">
        <x:f>IF('Controls'!$D$7="Reference",'Paths'!$J$17,'Paths'!$K$17)</x:f>
        <x:v>14</x:v>
      </x:c>
      <x:c r="F996" s="47" t="n">
        <x:f>IF(D996&lt;'Paths'!$N$17,IF('Controls'!$D$7="Reference",'Paths'!$L$17,'Paths'!$M$17),IF('Controls'!$D$7="Reference",'Paths'!$O$17,'Paths'!$P$17))</x:f>
        <x:v>38000</x:v>
      </x:c>
      <x:c r="G996" s="46" t="n">
        <x:f>IF('Controls'!$D$7="Reference",1,IF(OR(D996=6,D996=7,D996=21,D996=46),'Paths'!$U$17,1))</x:f>
        <x:v>1</x:v>
      </x:c>
      <x:c r="H996" s="46" t="n">
        <x:f>IF('Controls'!$D$7="Reference",1,IF(OR(AND(D996&gt;=14,D996&lt;=16),AND(D996&gt;=34,D996&lt;=35),AND(D996&gt;=61,D996&lt;=63)),'Paths'!$V$17,1))</x:f>
        <x:v>1</x:v>
      </x:c>
      <x:c r="I996" s="46" t="n">
        <x:f>'Paths'!$W$17</x:f>
        <x:v>0.85</x:v>
      </x:c>
      <x:c r="J996" s="47" t="n">
        <x:f>IF(D996&lt;E996,0,MIN(F996*G996*H996*I996,IF('Paths'!$T$17&gt;0,MAX(0,'Paths'!$T$17-K995),1000000000)))</x:f>
        <x:v>32300</x:v>
      </x:c>
      <x:c r="K996" s="47" t="n">
        <x:f>K995+J996</x:f>
        <x:v>1772590</x:v>
      </x:c>
      <x:c r="L996" s="46" t="n">
        <x:f>IF(C996="P0",1,IF(D996&lt;=3,0.8,IF(D996&lt;=14,0.65,IF(D996&lt;=45,0.5,0.3))))</x:f>
        <x:v>0.3</x:v>
      </x:c>
      <x:c r="M996" s="47" t="n">
        <x:f>J996*L996</x:f>
        <x:v>9690</x:v>
      </x:c>
      <x:c r="N996" s="47" t="n">
        <x:f>N995+M996</x:f>
        <x:v>683621</x:v>
      </x:c>
      <x:c r="O996" s="46" t="n">
        <x:f>IF(C996="P0",0,IF(D996&lt;=3,0.15,IF(D996&lt;=14,0.25,IF(D996&lt;=45,0.35,0.5))))</x:f>
        <x:v>0.5</x:v>
      </x:c>
      <x:c r="P996" s="47" t="n">
        <x:f>J996*O996</x:f>
        <x:v>16150</x:v>
      </x:c>
      <x:c r="Q996" s="46" t="n">
        <x:f>IF(C996="P0",0,IF(D996&lt;=3,0.05,IF(D996&lt;=14,0.1,IF(D996&lt;=45,0.15,0.2))))</x:f>
        <x:v>0.2</x:v>
      </x:c>
      <x:c r="R996" s="47" t="n">
        <x:f>J996*Q996</x:f>
        <x:v>6460</x:v>
      </x:c>
      <x:c r="S996" s="20" t="str">
        <x:f>IF(D996&lt;E996,"closed",IF(D996&lt;'Paths'!$N$17,"initial","expanded"))</x:f>
        <x:v>expanded</x:v>
      </x:c>
      <x:c r="T996" s="72"/>
    </x:row>
    <x:row r="997">
      <x:c r="C997" s="20" t="str">
        <x:v>P10</x:v>
      </x:c>
      <x:c r="D997" s="20" t="n">
        <x:v>80</x:v>
      </x:c>
      <x:c r="E997" s="45" t="n">
        <x:f>IF('Controls'!$D$7="Reference",'Paths'!$J$17,'Paths'!$K$17)</x:f>
        <x:v>14</x:v>
      </x:c>
      <x:c r="F997" s="47" t="n">
        <x:f>IF(D997&lt;'Paths'!$N$17,IF('Controls'!$D$7="Reference",'Paths'!$L$17,'Paths'!$M$17),IF('Controls'!$D$7="Reference",'Paths'!$O$17,'Paths'!$P$17))</x:f>
        <x:v>38000</x:v>
      </x:c>
      <x:c r="G997" s="46" t="n">
        <x:f>IF('Controls'!$D$7="Reference",1,IF(OR(D997=6,D997=7,D997=21,D997=46),'Paths'!$U$17,1))</x:f>
        <x:v>1</x:v>
      </x:c>
      <x:c r="H997" s="46" t="n">
        <x:f>IF('Controls'!$D$7="Reference",1,IF(OR(AND(D997&gt;=14,D997&lt;=16),AND(D997&gt;=34,D997&lt;=35),AND(D997&gt;=61,D997&lt;=63)),'Paths'!$V$17,1))</x:f>
        <x:v>1</x:v>
      </x:c>
      <x:c r="I997" s="46" t="n">
        <x:f>'Paths'!$W$17</x:f>
        <x:v>0.85</x:v>
      </x:c>
      <x:c r="J997" s="47" t="n">
        <x:f>IF(D997&lt;E997,0,MIN(F997*G997*H997*I997,IF('Paths'!$T$17&gt;0,MAX(0,'Paths'!$T$17-K996),1000000000)))</x:f>
        <x:v>32300</x:v>
      </x:c>
      <x:c r="K997" s="47" t="n">
        <x:f>K996+J997</x:f>
        <x:v>1804890</x:v>
      </x:c>
      <x:c r="L997" s="46" t="n">
        <x:f>IF(C997="P0",1,IF(D997&lt;=3,0.8,IF(D997&lt;=14,0.65,IF(D997&lt;=45,0.5,0.3))))</x:f>
        <x:v>0.3</x:v>
      </x:c>
      <x:c r="M997" s="47" t="n">
        <x:f>J997*L997</x:f>
        <x:v>9690</x:v>
      </x:c>
      <x:c r="N997" s="47" t="n">
        <x:f>N996+M997</x:f>
        <x:v>693311</x:v>
      </x:c>
      <x:c r="O997" s="46" t="n">
        <x:f>IF(C997="P0",0,IF(D997&lt;=3,0.15,IF(D997&lt;=14,0.25,IF(D997&lt;=45,0.35,0.5))))</x:f>
        <x:v>0.5</x:v>
      </x:c>
      <x:c r="P997" s="47" t="n">
        <x:f>J997*O997</x:f>
        <x:v>16150</x:v>
      </x:c>
      <x:c r="Q997" s="46" t="n">
        <x:f>IF(C997="P0",0,IF(D997&lt;=3,0.05,IF(D997&lt;=14,0.1,IF(D997&lt;=45,0.15,0.2))))</x:f>
        <x:v>0.2</x:v>
      </x:c>
      <x:c r="R997" s="47" t="n">
        <x:f>J997*Q997</x:f>
        <x:v>6460</x:v>
      </x:c>
      <x:c r="S997" s="20" t="str">
        <x:f>IF(D997&lt;E997,"closed",IF(D997&lt;'Paths'!$N$17,"initial","expanded"))</x:f>
        <x:v>expanded</x:v>
      </x:c>
      <x:c r="T997" s="72"/>
    </x:row>
    <x:row r="998">
      <x:c r="C998" s="20" t="str">
        <x:v>P10</x:v>
      </x:c>
      <x:c r="D998" s="20" t="n">
        <x:v>81</x:v>
      </x:c>
      <x:c r="E998" s="45" t="n">
        <x:f>IF('Controls'!$D$7="Reference",'Paths'!$J$17,'Paths'!$K$17)</x:f>
        <x:v>14</x:v>
      </x:c>
      <x:c r="F998" s="47" t="n">
        <x:f>IF(D998&lt;'Paths'!$N$17,IF('Controls'!$D$7="Reference",'Paths'!$L$17,'Paths'!$M$17),IF('Controls'!$D$7="Reference",'Paths'!$O$17,'Paths'!$P$17))</x:f>
        <x:v>38000</x:v>
      </x:c>
      <x:c r="G998" s="46" t="n">
        <x:f>IF('Controls'!$D$7="Reference",1,IF(OR(D998=6,D998=7,D998=21,D998=46),'Paths'!$U$17,1))</x:f>
        <x:v>1</x:v>
      </x:c>
      <x:c r="H998" s="46" t="n">
        <x:f>IF('Controls'!$D$7="Reference",1,IF(OR(AND(D998&gt;=14,D998&lt;=16),AND(D998&gt;=34,D998&lt;=35),AND(D998&gt;=61,D998&lt;=63)),'Paths'!$V$17,1))</x:f>
        <x:v>1</x:v>
      </x:c>
      <x:c r="I998" s="46" t="n">
        <x:f>'Paths'!$W$17</x:f>
        <x:v>0.85</x:v>
      </x:c>
      <x:c r="J998" s="47" t="n">
        <x:f>IF(D998&lt;E998,0,MIN(F998*G998*H998*I998,IF('Paths'!$T$17&gt;0,MAX(0,'Paths'!$T$17-K997),1000000000)))</x:f>
        <x:v>32300</x:v>
      </x:c>
      <x:c r="K998" s="47" t="n">
        <x:f>K997+J998</x:f>
        <x:v>1837190</x:v>
      </x:c>
      <x:c r="L998" s="46" t="n">
        <x:f>IF(C998="P0",1,IF(D998&lt;=3,0.8,IF(D998&lt;=14,0.65,IF(D998&lt;=45,0.5,0.3))))</x:f>
        <x:v>0.3</x:v>
      </x:c>
      <x:c r="M998" s="47" t="n">
        <x:f>J998*L998</x:f>
        <x:v>9690</x:v>
      </x:c>
      <x:c r="N998" s="47" t="n">
        <x:f>N997+M998</x:f>
        <x:v>703001</x:v>
      </x:c>
      <x:c r="O998" s="46" t="n">
        <x:f>IF(C998="P0",0,IF(D998&lt;=3,0.15,IF(D998&lt;=14,0.25,IF(D998&lt;=45,0.35,0.5))))</x:f>
        <x:v>0.5</x:v>
      </x:c>
      <x:c r="P998" s="47" t="n">
        <x:f>J998*O998</x:f>
        <x:v>16150</x:v>
      </x:c>
      <x:c r="Q998" s="46" t="n">
        <x:f>IF(C998="P0",0,IF(D998&lt;=3,0.05,IF(D998&lt;=14,0.1,IF(D998&lt;=45,0.15,0.2))))</x:f>
        <x:v>0.2</x:v>
      </x:c>
      <x:c r="R998" s="47" t="n">
        <x:f>J998*Q998</x:f>
        <x:v>6460</x:v>
      </x:c>
      <x:c r="S998" s="20" t="str">
        <x:f>IF(D998&lt;E998,"closed",IF(D998&lt;'Paths'!$N$17,"initial","expanded"))</x:f>
        <x:v>expanded</x:v>
      </x:c>
      <x:c r="T998" s="72"/>
    </x:row>
    <x:row r="999">
      <x:c r="C999" s="20" t="str">
        <x:v>P10</x:v>
      </x:c>
      <x:c r="D999" s="20" t="n">
        <x:v>82</x:v>
      </x:c>
      <x:c r="E999" s="45" t="n">
        <x:f>IF('Controls'!$D$7="Reference",'Paths'!$J$17,'Paths'!$K$17)</x:f>
        <x:v>14</x:v>
      </x:c>
      <x:c r="F999" s="47" t="n">
        <x:f>IF(D999&lt;'Paths'!$N$17,IF('Controls'!$D$7="Reference",'Paths'!$L$17,'Paths'!$M$17),IF('Controls'!$D$7="Reference",'Paths'!$O$17,'Paths'!$P$17))</x:f>
        <x:v>38000</x:v>
      </x:c>
      <x:c r="G999" s="46" t="n">
        <x:f>IF('Controls'!$D$7="Reference",1,IF(OR(D999=6,D999=7,D999=21,D999=46),'Paths'!$U$17,1))</x:f>
        <x:v>1</x:v>
      </x:c>
      <x:c r="H999" s="46" t="n">
        <x:f>IF('Controls'!$D$7="Reference",1,IF(OR(AND(D999&gt;=14,D999&lt;=16),AND(D999&gt;=34,D999&lt;=35),AND(D999&gt;=61,D999&lt;=63)),'Paths'!$V$17,1))</x:f>
        <x:v>1</x:v>
      </x:c>
      <x:c r="I999" s="46" t="n">
        <x:f>'Paths'!$W$17</x:f>
        <x:v>0.85</x:v>
      </x:c>
      <x:c r="J999" s="47" t="n">
        <x:f>IF(D999&lt;E999,0,MIN(F999*G999*H999*I999,IF('Paths'!$T$17&gt;0,MAX(0,'Paths'!$T$17-K998),1000000000)))</x:f>
        <x:v>32300</x:v>
      </x:c>
      <x:c r="K999" s="47" t="n">
        <x:f>K998+J999</x:f>
        <x:v>1869490</x:v>
      </x:c>
      <x:c r="L999" s="46" t="n">
        <x:f>IF(C999="P0",1,IF(D999&lt;=3,0.8,IF(D999&lt;=14,0.65,IF(D999&lt;=45,0.5,0.3))))</x:f>
        <x:v>0.3</x:v>
      </x:c>
      <x:c r="M999" s="47" t="n">
        <x:f>J999*L999</x:f>
        <x:v>9690</x:v>
      </x:c>
      <x:c r="N999" s="47" t="n">
        <x:f>N998+M999</x:f>
        <x:v>712691</x:v>
      </x:c>
      <x:c r="O999" s="46" t="n">
        <x:f>IF(C999="P0",0,IF(D999&lt;=3,0.15,IF(D999&lt;=14,0.25,IF(D999&lt;=45,0.35,0.5))))</x:f>
        <x:v>0.5</x:v>
      </x:c>
      <x:c r="P999" s="47" t="n">
        <x:f>J999*O999</x:f>
        <x:v>16150</x:v>
      </x:c>
      <x:c r="Q999" s="46" t="n">
        <x:f>IF(C999="P0",0,IF(D999&lt;=3,0.05,IF(D999&lt;=14,0.1,IF(D999&lt;=45,0.15,0.2))))</x:f>
        <x:v>0.2</x:v>
      </x:c>
      <x:c r="R999" s="47" t="n">
        <x:f>J999*Q999</x:f>
        <x:v>6460</x:v>
      </x:c>
      <x:c r="S999" s="20" t="str">
        <x:f>IF(D999&lt;E999,"closed",IF(D999&lt;'Paths'!$N$17,"initial","expanded"))</x:f>
        <x:v>expanded</x:v>
      </x:c>
      <x:c r="T999" s="72"/>
    </x:row>
    <x:row r="1000">
      <x:c r="C1000" s="20" t="str">
        <x:v>P10</x:v>
      </x:c>
      <x:c r="D1000" s="20" t="n">
        <x:v>83</x:v>
      </x:c>
      <x:c r="E1000" s="45" t="n">
        <x:f>IF('Controls'!$D$7="Reference",'Paths'!$J$17,'Paths'!$K$17)</x:f>
        <x:v>14</x:v>
      </x:c>
      <x:c r="F1000" s="47" t="n">
        <x:f>IF(D1000&lt;'Paths'!$N$17,IF('Controls'!$D$7="Reference",'Paths'!$L$17,'Paths'!$M$17),IF('Controls'!$D$7="Reference",'Paths'!$O$17,'Paths'!$P$17))</x:f>
        <x:v>38000</x:v>
      </x:c>
      <x:c r="G1000" s="46" t="n">
        <x:f>IF('Controls'!$D$7="Reference",1,IF(OR(D1000=6,D1000=7,D1000=21,D1000=46),'Paths'!$U$17,1))</x:f>
        <x:v>1</x:v>
      </x:c>
      <x:c r="H1000" s="46" t="n">
        <x:f>IF('Controls'!$D$7="Reference",1,IF(OR(AND(D1000&gt;=14,D1000&lt;=16),AND(D1000&gt;=34,D1000&lt;=35),AND(D1000&gt;=61,D1000&lt;=63)),'Paths'!$V$17,1))</x:f>
        <x:v>1</x:v>
      </x:c>
      <x:c r="I1000" s="46" t="n">
        <x:f>'Paths'!$W$17</x:f>
        <x:v>0.85</x:v>
      </x:c>
      <x:c r="J1000" s="47" t="n">
        <x:f>IF(D1000&lt;E1000,0,MIN(F1000*G1000*H1000*I1000,IF('Paths'!$T$17&gt;0,MAX(0,'Paths'!$T$17-K999),1000000000)))</x:f>
        <x:v>32300</x:v>
      </x:c>
      <x:c r="K1000" s="47" t="n">
        <x:f>K999+J1000</x:f>
        <x:v>1901790</x:v>
      </x:c>
      <x:c r="L1000" s="46" t="n">
        <x:f>IF(C1000="P0",1,IF(D1000&lt;=3,0.8,IF(D1000&lt;=14,0.65,IF(D1000&lt;=45,0.5,0.3))))</x:f>
        <x:v>0.3</x:v>
      </x:c>
      <x:c r="M1000" s="47" t="n">
        <x:f>J1000*L1000</x:f>
        <x:v>9690</x:v>
      </x:c>
      <x:c r="N1000" s="47" t="n">
        <x:f>N999+M1000</x:f>
        <x:v>722381</x:v>
      </x:c>
      <x:c r="O1000" s="46" t="n">
        <x:f>IF(C1000="P0",0,IF(D1000&lt;=3,0.15,IF(D1000&lt;=14,0.25,IF(D1000&lt;=45,0.35,0.5))))</x:f>
        <x:v>0.5</x:v>
      </x:c>
      <x:c r="P1000" s="47" t="n">
        <x:f>J1000*O1000</x:f>
        <x:v>16150</x:v>
      </x:c>
      <x:c r="Q1000" s="46" t="n">
        <x:f>IF(C1000="P0",0,IF(D1000&lt;=3,0.05,IF(D1000&lt;=14,0.1,IF(D1000&lt;=45,0.15,0.2))))</x:f>
        <x:v>0.2</x:v>
      </x:c>
      <x:c r="R1000" s="47" t="n">
        <x:f>J1000*Q1000</x:f>
        <x:v>6460</x:v>
      </x:c>
      <x:c r="S1000" s="20" t="str">
        <x:f>IF(D1000&lt;E1000,"closed",IF(D1000&lt;'Paths'!$N$17,"initial","expanded"))</x:f>
        <x:v>expanded</x:v>
      </x:c>
      <x:c r="T1000" s="72"/>
    </x:row>
    <x:row r="1001">
      <x:c r="C1001" s="20" t="str">
        <x:v>P10</x:v>
      </x:c>
      <x:c r="D1001" s="20" t="n">
        <x:v>84</x:v>
      </x:c>
      <x:c r="E1001" s="45" t="n">
        <x:f>IF('Controls'!$D$7="Reference",'Paths'!$J$17,'Paths'!$K$17)</x:f>
        <x:v>14</x:v>
      </x:c>
      <x:c r="F1001" s="47" t="n">
        <x:f>IF(D1001&lt;'Paths'!$N$17,IF('Controls'!$D$7="Reference",'Paths'!$L$17,'Paths'!$M$17),IF('Controls'!$D$7="Reference",'Paths'!$O$17,'Paths'!$P$17))</x:f>
        <x:v>38000</x:v>
      </x:c>
      <x:c r="G1001" s="46" t="n">
        <x:f>IF('Controls'!$D$7="Reference",1,IF(OR(D1001=6,D1001=7,D1001=21,D1001=46),'Paths'!$U$17,1))</x:f>
        <x:v>1</x:v>
      </x:c>
      <x:c r="H1001" s="46" t="n">
        <x:f>IF('Controls'!$D$7="Reference",1,IF(OR(AND(D1001&gt;=14,D1001&lt;=16),AND(D1001&gt;=34,D1001&lt;=35),AND(D1001&gt;=61,D1001&lt;=63)),'Paths'!$V$17,1))</x:f>
        <x:v>1</x:v>
      </x:c>
      <x:c r="I1001" s="46" t="n">
        <x:f>'Paths'!$W$17</x:f>
        <x:v>0.85</x:v>
      </x:c>
      <x:c r="J1001" s="47" t="n">
        <x:f>IF(D1001&lt;E1001,0,MIN(F1001*G1001*H1001*I1001,IF('Paths'!$T$17&gt;0,MAX(0,'Paths'!$T$17-K1000),1000000000)))</x:f>
        <x:v>32300</x:v>
      </x:c>
      <x:c r="K1001" s="47" t="n">
        <x:f>K1000+J1001</x:f>
        <x:v>1934090</x:v>
      </x:c>
      <x:c r="L1001" s="46" t="n">
        <x:f>IF(C1001="P0",1,IF(D1001&lt;=3,0.8,IF(D1001&lt;=14,0.65,IF(D1001&lt;=45,0.5,0.3))))</x:f>
        <x:v>0.3</x:v>
      </x:c>
      <x:c r="M1001" s="47" t="n">
        <x:f>J1001*L1001</x:f>
        <x:v>9690</x:v>
      </x:c>
      <x:c r="N1001" s="47" t="n">
        <x:f>N1000+M1001</x:f>
        <x:v>732071</x:v>
      </x:c>
      <x:c r="O1001" s="46" t="n">
        <x:f>IF(C1001="P0",0,IF(D1001&lt;=3,0.15,IF(D1001&lt;=14,0.25,IF(D1001&lt;=45,0.35,0.5))))</x:f>
        <x:v>0.5</x:v>
      </x:c>
      <x:c r="P1001" s="47" t="n">
        <x:f>J1001*O1001</x:f>
        <x:v>16150</x:v>
      </x:c>
      <x:c r="Q1001" s="46" t="n">
        <x:f>IF(C1001="P0",0,IF(D1001&lt;=3,0.05,IF(D1001&lt;=14,0.1,IF(D1001&lt;=45,0.15,0.2))))</x:f>
        <x:v>0.2</x:v>
      </x:c>
      <x:c r="R1001" s="47" t="n">
        <x:f>J1001*Q1001</x:f>
        <x:v>6460</x:v>
      </x:c>
      <x:c r="S1001" s="20" t="str">
        <x:f>IF(D1001&lt;E1001,"closed",IF(D1001&lt;'Paths'!$N$17,"initial","expanded"))</x:f>
        <x:v>expanded</x:v>
      </x:c>
      <x:c r="T1001" s="72"/>
    </x:row>
    <x:row r="1002">
      <x:c r="C1002" s="20" t="str">
        <x:v>P10</x:v>
      </x:c>
      <x:c r="D1002" s="20" t="n">
        <x:v>85</x:v>
      </x:c>
      <x:c r="E1002" s="45" t="n">
        <x:f>IF('Controls'!$D$7="Reference",'Paths'!$J$17,'Paths'!$K$17)</x:f>
        <x:v>14</x:v>
      </x:c>
      <x:c r="F1002" s="47" t="n">
        <x:f>IF(D1002&lt;'Paths'!$N$17,IF('Controls'!$D$7="Reference",'Paths'!$L$17,'Paths'!$M$17),IF('Controls'!$D$7="Reference",'Paths'!$O$17,'Paths'!$P$17))</x:f>
        <x:v>38000</x:v>
      </x:c>
      <x:c r="G1002" s="46" t="n">
        <x:f>IF('Controls'!$D$7="Reference",1,IF(OR(D1002=6,D1002=7,D1002=21,D1002=46),'Paths'!$U$17,1))</x:f>
        <x:v>1</x:v>
      </x:c>
      <x:c r="H1002" s="46" t="n">
        <x:f>IF('Controls'!$D$7="Reference",1,IF(OR(AND(D1002&gt;=14,D1002&lt;=16),AND(D1002&gt;=34,D1002&lt;=35),AND(D1002&gt;=61,D1002&lt;=63)),'Paths'!$V$17,1))</x:f>
        <x:v>1</x:v>
      </x:c>
      <x:c r="I1002" s="46" t="n">
        <x:f>'Paths'!$W$17</x:f>
        <x:v>0.85</x:v>
      </x:c>
      <x:c r="J1002" s="47" t="n">
        <x:f>IF(D1002&lt;E1002,0,MIN(F1002*G1002*H1002*I1002,IF('Paths'!$T$17&gt;0,MAX(0,'Paths'!$T$17-K1001),1000000000)))</x:f>
        <x:v>32300</x:v>
      </x:c>
      <x:c r="K1002" s="47" t="n">
        <x:f>K1001+J1002</x:f>
        <x:v>1966390</x:v>
      </x:c>
      <x:c r="L1002" s="46" t="n">
        <x:f>IF(C1002="P0",1,IF(D1002&lt;=3,0.8,IF(D1002&lt;=14,0.65,IF(D1002&lt;=45,0.5,0.3))))</x:f>
        <x:v>0.3</x:v>
      </x:c>
      <x:c r="M1002" s="47" t="n">
        <x:f>J1002*L1002</x:f>
        <x:v>9690</x:v>
      </x:c>
      <x:c r="N1002" s="47" t="n">
        <x:f>N1001+M1002</x:f>
        <x:v>741761</x:v>
      </x:c>
      <x:c r="O1002" s="46" t="n">
        <x:f>IF(C1002="P0",0,IF(D1002&lt;=3,0.15,IF(D1002&lt;=14,0.25,IF(D1002&lt;=45,0.35,0.5))))</x:f>
        <x:v>0.5</x:v>
      </x:c>
      <x:c r="P1002" s="47" t="n">
        <x:f>J1002*O1002</x:f>
        <x:v>16150</x:v>
      </x:c>
      <x:c r="Q1002" s="46" t="n">
        <x:f>IF(C1002="P0",0,IF(D1002&lt;=3,0.05,IF(D1002&lt;=14,0.1,IF(D1002&lt;=45,0.15,0.2))))</x:f>
        <x:v>0.2</x:v>
      </x:c>
      <x:c r="R1002" s="47" t="n">
        <x:f>J1002*Q1002</x:f>
        <x:v>6460</x:v>
      </x:c>
      <x:c r="S1002" s="20" t="str">
        <x:f>IF(D1002&lt;E1002,"closed",IF(D1002&lt;'Paths'!$N$17,"initial","expanded"))</x:f>
        <x:v>expanded</x:v>
      </x:c>
      <x:c r="T1002" s="72"/>
    </x:row>
    <x:row r="1003">
      <x:c r="C1003" s="20" t="str">
        <x:v>P10</x:v>
      </x:c>
      <x:c r="D1003" s="20" t="n">
        <x:v>86</x:v>
      </x:c>
      <x:c r="E1003" s="45" t="n">
        <x:f>IF('Controls'!$D$7="Reference",'Paths'!$J$17,'Paths'!$K$17)</x:f>
        <x:v>14</x:v>
      </x:c>
      <x:c r="F1003" s="47" t="n">
        <x:f>IF(D1003&lt;'Paths'!$N$17,IF('Controls'!$D$7="Reference",'Paths'!$L$17,'Paths'!$M$17),IF('Controls'!$D$7="Reference",'Paths'!$O$17,'Paths'!$P$17))</x:f>
        <x:v>38000</x:v>
      </x:c>
      <x:c r="G1003" s="46" t="n">
        <x:f>IF('Controls'!$D$7="Reference",1,IF(OR(D1003=6,D1003=7,D1003=21,D1003=46),'Paths'!$U$17,1))</x:f>
        <x:v>1</x:v>
      </x:c>
      <x:c r="H1003" s="46" t="n">
        <x:f>IF('Controls'!$D$7="Reference",1,IF(OR(AND(D1003&gt;=14,D1003&lt;=16),AND(D1003&gt;=34,D1003&lt;=35),AND(D1003&gt;=61,D1003&lt;=63)),'Paths'!$V$17,1))</x:f>
        <x:v>1</x:v>
      </x:c>
      <x:c r="I1003" s="46" t="n">
        <x:f>'Paths'!$W$17</x:f>
        <x:v>0.85</x:v>
      </x:c>
      <x:c r="J1003" s="47" t="n">
        <x:f>IF(D1003&lt;E1003,0,MIN(F1003*G1003*H1003*I1003,IF('Paths'!$T$17&gt;0,MAX(0,'Paths'!$T$17-K1002),1000000000)))</x:f>
        <x:v>32300</x:v>
      </x:c>
      <x:c r="K1003" s="47" t="n">
        <x:f>K1002+J1003</x:f>
        <x:v>1998690</x:v>
      </x:c>
      <x:c r="L1003" s="46" t="n">
        <x:f>IF(C1003="P0",1,IF(D1003&lt;=3,0.8,IF(D1003&lt;=14,0.65,IF(D1003&lt;=45,0.5,0.3))))</x:f>
        <x:v>0.3</x:v>
      </x:c>
      <x:c r="M1003" s="47" t="n">
        <x:f>J1003*L1003</x:f>
        <x:v>9690</x:v>
      </x:c>
      <x:c r="N1003" s="47" t="n">
        <x:f>N1002+M1003</x:f>
        <x:v>751451</x:v>
      </x:c>
      <x:c r="O1003" s="46" t="n">
        <x:f>IF(C1003="P0",0,IF(D1003&lt;=3,0.15,IF(D1003&lt;=14,0.25,IF(D1003&lt;=45,0.35,0.5))))</x:f>
        <x:v>0.5</x:v>
      </x:c>
      <x:c r="P1003" s="47" t="n">
        <x:f>J1003*O1003</x:f>
        <x:v>16150</x:v>
      </x:c>
      <x:c r="Q1003" s="46" t="n">
        <x:f>IF(C1003="P0",0,IF(D1003&lt;=3,0.05,IF(D1003&lt;=14,0.1,IF(D1003&lt;=45,0.15,0.2))))</x:f>
        <x:v>0.2</x:v>
      </x:c>
      <x:c r="R1003" s="47" t="n">
        <x:f>J1003*Q1003</x:f>
        <x:v>6460</x:v>
      </x:c>
      <x:c r="S1003" s="20" t="str">
        <x:f>IF(D1003&lt;E1003,"closed",IF(D1003&lt;'Paths'!$N$17,"initial","expanded"))</x:f>
        <x:v>expanded</x:v>
      </x:c>
      <x:c r="T1003" s="72"/>
    </x:row>
    <x:row r="1004">
      <x:c r="C1004" s="20" t="str">
        <x:v>P10</x:v>
      </x:c>
      <x:c r="D1004" s="20" t="n">
        <x:v>87</x:v>
      </x:c>
      <x:c r="E1004" s="45" t="n">
        <x:f>IF('Controls'!$D$7="Reference",'Paths'!$J$17,'Paths'!$K$17)</x:f>
        <x:v>14</x:v>
      </x:c>
      <x:c r="F1004" s="47" t="n">
        <x:f>IF(D1004&lt;'Paths'!$N$17,IF('Controls'!$D$7="Reference",'Paths'!$L$17,'Paths'!$M$17),IF('Controls'!$D$7="Reference",'Paths'!$O$17,'Paths'!$P$17))</x:f>
        <x:v>38000</x:v>
      </x:c>
      <x:c r="G1004" s="46" t="n">
        <x:f>IF('Controls'!$D$7="Reference",1,IF(OR(D1004=6,D1004=7,D1004=21,D1004=46),'Paths'!$U$17,1))</x:f>
        <x:v>1</x:v>
      </x:c>
      <x:c r="H1004" s="46" t="n">
        <x:f>IF('Controls'!$D$7="Reference",1,IF(OR(AND(D1004&gt;=14,D1004&lt;=16),AND(D1004&gt;=34,D1004&lt;=35),AND(D1004&gt;=61,D1004&lt;=63)),'Paths'!$V$17,1))</x:f>
        <x:v>1</x:v>
      </x:c>
      <x:c r="I1004" s="46" t="n">
        <x:f>'Paths'!$W$17</x:f>
        <x:v>0.85</x:v>
      </x:c>
      <x:c r="J1004" s="47" t="n">
        <x:f>IF(D1004&lt;E1004,0,MIN(F1004*G1004*H1004*I1004,IF('Paths'!$T$17&gt;0,MAX(0,'Paths'!$T$17-K1003),1000000000)))</x:f>
        <x:v>32300</x:v>
      </x:c>
      <x:c r="K1004" s="47" t="n">
        <x:f>K1003+J1004</x:f>
        <x:v>2030990</x:v>
      </x:c>
      <x:c r="L1004" s="46" t="n">
        <x:f>IF(C1004="P0",1,IF(D1004&lt;=3,0.8,IF(D1004&lt;=14,0.65,IF(D1004&lt;=45,0.5,0.3))))</x:f>
        <x:v>0.3</x:v>
      </x:c>
      <x:c r="M1004" s="47" t="n">
        <x:f>J1004*L1004</x:f>
        <x:v>9690</x:v>
      </x:c>
      <x:c r="N1004" s="47" t="n">
        <x:f>N1003+M1004</x:f>
        <x:v>761141</x:v>
      </x:c>
      <x:c r="O1004" s="46" t="n">
        <x:f>IF(C1004="P0",0,IF(D1004&lt;=3,0.15,IF(D1004&lt;=14,0.25,IF(D1004&lt;=45,0.35,0.5))))</x:f>
        <x:v>0.5</x:v>
      </x:c>
      <x:c r="P1004" s="47" t="n">
        <x:f>J1004*O1004</x:f>
        <x:v>16150</x:v>
      </x:c>
      <x:c r="Q1004" s="46" t="n">
        <x:f>IF(C1004="P0",0,IF(D1004&lt;=3,0.05,IF(D1004&lt;=14,0.1,IF(D1004&lt;=45,0.15,0.2))))</x:f>
        <x:v>0.2</x:v>
      </x:c>
      <x:c r="R1004" s="47" t="n">
        <x:f>J1004*Q1004</x:f>
        <x:v>6460</x:v>
      </x:c>
      <x:c r="S1004" s="20" t="str">
        <x:f>IF(D1004&lt;E1004,"closed",IF(D1004&lt;'Paths'!$N$17,"initial","expanded"))</x:f>
        <x:v>expanded</x:v>
      </x:c>
      <x:c r="T1004" s="72"/>
    </x:row>
    <x:row r="1005">
      <x:c r="C1005" s="20" t="str">
        <x:v>P10</x:v>
      </x:c>
      <x:c r="D1005" s="20" t="n">
        <x:v>88</x:v>
      </x:c>
      <x:c r="E1005" s="45" t="n">
        <x:f>IF('Controls'!$D$7="Reference",'Paths'!$J$17,'Paths'!$K$17)</x:f>
        <x:v>14</x:v>
      </x:c>
      <x:c r="F1005" s="47" t="n">
        <x:f>IF(D1005&lt;'Paths'!$N$17,IF('Controls'!$D$7="Reference",'Paths'!$L$17,'Paths'!$M$17),IF('Controls'!$D$7="Reference",'Paths'!$O$17,'Paths'!$P$17))</x:f>
        <x:v>38000</x:v>
      </x:c>
      <x:c r="G1005" s="46" t="n">
        <x:f>IF('Controls'!$D$7="Reference",1,IF(OR(D1005=6,D1005=7,D1005=21,D1005=46),'Paths'!$U$17,1))</x:f>
        <x:v>1</x:v>
      </x:c>
      <x:c r="H1005" s="46" t="n">
        <x:f>IF('Controls'!$D$7="Reference",1,IF(OR(AND(D1005&gt;=14,D1005&lt;=16),AND(D1005&gt;=34,D1005&lt;=35),AND(D1005&gt;=61,D1005&lt;=63)),'Paths'!$V$17,1))</x:f>
        <x:v>1</x:v>
      </x:c>
      <x:c r="I1005" s="46" t="n">
        <x:f>'Paths'!$W$17</x:f>
        <x:v>0.85</x:v>
      </x:c>
      <x:c r="J1005" s="47" t="n">
        <x:f>IF(D1005&lt;E1005,0,MIN(F1005*G1005*H1005*I1005,IF('Paths'!$T$17&gt;0,MAX(0,'Paths'!$T$17-K1004),1000000000)))</x:f>
        <x:v>32300</x:v>
      </x:c>
      <x:c r="K1005" s="47" t="n">
        <x:f>K1004+J1005</x:f>
        <x:v>2063290</x:v>
      </x:c>
      <x:c r="L1005" s="46" t="n">
        <x:f>IF(C1005="P0",1,IF(D1005&lt;=3,0.8,IF(D1005&lt;=14,0.65,IF(D1005&lt;=45,0.5,0.3))))</x:f>
        <x:v>0.3</x:v>
      </x:c>
      <x:c r="M1005" s="47" t="n">
        <x:f>J1005*L1005</x:f>
        <x:v>9690</x:v>
      </x:c>
      <x:c r="N1005" s="47" t="n">
        <x:f>N1004+M1005</x:f>
        <x:v>770831</x:v>
      </x:c>
      <x:c r="O1005" s="46" t="n">
        <x:f>IF(C1005="P0",0,IF(D1005&lt;=3,0.15,IF(D1005&lt;=14,0.25,IF(D1005&lt;=45,0.35,0.5))))</x:f>
        <x:v>0.5</x:v>
      </x:c>
      <x:c r="P1005" s="47" t="n">
        <x:f>J1005*O1005</x:f>
        <x:v>16150</x:v>
      </x:c>
      <x:c r="Q1005" s="46" t="n">
        <x:f>IF(C1005="P0",0,IF(D1005&lt;=3,0.05,IF(D1005&lt;=14,0.1,IF(D1005&lt;=45,0.15,0.2))))</x:f>
        <x:v>0.2</x:v>
      </x:c>
      <x:c r="R1005" s="47" t="n">
        <x:f>J1005*Q1005</x:f>
        <x:v>6460</x:v>
      </x:c>
      <x:c r="S1005" s="20" t="str">
        <x:f>IF(D1005&lt;E1005,"closed",IF(D1005&lt;'Paths'!$N$17,"initial","expanded"))</x:f>
        <x:v>expanded</x:v>
      </x:c>
      <x:c r="T1005" s="72"/>
    </x:row>
    <x:row r="1006">
      <x:c r="C1006" s="20" t="str">
        <x:v>P10</x:v>
      </x:c>
      <x:c r="D1006" s="20" t="n">
        <x:v>89</x:v>
      </x:c>
      <x:c r="E1006" s="45" t="n">
        <x:f>IF('Controls'!$D$7="Reference",'Paths'!$J$17,'Paths'!$K$17)</x:f>
        <x:v>14</x:v>
      </x:c>
      <x:c r="F1006" s="47" t="n">
        <x:f>IF(D1006&lt;'Paths'!$N$17,IF('Controls'!$D$7="Reference",'Paths'!$L$17,'Paths'!$M$17),IF('Controls'!$D$7="Reference",'Paths'!$O$17,'Paths'!$P$17))</x:f>
        <x:v>38000</x:v>
      </x:c>
      <x:c r="G1006" s="46" t="n">
        <x:f>IF('Controls'!$D$7="Reference",1,IF(OR(D1006=6,D1006=7,D1006=21,D1006=46),'Paths'!$U$17,1))</x:f>
        <x:v>1</x:v>
      </x:c>
      <x:c r="H1006" s="46" t="n">
        <x:f>IF('Controls'!$D$7="Reference",1,IF(OR(AND(D1006&gt;=14,D1006&lt;=16),AND(D1006&gt;=34,D1006&lt;=35),AND(D1006&gt;=61,D1006&lt;=63)),'Paths'!$V$17,1))</x:f>
        <x:v>1</x:v>
      </x:c>
      <x:c r="I1006" s="46" t="n">
        <x:f>'Paths'!$W$17</x:f>
        <x:v>0.85</x:v>
      </x:c>
      <x:c r="J1006" s="47" t="n">
        <x:f>IF(D1006&lt;E1006,0,MIN(F1006*G1006*H1006*I1006,IF('Paths'!$T$17&gt;0,MAX(0,'Paths'!$T$17-K1005),1000000000)))</x:f>
        <x:v>32300</x:v>
      </x:c>
      <x:c r="K1006" s="47" t="n">
        <x:f>K1005+J1006</x:f>
        <x:v>2095590</x:v>
      </x:c>
      <x:c r="L1006" s="46" t="n">
        <x:f>IF(C1006="P0",1,IF(D1006&lt;=3,0.8,IF(D1006&lt;=14,0.65,IF(D1006&lt;=45,0.5,0.3))))</x:f>
        <x:v>0.3</x:v>
      </x:c>
      <x:c r="M1006" s="47" t="n">
        <x:f>J1006*L1006</x:f>
        <x:v>9690</x:v>
      </x:c>
      <x:c r="N1006" s="47" t="n">
        <x:f>N1005+M1006</x:f>
        <x:v>780521</x:v>
      </x:c>
      <x:c r="O1006" s="46" t="n">
        <x:f>IF(C1006="P0",0,IF(D1006&lt;=3,0.15,IF(D1006&lt;=14,0.25,IF(D1006&lt;=45,0.35,0.5))))</x:f>
        <x:v>0.5</x:v>
      </x:c>
      <x:c r="P1006" s="47" t="n">
        <x:f>J1006*O1006</x:f>
        <x:v>16150</x:v>
      </x:c>
      <x:c r="Q1006" s="46" t="n">
        <x:f>IF(C1006="P0",0,IF(D1006&lt;=3,0.05,IF(D1006&lt;=14,0.1,IF(D1006&lt;=45,0.15,0.2))))</x:f>
        <x:v>0.2</x:v>
      </x:c>
      <x:c r="R1006" s="47" t="n">
        <x:f>J1006*Q1006</x:f>
        <x:v>6460</x:v>
      </x:c>
      <x:c r="S1006" s="20" t="str">
        <x:f>IF(D1006&lt;E1006,"closed",IF(D1006&lt;'Paths'!$N$17,"initial","expanded"))</x:f>
        <x:v>expanded</x:v>
      </x:c>
      <x:c r="T1006" s="72"/>
    </x:row>
    <x:row r="1007">
      <x:c r="C1007" s="20" t="str">
        <x:v>P10</x:v>
      </x:c>
      <x:c r="D1007" s="20" t="n">
        <x:v>90</x:v>
      </x:c>
      <x:c r="E1007" s="45" t="n">
        <x:f>IF('Controls'!$D$7="Reference",'Paths'!$J$17,'Paths'!$K$17)</x:f>
        <x:v>14</x:v>
      </x:c>
      <x:c r="F1007" s="47" t="n">
        <x:f>IF(D1007&lt;'Paths'!$N$17,IF('Controls'!$D$7="Reference",'Paths'!$L$17,'Paths'!$M$17),IF('Controls'!$D$7="Reference",'Paths'!$O$17,'Paths'!$P$17))</x:f>
        <x:v>38000</x:v>
      </x:c>
      <x:c r="G1007" s="46" t="n">
        <x:f>IF('Controls'!$D$7="Reference",1,IF(OR(D1007=6,D1007=7,D1007=21,D1007=46),'Paths'!$U$17,1))</x:f>
        <x:v>1</x:v>
      </x:c>
      <x:c r="H1007" s="46" t="n">
        <x:f>IF('Controls'!$D$7="Reference",1,IF(OR(AND(D1007&gt;=14,D1007&lt;=16),AND(D1007&gt;=34,D1007&lt;=35),AND(D1007&gt;=61,D1007&lt;=63)),'Paths'!$V$17,1))</x:f>
        <x:v>1</x:v>
      </x:c>
      <x:c r="I1007" s="46" t="n">
        <x:f>'Paths'!$W$17</x:f>
        <x:v>0.85</x:v>
      </x:c>
      <x:c r="J1007" s="47" t="n">
        <x:f>IF(D1007&lt;E1007,0,MIN(F1007*G1007*H1007*I1007,IF('Paths'!$T$17&gt;0,MAX(0,'Paths'!$T$17-K1006),1000000000)))</x:f>
        <x:v>32300</x:v>
      </x:c>
      <x:c r="K1007" s="47" t="n">
        <x:f>K1006+J1007</x:f>
        <x:v>2127890</x:v>
      </x:c>
      <x:c r="L1007" s="46" t="n">
        <x:f>IF(C1007="P0",1,IF(D1007&lt;=3,0.8,IF(D1007&lt;=14,0.65,IF(D1007&lt;=45,0.5,0.3))))</x:f>
        <x:v>0.3</x:v>
      </x:c>
      <x:c r="M1007" s="47" t="n">
        <x:f>J1007*L1007</x:f>
        <x:v>9690</x:v>
      </x:c>
      <x:c r="N1007" s="47" t="n">
        <x:f>N1006+M1007</x:f>
        <x:v>790211</x:v>
      </x:c>
      <x:c r="O1007" s="46" t="n">
        <x:f>IF(C1007="P0",0,IF(D1007&lt;=3,0.15,IF(D1007&lt;=14,0.25,IF(D1007&lt;=45,0.35,0.5))))</x:f>
        <x:v>0.5</x:v>
      </x:c>
      <x:c r="P1007" s="47" t="n">
        <x:f>J1007*O1007</x:f>
        <x:v>16150</x:v>
      </x:c>
      <x:c r="Q1007" s="46" t="n">
        <x:f>IF(C1007="P0",0,IF(D1007&lt;=3,0.05,IF(D1007&lt;=14,0.1,IF(D1007&lt;=45,0.15,0.2))))</x:f>
        <x:v>0.2</x:v>
      </x:c>
      <x:c r="R1007" s="47" t="n">
        <x:f>J1007*Q1007</x:f>
        <x:v>6460</x:v>
      </x:c>
      <x:c r="S1007" s="20" t="str">
        <x:f>IF(D1007&lt;E1007,"closed",IF(D1007&lt;'Paths'!$N$17,"initial","expanded"))</x:f>
        <x:v>expanded</x:v>
      </x:c>
      <x:c r="T1007" s="72"/>
    </x:row>
    <x:row r="1008">
      <x:c r="C1008" s="20" t="str">
        <x:v>P11</x:v>
      </x:c>
      <x:c r="D1008" s="20" t="n">
        <x:v>0</x:v>
      </x:c>
      <x:c r="E1008" s="45" t="n">
        <x:f>IF('Controls'!$D$7="Reference",'Paths'!$J$18,'Paths'!$K$18)</x:f>
        <x:v>2</x:v>
      </x:c>
      <x:c r="F1008" s="47" t="n">
        <x:f>IF(D1008&lt;'Paths'!$N$18,IF('Controls'!$D$7="Reference",'Paths'!$L$18,'Paths'!$M$18),IF('Controls'!$D$7="Reference",'Paths'!$O$18,'Paths'!$P$18))</x:f>
        <x:v>14000</x:v>
      </x:c>
      <x:c r="G1008" s="46" t="n">
        <x:f>IF('Controls'!$D$7="Reference",1,IF(OR(D1008=6,D1008=7,D1008=21,D1008=46),'Paths'!$U$18,1))</x:f>
        <x:v>1</x:v>
      </x:c>
      <x:c r="H1008" s="46" t="n">
        <x:f>IF('Controls'!$D$7="Reference",1,IF(OR(AND(D1008&gt;=14,D1008&lt;=16),AND(D1008&gt;=34,D1008&lt;=35),AND(D1008&gt;=61,D1008&lt;=63)),'Paths'!$V$18,1))</x:f>
        <x:v>1</x:v>
      </x:c>
      <x:c r="I1008" s="46" t="n">
        <x:f>'Paths'!$W$18</x:f>
        <x:v>0.92</x:v>
      </x:c>
      <x:c r="J1008" s="47" t="n">
        <x:f>IF(D1008&lt;E1008,0,MIN(F1008*G1008*H1008*I1008,IF('Paths'!$T$18&gt;0,MAX(0,'Paths'!$T$18-0),1000000000)))</x:f>
        <x:v>0</x:v>
      </x:c>
      <x:c r="K1008" s="47" t="n">
        <x:f>0+J1008</x:f>
        <x:v>0</x:v>
      </x:c>
      <x:c r="L1008" s="46" t="n">
        <x:f>IF(C1008="P0",1,IF(D1008&lt;=3,0.8,IF(D1008&lt;=14,0.65,IF(D1008&lt;=45,0.5,0.3))))</x:f>
        <x:v>0.8</x:v>
      </x:c>
      <x:c r="M1008" s="47" t="n">
        <x:f>J1008*L1008</x:f>
        <x:v>0</x:v>
      </x:c>
      <x:c r="N1008" s="47" t="n">
        <x:f>0+M1008</x:f>
        <x:v>0</x:v>
      </x:c>
      <x:c r="O1008" s="46" t="n">
        <x:f>IF(C1008="P0",0,IF(D1008&lt;=3,0.15,IF(D1008&lt;=14,0.25,IF(D1008&lt;=45,0.35,0.5))))</x:f>
        <x:v>0.15</x:v>
      </x:c>
      <x:c r="P1008" s="47" t="n">
        <x:f>J1008*O1008</x:f>
        <x:v>0</x:v>
      </x:c>
      <x:c r="Q1008" s="46" t="n">
        <x:f>IF(C1008="P0",0,IF(D1008&lt;=3,0.05,IF(D1008&lt;=14,0.1,IF(D1008&lt;=45,0.15,0.2))))</x:f>
        <x:v>0.05</x:v>
      </x:c>
      <x:c r="R1008" s="47" t="n">
        <x:f>J1008*Q1008</x:f>
        <x:v>0</x:v>
      </x:c>
      <x:c r="S1008" s="20" t="str">
        <x:f>IF(D1008&lt;E1008,"closed",IF(D1008&lt;'Paths'!$N$18,"initial","expanded"))</x:f>
        <x:v>closed</x:v>
      </x:c>
      <x:c r="T1008" s="72"/>
    </x:row>
    <x:row r="1009">
      <x:c r="C1009" s="20" t="str">
        <x:v>P11</x:v>
      </x:c>
      <x:c r="D1009" s="20" t="n">
        <x:v>1</x:v>
      </x:c>
      <x:c r="E1009" s="45" t="n">
        <x:f>IF('Controls'!$D$7="Reference",'Paths'!$J$18,'Paths'!$K$18)</x:f>
        <x:v>2</x:v>
      </x:c>
      <x:c r="F1009" s="47" t="n">
        <x:f>IF(D1009&lt;'Paths'!$N$18,IF('Controls'!$D$7="Reference",'Paths'!$L$18,'Paths'!$M$18),IF('Controls'!$D$7="Reference",'Paths'!$O$18,'Paths'!$P$18))</x:f>
        <x:v>14000</x:v>
      </x:c>
      <x:c r="G1009" s="46" t="n">
        <x:f>IF('Controls'!$D$7="Reference",1,IF(OR(D1009=6,D1009=7,D1009=21,D1009=46),'Paths'!$U$18,1))</x:f>
        <x:v>1</x:v>
      </x:c>
      <x:c r="H1009" s="46" t="n">
        <x:f>IF('Controls'!$D$7="Reference",1,IF(OR(AND(D1009&gt;=14,D1009&lt;=16),AND(D1009&gt;=34,D1009&lt;=35),AND(D1009&gt;=61,D1009&lt;=63)),'Paths'!$V$18,1))</x:f>
        <x:v>1</x:v>
      </x:c>
      <x:c r="I1009" s="46" t="n">
        <x:f>'Paths'!$W$18</x:f>
        <x:v>0.92</x:v>
      </x:c>
      <x:c r="J1009" s="47" t="n">
        <x:f>IF(D1009&lt;E1009,0,MIN(F1009*G1009*H1009*I1009,IF('Paths'!$T$18&gt;0,MAX(0,'Paths'!$T$18-K1008),1000000000)))</x:f>
        <x:v>0</x:v>
      </x:c>
      <x:c r="K1009" s="47" t="n">
        <x:f>K1008+J1009</x:f>
        <x:v>0</x:v>
      </x:c>
      <x:c r="L1009" s="46" t="n">
        <x:f>IF(C1009="P0",1,IF(D1009&lt;=3,0.8,IF(D1009&lt;=14,0.65,IF(D1009&lt;=45,0.5,0.3))))</x:f>
        <x:v>0.8</x:v>
      </x:c>
      <x:c r="M1009" s="47" t="n">
        <x:f>J1009*L1009</x:f>
        <x:v>0</x:v>
      </x:c>
      <x:c r="N1009" s="47" t="n">
        <x:f>N1008+M1009</x:f>
        <x:v>0</x:v>
      </x:c>
      <x:c r="O1009" s="46" t="n">
        <x:f>IF(C1009="P0",0,IF(D1009&lt;=3,0.15,IF(D1009&lt;=14,0.25,IF(D1009&lt;=45,0.35,0.5))))</x:f>
        <x:v>0.15</x:v>
      </x:c>
      <x:c r="P1009" s="47" t="n">
        <x:f>J1009*O1009</x:f>
        <x:v>0</x:v>
      </x:c>
      <x:c r="Q1009" s="46" t="n">
        <x:f>IF(C1009="P0",0,IF(D1009&lt;=3,0.05,IF(D1009&lt;=14,0.1,IF(D1009&lt;=45,0.15,0.2))))</x:f>
        <x:v>0.05</x:v>
      </x:c>
      <x:c r="R1009" s="47" t="n">
        <x:f>J1009*Q1009</x:f>
        <x:v>0</x:v>
      </x:c>
      <x:c r="S1009" s="20" t="str">
        <x:f>IF(D1009&lt;E1009,"closed",IF(D1009&lt;'Paths'!$N$18,"initial","expanded"))</x:f>
        <x:v>closed</x:v>
      </x:c>
      <x:c r="T1009" s="72"/>
    </x:row>
    <x:row r="1010">
      <x:c r="C1010" s="20" t="str">
        <x:v>P11</x:v>
      </x:c>
      <x:c r="D1010" s="20" t="n">
        <x:v>2</x:v>
      </x:c>
      <x:c r="E1010" s="45" t="n">
        <x:f>IF('Controls'!$D$7="Reference",'Paths'!$J$18,'Paths'!$K$18)</x:f>
        <x:v>2</x:v>
      </x:c>
      <x:c r="F1010" s="47" t="n">
        <x:f>IF(D1010&lt;'Paths'!$N$18,IF('Controls'!$D$7="Reference",'Paths'!$L$18,'Paths'!$M$18),IF('Controls'!$D$7="Reference",'Paths'!$O$18,'Paths'!$P$18))</x:f>
        <x:v>14000</x:v>
      </x:c>
      <x:c r="G1010" s="46" t="n">
        <x:f>IF('Controls'!$D$7="Reference",1,IF(OR(D1010=6,D1010=7,D1010=21,D1010=46),'Paths'!$U$18,1))</x:f>
        <x:v>1</x:v>
      </x:c>
      <x:c r="H1010" s="46" t="n">
        <x:f>IF('Controls'!$D$7="Reference",1,IF(OR(AND(D1010&gt;=14,D1010&lt;=16),AND(D1010&gt;=34,D1010&lt;=35),AND(D1010&gt;=61,D1010&lt;=63)),'Paths'!$V$18,1))</x:f>
        <x:v>1</x:v>
      </x:c>
      <x:c r="I1010" s="46" t="n">
        <x:f>'Paths'!$W$18</x:f>
        <x:v>0.92</x:v>
      </x:c>
      <x:c r="J1010" s="47" t="n">
        <x:f>IF(D1010&lt;E1010,0,MIN(F1010*G1010*H1010*I1010,IF('Paths'!$T$18&gt;0,MAX(0,'Paths'!$T$18-K1009),1000000000)))</x:f>
        <x:v>12880</x:v>
      </x:c>
      <x:c r="K1010" s="47" t="n">
        <x:f>K1009+J1010</x:f>
        <x:v>12880</x:v>
      </x:c>
      <x:c r="L1010" s="46" t="n">
        <x:f>IF(C1010="P0",1,IF(D1010&lt;=3,0.8,IF(D1010&lt;=14,0.65,IF(D1010&lt;=45,0.5,0.3))))</x:f>
        <x:v>0.8</x:v>
      </x:c>
      <x:c r="M1010" s="47" t="n">
        <x:f>J1010*L1010</x:f>
        <x:v>10304</x:v>
      </x:c>
      <x:c r="N1010" s="47" t="n">
        <x:f>N1009+M1010</x:f>
        <x:v>10304</x:v>
      </x:c>
      <x:c r="O1010" s="46" t="n">
        <x:f>IF(C1010="P0",0,IF(D1010&lt;=3,0.15,IF(D1010&lt;=14,0.25,IF(D1010&lt;=45,0.35,0.5))))</x:f>
        <x:v>0.15</x:v>
      </x:c>
      <x:c r="P1010" s="47" t="n">
        <x:f>J1010*O1010</x:f>
        <x:v>1932</x:v>
      </x:c>
      <x:c r="Q1010" s="46" t="n">
        <x:f>IF(C1010="P0",0,IF(D1010&lt;=3,0.05,IF(D1010&lt;=14,0.1,IF(D1010&lt;=45,0.15,0.2))))</x:f>
        <x:v>0.05</x:v>
      </x:c>
      <x:c r="R1010" s="47" t="n">
        <x:f>J1010*Q1010</x:f>
        <x:v>644</x:v>
      </x:c>
      <x:c r="S1010" s="20" t="str">
        <x:f>IF(D1010&lt;E1010,"closed",IF(D1010&lt;'Paths'!$N$18,"initial","expanded"))</x:f>
        <x:v>initial</x:v>
      </x:c>
      <x:c r="T1010" s="72"/>
    </x:row>
    <x:row r="1011">
      <x:c r="C1011" s="20" t="str">
        <x:v>P11</x:v>
      </x:c>
      <x:c r="D1011" s="20" t="n">
        <x:v>3</x:v>
      </x:c>
      <x:c r="E1011" s="45" t="n">
        <x:f>IF('Controls'!$D$7="Reference",'Paths'!$J$18,'Paths'!$K$18)</x:f>
        <x:v>2</x:v>
      </x:c>
      <x:c r="F1011" s="47" t="n">
        <x:f>IF(D1011&lt;'Paths'!$N$18,IF('Controls'!$D$7="Reference",'Paths'!$L$18,'Paths'!$M$18),IF('Controls'!$D$7="Reference",'Paths'!$O$18,'Paths'!$P$18))</x:f>
        <x:v>14000</x:v>
      </x:c>
      <x:c r="G1011" s="46" t="n">
        <x:f>IF('Controls'!$D$7="Reference",1,IF(OR(D1011=6,D1011=7,D1011=21,D1011=46),'Paths'!$U$18,1))</x:f>
        <x:v>1</x:v>
      </x:c>
      <x:c r="H1011" s="46" t="n">
        <x:f>IF('Controls'!$D$7="Reference",1,IF(OR(AND(D1011&gt;=14,D1011&lt;=16),AND(D1011&gt;=34,D1011&lt;=35),AND(D1011&gt;=61,D1011&lt;=63)),'Paths'!$V$18,1))</x:f>
        <x:v>1</x:v>
      </x:c>
      <x:c r="I1011" s="46" t="n">
        <x:f>'Paths'!$W$18</x:f>
        <x:v>0.92</x:v>
      </x:c>
      <x:c r="J1011" s="47" t="n">
        <x:f>IF(D1011&lt;E1011,0,MIN(F1011*G1011*H1011*I1011,IF('Paths'!$T$18&gt;0,MAX(0,'Paths'!$T$18-K1010),1000000000)))</x:f>
        <x:v>12880</x:v>
      </x:c>
      <x:c r="K1011" s="47" t="n">
        <x:f>K1010+J1011</x:f>
        <x:v>25760</x:v>
      </x:c>
      <x:c r="L1011" s="46" t="n">
        <x:f>IF(C1011="P0",1,IF(D1011&lt;=3,0.8,IF(D1011&lt;=14,0.65,IF(D1011&lt;=45,0.5,0.3))))</x:f>
        <x:v>0.8</x:v>
      </x:c>
      <x:c r="M1011" s="47" t="n">
        <x:f>J1011*L1011</x:f>
        <x:v>10304</x:v>
      </x:c>
      <x:c r="N1011" s="47" t="n">
        <x:f>N1010+M1011</x:f>
        <x:v>20608</x:v>
      </x:c>
      <x:c r="O1011" s="46" t="n">
        <x:f>IF(C1011="P0",0,IF(D1011&lt;=3,0.15,IF(D1011&lt;=14,0.25,IF(D1011&lt;=45,0.35,0.5))))</x:f>
        <x:v>0.15</x:v>
      </x:c>
      <x:c r="P1011" s="47" t="n">
        <x:f>J1011*O1011</x:f>
        <x:v>1932</x:v>
      </x:c>
      <x:c r="Q1011" s="46" t="n">
        <x:f>IF(C1011="P0",0,IF(D1011&lt;=3,0.05,IF(D1011&lt;=14,0.1,IF(D1011&lt;=45,0.15,0.2))))</x:f>
        <x:v>0.05</x:v>
      </x:c>
      <x:c r="R1011" s="47" t="n">
        <x:f>J1011*Q1011</x:f>
        <x:v>644</x:v>
      </x:c>
      <x:c r="S1011" s="20" t="str">
        <x:f>IF(D1011&lt;E1011,"closed",IF(D1011&lt;'Paths'!$N$18,"initial","expanded"))</x:f>
        <x:v>initial</x:v>
      </x:c>
      <x:c r="T1011" s="72"/>
    </x:row>
    <x:row r="1012">
      <x:c r="C1012" s="20" t="str">
        <x:v>P11</x:v>
      </x:c>
      <x:c r="D1012" s="20" t="n">
        <x:v>4</x:v>
      </x:c>
      <x:c r="E1012" s="45" t="n">
        <x:f>IF('Controls'!$D$7="Reference",'Paths'!$J$18,'Paths'!$K$18)</x:f>
        <x:v>2</x:v>
      </x:c>
      <x:c r="F1012" s="47" t="n">
        <x:f>IF(D1012&lt;'Paths'!$N$18,IF('Controls'!$D$7="Reference",'Paths'!$L$18,'Paths'!$M$18),IF('Controls'!$D$7="Reference",'Paths'!$O$18,'Paths'!$P$18))</x:f>
        <x:v>14000</x:v>
      </x:c>
      <x:c r="G1012" s="46" t="n">
        <x:f>IF('Controls'!$D$7="Reference",1,IF(OR(D1012=6,D1012=7,D1012=21,D1012=46),'Paths'!$U$18,1))</x:f>
        <x:v>1</x:v>
      </x:c>
      <x:c r="H1012" s="46" t="n">
        <x:f>IF('Controls'!$D$7="Reference",1,IF(OR(AND(D1012&gt;=14,D1012&lt;=16),AND(D1012&gt;=34,D1012&lt;=35),AND(D1012&gt;=61,D1012&lt;=63)),'Paths'!$V$18,1))</x:f>
        <x:v>1</x:v>
      </x:c>
      <x:c r="I1012" s="46" t="n">
        <x:f>'Paths'!$W$18</x:f>
        <x:v>0.92</x:v>
      </x:c>
      <x:c r="J1012" s="47" t="n">
        <x:f>IF(D1012&lt;E1012,0,MIN(F1012*G1012*H1012*I1012,IF('Paths'!$T$18&gt;0,MAX(0,'Paths'!$T$18-K1011),1000000000)))</x:f>
        <x:v>12880</x:v>
      </x:c>
      <x:c r="K1012" s="47" t="n">
        <x:f>K1011+J1012</x:f>
        <x:v>38640</x:v>
      </x:c>
      <x:c r="L1012" s="46" t="n">
        <x:f>IF(C1012="P0",1,IF(D1012&lt;=3,0.8,IF(D1012&lt;=14,0.65,IF(D1012&lt;=45,0.5,0.3))))</x:f>
        <x:v>0.65</x:v>
      </x:c>
      <x:c r="M1012" s="47" t="n">
        <x:f>J1012*L1012</x:f>
        <x:v>8372</x:v>
      </x:c>
      <x:c r="N1012" s="47" t="n">
        <x:f>N1011+M1012</x:f>
        <x:v>28980</x:v>
      </x:c>
      <x:c r="O1012" s="46" t="n">
        <x:f>IF(C1012="P0",0,IF(D1012&lt;=3,0.15,IF(D1012&lt;=14,0.25,IF(D1012&lt;=45,0.35,0.5))))</x:f>
        <x:v>0.25</x:v>
      </x:c>
      <x:c r="P1012" s="47" t="n">
        <x:f>J1012*O1012</x:f>
        <x:v>3220</x:v>
      </x:c>
      <x:c r="Q1012" s="46" t="n">
        <x:f>IF(C1012="P0",0,IF(D1012&lt;=3,0.05,IF(D1012&lt;=14,0.1,IF(D1012&lt;=45,0.15,0.2))))</x:f>
        <x:v>0.1</x:v>
      </x:c>
      <x:c r="R1012" s="47" t="n">
        <x:f>J1012*Q1012</x:f>
        <x:v>1288</x:v>
      </x:c>
      <x:c r="S1012" s="20" t="str">
        <x:f>IF(D1012&lt;E1012,"closed",IF(D1012&lt;'Paths'!$N$18,"initial","expanded"))</x:f>
        <x:v>initial</x:v>
      </x:c>
      <x:c r="T1012" s="72"/>
    </x:row>
    <x:row r="1013">
      <x:c r="C1013" s="20" t="str">
        <x:v>P11</x:v>
      </x:c>
      <x:c r="D1013" s="20" t="n">
        <x:v>5</x:v>
      </x:c>
      <x:c r="E1013" s="45" t="n">
        <x:f>IF('Controls'!$D$7="Reference",'Paths'!$J$18,'Paths'!$K$18)</x:f>
        <x:v>2</x:v>
      </x:c>
      <x:c r="F1013" s="47" t="n">
        <x:f>IF(D1013&lt;'Paths'!$N$18,IF('Controls'!$D$7="Reference",'Paths'!$L$18,'Paths'!$M$18),IF('Controls'!$D$7="Reference",'Paths'!$O$18,'Paths'!$P$18))</x:f>
        <x:v>14000</x:v>
      </x:c>
      <x:c r="G1013" s="46" t="n">
        <x:f>IF('Controls'!$D$7="Reference",1,IF(OR(D1013=6,D1013=7,D1013=21,D1013=46),'Paths'!$U$18,1))</x:f>
        <x:v>1</x:v>
      </x:c>
      <x:c r="H1013" s="46" t="n">
        <x:f>IF('Controls'!$D$7="Reference",1,IF(OR(AND(D1013&gt;=14,D1013&lt;=16),AND(D1013&gt;=34,D1013&lt;=35),AND(D1013&gt;=61,D1013&lt;=63)),'Paths'!$V$18,1))</x:f>
        <x:v>1</x:v>
      </x:c>
      <x:c r="I1013" s="46" t="n">
        <x:f>'Paths'!$W$18</x:f>
        <x:v>0.92</x:v>
      </x:c>
      <x:c r="J1013" s="47" t="n">
        <x:f>IF(D1013&lt;E1013,0,MIN(F1013*G1013*H1013*I1013,IF('Paths'!$T$18&gt;0,MAX(0,'Paths'!$T$18-K1012),1000000000)))</x:f>
        <x:v>12880</x:v>
      </x:c>
      <x:c r="K1013" s="47" t="n">
        <x:f>K1012+J1013</x:f>
        <x:v>51520</x:v>
      </x:c>
      <x:c r="L1013" s="46" t="n">
        <x:f>IF(C1013="P0",1,IF(D1013&lt;=3,0.8,IF(D1013&lt;=14,0.65,IF(D1013&lt;=45,0.5,0.3))))</x:f>
        <x:v>0.65</x:v>
      </x:c>
      <x:c r="M1013" s="47" t="n">
        <x:f>J1013*L1013</x:f>
        <x:v>8372</x:v>
      </x:c>
      <x:c r="N1013" s="47" t="n">
        <x:f>N1012+M1013</x:f>
        <x:v>37352</x:v>
      </x:c>
      <x:c r="O1013" s="46" t="n">
        <x:f>IF(C1013="P0",0,IF(D1013&lt;=3,0.15,IF(D1013&lt;=14,0.25,IF(D1013&lt;=45,0.35,0.5))))</x:f>
        <x:v>0.25</x:v>
      </x:c>
      <x:c r="P1013" s="47" t="n">
        <x:f>J1013*O1013</x:f>
        <x:v>3220</x:v>
      </x:c>
      <x:c r="Q1013" s="46" t="n">
        <x:f>IF(C1013="P0",0,IF(D1013&lt;=3,0.05,IF(D1013&lt;=14,0.1,IF(D1013&lt;=45,0.15,0.2))))</x:f>
        <x:v>0.1</x:v>
      </x:c>
      <x:c r="R1013" s="47" t="n">
        <x:f>J1013*Q1013</x:f>
        <x:v>1288</x:v>
      </x:c>
      <x:c r="S1013" s="20" t="str">
        <x:f>IF(D1013&lt;E1013,"closed",IF(D1013&lt;'Paths'!$N$18,"initial","expanded"))</x:f>
        <x:v>initial</x:v>
      </x:c>
      <x:c r="T1013" s="72"/>
    </x:row>
    <x:row r="1014">
      <x:c r="C1014" s="20" t="str">
        <x:v>P11</x:v>
      </x:c>
      <x:c r="D1014" s="20" t="n">
        <x:v>6</x:v>
      </x:c>
      <x:c r="E1014" s="45" t="n">
        <x:f>IF('Controls'!$D$7="Reference",'Paths'!$J$18,'Paths'!$K$18)</x:f>
        <x:v>2</x:v>
      </x:c>
      <x:c r="F1014" s="47" t="n">
        <x:f>IF(D1014&lt;'Paths'!$N$18,IF('Controls'!$D$7="Reference",'Paths'!$L$18,'Paths'!$M$18),IF('Controls'!$D$7="Reference",'Paths'!$O$18,'Paths'!$P$18))</x:f>
        <x:v>14000</x:v>
      </x:c>
      <x:c r="G1014" s="46" t="n">
        <x:f>IF('Controls'!$D$7="Reference",1,IF(OR(D1014=6,D1014=7,D1014=21,D1014=46),'Paths'!$U$18,1))</x:f>
        <x:v>0.8</x:v>
      </x:c>
      <x:c r="H1014" s="46" t="n">
        <x:f>IF('Controls'!$D$7="Reference",1,IF(OR(AND(D1014&gt;=14,D1014&lt;=16),AND(D1014&gt;=34,D1014&lt;=35),AND(D1014&gt;=61,D1014&lt;=63)),'Paths'!$V$18,1))</x:f>
        <x:v>1</x:v>
      </x:c>
      <x:c r="I1014" s="46" t="n">
        <x:f>'Paths'!$W$18</x:f>
        <x:v>0.92</x:v>
      </x:c>
      <x:c r="J1014" s="47" t="n">
        <x:f>IF(D1014&lt;E1014,0,MIN(F1014*G1014*H1014*I1014,IF('Paths'!$T$18&gt;0,MAX(0,'Paths'!$T$18-K1013),1000000000)))</x:f>
        <x:v>10304</x:v>
      </x:c>
      <x:c r="K1014" s="47" t="n">
        <x:f>K1013+J1014</x:f>
        <x:v>61824</x:v>
      </x:c>
      <x:c r="L1014" s="46" t="n">
        <x:f>IF(C1014="P0",1,IF(D1014&lt;=3,0.8,IF(D1014&lt;=14,0.65,IF(D1014&lt;=45,0.5,0.3))))</x:f>
        <x:v>0.65</x:v>
      </x:c>
      <x:c r="M1014" s="47" t="n">
        <x:f>J1014*L1014</x:f>
        <x:v>6697.6</x:v>
      </x:c>
      <x:c r="N1014" s="47" t="n">
        <x:f>N1013+M1014</x:f>
        <x:v>44049.6</x:v>
      </x:c>
      <x:c r="O1014" s="46" t="n">
        <x:f>IF(C1014="P0",0,IF(D1014&lt;=3,0.15,IF(D1014&lt;=14,0.25,IF(D1014&lt;=45,0.35,0.5))))</x:f>
        <x:v>0.25</x:v>
      </x:c>
      <x:c r="P1014" s="47" t="n">
        <x:f>J1014*O1014</x:f>
        <x:v>2576</x:v>
      </x:c>
      <x:c r="Q1014" s="46" t="n">
        <x:f>IF(C1014="P0",0,IF(D1014&lt;=3,0.05,IF(D1014&lt;=14,0.1,IF(D1014&lt;=45,0.15,0.2))))</x:f>
        <x:v>0.1</x:v>
      </x:c>
      <x:c r="R1014" s="47" t="n">
        <x:f>J1014*Q1014</x:f>
        <x:v>1030.4</x:v>
      </x:c>
      <x:c r="S1014" s="20" t="str">
        <x:f>IF(D1014&lt;E1014,"closed",IF(D1014&lt;'Paths'!$N$18,"initial","expanded"))</x:f>
        <x:v>initial</x:v>
      </x:c>
      <x:c r="T1014" s="72"/>
    </x:row>
    <x:row r="1015">
      <x:c r="C1015" s="20" t="str">
        <x:v>P11</x:v>
      </x:c>
      <x:c r="D1015" s="20" t="n">
        <x:v>7</x:v>
      </x:c>
      <x:c r="E1015" s="45" t="n">
        <x:f>IF('Controls'!$D$7="Reference",'Paths'!$J$18,'Paths'!$K$18)</x:f>
        <x:v>2</x:v>
      </x:c>
      <x:c r="F1015" s="47" t="n">
        <x:f>IF(D1015&lt;'Paths'!$N$18,IF('Controls'!$D$7="Reference",'Paths'!$L$18,'Paths'!$M$18),IF('Controls'!$D$7="Reference",'Paths'!$O$18,'Paths'!$P$18))</x:f>
        <x:v>14000</x:v>
      </x:c>
      <x:c r="G1015" s="46" t="n">
        <x:f>IF('Controls'!$D$7="Reference",1,IF(OR(D1015=6,D1015=7,D1015=21,D1015=46),'Paths'!$U$18,1))</x:f>
        <x:v>0.8</x:v>
      </x:c>
      <x:c r="H1015" s="46" t="n">
        <x:f>IF('Controls'!$D$7="Reference",1,IF(OR(AND(D1015&gt;=14,D1015&lt;=16),AND(D1015&gt;=34,D1015&lt;=35),AND(D1015&gt;=61,D1015&lt;=63)),'Paths'!$V$18,1))</x:f>
        <x:v>1</x:v>
      </x:c>
      <x:c r="I1015" s="46" t="n">
        <x:f>'Paths'!$W$18</x:f>
        <x:v>0.92</x:v>
      </x:c>
      <x:c r="J1015" s="47" t="n">
        <x:f>IF(D1015&lt;E1015,0,MIN(F1015*G1015*H1015*I1015,IF('Paths'!$T$18&gt;0,MAX(0,'Paths'!$T$18-K1014),1000000000)))</x:f>
        <x:v>10304</x:v>
      </x:c>
      <x:c r="K1015" s="47" t="n">
        <x:f>K1014+J1015</x:f>
        <x:v>72128</x:v>
      </x:c>
      <x:c r="L1015" s="46" t="n">
        <x:f>IF(C1015="P0",1,IF(D1015&lt;=3,0.8,IF(D1015&lt;=14,0.65,IF(D1015&lt;=45,0.5,0.3))))</x:f>
        <x:v>0.65</x:v>
      </x:c>
      <x:c r="M1015" s="47" t="n">
        <x:f>J1015*L1015</x:f>
        <x:v>6697.6</x:v>
      </x:c>
      <x:c r="N1015" s="47" t="n">
        <x:f>N1014+M1015</x:f>
        <x:v>50747.2</x:v>
      </x:c>
      <x:c r="O1015" s="46" t="n">
        <x:f>IF(C1015="P0",0,IF(D1015&lt;=3,0.15,IF(D1015&lt;=14,0.25,IF(D1015&lt;=45,0.35,0.5))))</x:f>
        <x:v>0.25</x:v>
      </x:c>
      <x:c r="P1015" s="47" t="n">
        <x:f>J1015*O1015</x:f>
        <x:v>2576</x:v>
      </x:c>
      <x:c r="Q1015" s="46" t="n">
        <x:f>IF(C1015="P0",0,IF(D1015&lt;=3,0.05,IF(D1015&lt;=14,0.1,IF(D1015&lt;=45,0.15,0.2))))</x:f>
        <x:v>0.1</x:v>
      </x:c>
      <x:c r="R1015" s="47" t="n">
        <x:f>J1015*Q1015</x:f>
        <x:v>1030.4</x:v>
      </x:c>
      <x:c r="S1015" s="20" t="str">
        <x:f>IF(D1015&lt;E1015,"closed",IF(D1015&lt;'Paths'!$N$18,"initial","expanded"))</x:f>
        <x:v>initial</x:v>
      </x:c>
      <x:c r="T1015" s="72"/>
    </x:row>
    <x:row r="1016">
      <x:c r="C1016" s="20" t="str">
        <x:v>P11</x:v>
      </x:c>
      <x:c r="D1016" s="20" t="n">
        <x:v>8</x:v>
      </x:c>
      <x:c r="E1016" s="45" t="n">
        <x:f>IF('Controls'!$D$7="Reference",'Paths'!$J$18,'Paths'!$K$18)</x:f>
        <x:v>2</x:v>
      </x:c>
      <x:c r="F1016" s="47" t="n">
        <x:f>IF(D1016&lt;'Paths'!$N$18,IF('Controls'!$D$7="Reference",'Paths'!$L$18,'Paths'!$M$18),IF('Controls'!$D$7="Reference",'Paths'!$O$18,'Paths'!$P$18))</x:f>
        <x:v>22000</x:v>
      </x:c>
      <x:c r="G1016" s="46" t="n">
        <x:f>IF('Controls'!$D$7="Reference",1,IF(OR(D1016=6,D1016=7,D1016=21,D1016=46),'Paths'!$U$18,1))</x:f>
        <x:v>1</x:v>
      </x:c>
      <x:c r="H1016" s="46" t="n">
        <x:f>IF('Controls'!$D$7="Reference",1,IF(OR(AND(D1016&gt;=14,D1016&lt;=16),AND(D1016&gt;=34,D1016&lt;=35),AND(D1016&gt;=61,D1016&lt;=63)),'Paths'!$V$18,1))</x:f>
        <x:v>1</x:v>
      </x:c>
      <x:c r="I1016" s="46" t="n">
        <x:f>'Paths'!$W$18</x:f>
        <x:v>0.92</x:v>
      </x:c>
      <x:c r="J1016" s="47" t="n">
        <x:f>IF(D1016&lt;E1016,0,MIN(F1016*G1016*H1016*I1016,IF('Paths'!$T$18&gt;0,MAX(0,'Paths'!$T$18-K1015),1000000000)))</x:f>
        <x:v>20240</x:v>
      </x:c>
      <x:c r="K1016" s="47" t="n">
        <x:f>K1015+J1016</x:f>
        <x:v>92368</x:v>
      </x:c>
      <x:c r="L1016" s="46" t="n">
        <x:f>IF(C1016="P0",1,IF(D1016&lt;=3,0.8,IF(D1016&lt;=14,0.65,IF(D1016&lt;=45,0.5,0.3))))</x:f>
        <x:v>0.65</x:v>
      </x:c>
      <x:c r="M1016" s="47" t="n">
        <x:f>J1016*L1016</x:f>
        <x:v>13156</x:v>
      </x:c>
      <x:c r="N1016" s="47" t="n">
        <x:f>N1015+M1016</x:f>
        <x:v>63903.2</x:v>
      </x:c>
      <x:c r="O1016" s="46" t="n">
        <x:f>IF(C1016="P0",0,IF(D1016&lt;=3,0.15,IF(D1016&lt;=14,0.25,IF(D1016&lt;=45,0.35,0.5))))</x:f>
        <x:v>0.25</x:v>
      </x:c>
      <x:c r="P1016" s="47" t="n">
        <x:f>J1016*O1016</x:f>
        <x:v>5060</x:v>
      </x:c>
      <x:c r="Q1016" s="46" t="n">
        <x:f>IF(C1016="P0",0,IF(D1016&lt;=3,0.05,IF(D1016&lt;=14,0.1,IF(D1016&lt;=45,0.15,0.2))))</x:f>
        <x:v>0.1</x:v>
      </x:c>
      <x:c r="R1016" s="47" t="n">
        <x:f>J1016*Q1016</x:f>
        <x:v>2024</x:v>
      </x:c>
      <x:c r="S1016" s="20" t="str">
        <x:f>IF(D1016&lt;E1016,"closed",IF(D1016&lt;'Paths'!$N$18,"initial","expanded"))</x:f>
        <x:v>expanded</x:v>
      </x:c>
      <x:c r="T1016" s="72"/>
    </x:row>
    <x:row r="1017">
      <x:c r="C1017" s="20" t="str">
        <x:v>P11</x:v>
      </x:c>
      <x:c r="D1017" s="20" t="n">
        <x:v>9</x:v>
      </x:c>
      <x:c r="E1017" s="45" t="n">
        <x:f>IF('Controls'!$D$7="Reference",'Paths'!$J$18,'Paths'!$K$18)</x:f>
        <x:v>2</x:v>
      </x:c>
      <x:c r="F1017" s="47" t="n">
        <x:f>IF(D1017&lt;'Paths'!$N$18,IF('Controls'!$D$7="Reference",'Paths'!$L$18,'Paths'!$M$18),IF('Controls'!$D$7="Reference",'Paths'!$O$18,'Paths'!$P$18))</x:f>
        <x:v>22000</x:v>
      </x:c>
      <x:c r="G1017" s="46" t="n">
        <x:f>IF('Controls'!$D$7="Reference",1,IF(OR(D1017=6,D1017=7,D1017=21,D1017=46),'Paths'!$U$18,1))</x:f>
        <x:v>1</x:v>
      </x:c>
      <x:c r="H1017" s="46" t="n">
        <x:f>IF('Controls'!$D$7="Reference",1,IF(OR(AND(D1017&gt;=14,D1017&lt;=16),AND(D1017&gt;=34,D1017&lt;=35),AND(D1017&gt;=61,D1017&lt;=63)),'Paths'!$V$18,1))</x:f>
        <x:v>1</x:v>
      </x:c>
      <x:c r="I1017" s="46" t="n">
        <x:f>'Paths'!$W$18</x:f>
        <x:v>0.92</x:v>
      </x:c>
      <x:c r="J1017" s="47" t="n">
        <x:f>IF(D1017&lt;E1017,0,MIN(F1017*G1017*H1017*I1017,IF('Paths'!$T$18&gt;0,MAX(0,'Paths'!$T$18-K1016),1000000000)))</x:f>
        <x:v>20240</x:v>
      </x:c>
      <x:c r="K1017" s="47" t="n">
        <x:f>K1016+J1017</x:f>
        <x:v>112608</x:v>
      </x:c>
      <x:c r="L1017" s="46" t="n">
        <x:f>IF(C1017="P0",1,IF(D1017&lt;=3,0.8,IF(D1017&lt;=14,0.65,IF(D1017&lt;=45,0.5,0.3))))</x:f>
        <x:v>0.65</x:v>
      </x:c>
      <x:c r="M1017" s="47" t="n">
        <x:f>J1017*L1017</x:f>
        <x:v>13156</x:v>
      </x:c>
      <x:c r="N1017" s="47" t="n">
        <x:f>N1016+M1017</x:f>
        <x:v>77059.2</x:v>
      </x:c>
      <x:c r="O1017" s="46" t="n">
        <x:f>IF(C1017="P0",0,IF(D1017&lt;=3,0.15,IF(D1017&lt;=14,0.25,IF(D1017&lt;=45,0.35,0.5))))</x:f>
        <x:v>0.25</x:v>
      </x:c>
      <x:c r="P1017" s="47" t="n">
        <x:f>J1017*O1017</x:f>
        <x:v>5060</x:v>
      </x:c>
      <x:c r="Q1017" s="46" t="n">
        <x:f>IF(C1017="P0",0,IF(D1017&lt;=3,0.05,IF(D1017&lt;=14,0.1,IF(D1017&lt;=45,0.15,0.2))))</x:f>
        <x:v>0.1</x:v>
      </x:c>
      <x:c r="R1017" s="47" t="n">
        <x:f>J1017*Q1017</x:f>
        <x:v>2024</x:v>
      </x:c>
      <x:c r="S1017" s="20" t="str">
        <x:f>IF(D1017&lt;E1017,"closed",IF(D1017&lt;'Paths'!$N$18,"initial","expanded"))</x:f>
        <x:v>expanded</x:v>
      </x:c>
      <x:c r="T1017" s="72"/>
    </x:row>
    <x:row r="1018">
      <x:c r="C1018" s="20" t="str">
        <x:v>P11</x:v>
      </x:c>
      <x:c r="D1018" s="20" t="n">
        <x:v>10</x:v>
      </x:c>
      <x:c r="E1018" s="45" t="n">
        <x:f>IF('Controls'!$D$7="Reference",'Paths'!$J$18,'Paths'!$K$18)</x:f>
        <x:v>2</x:v>
      </x:c>
      <x:c r="F1018" s="47" t="n">
        <x:f>IF(D1018&lt;'Paths'!$N$18,IF('Controls'!$D$7="Reference",'Paths'!$L$18,'Paths'!$M$18),IF('Controls'!$D$7="Reference",'Paths'!$O$18,'Paths'!$P$18))</x:f>
        <x:v>22000</x:v>
      </x:c>
      <x:c r="G1018" s="46" t="n">
        <x:f>IF('Controls'!$D$7="Reference",1,IF(OR(D1018=6,D1018=7,D1018=21,D1018=46),'Paths'!$U$18,1))</x:f>
        <x:v>1</x:v>
      </x:c>
      <x:c r="H1018" s="46" t="n">
        <x:f>IF('Controls'!$D$7="Reference",1,IF(OR(AND(D1018&gt;=14,D1018&lt;=16),AND(D1018&gt;=34,D1018&lt;=35),AND(D1018&gt;=61,D1018&lt;=63)),'Paths'!$V$18,1))</x:f>
        <x:v>1</x:v>
      </x:c>
      <x:c r="I1018" s="46" t="n">
        <x:f>'Paths'!$W$18</x:f>
        <x:v>0.92</x:v>
      </x:c>
      <x:c r="J1018" s="47" t="n">
        <x:f>IF(D1018&lt;E1018,0,MIN(F1018*G1018*H1018*I1018,IF('Paths'!$T$18&gt;0,MAX(0,'Paths'!$T$18-K1017),1000000000)))</x:f>
        <x:v>20240</x:v>
      </x:c>
      <x:c r="K1018" s="47" t="n">
        <x:f>K1017+J1018</x:f>
        <x:v>132848</x:v>
      </x:c>
      <x:c r="L1018" s="46" t="n">
        <x:f>IF(C1018="P0",1,IF(D1018&lt;=3,0.8,IF(D1018&lt;=14,0.65,IF(D1018&lt;=45,0.5,0.3))))</x:f>
        <x:v>0.65</x:v>
      </x:c>
      <x:c r="M1018" s="47" t="n">
        <x:f>J1018*L1018</x:f>
        <x:v>13156</x:v>
      </x:c>
      <x:c r="N1018" s="47" t="n">
        <x:f>N1017+M1018</x:f>
        <x:v>90215.2</x:v>
      </x:c>
      <x:c r="O1018" s="46" t="n">
        <x:f>IF(C1018="P0",0,IF(D1018&lt;=3,0.15,IF(D1018&lt;=14,0.25,IF(D1018&lt;=45,0.35,0.5))))</x:f>
        <x:v>0.25</x:v>
      </x:c>
      <x:c r="P1018" s="47" t="n">
        <x:f>J1018*O1018</x:f>
        <x:v>5060</x:v>
      </x:c>
      <x:c r="Q1018" s="46" t="n">
        <x:f>IF(C1018="P0",0,IF(D1018&lt;=3,0.05,IF(D1018&lt;=14,0.1,IF(D1018&lt;=45,0.15,0.2))))</x:f>
        <x:v>0.1</x:v>
      </x:c>
      <x:c r="R1018" s="47" t="n">
        <x:f>J1018*Q1018</x:f>
        <x:v>2024</x:v>
      </x:c>
      <x:c r="S1018" s="20" t="str">
        <x:f>IF(D1018&lt;E1018,"closed",IF(D1018&lt;'Paths'!$N$18,"initial","expanded"))</x:f>
        <x:v>expanded</x:v>
      </x:c>
      <x:c r="T1018" s="72"/>
    </x:row>
    <x:row r="1019">
      <x:c r="C1019" s="20" t="str">
        <x:v>P11</x:v>
      </x:c>
      <x:c r="D1019" s="20" t="n">
        <x:v>11</x:v>
      </x:c>
      <x:c r="E1019" s="45" t="n">
        <x:f>IF('Controls'!$D$7="Reference",'Paths'!$J$18,'Paths'!$K$18)</x:f>
        <x:v>2</x:v>
      </x:c>
      <x:c r="F1019" s="47" t="n">
        <x:f>IF(D1019&lt;'Paths'!$N$18,IF('Controls'!$D$7="Reference",'Paths'!$L$18,'Paths'!$M$18),IF('Controls'!$D$7="Reference",'Paths'!$O$18,'Paths'!$P$18))</x:f>
        <x:v>22000</x:v>
      </x:c>
      <x:c r="G1019" s="46" t="n">
        <x:f>IF('Controls'!$D$7="Reference",1,IF(OR(D1019=6,D1019=7,D1019=21,D1019=46),'Paths'!$U$18,1))</x:f>
        <x:v>1</x:v>
      </x:c>
      <x:c r="H1019" s="46" t="n">
        <x:f>IF('Controls'!$D$7="Reference",1,IF(OR(AND(D1019&gt;=14,D1019&lt;=16),AND(D1019&gt;=34,D1019&lt;=35),AND(D1019&gt;=61,D1019&lt;=63)),'Paths'!$V$18,1))</x:f>
        <x:v>1</x:v>
      </x:c>
      <x:c r="I1019" s="46" t="n">
        <x:f>'Paths'!$W$18</x:f>
        <x:v>0.92</x:v>
      </x:c>
      <x:c r="J1019" s="47" t="n">
        <x:f>IF(D1019&lt;E1019,0,MIN(F1019*G1019*H1019*I1019,IF('Paths'!$T$18&gt;0,MAX(0,'Paths'!$T$18-K1018),1000000000)))</x:f>
        <x:v>20240</x:v>
      </x:c>
      <x:c r="K1019" s="47" t="n">
        <x:f>K1018+J1019</x:f>
        <x:v>153088</x:v>
      </x:c>
      <x:c r="L1019" s="46" t="n">
        <x:f>IF(C1019="P0",1,IF(D1019&lt;=3,0.8,IF(D1019&lt;=14,0.65,IF(D1019&lt;=45,0.5,0.3))))</x:f>
        <x:v>0.65</x:v>
      </x:c>
      <x:c r="M1019" s="47" t="n">
        <x:f>J1019*L1019</x:f>
        <x:v>13156</x:v>
      </x:c>
      <x:c r="N1019" s="47" t="n">
        <x:f>N1018+M1019</x:f>
        <x:v>103371.2</x:v>
      </x:c>
      <x:c r="O1019" s="46" t="n">
        <x:f>IF(C1019="P0",0,IF(D1019&lt;=3,0.15,IF(D1019&lt;=14,0.25,IF(D1019&lt;=45,0.35,0.5))))</x:f>
        <x:v>0.25</x:v>
      </x:c>
      <x:c r="P1019" s="47" t="n">
        <x:f>J1019*O1019</x:f>
        <x:v>5060</x:v>
      </x:c>
      <x:c r="Q1019" s="46" t="n">
        <x:f>IF(C1019="P0",0,IF(D1019&lt;=3,0.05,IF(D1019&lt;=14,0.1,IF(D1019&lt;=45,0.15,0.2))))</x:f>
        <x:v>0.1</x:v>
      </x:c>
      <x:c r="R1019" s="47" t="n">
        <x:f>J1019*Q1019</x:f>
        <x:v>2024</x:v>
      </x:c>
      <x:c r="S1019" s="20" t="str">
        <x:f>IF(D1019&lt;E1019,"closed",IF(D1019&lt;'Paths'!$N$18,"initial","expanded"))</x:f>
        <x:v>expanded</x:v>
      </x:c>
      <x:c r="T1019" s="72"/>
    </x:row>
    <x:row r="1020">
      <x:c r="C1020" s="20" t="str">
        <x:v>P11</x:v>
      </x:c>
      <x:c r="D1020" s="20" t="n">
        <x:v>12</x:v>
      </x:c>
      <x:c r="E1020" s="45" t="n">
        <x:f>IF('Controls'!$D$7="Reference",'Paths'!$J$18,'Paths'!$K$18)</x:f>
        <x:v>2</x:v>
      </x:c>
      <x:c r="F1020" s="47" t="n">
        <x:f>IF(D1020&lt;'Paths'!$N$18,IF('Controls'!$D$7="Reference",'Paths'!$L$18,'Paths'!$M$18),IF('Controls'!$D$7="Reference",'Paths'!$O$18,'Paths'!$P$18))</x:f>
        <x:v>22000</x:v>
      </x:c>
      <x:c r="G1020" s="46" t="n">
        <x:f>IF('Controls'!$D$7="Reference",1,IF(OR(D1020=6,D1020=7,D1020=21,D1020=46),'Paths'!$U$18,1))</x:f>
        <x:v>1</x:v>
      </x:c>
      <x:c r="H1020" s="46" t="n">
        <x:f>IF('Controls'!$D$7="Reference",1,IF(OR(AND(D1020&gt;=14,D1020&lt;=16),AND(D1020&gt;=34,D1020&lt;=35),AND(D1020&gt;=61,D1020&lt;=63)),'Paths'!$V$18,1))</x:f>
        <x:v>1</x:v>
      </x:c>
      <x:c r="I1020" s="46" t="n">
        <x:f>'Paths'!$W$18</x:f>
        <x:v>0.92</x:v>
      </x:c>
      <x:c r="J1020" s="47" t="n">
        <x:f>IF(D1020&lt;E1020,0,MIN(F1020*G1020*H1020*I1020,IF('Paths'!$T$18&gt;0,MAX(0,'Paths'!$T$18-K1019),1000000000)))</x:f>
        <x:v>20240</x:v>
      </x:c>
      <x:c r="K1020" s="47" t="n">
        <x:f>K1019+J1020</x:f>
        <x:v>173328</x:v>
      </x:c>
      <x:c r="L1020" s="46" t="n">
        <x:f>IF(C1020="P0",1,IF(D1020&lt;=3,0.8,IF(D1020&lt;=14,0.65,IF(D1020&lt;=45,0.5,0.3))))</x:f>
        <x:v>0.65</x:v>
      </x:c>
      <x:c r="M1020" s="47" t="n">
        <x:f>J1020*L1020</x:f>
        <x:v>13156</x:v>
      </x:c>
      <x:c r="N1020" s="47" t="n">
        <x:f>N1019+M1020</x:f>
        <x:v>116527.2</x:v>
      </x:c>
      <x:c r="O1020" s="46" t="n">
        <x:f>IF(C1020="P0",0,IF(D1020&lt;=3,0.15,IF(D1020&lt;=14,0.25,IF(D1020&lt;=45,0.35,0.5))))</x:f>
        <x:v>0.25</x:v>
      </x:c>
      <x:c r="P1020" s="47" t="n">
        <x:f>J1020*O1020</x:f>
        <x:v>5060</x:v>
      </x:c>
      <x:c r="Q1020" s="46" t="n">
        <x:f>IF(C1020="P0",0,IF(D1020&lt;=3,0.05,IF(D1020&lt;=14,0.1,IF(D1020&lt;=45,0.15,0.2))))</x:f>
        <x:v>0.1</x:v>
      </x:c>
      <x:c r="R1020" s="47" t="n">
        <x:f>J1020*Q1020</x:f>
        <x:v>2024</x:v>
      </x:c>
      <x:c r="S1020" s="20" t="str">
        <x:f>IF(D1020&lt;E1020,"closed",IF(D1020&lt;'Paths'!$N$18,"initial","expanded"))</x:f>
        <x:v>expanded</x:v>
      </x:c>
      <x:c r="T1020" s="72"/>
    </x:row>
    <x:row r="1021">
      <x:c r="C1021" s="20" t="str">
        <x:v>P11</x:v>
      </x:c>
      <x:c r="D1021" s="20" t="n">
        <x:v>13</x:v>
      </x:c>
      <x:c r="E1021" s="45" t="n">
        <x:f>IF('Controls'!$D$7="Reference",'Paths'!$J$18,'Paths'!$K$18)</x:f>
        <x:v>2</x:v>
      </x:c>
      <x:c r="F1021" s="47" t="n">
        <x:f>IF(D1021&lt;'Paths'!$N$18,IF('Controls'!$D$7="Reference",'Paths'!$L$18,'Paths'!$M$18),IF('Controls'!$D$7="Reference",'Paths'!$O$18,'Paths'!$P$18))</x:f>
        <x:v>22000</x:v>
      </x:c>
      <x:c r="G1021" s="46" t="n">
        <x:f>IF('Controls'!$D$7="Reference",1,IF(OR(D1021=6,D1021=7,D1021=21,D1021=46),'Paths'!$U$18,1))</x:f>
        <x:v>1</x:v>
      </x:c>
      <x:c r="H1021" s="46" t="n">
        <x:f>IF('Controls'!$D$7="Reference",1,IF(OR(AND(D1021&gt;=14,D1021&lt;=16),AND(D1021&gt;=34,D1021&lt;=35),AND(D1021&gt;=61,D1021&lt;=63)),'Paths'!$V$18,1))</x:f>
        <x:v>1</x:v>
      </x:c>
      <x:c r="I1021" s="46" t="n">
        <x:f>'Paths'!$W$18</x:f>
        <x:v>0.92</x:v>
      </x:c>
      <x:c r="J1021" s="47" t="n">
        <x:f>IF(D1021&lt;E1021,0,MIN(F1021*G1021*H1021*I1021,IF('Paths'!$T$18&gt;0,MAX(0,'Paths'!$T$18-K1020),1000000000)))</x:f>
        <x:v>20240</x:v>
      </x:c>
      <x:c r="K1021" s="47" t="n">
        <x:f>K1020+J1021</x:f>
        <x:v>193568</x:v>
      </x:c>
      <x:c r="L1021" s="46" t="n">
        <x:f>IF(C1021="P0",1,IF(D1021&lt;=3,0.8,IF(D1021&lt;=14,0.65,IF(D1021&lt;=45,0.5,0.3))))</x:f>
        <x:v>0.65</x:v>
      </x:c>
      <x:c r="M1021" s="47" t="n">
        <x:f>J1021*L1021</x:f>
        <x:v>13156</x:v>
      </x:c>
      <x:c r="N1021" s="47" t="n">
        <x:f>N1020+M1021</x:f>
        <x:v>129683.2</x:v>
      </x:c>
      <x:c r="O1021" s="46" t="n">
        <x:f>IF(C1021="P0",0,IF(D1021&lt;=3,0.15,IF(D1021&lt;=14,0.25,IF(D1021&lt;=45,0.35,0.5))))</x:f>
        <x:v>0.25</x:v>
      </x:c>
      <x:c r="P1021" s="47" t="n">
        <x:f>J1021*O1021</x:f>
        <x:v>5060</x:v>
      </x:c>
      <x:c r="Q1021" s="46" t="n">
        <x:f>IF(C1021="P0",0,IF(D1021&lt;=3,0.05,IF(D1021&lt;=14,0.1,IF(D1021&lt;=45,0.15,0.2))))</x:f>
        <x:v>0.1</x:v>
      </x:c>
      <x:c r="R1021" s="47" t="n">
        <x:f>J1021*Q1021</x:f>
        <x:v>2024</x:v>
      </x:c>
      <x:c r="S1021" s="20" t="str">
        <x:f>IF(D1021&lt;E1021,"closed",IF(D1021&lt;'Paths'!$N$18,"initial","expanded"))</x:f>
        <x:v>expanded</x:v>
      </x:c>
      <x:c r="T1021" s="72"/>
    </x:row>
    <x:row r="1022">
      <x:c r="C1022" s="20" t="str">
        <x:v>P11</x:v>
      </x:c>
      <x:c r="D1022" s="20" t="n">
        <x:v>14</x:v>
      </x:c>
      <x:c r="E1022" s="45" t="n">
        <x:f>IF('Controls'!$D$7="Reference",'Paths'!$J$18,'Paths'!$K$18)</x:f>
        <x:v>2</x:v>
      </x:c>
      <x:c r="F1022" s="47" t="n">
        <x:f>IF(D1022&lt;'Paths'!$N$18,IF('Controls'!$D$7="Reference",'Paths'!$L$18,'Paths'!$M$18),IF('Controls'!$D$7="Reference",'Paths'!$O$18,'Paths'!$P$18))</x:f>
        <x:v>22000</x:v>
      </x:c>
      <x:c r="G1022" s="46" t="n">
        <x:f>IF('Controls'!$D$7="Reference",1,IF(OR(D1022=6,D1022=7,D1022=21,D1022=46),'Paths'!$U$18,1))</x:f>
        <x:v>1</x:v>
      </x:c>
      <x:c r="H1022" s="46" t="n">
        <x:f>IF('Controls'!$D$7="Reference",1,IF(OR(AND(D1022&gt;=14,D1022&lt;=16),AND(D1022&gt;=34,D1022&lt;=35),AND(D1022&gt;=61,D1022&lt;=63)),'Paths'!$V$18,1))</x:f>
        <x:v>0.6</x:v>
      </x:c>
      <x:c r="I1022" s="46" t="n">
        <x:f>'Paths'!$W$18</x:f>
        <x:v>0.92</x:v>
      </x:c>
      <x:c r="J1022" s="47" t="n">
        <x:f>IF(D1022&lt;E1022,0,MIN(F1022*G1022*H1022*I1022,IF('Paths'!$T$18&gt;0,MAX(0,'Paths'!$T$18-K1021),1000000000)))</x:f>
        <x:v>12144</x:v>
      </x:c>
      <x:c r="K1022" s="47" t="n">
        <x:f>K1021+J1022</x:f>
        <x:v>205712</x:v>
      </x:c>
      <x:c r="L1022" s="46" t="n">
        <x:f>IF(C1022="P0",1,IF(D1022&lt;=3,0.8,IF(D1022&lt;=14,0.65,IF(D1022&lt;=45,0.5,0.3))))</x:f>
        <x:v>0.65</x:v>
      </x:c>
      <x:c r="M1022" s="47" t="n">
        <x:f>J1022*L1022</x:f>
        <x:v>7893.6</x:v>
      </x:c>
      <x:c r="N1022" s="47" t="n">
        <x:f>N1021+M1022</x:f>
        <x:v>137576.8</x:v>
      </x:c>
      <x:c r="O1022" s="46" t="n">
        <x:f>IF(C1022="P0",0,IF(D1022&lt;=3,0.15,IF(D1022&lt;=14,0.25,IF(D1022&lt;=45,0.35,0.5))))</x:f>
        <x:v>0.25</x:v>
      </x:c>
      <x:c r="P1022" s="47" t="n">
        <x:f>J1022*O1022</x:f>
        <x:v>3036</x:v>
      </x:c>
      <x:c r="Q1022" s="46" t="n">
        <x:f>IF(C1022="P0",0,IF(D1022&lt;=3,0.05,IF(D1022&lt;=14,0.1,IF(D1022&lt;=45,0.15,0.2))))</x:f>
        <x:v>0.1</x:v>
      </x:c>
      <x:c r="R1022" s="47" t="n">
        <x:f>J1022*Q1022</x:f>
        <x:v>1214.4</x:v>
      </x:c>
      <x:c r="S1022" s="20" t="str">
        <x:f>IF(D1022&lt;E1022,"closed",IF(D1022&lt;'Paths'!$N$18,"initial","expanded"))</x:f>
        <x:v>expanded</x:v>
      </x:c>
      <x:c r="T1022" s="72"/>
    </x:row>
    <x:row r="1023">
      <x:c r="C1023" s="20" t="str">
        <x:v>P11</x:v>
      </x:c>
      <x:c r="D1023" s="20" t="n">
        <x:v>15</x:v>
      </x:c>
      <x:c r="E1023" s="45" t="n">
        <x:f>IF('Controls'!$D$7="Reference",'Paths'!$J$18,'Paths'!$K$18)</x:f>
        <x:v>2</x:v>
      </x:c>
      <x:c r="F1023" s="47" t="n">
        <x:f>IF(D1023&lt;'Paths'!$N$18,IF('Controls'!$D$7="Reference",'Paths'!$L$18,'Paths'!$M$18),IF('Controls'!$D$7="Reference",'Paths'!$O$18,'Paths'!$P$18))</x:f>
        <x:v>22000</x:v>
      </x:c>
      <x:c r="G1023" s="46" t="n">
        <x:f>IF('Controls'!$D$7="Reference",1,IF(OR(D1023=6,D1023=7,D1023=21,D1023=46),'Paths'!$U$18,1))</x:f>
        <x:v>1</x:v>
      </x:c>
      <x:c r="H1023" s="46" t="n">
        <x:f>IF('Controls'!$D$7="Reference",1,IF(OR(AND(D1023&gt;=14,D1023&lt;=16),AND(D1023&gt;=34,D1023&lt;=35),AND(D1023&gt;=61,D1023&lt;=63)),'Paths'!$V$18,1))</x:f>
        <x:v>0.6</x:v>
      </x:c>
      <x:c r="I1023" s="46" t="n">
        <x:f>'Paths'!$W$18</x:f>
        <x:v>0.92</x:v>
      </x:c>
      <x:c r="J1023" s="47" t="n">
        <x:f>IF(D1023&lt;E1023,0,MIN(F1023*G1023*H1023*I1023,IF('Paths'!$T$18&gt;0,MAX(0,'Paths'!$T$18-K1022),1000000000)))</x:f>
        <x:v>12144</x:v>
      </x:c>
      <x:c r="K1023" s="47" t="n">
        <x:f>K1022+J1023</x:f>
        <x:v>217856</x:v>
      </x:c>
      <x:c r="L1023" s="46" t="n">
        <x:f>IF(C1023="P0",1,IF(D1023&lt;=3,0.8,IF(D1023&lt;=14,0.65,IF(D1023&lt;=45,0.5,0.3))))</x:f>
        <x:v>0.5</x:v>
      </x:c>
      <x:c r="M1023" s="47" t="n">
        <x:f>J1023*L1023</x:f>
        <x:v>6072</x:v>
      </x:c>
      <x:c r="N1023" s="47" t="n">
        <x:f>N1022+M1023</x:f>
        <x:v>143648.8</x:v>
      </x:c>
      <x:c r="O1023" s="46" t="n">
        <x:f>IF(C1023="P0",0,IF(D1023&lt;=3,0.15,IF(D1023&lt;=14,0.25,IF(D1023&lt;=45,0.35,0.5))))</x:f>
        <x:v>0.35</x:v>
      </x:c>
      <x:c r="P1023" s="47" t="n">
        <x:f>J1023*O1023</x:f>
        <x:v>4250.4</x:v>
      </x:c>
      <x:c r="Q1023" s="46" t="n">
        <x:f>IF(C1023="P0",0,IF(D1023&lt;=3,0.05,IF(D1023&lt;=14,0.1,IF(D1023&lt;=45,0.15,0.2))))</x:f>
        <x:v>0.15</x:v>
      </x:c>
      <x:c r="R1023" s="47" t="n">
        <x:f>J1023*Q1023</x:f>
        <x:v>1821.6</x:v>
      </x:c>
      <x:c r="S1023" s="20" t="str">
        <x:f>IF(D1023&lt;E1023,"closed",IF(D1023&lt;'Paths'!$N$18,"initial","expanded"))</x:f>
        <x:v>expanded</x:v>
      </x:c>
      <x:c r="T1023" s="72"/>
    </x:row>
    <x:row r="1024">
      <x:c r="C1024" s="20" t="str">
        <x:v>P11</x:v>
      </x:c>
      <x:c r="D1024" s="20" t="n">
        <x:v>16</x:v>
      </x:c>
      <x:c r="E1024" s="45" t="n">
        <x:f>IF('Controls'!$D$7="Reference",'Paths'!$J$18,'Paths'!$K$18)</x:f>
        <x:v>2</x:v>
      </x:c>
      <x:c r="F1024" s="47" t="n">
        <x:f>IF(D1024&lt;'Paths'!$N$18,IF('Controls'!$D$7="Reference",'Paths'!$L$18,'Paths'!$M$18),IF('Controls'!$D$7="Reference",'Paths'!$O$18,'Paths'!$P$18))</x:f>
        <x:v>22000</x:v>
      </x:c>
      <x:c r="G1024" s="46" t="n">
        <x:f>IF('Controls'!$D$7="Reference",1,IF(OR(D1024=6,D1024=7,D1024=21,D1024=46),'Paths'!$U$18,1))</x:f>
        <x:v>1</x:v>
      </x:c>
      <x:c r="H1024" s="46" t="n">
        <x:f>IF('Controls'!$D$7="Reference",1,IF(OR(AND(D1024&gt;=14,D1024&lt;=16),AND(D1024&gt;=34,D1024&lt;=35),AND(D1024&gt;=61,D1024&lt;=63)),'Paths'!$V$18,1))</x:f>
        <x:v>0.6</x:v>
      </x:c>
      <x:c r="I1024" s="46" t="n">
        <x:f>'Paths'!$W$18</x:f>
        <x:v>0.92</x:v>
      </x:c>
      <x:c r="J1024" s="47" t="n">
        <x:f>IF(D1024&lt;E1024,0,MIN(F1024*G1024*H1024*I1024,IF('Paths'!$T$18&gt;0,MAX(0,'Paths'!$T$18-K1023),1000000000)))</x:f>
        <x:v>12144</x:v>
      </x:c>
      <x:c r="K1024" s="47" t="n">
        <x:f>K1023+J1024</x:f>
        <x:v>230000</x:v>
      </x:c>
      <x:c r="L1024" s="46" t="n">
        <x:f>IF(C1024="P0",1,IF(D1024&lt;=3,0.8,IF(D1024&lt;=14,0.65,IF(D1024&lt;=45,0.5,0.3))))</x:f>
        <x:v>0.5</x:v>
      </x:c>
      <x:c r="M1024" s="47" t="n">
        <x:f>J1024*L1024</x:f>
        <x:v>6072</x:v>
      </x:c>
      <x:c r="N1024" s="47" t="n">
        <x:f>N1023+M1024</x:f>
        <x:v>149720.8</x:v>
      </x:c>
      <x:c r="O1024" s="46" t="n">
        <x:f>IF(C1024="P0",0,IF(D1024&lt;=3,0.15,IF(D1024&lt;=14,0.25,IF(D1024&lt;=45,0.35,0.5))))</x:f>
        <x:v>0.35</x:v>
      </x:c>
      <x:c r="P1024" s="47" t="n">
        <x:f>J1024*O1024</x:f>
        <x:v>4250.4</x:v>
      </x:c>
      <x:c r="Q1024" s="46" t="n">
        <x:f>IF(C1024="P0",0,IF(D1024&lt;=3,0.05,IF(D1024&lt;=14,0.1,IF(D1024&lt;=45,0.15,0.2))))</x:f>
        <x:v>0.15</x:v>
      </x:c>
      <x:c r="R1024" s="47" t="n">
        <x:f>J1024*Q1024</x:f>
        <x:v>1821.6</x:v>
      </x:c>
      <x:c r="S1024" s="20" t="str">
        <x:f>IF(D1024&lt;E1024,"closed",IF(D1024&lt;'Paths'!$N$18,"initial","expanded"))</x:f>
        <x:v>expanded</x:v>
      </x:c>
      <x:c r="T1024" s="72"/>
    </x:row>
    <x:row r="1025">
      <x:c r="C1025" s="20" t="str">
        <x:v>P11</x:v>
      </x:c>
      <x:c r="D1025" s="20" t="n">
        <x:v>17</x:v>
      </x:c>
      <x:c r="E1025" s="45" t="n">
        <x:f>IF('Controls'!$D$7="Reference",'Paths'!$J$18,'Paths'!$K$18)</x:f>
        <x:v>2</x:v>
      </x:c>
      <x:c r="F1025" s="47" t="n">
        <x:f>IF(D1025&lt;'Paths'!$N$18,IF('Controls'!$D$7="Reference",'Paths'!$L$18,'Paths'!$M$18),IF('Controls'!$D$7="Reference",'Paths'!$O$18,'Paths'!$P$18))</x:f>
        <x:v>22000</x:v>
      </x:c>
      <x:c r="G1025" s="46" t="n">
        <x:f>IF('Controls'!$D$7="Reference",1,IF(OR(D1025=6,D1025=7,D1025=21,D1025=46),'Paths'!$U$18,1))</x:f>
        <x:v>1</x:v>
      </x:c>
      <x:c r="H1025" s="46" t="n">
        <x:f>IF('Controls'!$D$7="Reference",1,IF(OR(AND(D1025&gt;=14,D1025&lt;=16),AND(D1025&gt;=34,D1025&lt;=35),AND(D1025&gt;=61,D1025&lt;=63)),'Paths'!$V$18,1))</x:f>
        <x:v>1</x:v>
      </x:c>
      <x:c r="I1025" s="46" t="n">
        <x:f>'Paths'!$W$18</x:f>
        <x:v>0.92</x:v>
      </x:c>
      <x:c r="J1025" s="47" t="n">
        <x:f>IF(D1025&lt;E1025,0,MIN(F1025*G1025*H1025*I1025,IF('Paths'!$T$18&gt;0,MAX(0,'Paths'!$T$18-K1024),1000000000)))</x:f>
        <x:v>20240</x:v>
      </x:c>
      <x:c r="K1025" s="47" t="n">
        <x:f>K1024+J1025</x:f>
        <x:v>250240</x:v>
      </x:c>
      <x:c r="L1025" s="46" t="n">
        <x:f>IF(C1025="P0",1,IF(D1025&lt;=3,0.8,IF(D1025&lt;=14,0.65,IF(D1025&lt;=45,0.5,0.3))))</x:f>
        <x:v>0.5</x:v>
      </x:c>
      <x:c r="M1025" s="47" t="n">
        <x:f>J1025*L1025</x:f>
        <x:v>10120</x:v>
      </x:c>
      <x:c r="N1025" s="47" t="n">
        <x:f>N1024+M1025</x:f>
        <x:v>159840.8</x:v>
      </x:c>
      <x:c r="O1025" s="46" t="n">
        <x:f>IF(C1025="P0",0,IF(D1025&lt;=3,0.15,IF(D1025&lt;=14,0.25,IF(D1025&lt;=45,0.35,0.5))))</x:f>
        <x:v>0.35</x:v>
      </x:c>
      <x:c r="P1025" s="47" t="n">
        <x:f>J1025*O1025</x:f>
        <x:v>7084</x:v>
      </x:c>
      <x:c r="Q1025" s="46" t="n">
        <x:f>IF(C1025="P0",0,IF(D1025&lt;=3,0.05,IF(D1025&lt;=14,0.1,IF(D1025&lt;=45,0.15,0.2))))</x:f>
        <x:v>0.15</x:v>
      </x:c>
      <x:c r="R1025" s="47" t="n">
        <x:f>J1025*Q1025</x:f>
        <x:v>3036</x:v>
      </x:c>
      <x:c r="S1025" s="20" t="str">
        <x:f>IF(D1025&lt;E1025,"closed",IF(D1025&lt;'Paths'!$N$18,"initial","expanded"))</x:f>
        <x:v>expanded</x:v>
      </x:c>
      <x:c r="T1025" s="72"/>
    </x:row>
    <x:row r="1026">
      <x:c r="C1026" s="20" t="str">
        <x:v>P11</x:v>
      </x:c>
      <x:c r="D1026" s="20" t="n">
        <x:v>18</x:v>
      </x:c>
      <x:c r="E1026" s="45" t="n">
        <x:f>IF('Controls'!$D$7="Reference",'Paths'!$J$18,'Paths'!$K$18)</x:f>
        <x:v>2</x:v>
      </x:c>
      <x:c r="F1026" s="47" t="n">
        <x:f>IF(D1026&lt;'Paths'!$N$18,IF('Controls'!$D$7="Reference",'Paths'!$L$18,'Paths'!$M$18),IF('Controls'!$D$7="Reference",'Paths'!$O$18,'Paths'!$P$18))</x:f>
        <x:v>22000</x:v>
      </x:c>
      <x:c r="G1026" s="46" t="n">
        <x:f>IF('Controls'!$D$7="Reference",1,IF(OR(D1026=6,D1026=7,D1026=21,D1026=46),'Paths'!$U$18,1))</x:f>
        <x:v>1</x:v>
      </x:c>
      <x:c r="H1026" s="46" t="n">
        <x:f>IF('Controls'!$D$7="Reference",1,IF(OR(AND(D1026&gt;=14,D1026&lt;=16),AND(D1026&gt;=34,D1026&lt;=35),AND(D1026&gt;=61,D1026&lt;=63)),'Paths'!$V$18,1))</x:f>
        <x:v>1</x:v>
      </x:c>
      <x:c r="I1026" s="46" t="n">
        <x:f>'Paths'!$W$18</x:f>
        <x:v>0.92</x:v>
      </x:c>
      <x:c r="J1026" s="47" t="n">
        <x:f>IF(D1026&lt;E1026,0,MIN(F1026*G1026*H1026*I1026,IF('Paths'!$T$18&gt;0,MAX(0,'Paths'!$T$18-K1025),1000000000)))</x:f>
        <x:v>20240</x:v>
      </x:c>
      <x:c r="K1026" s="47" t="n">
        <x:f>K1025+J1026</x:f>
        <x:v>270480</x:v>
      </x:c>
      <x:c r="L1026" s="46" t="n">
        <x:f>IF(C1026="P0",1,IF(D1026&lt;=3,0.8,IF(D1026&lt;=14,0.65,IF(D1026&lt;=45,0.5,0.3))))</x:f>
        <x:v>0.5</x:v>
      </x:c>
      <x:c r="M1026" s="47" t="n">
        <x:f>J1026*L1026</x:f>
        <x:v>10120</x:v>
      </x:c>
      <x:c r="N1026" s="47" t="n">
        <x:f>N1025+M1026</x:f>
        <x:v>169960.8</x:v>
      </x:c>
      <x:c r="O1026" s="46" t="n">
        <x:f>IF(C1026="P0",0,IF(D1026&lt;=3,0.15,IF(D1026&lt;=14,0.25,IF(D1026&lt;=45,0.35,0.5))))</x:f>
        <x:v>0.35</x:v>
      </x:c>
      <x:c r="P1026" s="47" t="n">
        <x:f>J1026*O1026</x:f>
        <x:v>7084</x:v>
      </x:c>
      <x:c r="Q1026" s="46" t="n">
        <x:f>IF(C1026="P0",0,IF(D1026&lt;=3,0.05,IF(D1026&lt;=14,0.1,IF(D1026&lt;=45,0.15,0.2))))</x:f>
        <x:v>0.15</x:v>
      </x:c>
      <x:c r="R1026" s="47" t="n">
        <x:f>J1026*Q1026</x:f>
        <x:v>3036</x:v>
      </x:c>
      <x:c r="S1026" s="20" t="str">
        <x:f>IF(D1026&lt;E1026,"closed",IF(D1026&lt;'Paths'!$N$18,"initial","expanded"))</x:f>
        <x:v>expanded</x:v>
      </x:c>
      <x:c r="T1026" s="72"/>
    </x:row>
    <x:row r="1027">
      <x:c r="C1027" s="20" t="str">
        <x:v>P11</x:v>
      </x:c>
      <x:c r="D1027" s="20" t="n">
        <x:v>19</x:v>
      </x:c>
      <x:c r="E1027" s="45" t="n">
        <x:f>IF('Controls'!$D$7="Reference",'Paths'!$J$18,'Paths'!$K$18)</x:f>
        <x:v>2</x:v>
      </x:c>
      <x:c r="F1027" s="47" t="n">
        <x:f>IF(D1027&lt;'Paths'!$N$18,IF('Controls'!$D$7="Reference",'Paths'!$L$18,'Paths'!$M$18),IF('Controls'!$D$7="Reference",'Paths'!$O$18,'Paths'!$P$18))</x:f>
        <x:v>22000</x:v>
      </x:c>
      <x:c r="G1027" s="46" t="n">
        <x:f>IF('Controls'!$D$7="Reference",1,IF(OR(D1027=6,D1027=7,D1027=21,D1027=46),'Paths'!$U$18,1))</x:f>
        <x:v>1</x:v>
      </x:c>
      <x:c r="H1027" s="46" t="n">
        <x:f>IF('Controls'!$D$7="Reference",1,IF(OR(AND(D1027&gt;=14,D1027&lt;=16),AND(D1027&gt;=34,D1027&lt;=35),AND(D1027&gt;=61,D1027&lt;=63)),'Paths'!$V$18,1))</x:f>
        <x:v>1</x:v>
      </x:c>
      <x:c r="I1027" s="46" t="n">
        <x:f>'Paths'!$W$18</x:f>
        <x:v>0.92</x:v>
      </x:c>
      <x:c r="J1027" s="47" t="n">
        <x:f>IF(D1027&lt;E1027,0,MIN(F1027*G1027*H1027*I1027,IF('Paths'!$T$18&gt;0,MAX(0,'Paths'!$T$18-K1026),1000000000)))</x:f>
        <x:v>20240</x:v>
      </x:c>
      <x:c r="K1027" s="47" t="n">
        <x:f>K1026+J1027</x:f>
        <x:v>290720</x:v>
      </x:c>
      <x:c r="L1027" s="46" t="n">
        <x:f>IF(C1027="P0",1,IF(D1027&lt;=3,0.8,IF(D1027&lt;=14,0.65,IF(D1027&lt;=45,0.5,0.3))))</x:f>
        <x:v>0.5</x:v>
      </x:c>
      <x:c r="M1027" s="47" t="n">
        <x:f>J1027*L1027</x:f>
        <x:v>10120</x:v>
      </x:c>
      <x:c r="N1027" s="47" t="n">
        <x:f>N1026+M1027</x:f>
        <x:v>180080.8</x:v>
      </x:c>
      <x:c r="O1027" s="46" t="n">
        <x:f>IF(C1027="P0",0,IF(D1027&lt;=3,0.15,IF(D1027&lt;=14,0.25,IF(D1027&lt;=45,0.35,0.5))))</x:f>
        <x:v>0.35</x:v>
      </x:c>
      <x:c r="P1027" s="47" t="n">
        <x:f>J1027*O1027</x:f>
        <x:v>7084</x:v>
      </x:c>
      <x:c r="Q1027" s="46" t="n">
        <x:f>IF(C1027="P0",0,IF(D1027&lt;=3,0.05,IF(D1027&lt;=14,0.1,IF(D1027&lt;=45,0.15,0.2))))</x:f>
        <x:v>0.15</x:v>
      </x:c>
      <x:c r="R1027" s="47" t="n">
        <x:f>J1027*Q1027</x:f>
        <x:v>3036</x:v>
      </x:c>
      <x:c r="S1027" s="20" t="str">
        <x:f>IF(D1027&lt;E1027,"closed",IF(D1027&lt;'Paths'!$N$18,"initial","expanded"))</x:f>
        <x:v>expanded</x:v>
      </x:c>
      <x:c r="T1027" s="72"/>
    </x:row>
    <x:row r="1028">
      <x:c r="C1028" s="20" t="str">
        <x:v>P11</x:v>
      </x:c>
      <x:c r="D1028" s="20" t="n">
        <x:v>20</x:v>
      </x:c>
      <x:c r="E1028" s="45" t="n">
        <x:f>IF('Controls'!$D$7="Reference",'Paths'!$J$18,'Paths'!$K$18)</x:f>
        <x:v>2</x:v>
      </x:c>
      <x:c r="F1028" s="47" t="n">
        <x:f>IF(D1028&lt;'Paths'!$N$18,IF('Controls'!$D$7="Reference",'Paths'!$L$18,'Paths'!$M$18),IF('Controls'!$D$7="Reference",'Paths'!$O$18,'Paths'!$P$18))</x:f>
        <x:v>22000</x:v>
      </x:c>
      <x:c r="G1028" s="46" t="n">
        <x:f>IF('Controls'!$D$7="Reference",1,IF(OR(D1028=6,D1028=7,D1028=21,D1028=46),'Paths'!$U$18,1))</x:f>
        <x:v>1</x:v>
      </x:c>
      <x:c r="H1028" s="46" t="n">
        <x:f>IF('Controls'!$D$7="Reference",1,IF(OR(AND(D1028&gt;=14,D1028&lt;=16),AND(D1028&gt;=34,D1028&lt;=35),AND(D1028&gt;=61,D1028&lt;=63)),'Paths'!$V$18,1))</x:f>
        <x:v>1</x:v>
      </x:c>
      <x:c r="I1028" s="46" t="n">
        <x:f>'Paths'!$W$18</x:f>
        <x:v>0.92</x:v>
      </x:c>
      <x:c r="J1028" s="47" t="n">
        <x:f>IF(D1028&lt;E1028,0,MIN(F1028*G1028*H1028*I1028,IF('Paths'!$T$18&gt;0,MAX(0,'Paths'!$T$18-K1027),1000000000)))</x:f>
        <x:v>20240</x:v>
      </x:c>
      <x:c r="K1028" s="47" t="n">
        <x:f>K1027+J1028</x:f>
        <x:v>310960</x:v>
      </x:c>
      <x:c r="L1028" s="46" t="n">
        <x:f>IF(C1028="P0",1,IF(D1028&lt;=3,0.8,IF(D1028&lt;=14,0.65,IF(D1028&lt;=45,0.5,0.3))))</x:f>
        <x:v>0.5</x:v>
      </x:c>
      <x:c r="M1028" s="47" t="n">
        <x:f>J1028*L1028</x:f>
        <x:v>10120</x:v>
      </x:c>
      <x:c r="N1028" s="47" t="n">
        <x:f>N1027+M1028</x:f>
        <x:v>190200.8</x:v>
      </x:c>
      <x:c r="O1028" s="46" t="n">
        <x:f>IF(C1028="P0",0,IF(D1028&lt;=3,0.15,IF(D1028&lt;=14,0.25,IF(D1028&lt;=45,0.35,0.5))))</x:f>
        <x:v>0.35</x:v>
      </x:c>
      <x:c r="P1028" s="47" t="n">
        <x:f>J1028*O1028</x:f>
        <x:v>7084</x:v>
      </x:c>
      <x:c r="Q1028" s="46" t="n">
        <x:f>IF(C1028="P0",0,IF(D1028&lt;=3,0.05,IF(D1028&lt;=14,0.1,IF(D1028&lt;=45,0.15,0.2))))</x:f>
        <x:v>0.15</x:v>
      </x:c>
      <x:c r="R1028" s="47" t="n">
        <x:f>J1028*Q1028</x:f>
        <x:v>3036</x:v>
      </x:c>
      <x:c r="S1028" s="20" t="str">
        <x:f>IF(D1028&lt;E1028,"closed",IF(D1028&lt;'Paths'!$N$18,"initial","expanded"))</x:f>
        <x:v>expanded</x:v>
      </x:c>
      <x:c r="T1028" s="72"/>
    </x:row>
    <x:row r="1029">
      <x:c r="C1029" s="20" t="str">
        <x:v>P11</x:v>
      </x:c>
      <x:c r="D1029" s="20" t="n">
        <x:v>21</x:v>
      </x:c>
      <x:c r="E1029" s="45" t="n">
        <x:f>IF('Controls'!$D$7="Reference",'Paths'!$J$18,'Paths'!$K$18)</x:f>
        <x:v>2</x:v>
      </x:c>
      <x:c r="F1029" s="47" t="n">
        <x:f>IF(D1029&lt;'Paths'!$N$18,IF('Controls'!$D$7="Reference",'Paths'!$L$18,'Paths'!$M$18),IF('Controls'!$D$7="Reference",'Paths'!$O$18,'Paths'!$P$18))</x:f>
        <x:v>22000</x:v>
      </x:c>
      <x:c r="G1029" s="46" t="n">
        <x:f>IF('Controls'!$D$7="Reference",1,IF(OR(D1029=6,D1029=7,D1029=21,D1029=46),'Paths'!$U$18,1))</x:f>
        <x:v>0.8</x:v>
      </x:c>
      <x:c r="H1029" s="46" t="n">
        <x:f>IF('Controls'!$D$7="Reference",1,IF(OR(AND(D1029&gt;=14,D1029&lt;=16),AND(D1029&gt;=34,D1029&lt;=35),AND(D1029&gt;=61,D1029&lt;=63)),'Paths'!$V$18,1))</x:f>
        <x:v>1</x:v>
      </x:c>
      <x:c r="I1029" s="46" t="n">
        <x:f>'Paths'!$W$18</x:f>
        <x:v>0.92</x:v>
      </x:c>
      <x:c r="J1029" s="47" t="n">
        <x:f>IF(D1029&lt;E1029,0,MIN(F1029*G1029*H1029*I1029,IF('Paths'!$T$18&gt;0,MAX(0,'Paths'!$T$18-K1028),1000000000)))</x:f>
        <x:v>16192</x:v>
      </x:c>
      <x:c r="K1029" s="47" t="n">
        <x:f>K1028+J1029</x:f>
        <x:v>327152</x:v>
      </x:c>
      <x:c r="L1029" s="46" t="n">
        <x:f>IF(C1029="P0",1,IF(D1029&lt;=3,0.8,IF(D1029&lt;=14,0.65,IF(D1029&lt;=45,0.5,0.3))))</x:f>
        <x:v>0.5</x:v>
      </x:c>
      <x:c r="M1029" s="47" t="n">
        <x:f>J1029*L1029</x:f>
        <x:v>8096</x:v>
      </x:c>
      <x:c r="N1029" s="47" t="n">
        <x:f>N1028+M1029</x:f>
        <x:v>198296.8</x:v>
      </x:c>
      <x:c r="O1029" s="46" t="n">
        <x:f>IF(C1029="P0",0,IF(D1029&lt;=3,0.15,IF(D1029&lt;=14,0.25,IF(D1029&lt;=45,0.35,0.5))))</x:f>
        <x:v>0.35</x:v>
      </x:c>
      <x:c r="P1029" s="47" t="n">
        <x:f>J1029*O1029</x:f>
        <x:v>5667.2</x:v>
      </x:c>
      <x:c r="Q1029" s="46" t="n">
        <x:f>IF(C1029="P0",0,IF(D1029&lt;=3,0.05,IF(D1029&lt;=14,0.1,IF(D1029&lt;=45,0.15,0.2))))</x:f>
        <x:v>0.15</x:v>
      </x:c>
      <x:c r="R1029" s="47" t="n">
        <x:f>J1029*Q1029</x:f>
        <x:v>2428.7999999999997</x:v>
      </x:c>
      <x:c r="S1029" s="20" t="str">
        <x:f>IF(D1029&lt;E1029,"closed",IF(D1029&lt;'Paths'!$N$18,"initial","expanded"))</x:f>
        <x:v>expanded</x:v>
      </x:c>
      <x:c r="T1029" s="72"/>
    </x:row>
    <x:row r="1030">
      <x:c r="C1030" s="20" t="str">
        <x:v>P11</x:v>
      </x:c>
      <x:c r="D1030" s="20" t="n">
        <x:v>22</x:v>
      </x:c>
      <x:c r="E1030" s="45" t="n">
        <x:f>IF('Controls'!$D$7="Reference",'Paths'!$J$18,'Paths'!$K$18)</x:f>
        <x:v>2</x:v>
      </x:c>
      <x:c r="F1030" s="47" t="n">
        <x:f>IF(D1030&lt;'Paths'!$N$18,IF('Controls'!$D$7="Reference",'Paths'!$L$18,'Paths'!$M$18),IF('Controls'!$D$7="Reference",'Paths'!$O$18,'Paths'!$P$18))</x:f>
        <x:v>22000</x:v>
      </x:c>
      <x:c r="G1030" s="46" t="n">
        <x:f>IF('Controls'!$D$7="Reference",1,IF(OR(D1030=6,D1030=7,D1030=21,D1030=46),'Paths'!$U$18,1))</x:f>
        <x:v>1</x:v>
      </x:c>
      <x:c r="H1030" s="46" t="n">
        <x:f>IF('Controls'!$D$7="Reference",1,IF(OR(AND(D1030&gt;=14,D1030&lt;=16),AND(D1030&gt;=34,D1030&lt;=35),AND(D1030&gt;=61,D1030&lt;=63)),'Paths'!$V$18,1))</x:f>
        <x:v>1</x:v>
      </x:c>
      <x:c r="I1030" s="46" t="n">
        <x:f>'Paths'!$W$18</x:f>
        <x:v>0.92</x:v>
      </x:c>
      <x:c r="J1030" s="47" t="n">
        <x:f>IF(D1030&lt;E1030,0,MIN(F1030*G1030*H1030*I1030,IF('Paths'!$T$18&gt;0,MAX(0,'Paths'!$T$18-K1029),1000000000)))</x:f>
        <x:v>20240</x:v>
      </x:c>
      <x:c r="K1030" s="47" t="n">
        <x:f>K1029+J1030</x:f>
        <x:v>347392</x:v>
      </x:c>
      <x:c r="L1030" s="46" t="n">
        <x:f>IF(C1030="P0",1,IF(D1030&lt;=3,0.8,IF(D1030&lt;=14,0.65,IF(D1030&lt;=45,0.5,0.3))))</x:f>
        <x:v>0.5</x:v>
      </x:c>
      <x:c r="M1030" s="47" t="n">
        <x:f>J1030*L1030</x:f>
        <x:v>10120</x:v>
      </x:c>
      <x:c r="N1030" s="47" t="n">
        <x:f>N1029+M1030</x:f>
        <x:v>208416.8</x:v>
      </x:c>
      <x:c r="O1030" s="46" t="n">
        <x:f>IF(C1030="P0",0,IF(D1030&lt;=3,0.15,IF(D1030&lt;=14,0.25,IF(D1030&lt;=45,0.35,0.5))))</x:f>
        <x:v>0.35</x:v>
      </x:c>
      <x:c r="P1030" s="47" t="n">
        <x:f>J1030*O1030</x:f>
        <x:v>7084</x:v>
      </x:c>
      <x:c r="Q1030" s="46" t="n">
        <x:f>IF(C1030="P0",0,IF(D1030&lt;=3,0.05,IF(D1030&lt;=14,0.1,IF(D1030&lt;=45,0.15,0.2))))</x:f>
        <x:v>0.15</x:v>
      </x:c>
      <x:c r="R1030" s="47" t="n">
        <x:f>J1030*Q1030</x:f>
        <x:v>3036</x:v>
      </x:c>
      <x:c r="S1030" s="20" t="str">
        <x:f>IF(D1030&lt;E1030,"closed",IF(D1030&lt;'Paths'!$N$18,"initial","expanded"))</x:f>
        <x:v>expanded</x:v>
      </x:c>
      <x:c r="T1030" s="72"/>
    </x:row>
    <x:row r="1031">
      <x:c r="C1031" s="20" t="str">
        <x:v>P11</x:v>
      </x:c>
      <x:c r="D1031" s="20" t="n">
        <x:v>23</x:v>
      </x:c>
      <x:c r="E1031" s="45" t="n">
        <x:f>IF('Controls'!$D$7="Reference",'Paths'!$J$18,'Paths'!$K$18)</x:f>
        <x:v>2</x:v>
      </x:c>
      <x:c r="F1031" s="47" t="n">
        <x:f>IF(D1031&lt;'Paths'!$N$18,IF('Controls'!$D$7="Reference",'Paths'!$L$18,'Paths'!$M$18),IF('Controls'!$D$7="Reference",'Paths'!$O$18,'Paths'!$P$18))</x:f>
        <x:v>22000</x:v>
      </x:c>
      <x:c r="G1031" s="46" t="n">
        <x:f>IF('Controls'!$D$7="Reference",1,IF(OR(D1031=6,D1031=7,D1031=21,D1031=46),'Paths'!$U$18,1))</x:f>
        <x:v>1</x:v>
      </x:c>
      <x:c r="H1031" s="46" t="n">
        <x:f>IF('Controls'!$D$7="Reference",1,IF(OR(AND(D1031&gt;=14,D1031&lt;=16),AND(D1031&gt;=34,D1031&lt;=35),AND(D1031&gt;=61,D1031&lt;=63)),'Paths'!$V$18,1))</x:f>
        <x:v>1</x:v>
      </x:c>
      <x:c r="I1031" s="46" t="n">
        <x:f>'Paths'!$W$18</x:f>
        <x:v>0.92</x:v>
      </x:c>
      <x:c r="J1031" s="47" t="n">
        <x:f>IF(D1031&lt;E1031,0,MIN(F1031*G1031*H1031*I1031,IF('Paths'!$T$18&gt;0,MAX(0,'Paths'!$T$18-K1030),1000000000)))</x:f>
        <x:v>20240</x:v>
      </x:c>
      <x:c r="K1031" s="47" t="n">
        <x:f>K1030+J1031</x:f>
        <x:v>367632</x:v>
      </x:c>
      <x:c r="L1031" s="46" t="n">
        <x:f>IF(C1031="P0",1,IF(D1031&lt;=3,0.8,IF(D1031&lt;=14,0.65,IF(D1031&lt;=45,0.5,0.3))))</x:f>
        <x:v>0.5</x:v>
      </x:c>
      <x:c r="M1031" s="47" t="n">
        <x:f>J1031*L1031</x:f>
        <x:v>10120</x:v>
      </x:c>
      <x:c r="N1031" s="47" t="n">
        <x:f>N1030+M1031</x:f>
        <x:v>218536.8</x:v>
      </x:c>
      <x:c r="O1031" s="46" t="n">
        <x:f>IF(C1031="P0",0,IF(D1031&lt;=3,0.15,IF(D1031&lt;=14,0.25,IF(D1031&lt;=45,0.35,0.5))))</x:f>
        <x:v>0.35</x:v>
      </x:c>
      <x:c r="P1031" s="47" t="n">
        <x:f>J1031*O1031</x:f>
        <x:v>7084</x:v>
      </x:c>
      <x:c r="Q1031" s="46" t="n">
        <x:f>IF(C1031="P0",0,IF(D1031&lt;=3,0.05,IF(D1031&lt;=14,0.1,IF(D1031&lt;=45,0.15,0.2))))</x:f>
        <x:v>0.15</x:v>
      </x:c>
      <x:c r="R1031" s="47" t="n">
        <x:f>J1031*Q1031</x:f>
        <x:v>3036</x:v>
      </x:c>
      <x:c r="S1031" s="20" t="str">
        <x:f>IF(D1031&lt;E1031,"closed",IF(D1031&lt;'Paths'!$N$18,"initial","expanded"))</x:f>
        <x:v>expanded</x:v>
      </x:c>
      <x:c r="T1031" s="72"/>
    </x:row>
    <x:row r="1032">
      <x:c r="C1032" s="20" t="str">
        <x:v>P11</x:v>
      </x:c>
      <x:c r="D1032" s="20" t="n">
        <x:v>24</x:v>
      </x:c>
      <x:c r="E1032" s="45" t="n">
        <x:f>IF('Controls'!$D$7="Reference",'Paths'!$J$18,'Paths'!$K$18)</x:f>
        <x:v>2</x:v>
      </x:c>
      <x:c r="F1032" s="47" t="n">
        <x:f>IF(D1032&lt;'Paths'!$N$18,IF('Controls'!$D$7="Reference",'Paths'!$L$18,'Paths'!$M$18),IF('Controls'!$D$7="Reference",'Paths'!$O$18,'Paths'!$P$18))</x:f>
        <x:v>22000</x:v>
      </x:c>
      <x:c r="G1032" s="46" t="n">
        <x:f>IF('Controls'!$D$7="Reference",1,IF(OR(D1032=6,D1032=7,D1032=21,D1032=46),'Paths'!$U$18,1))</x:f>
        <x:v>1</x:v>
      </x:c>
      <x:c r="H1032" s="46" t="n">
        <x:f>IF('Controls'!$D$7="Reference",1,IF(OR(AND(D1032&gt;=14,D1032&lt;=16),AND(D1032&gt;=34,D1032&lt;=35),AND(D1032&gt;=61,D1032&lt;=63)),'Paths'!$V$18,1))</x:f>
        <x:v>1</x:v>
      </x:c>
      <x:c r="I1032" s="46" t="n">
        <x:f>'Paths'!$W$18</x:f>
        <x:v>0.92</x:v>
      </x:c>
      <x:c r="J1032" s="47" t="n">
        <x:f>IF(D1032&lt;E1032,0,MIN(F1032*G1032*H1032*I1032,IF('Paths'!$T$18&gt;0,MAX(0,'Paths'!$T$18-K1031),1000000000)))</x:f>
        <x:v>20240</x:v>
      </x:c>
      <x:c r="K1032" s="47" t="n">
        <x:f>K1031+J1032</x:f>
        <x:v>387872</x:v>
      </x:c>
      <x:c r="L1032" s="46" t="n">
        <x:f>IF(C1032="P0",1,IF(D1032&lt;=3,0.8,IF(D1032&lt;=14,0.65,IF(D1032&lt;=45,0.5,0.3))))</x:f>
        <x:v>0.5</x:v>
      </x:c>
      <x:c r="M1032" s="47" t="n">
        <x:f>J1032*L1032</x:f>
        <x:v>10120</x:v>
      </x:c>
      <x:c r="N1032" s="47" t="n">
        <x:f>N1031+M1032</x:f>
        <x:v>228656.8</x:v>
      </x:c>
      <x:c r="O1032" s="46" t="n">
        <x:f>IF(C1032="P0",0,IF(D1032&lt;=3,0.15,IF(D1032&lt;=14,0.25,IF(D1032&lt;=45,0.35,0.5))))</x:f>
        <x:v>0.35</x:v>
      </x:c>
      <x:c r="P1032" s="47" t="n">
        <x:f>J1032*O1032</x:f>
        <x:v>7084</x:v>
      </x:c>
      <x:c r="Q1032" s="46" t="n">
        <x:f>IF(C1032="P0",0,IF(D1032&lt;=3,0.05,IF(D1032&lt;=14,0.1,IF(D1032&lt;=45,0.15,0.2))))</x:f>
        <x:v>0.15</x:v>
      </x:c>
      <x:c r="R1032" s="47" t="n">
        <x:f>J1032*Q1032</x:f>
        <x:v>3036</x:v>
      </x:c>
      <x:c r="S1032" s="20" t="str">
        <x:f>IF(D1032&lt;E1032,"closed",IF(D1032&lt;'Paths'!$N$18,"initial","expanded"))</x:f>
        <x:v>expanded</x:v>
      </x:c>
      <x:c r="T1032" s="72"/>
    </x:row>
    <x:row r="1033">
      <x:c r="C1033" s="20" t="str">
        <x:v>P11</x:v>
      </x:c>
      <x:c r="D1033" s="20" t="n">
        <x:v>25</x:v>
      </x:c>
      <x:c r="E1033" s="45" t="n">
        <x:f>IF('Controls'!$D$7="Reference",'Paths'!$J$18,'Paths'!$K$18)</x:f>
        <x:v>2</x:v>
      </x:c>
      <x:c r="F1033" s="47" t="n">
        <x:f>IF(D1033&lt;'Paths'!$N$18,IF('Controls'!$D$7="Reference",'Paths'!$L$18,'Paths'!$M$18),IF('Controls'!$D$7="Reference",'Paths'!$O$18,'Paths'!$P$18))</x:f>
        <x:v>22000</x:v>
      </x:c>
      <x:c r="G1033" s="46" t="n">
        <x:f>IF('Controls'!$D$7="Reference",1,IF(OR(D1033=6,D1033=7,D1033=21,D1033=46),'Paths'!$U$18,1))</x:f>
        <x:v>1</x:v>
      </x:c>
      <x:c r="H1033" s="46" t="n">
        <x:f>IF('Controls'!$D$7="Reference",1,IF(OR(AND(D1033&gt;=14,D1033&lt;=16),AND(D1033&gt;=34,D1033&lt;=35),AND(D1033&gt;=61,D1033&lt;=63)),'Paths'!$V$18,1))</x:f>
        <x:v>1</x:v>
      </x:c>
      <x:c r="I1033" s="46" t="n">
        <x:f>'Paths'!$W$18</x:f>
        <x:v>0.92</x:v>
      </x:c>
      <x:c r="J1033" s="47" t="n">
        <x:f>IF(D1033&lt;E1033,0,MIN(F1033*G1033*H1033*I1033,IF('Paths'!$T$18&gt;0,MAX(0,'Paths'!$T$18-K1032),1000000000)))</x:f>
        <x:v>20240</x:v>
      </x:c>
      <x:c r="K1033" s="47" t="n">
        <x:f>K1032+J1033</x:f>
        <x:v>408112</x:v>
      </x:c>
      <x:c r="L1033" s="46" t="n">
        <x:f>IF(C1033="P0",1,IF(D1033&lt;=3,0.8,IF(D1033&lt;=14,0.65,IF(D1033&lt;=45,0.5,0.3))))</x:f>
        <x:v>0.5</x:v>
      </x:c>
      <x:c r="M1033" s="47" t="n">
        <x:f>J1033*L1033</x:f>
        <x:v>10120</x:v>
      </x:c>
      <x:c r="N1033" s="47" t="n">
        <x:f>N1032+M1033</x:f>
        <x:v>238776.8</x:v>
      </x:c>
      <x:c r="O1033" s="46" t="n">
        <x:f>IF(C1033="P0",0,IF(D1033&lt;=3,0.15,IF(D1033&lt;=14,0.25,IF(D1033&lt;=45,0.35,0.5))))</x:f>
        <x:v>0.35</x:v>
      </x:c>
      <x:c r="P1033" s="47" t="n">
        <x:f>J1033*O1033</x:f>
        <x:v>7084</x:v>
      </x:c>
      <x:c r="Q1033" s="46" t="n">
        <x:f>IF(C1033="P0",0,IF(D1033&lt;=3,0.05,IF(D1033&lt;=14,0.1,IF(D1033&lt;=45,0.15,0.2))))</x:f>
        <x:v>0.15</x:v>
      </x:c>
      <x:c r="R1033" s="47" t="n">
        <x:f>J1033*Q1033</x:f>
        <x:v>3036</x:v>
      </x:c>
      <x:c r="S1033" s="20" t="str">
        <x:f>IF(D1033&lt;E1033,"closed",IF(D1033&lt;'Paths'!$N$18,"initial","expanded"))</x:f>
        <x:v>expanded</x:v>
      </x:c>
      <x:c r="T1033" s="72"/>
    </x:row>
    <x:row r="1034">
      <x:c r="C1034" s="20" t="str">
        <x:v>P11</x:v>
      </x:c>
      <x:c r="D1034" s="20" t="n">
        <x:v>26</x:v>
      </x:c>
      <x:c r="E1034" s="45" t="n">
        <x:f>IF('Controls'!$D$7="Reference",'Paths'!$J$18,'Paths'!$K$18)</x:f>
        <x:v>2</x:v>
      </x:c>
      <x:c r="F1034" s="47" t="n">
        <x:f>IF(D1034&lt;'Paths'!$N$18,IF('Controls'!$D$7="Reference",'Paths'!$L$18,'Paths'!$M$18),IF('Controls'!$D$7="Reference",'Paths'!$O$18,'Paths'!$P$18))</x:f>
        <x:v>22000</x:v>
      </x:c>
      <x:c r="G1034" s="46" t="n">
        <x:f>IF('Controls'!$D$7="Reference",1,IF(OR(D1034=6,D1034=7,D1034=21,D1034=46),'Paths'!$U$18,1))</x:f>
        <x:v>1</x:v>
      </x:c>
      <x:c r="H1034" s="46" t="n">
        <x:f>IF('Controls'!$D$7="Reference",1,IF(OR(AND(D1034&gt;=14,D1034&lt;=16),AND(D1034&gt;=34,D1034&lt;=35),AND(D1034&gt;=61,D1034&lt;=63)),'Paths'!$V$18,1))</x:f>
        <x:v>1</x:v>
      </x:c>
      <x:c r="I1034" s="46" t="n">
        <x:f>'Paths'!$W$18</x:f>
        <x:v>0.92</x:v>
      </x:c>
      <x:c r="J1034" s="47" t="n">
        <x:f>IF(D1034&lt;E1034,0,MIN(F1034*G1034*H1034*I1034,IF('Paths'!$T$18&gt;0,MAX(0,'Paths'!$T$18-K1033),1000000000)))</x:f>
        <x:v>20240</x:v>
      </x:c>
      <x:c r="K1034" s="47" t="n">
        <x:f>K1033+J1034</x:f>
        <x:v>428352</x:v>
      </x:c>
      <x:c r="L1034" s="46" t="n">
        <x:f>IF(C1034="P0",1,IF(D1034&lt;=3,0.8,IF(D1034&lt;=14,0.65,IF(D1034&lt;=45,0.5,0.3))))</x:f>
        <x:v>0.5</x:v>
      </x:c>
      <x:c r="M1034" s="47" t="n">
        <x:f>J1034*L1034</x:f>
        <x:v>10120</x:v>
      </x:c>
      <x:c r="N1034" s="47" t="n">
        <x:f>N1033+M1034</x:f>
        <x:v>248896.8</x:v>
      </x:c>
      <x:c r="O1034" s="46" t="n">
        <x:f>IF(C1034="P0",0,IF(D1034&lt;=3,0.15,IF(D1034&lt;=14,0.25,IF(D1034&lt;=45,0.35,0.5))))</x:f>
        <x:v>0.35</x:v>
      </x:c>
      <x:c r="P1034" s="47" t="n">
        <x:f>J1034*O1034</x:f>
        <x:v>7084</x:v>
      </x:c>
      <x:c r="Q1034" s="46" t="n">
        <x:f>IF(C1034="P0",0,IF(D1034&lt;=3,0.05,IF(D1034&lt;=14,0.1,IF(D1034&lt;=45,0.15,0.2))))</x:f>
        <x:v>0.15</x:v>
      </x:c>
      <x:c r="R1034" s="47" t="n">
        <x:f>J1034*Q1034</x:f>
        <x:v>3036</x:v>
      </x:c>
      <x:c r="S1034" s="20" t="str">
        <x:f>IF(D1034&lt;E1034,"closed",IF(D1034&lt;'Paths'!$N$18,"initial","expanded"))</x:f>
        <x:v>expanded</x:v>
      </x:c>
      <x:c r="T1034" s="72"/>
    </x:row>
    <x:row r="1035">
      <x:c r="C1035" s="20" t="str">
        <x:v>P11</x:v>
      </x:c>
      <x:c r="D1035" s="20" t="n">
        <x:v>27</x:v>
      </x:c>
      <x:c r="E1035" s="45" t="n">
        <x:f>IF('Controls'!$D$7="Reference",'Paths'!$J$18,'Paths'!$K$18)</x:f>
        <x:v>2</x:v>
      </x:c>
      <x:c r="F1035" s="47" t="n">
        <x:f>IF(D1035&lt;'Paths'!$N$18,IF('Controls'!$D$7="Reference",'Paths'!$L$18,'Paths'!$M$18),IF('Controls'!$D$7="Reference",'Paths'!$O$18,'Paths'!$P$18))</x:f>
        <x:v>22000</x:v>
      </x:c>
      <x:c r="G1035" s="46" t="n">
        <x:f>IF('Controls'!$D$7="Reference",1,IF(OR(D1035=6,D1035=7,D1035=21,D1035=46),'Paths'!$U$18,1))</x:f>
        <x:v>1</x:v>
      </x:c>
      <x:c r="H1035" s="46" t="n">
        <x:f>IF('Controls'!$D$7="Reference",1,IF(OR(AND(D1035&gt;=14,D1035&lt;=16),AND(D1035&gt;=34,D1035&lt;=35),AND(D1035&gt;=61,D1035&lt;=63)),'Paths'!$V$18,1))</x:f>
        <x:v>1</x:v>
      </x:c>
      <x:c r="I1035" s="46" t="n">
        <x:f>'Paths'!$W$18</x:f>
        <x:v>0.92</x:v>
      </x:c>
      <x:c r="J1035" s="47" t="n">
        <x:f>IF(D1035&lt;E1035,0,MIN(F1035*G1035*H1035*I1035,IF('Paths'!$T$18&gt;0,MAX(0,'Paths'!$T$18-K1034),1000000000)))</x:f>
        <x:v>20240</x:v>
      </x:c>
      <x:c r="K1035" s="47" t="n">
        <x:f>K1034+J1035</x:f>
        <x:v>448592</x:v>
      </x:c>
      <x:c r="L1035" s="46" t="n">
        <x:f>IF(C1035="P0",1,IF(D1035&lt;=3,0.8,IF(D1035&lt;=14,0.65,IF(D1035&lt;=45,0.5,0.3))))</x:f>
        <x:v>0.5</x:v>
      </x:c>
      <x:c r="M1035" s="47" t="n">
        <x:f>J1035*L1035</x:f>
        <x:v>10120</x:v>
      </x:c>
      <x:c r="N1035" s="47" t="n">
        <x:f>N1034+M1035</x:f>
        <x:v>259016.8</x:v>
      </x:c>
      <x:c r="O1035" s="46" t="n">
        <x:f>IF(C1035="P0",0,IF(D1035&lt;=3,0.15,IF(D1035&lt;=14,0.25,IF(D1035&lt;=45,0.35,0.5))))</x:f>
        <x:v>0.35</x:v>
      </x:c>
      <x:c r="P1035" s="47" t="n">
        <x:f>J1035*O1035</x:f>
        <x:v>7084</x:v>
      </x:c>
      <x:c r="Q1035" s="46" t="n">
        <x:f>IF(C1035="P0",0,IF(D1035&lt;=3,0.05,IF(D1035&lt;=14,0.1,IF(D1035&lt;=45,0.15,0.2))))</x:f>
        <x:v>0.15</x:v>
      </x:c>
      <x:c r="R1035" s="47" t="n">
        <x:f>J1035*Q1035</x:f>
        <x:v>3036</x:v>
      </x:c>
      <x:c r="S1035" s="20" t="str">
        <x:f>IF(D1035&lt;E1035,"closed",IF(D1035&lt;'Paths'!$N$18,"initial","expanded"))</x:f>
        <x:v>expanded</x:v>
      </x:c>
      <x:c r="T1035" s="72"/>
    </x:row>
    <x:row r="1036">
      <x:c r="C1036" s="20" t="str">
        <x:v>P11</x:v>
      </x:c>
      <x:c r="D1036" s="20" t="n">
        <x:v>28</x:v>
      </x:c>
      <x:c r="E1036" s="45" t="n">
        <x:f>IF('Controls'!$D$7="Reference",'Paths'!$J$18,'Paths'!$K$18)</x:f>
        <x:v>2</x:v>
      </x:c>
      <x:c r="F1036" s="47" t="n">
        <x:f>IF(D1036&lt;'Paths'!$N$18,IF('Controls'!$D$7="Reference",'Paths'!$L$18,'Paths'!$M$18),IF('Controls'!$D$7="Reference",'Paths'!$O$18,'Paths'!$P$18))</x:f>
        <x:v>22000</x:v>
      </x:c>
      <x:c r="G1036" s="46" t="n">
        <x:f>IF('Controls'!$D$7="Reference",1,IF(OR(D1036=6,D1036=7,D1036=21,D1036=46),'Paths'!$U$18,1))</x:f>
        <x:v>1</x:v>
      </x:c>
      <x:c r="H1036" s="46" t="n">
        <x:f>IF('Controls'!$D$7="Reference",1,IF(OR(AND(D1036&gt;=14,D1036&lt;=16),AND(D1036&gt;=34,D1036&lt;=35),AND(D1036&gt;=61,D1036&lt;=63)),'Paths'!$V$18,1))</x:f>
        <x:v>1</x:v>
      </x:c>
      <x:c r="I1036" s="46" t="n">
        <x:f>'Paths'!$W$18</x:f>
        <x:v>0.92</x:v>
      </x:c>
      <x:c r="J1036" s="47" t="n">
        <x:f>IF(D1036&lt;E1036,0,MIN(F1036*G1036*H1036*I1036,IF('Paths'!$T$18&gt;0,MAX(0,'Paths'!$T$18-K1035),1000000000)))</x:f>
        <x:v>20240</x:v>
      </x:c>
      <x:c r="K1036" s="47" t="n">
        <x:f>K1035+J1036</x:f>
        <x:v>468832</x:v>
      </x:c>
      <x:c r="L1036" s="46" t="n">
        <x:f>IF(C1036="P0",1,IF(D1036&lt;=3,0.8,IF(D1036&lt;=14,0.65,IF(D1036&lt;=45,0.5,0.3))))</x:f>
        <x:v>0.5</x:v>
      </x:c>
      <x:c r="M1036" s="47" t="n">
        <x:f>J1036*L1036</x:f>
        <x:v>10120</x:v>
      </x:c>
      <x:c r="N1036" s="47" t="n">
        <x:f>N1035+M1036</x:f>
        <x:v>269136.8</x:v>
      </x:c>
      <x:c r="O1036" s="46" t="n">
        <x:f>IF(C1036="P0",0,IF(D1036&lt;=3,0.15,IF(D1036&lt;=14,0.25,IF(D1036&lt;=45,0.35,0.5))))</x:f>
        <x:v>0.35</x:v>
      </x:c>
      <x:c r="P1036" s="47" t="n">
        <x:f>J1036*O1036</x:f>
        <x:v>7084</x:v>
      </x:c>
      <x:c r="Q1036" s="46" t="n">
        <x:f>IF(C1036="P0",0,IF(D1036&lt;=3,0.05,IF(D1036&lt;=14,0.1,IF(D1036&lt;=45,0.15,0.2))))</x:f>
        <x:v>0.15</x:v>
      </x:c>
      <x:c r="R1036" s="47" t="n">
        <x:f>J1036*Q1036</x:f>
        <x:v>3036</x:v>
      </x:c>
      <x:c r="S1036" s="20" t="str">
        <x:f>IF(D1036&lt;E1036,"closed",IF(D1036&lt;'Paths'!$N$18,"initial","expanded"))</x:f>
        <x:v>expanded</x:v>
      </x:c>
      <x:c r="T1036" s="72"/>
    </x:row>
    <x:row r="1037">
      <x:c r="C1037" s="20" t="str">
        <x:v>P11</x:v>
      </x:c>
      <x:c r="D1037" s="20" t="n">
        <x:v>29</x:v>
      </x:c>
      <x:c r="E1037" s="45" t="n">
        <x:f>IF('Controls'!$D$7="Reference",'Paths'!$J$18,'Paths'!$K$18)</x:f>
        <x:v>2</x:v>
      </x:c>
      <x:c r="F1037" s="47" t="n">
        <x:f>IF(D1037&lt;'Paths'!$N$18,IF('Controls'!$D$7="Reference",'Paths'!$L$18,'Paths'!$M$18),IF('Controls'!$D$7="Reference",'Paths'!$O$18,'Paths'!$P$18))</x:f>
        <x:v>22000</x:v>
      </x:c>
      <x:c r="G1037" s="46" t="n">
        <x:f>IF('Controls'!$D$7="Reference",1,IF(OR(D1037=6,D1037=7,D1037=21,D1037=46),'Paths'!$U$18,1))</x:f>
        <x:v>1</x:v>
      </x:c>
      <x:c r="H1037" s="46" t="n">
        <x:f>IF('Controls'!$D$7="Reference",1,IF(OR(AND(D1037&gt;=14,D1037&lt;=16),AND(D1037&gt;=34,D1037&lt;=35),AND(D1037&gt;=61,D1037&lt;=63)),'Paths'!$V$18,1))</x:f>
        <x:v>1</x:v>
      </x:c>
      <x:c r="I1037" s="46" t="n">
        <x:f>'Paths'!$W$18</x:f>
        <x:v>0.92</x:v>
      </x:c>
      <x:c r="J1037" s="47" t="n">
        <x:f>IF(D1037&lt;E1037,0,MIN(F1037*G1037*H1037*I1037,IF('Paths'!$T$18&gt;0,MAX(0,'Paths'!$T$18-K1036),1000000000)))</x:f>
        <x:v>20240</x:v>
      </x:c>
      <x:c r="K1037" s="47" t="n">
        <x:f>K1036+J1037</x:f>
        <x:v>489072</x:v>
      </x:c>
      <x:c r="L1037" s="46" t="n">
        <x:f>IF(C1037="P0",1,IF(D1037&lt;=3,0.8,IF(D1037&lt;=14,0.65,IF(D1037&lt;=45,0.5,0.3))))</x:f>
        <x:v>0.5</x:v>
      </x:c>
      <x:c r="M1037" s="47" t="n">
        <x:f>J1037*L1037</x:f>
        <x:v>10120</x:v>
      </x:c>
      <x:c r="N1037" s="47" t="n">
        <x:f>N1036+M1037</x:f>
        <x:v>279256.8</x:v>
      </x:c>
      <x:c r="O1037" s="46" t="n">
        <x:f>IF(C1037="P0",0,IF(D1037&lt;=3,0.15,IF(D1037&lt;=14,0.25,IF(D1037&lt;=45,0.35,0.5))))</x:f>
        <x:v>0.35</x:v>
      </x:c>
      <x:c r="P1037" s="47" t="n">
        <x:f>J1037*O1037</x:f>
        <x:v>7084</x:v>
      </x:c>
      <x:c r="Q1037" s="46" t="n">
        <x:f>IF(C1037="P0",0,IF(D1037&lt;=3,0.05,IF(D1037&lt;=14,0.1,IF(D1037&lt;=45,0.15,0.2))))</x:f>
        <x:v>0.15</x:v>
      </x:c>
      <x:c r="R1037" s="47" t="n">
        <x:f>J1037*Q1037</x:f>
        <x:v>3036</x:v>
      </x:c>
      <x:c r="S1037" s="20" t="str">
        <x:f>IF(D1037&lt;E1037,"closed",IF(D1037&lt;'Paths'!$N$18,"initial","expanded"))</x:f>
        <x:v>expanded</x:v>
      </x:c>
      <x:c r="T1037" s="72"/>
    </x:row>
    <x:row r="1038">
      <x:c r="C1038" s="20" t="str">
        <x:v>P11</x:v>
      </x:c>
      <x:c r="D1038" s="20" t="n">
        <x:v>30</x:v>
      </x:c>
      <x:c r="E1038" s="45" t="n">
        <x:f>IF('Controls'!$D$7="Reference",'Paths'!$J$18,'Paths'!$K$18)</x:f>
        <x:v>2</x:v>
      </x:c>
      <x:c r="F1038" s="47" t="n">
        <x:f>IF(D1038&lt;'Paths'!$N$18,IF('Controls'!$D$7="Reference",'Paths'!$L$18,'Paths'!$M$18),IF('Controls'!$D$7="Reference",'Paths'!$O$18,'Paths'!$P$18))</x:f>
        <x:v>22000</x:v>
      </x:c>
      <x:c r="G1038" s="46" t="n">
        <x:f>IF('Controls'!$D$7="Reference",1,IF(OR(D1038=6,D1038=7,D1038=21,D1038=46),'Paths'!$U$18,1))</x:f>
        <x:v>1</x:v>
      </x:c>
      <x:c r="H1038" s="46" t="n">
        <x:f>IF('Controls'!$D$7="Reference",1,IF(OR(AND(D1038&gt;=14,D1038&lt;=16),AND(D1038&gt;=34,D1038&lt;=35),AND(D1038&gt;=61,D1038&lt;=63)),'Paths'!$V$18,1))</x:f>
        <x:v>1</x:v>
      </x:c>
      <x:c r="I1038" s="46" t="n">
        <x:f>'Paths'!$W$18</x:f>
        <x:v>0.92</x:v>
      </x:c>
      <x:c r="J1038" s="47" t="n">
        <x:f>IF(D1038&lt;E1038,0,MIN(F1038*G1038*H1038*I1038,IF('Paths'!$T$18&gt;0,MAX(0,'Paths'!$T$18-K1037),1000000000)))</x:f>
        <x:v>20240</x:v>
      </x:c>
      <x:c r="K1038" s="47" t="n">
        <x:f>K1037+J1038</x:f>
        <x:v>509312</x:v>
      </x:c>
      <x:c r="L1038" s="46" t="n">
        <x:f>IF(C1038="P0",1,IF(D1038&lt;=3,0.8,IF(D1038&lt;=14,0.65,IF(D1038&lt;=45,0.5,0.3))))</x:f>
        <x:v>0.5</x:v>
      </x:c>
      <x:c r="M1038" s="47" t="n">
        <x:f>J1038*L1038</x:f>
        <x:v>10120</x:v>
      </x:c>
      <x:c r="N1038" s="47" t="n">
        <x:f>N1037+M1038</x:f>
        <x:v>289376.8</x:v>
      </x:c>
      <x:c r="O1038" s="46" t="n">
        <x:f>IF(C1038="P0",0,IF(D1038&lt;=3,0.15,IF(D1038&lt;=14,0.25,IF(D1038&lt;=45,0.35,0.5))))</x:f>
        <x:v>0.35</x:v>
      </x:c>
      <x:c r="P1038" s="47" t="n">
        <x:f>J1038*O1038</x:f>
        <x:v>7084</x:v>
      </x:c>
      <x:c r="Q1038" s="46" t="n">
        <x:f>IF(C1038="P0",0,IF(D1038&lt;=3,0.05,IF(D1038&lt;=14,0.1,IF(D1038&lt;=45,0.15,0.2))))</x:f>
        <x:v>0.15</x:v>
      </x:c>
      <x:c r="R1038" s="47" t="n">
        <x:f>J1038*Q1038</x:f>
        <x:v>3036</x:v>
      </x:c>
      <x:c r="S1038" s="20" t="str">
        <x:f>IF(D1038&lt;E1038,"closed",IF(D1038&lt;'Paths'!$N$18,"initial","expanded"))</x:f>
        <x:v>expanded</x:v>
      </x:c>
      <x:c r="T1038" s="72"/>
    </x:row>
    <x:row r="1039">
      <x:c r="C1039" s="20" t="str">
        <x:v>P11</x:v>
      </x:c>
      <x:c r="D1039" s="20" t="n">
        <x:v>31</x:v>
      </x:c>
      <x:c r="E1039" s="45" t="n">
        <x:f>IF('Controls'!$D$7="Reference",'Paths'!$J$18,'Paths'!$K$18)</x:f>
        <x:v>2</x:v>
      </x:c>
      <x:c r="F1039" s="47" t="n">
        <x:f>IF(D1039&lt;'Paths'!$N$18,IF('Controls'!$D$7="Reference",'Paths'!$L$18,'Paths'!$M$18),IF('Controls'!$D$7="Reference",'Paths'!$O$18,'Paths'!$P$18))</x:f>
        <x:v>22000</x:v>
      </x:c>
      <x:c r="G1039" s="46" t="n">
        <x:f>IF('Controls'!$D$7="Reference",1,IF(OR(D1039=6,D1039=7,D1039=21,D1039=46),'Paths'!$U$18,1))</x:f>
        <x:v>1</x:v>
      </x:c>
      <x:c r="H1039" s="46" t="n">
        <x:f>IF('Controls'!$D$7="Reference",1,IF(OR(AND(D1039&gt;=14,D1039&lt;=16),AND(D1039&gt;=34,D1039&lt;=35),AND(D1039&gt;=61,D1039&lt;=63)),'Paths'!$V$18,1))</x:f>
        <x:v>1</x:v>
      </x:c>
      <x:c r="I1039" s="46" t="n">
        <x:f>'Paths'!$W$18</x:f>
        <x:v>0.92</x:v>
      </x:c>
      <x:c r="J1039" s="47" t="n">
        <x:f>IF(D1039&lt;E1039,0,MIN(F1039*G1039*H1039*I1039,IF('Paths'!$T$18&gt;0,MAX(0,'Paths'!$T$18-K1038),1000000000)))</x:f>
        <x:v>20240</x:v>
      </x:c>
      <x:c r="K1039" s="47" t="n">
        <x:f>K1038+J1039</x:f>
        <x:v>529552</x:v>
      </x:c>
      <x:c r="L1039" s="46" t="n">
        <x:f>IF(C1039="P0",1,IF(D1039&lt;=3,0.8,IF(D1039&lt;=14,0.65,IF(D1039&lt;=45,0.5,0.3))))</x:f>
        <x:v>0.5</x:v>
      </x:c>
      <x:c r="M1039" s="47" t="n">
        <x:f>J1039*L1039</x:f>
        <x:v>10120</x:v>
      </x:c>
      <x:c r="N1039" s="47" t="n">
        <x:f>N1038+M1039</x:f>
        <x:v>299496.8</x:v>
      </x:c>
      <x:c r="O1039" s="46" t="n">
        <x:f>IF(C1039="P0",0,IF(D1039&lt;=3,0.15,IF(D1039&lt;=14,0.25,IF(D1039&lt;=45,0.35,0.5))))</x:f>
        <x:v>0.35</x:v>
      </x:c>
      <x:c r="P1039" s="47" t="n">
        <x:f>J1039*O1039</x:f>
        <x:v>7084</x:v>
      </x:c>
      <x:c r="Q1039" s="46" t="n">
        <x:f>IF(C1039="P0",0,IF(D1039&lt;=3,0.05,IF(D1039&lt;=14,0.1,IF(D1039&lt;=45,0.15,0.2))))</x:f>
        <x:v>0.15</x:v>
      </x:c>
      <x:c r="R1039" s="47" t="n">
        <x:f>J1039*Q1039</x:f>
        <x:v>3036</x:v>
      </x:c>
      <x:c r="S1039" s="20" t="str">
        <x:f>IF(D1039&lt;E1039,"closed",IF(D1039&lt;'Paths'!$N$18,"initial","expanded"))</x:f>
        <x:v>expanded</x:v>
      </x:c>
      <x:c r="T1039" s="72"/>
    </x:row>
    <x:row r="1040">
      <x:c r="C1040" s="20" t="str">
        <x:v>P11</x:v>
      </x:c>
      <x:c r="D1040" s="20" t="n">
        <x:v>32</x:v>
      </x:c>
      <x:c r="E1040" s="45" t="n">
        <x:f>IF('Controls'!$D$7="Reference",'Paths'!$J$18,'Paths'!$K$18)</x:f>
        <x:v>2</x:v>
      </x:c>
      <x:c r="F1040" s="47" t="n">
        <x:f>IF(D1040&lt;'Paths'!$N$18,IF('Controls'!$D$7="Reference",'Paths'!$L$18,'Paths'!$M$18),IF('Controls'!$D$7="Reference",'Paths'!$O$18,'Paths'!$P$18))</x:f>
        <x:v>22000</x:v>
      </x:c>
      <x:c r="G1040" s="46" t="n">
        <x:f>IF('Controls'!$D$7="Reference",1,IF(OR(D1040=6,D1040=7,D1040=21,D1040=46),'Paths'!$U$18,1))</x:f>
        <x:v>1</x:v>
      </x:c>
      <x:c r="H1040" s="46" t="n">
        <x:f>IF('Controls'!$D$7="Reference",1,IF(OR(AND(D1040&gt;=14,D1040&lt;=16),AND(D1040&gt;=34,D1040&lt;=35),AND(D1040&gt;=61,D1040&lt;=63)),'Paths'!$V$18,1))</x:f>
        <x:v>1</x:v>
      </x:c>
      <x:c r="I1040" s="46" t="n">
        <x:f>'Paths'!$W$18</x:f>
        <x:v>0.92</x:v>
      </x:c>
      <x:c r="J1040" s="47" t="n">
        <x:f>IF(D1040&lt;E1040,0,MIN(F1040*G1040*H1040*I1040,IF('Paths'!$T$18&gt;0,MAX(0,'Paths'!$T$18-K1039),1000000000)))</x:f>
        <x:v>20240</x:v>
      </x:c>
      <x:c r="K1040" s="47" t="n">
        <x:f>K1039+J1040</x:f>
        <x:v>549792</x:v>
      </x:c>
      <x:c r="L1040" s="46" t="n">
        <x:f>IF(C1040="P0",1,IF(D1040&lt;=3,0.8,IF(D1040&lt;=14,0.65,IF(D1040&lt;=45,0.5,0.3))))</x:f>
        <x:v>0.5</x:v>
      </x:c>
      <x:c r="M1040" s="47" t="n">
        <x:f>J1040*L1040</x:f>
        <x:v>10120</x:v>
      </x:c>
      <x:c r="N1040" s="47" t="n">
        <x:f>N1039+M1040</x:f>
        <x:v>309616.8</x:v>
      </x:c>
      <x:c r="O1040" s="46" t="n">
        <x:f>IF(C1040="P0",0,IF(D1040&lt;=3,0.15,IF(D1040&lt;=14,0.25,IF(D1040&lt;=45,0.35,0.5))))</x:f>
        <x:v>0.35</x:v>
      </x:c>
      <x:c r="P1040" s="47" t="n">
        <x:f>J1040*O1040</x:f>
        <x:v>7084</x:v>
      </x:c>
      <x:c r="Q1040" s="46" t="n">
        <x:f>IF(C1040="P0",0,IF(D1040&lt;=3,0.05,IF(D1040&lt;=14,0.1,IF(D1040&lt;=45,0.15,0.2))))</x:f>
        <x:v>0.15</x:v>
      </x:c>
      <x:c r="R1040" s="47" t="n">
        <x:f>J1040*Q1040</x:f>
        <x:v>3036</x:v>
      </x:c>
      <x:c r="S1040" s="20" t="str">
        <x:f>IF(D1040&lt;E1040,"closed",IF(D1040&lt;'Paths'!$N$18,"initial","expanded"))</x:f>
        <x:v>expanded</x:v>
      </x:c>
      <x:c r="T1040" s="72"/>
    </x:row>
    <x:row r="1041">
      <x:c r="C1041" s="20" t="str">
        <x:v>P11</x:v>
      </x:c>
      <x:c r="D1041" s="20" t="n">
        <x:v>33</x:v>
      </x:c>
      <x:c r="E1041" s="45" t="n">
        <x:f>IF('Controls'!$D$7="Reference",'Paths'!$J$18,'Paths'!$K$18)</x:f>
        <x:v>2</x:v>
      </x:c>
      <x:c r="F1041" s="47" t="n">
        <x:f>IF(D1041&lt;'Paths'!$N$18,IF('Controls'!$D$7="Reference",'Paths'!$L$18,'Paths'!$M$18),IF('Controls'!$D$7="Reference",'Paths'!$O$18,'Paths'!$P$18))</x:f>
        <x:v>22000</x:v>
      </x:c>
      <x:c r="G1041" s="46" t="n">
        <x:f>IF('Controls'!$D$7="Reference",1,IF(OR(D1041=6,D1041=7,D1041=21,D1041=46),'Paths'!$U$18,1))</x:f>
        <x:v>1</x:v>
      </x:c>
      <x:c r="H1041" s="46" t="n">
        <x:f>IF('Controls'!$D$7="Reference",1,IF(OR(AND(D1041&gt;=14,D1041&lt;=16),AND(D1041&gt;=34,D1041&lt;=35),AND(D1041&gt;=61,D1041&lt;=63)),'Paths'!$V$18,1))</x:f>
        <x:v>1</x:v>
      </x:c>
      <x:c r="I1041" s="46" t="n">
        <x:f>'Paths'!$W$18</x:f>
        <x:v>0.92</x:v>
      </x:c>
      <x:c r="J1041" s="47" t="n">
        <x:f>IF(D1041&lt;E1041,0,MIN(F1041*G1041*H1041*I1041,IF('Paths'!$T$18&gt;0,MAX(0,'Paths'!$T$18-K1040),1000000000)))</x:f>
        <x:v>20240</x:v>
      </x:c>
      <x:c r="K1041" s="47" t="n">
        <x:f>K1040+J1041</x:f>
        <x:v>570032</x:v>
      </x:c>
      <x:c r="L1041" s="46" t="n">
        <x:f>IF(C1041="P0",1,IF(D1041&lt;=3,0.8,IF(D1041&lt;=14,0.65,IF(D1041&lt;=45,0.5,0.3))))</x:f>
        <x:v>0.5</x:v>
      </x:c>
      <x:c r="M1041" s="47" t="n">
        <x:f>J1041*L1041</x:f>
        <x:v>10120</x:v>
      </x:c>
      <x:c r="N1041" s="47" t="n">
        <x:f>N1040+M1041</x:f>
        <x:v>319736.8</x:v>
      </x:c>
      <x:c r="O1041" s="46" t="n">
        <x:f>IF(C1041="P0",0,IF(D1041&lt;=3,0.15,IF(D1041&lt;=14,0.25,IF(D1041&lt;=45,0.35,0.5))))</x:f>
        <x:v>0.35</x:v>
      </x:c>
      <x:c r="P1041" s="47" t="n">
        <x:f>J1041*O1041</x:f>
        <x:v>7084</x:v>
      </x:c>
      <x:c r="Q1041" s="46" t="n">
        <x:f>IF(C1041="P0",0,IF(D1041&lt;=3,0.05,IF(D1041&lt;=14,0.1,IF(D1041&lt;=45,0.15,0.2))))</x:f>
        <x:v>0.15</x:v>
      </x:c>
      <x:c r="R1041" s="47" t="n">
        <x:f>J1041*Q1041</x:f>
        <x:v>3036</x:v>
      </x:c>
      <x:c r="S1041" s="20" t="str">
        <x:f>IF(D1041&lt;E1041,"closed",IF(D1041&lt;'Paths'!$N$18,"initial","expanded"))</x:f>
        <x:v>expanded</x:v>
      </x:c>
      <x:c r="T1041" s="72"/>
    </x:row>
    <x:row r="1042">
      <x:c r="C1042" s="20" t="str">
        <x:v>P11</x:v>
      </x:c>
      <x:c r="D1042" s="20" t="n">
        <x:v>34</x:v>
      </x:c>
      <x:c r="E1042" s="45" t="n">
        <x:f>IF('Controls'!$D$7="Reference",'Paths'!$J$18,'Paths'!$K$18)</x:f>
        <x:v>2</x:v>
      </x:c>
      <x:c r="F1042" s="47" t="n">
        <x:f>IF(D1042&lt;'Paths'!$N$18,IF('Controls'!$D$7="Reference",'Paths'!$L$18,'Paths'!$M$18),IF('Controls'!$D$7="Reference",'Paths'!$O$18,'Paths'!$P$18))</x:f>
        <x:v>22000</x:v>
      </x:c>
      <x:c r="G1042" s="46" t="n">
        <x:f>IF('Controls'!$D$7="Reference",1,IF(OR(D1042=6,D1042=7,D1042=21,D1042=46),'Paths'!$U$18,1))</x:f>
        <x:v>1</x:v>
      </x:c>
      <x:c r="H1042" s="46" t="n">
        <x:f>IF('Controls'!$D$7="Reference",1,IF(OR(AND(D1042&gt;=14,D1042&lt;=16),AND(D1042&gt;=34,D1042&lt;=35),AND(D1042&gt;=61,D1042&lt;=63)),'Paths'!$V$18,1))</x:f>
        <x:v>0.6</x:v>
      </x:c>
      <x:c r="I1042" s="46" t="n">
        <x:f>'Paths'!$W$18</x:f>
        <x:v>0.92</x:v>
      </x:c>
      <x:c r="J1042" s="47" t="n">
        <x:f>IF(D1042&lt;E1042,0,MIN(F1042*G1042*H1042*I1042,IF('Paths'!$T$18&gt;0,MAX(0,'Paths'!$T$18-K1041),1000000000)))</x:f>
        <x:v>12144</x:v>
      </x:c>
      <x:c r="K1042" s="47" t="n">
        <x:f>K1041+J1042</x:f>
        <x:v>582176</x:v>
      </x:c>
      <x:c r="L1042" s="46" t="n">
        <x:f>IF(C1042="P0",1,IF(D1042&lt;=3,0.8,IF(D1042&lt;=14,0.65,IF(D1042&lt;=45,0.5,0.3))))</x:f>
        <x:v>0.5</x:v>
      </x:c>
      <x:c r="M1042" s="47" t="n">
        <x:f>J1042*L1042</x:f>
        <x:v>6072</x:v>
      </x:c>
      <x:c r="N1042" s="47" t="n">
        <x:f>N1041+M1042</x:f>
        <x:v>325808.8</x:v>
      </x:c>
      <x:c r="O1042" s="46" t="n">
        <x:f>IF(C1042="P0",0,IF(D1042&lt;=3,0.15,IF(D1042&lt;=14,0.25,IF(D1042&lt;=45,0.35,0.5))))</x:f>
        <x:v>0.35</x:v>
      </x:c>
      <x:c r="P1042" s="47" t="n">
        <x:f>J1042*O1042</x:f>
        <x:v>4250.4</x:v>
      </x:c>
      <x:c r="Q1042" s="46" t="n">
        <x:f>IF(C1042="P0",0,IF(D1042&lt;=3,0.05,IF(D1042&lt;=14,0.1,IF(D1042&lt;=45,0.15,0.2))))</x:f>
        <x:v>0.15</x:v>
      </x:c>
      <x:c r="R1042" s="47" t="n">
        <x:f>J1042*Q1042</x:f>
        <x:v>1821.6</x:v>
      </x:c>
      <x:c r="S1042" s="20" t="str">
        <x:f>IF(D1042&lt;E1042,"closed",IF(D1042&lt;'Paths'!$N$18,"initial","expanded"))</x:f>
        <x:v>expanded</x:v>
      </x:c>
      <x:c r="T1042" s="72"/>
    </x:row>
    <x:row r="1043">
      <x:c r="C1043" s="20" t="str">
        <x:v>P11</x:v>
      </x:c>
      <x:c r="D1043" s="20" t="n">
        <x:v>35</x:v>
      </x:c>
      <x:c r="E1043" s="45" t="n">
        <x:f>IF('Controls'!$D$7="Reference",'Paths'!$J$18,'Paths'!$K$18)</x:f>
        <x:v>2</x:v>
      </x:c>
      <x:c r="F1043" s="47" t="n">
        <x:f>IF(D1043&lt;'Paths'!$N$18,IF('Controls'!$D$7="Reference",'Paths'!$L$18,'Paths'!$M$18),IF('Controls'!$D$7="Reference",'Paths'!$O$18,'Paths'!$P$18))</x:f>
        <x:v>22000</x:v>
      </x:c>
      <x:c r="G1043" s="46" t="n">
        <x:f>IF('Controls'!$D$7="Reference",1,IF(OR(D1043=6,D1043=7,D1043=21,D1043=46),'Paths'!$U$18,1))</x:f>
        <x:v>1</x:v>
      </x:c>
      <x:c r="H1043" s="46" t="n">
        <x:f>IF('Controls'!$D$7="Reference",1,IF(OR(AND(D1043&gt;=14,D1043&lt;=16),AND(D1043&gt;=34,D1043&lt;=35),AND(D1043&gt;=61,D1043&lt;=63)),'Paths'!$V$18,1))</x:f>
        <x:v>0.6</x:v>
      </x:c>
      <x:c r="I1043" s="46" t="n">
        <x:f>'Paths'!$W$18</x:f>
        <x:v>0.92</x:v>
      </x:c>
      <x:c r="J1043" s="47" t="n">
        <x:f>IF(D1043&lt;E1043,0,MIN(F1043*G1043*H1043*I1043,IF('Paths'!$T$18&gt;0,MAX(0,'Paths'!$T$18-K1042),1000000000)))</x:f>
        <x:v>12144</x:v>
      </x:c>
      <x:c r="K1043" s="47" t="n">
        <x:f>K1042+J1043</x:f>
        <x:v>594320</x:v>
      </x:c>
      <x:c r="L1043" s="46" t="n">
        <x:f>IF(C1043="P0",1,IF(D1043&lt;=3,0.8,IF(D1043&lt;=14,0.65,IF(D1043&lt;=45,0.5,0.3))))</x:f>
        <x:v>0.5</x:v>
      </x:c>
      <x:c r="M1043" s="47" t="n">
        <x:f>J1043*L1043</x:f>
        <x:v>6072</x:v>
      </x:c>
      <x:c r="N1043" s="47" t="n">
        <x:f>N1042+M1043</x:f>
        <x:v>331880.8</x:v>
      </x:c>
      <x:c r="O1043" s="46" t="n">
        <x:f>IF(C1043="P0",0,IF(D1043&lt;=3,0.15,IF(D1043&lt;=14,0.25,IF(D1043&lt;=45,0.35,0.5))))</x:f>
        <x:v>0.35</x:v>
      </x:c>
      <x:c r="P1043" s="47" t="n">
        <x:f>J1043*O1043</x:f>
        <x:v>4250.4</x:v>
      </x:c>
      <x:c r="Q1043" s="46" t="n">
        <x:f>IF(C1043="P0",0,IF(D1043&lt;=3,0.05,IF(D1043&lt;=14,0.1,IF(D1043&lt;=45,0.15,0.2))))</x:f>
        <x:v>0.15</x:v>
      </x:c>
      <x:c r="R1043" s="47" t="n">
        <x:f>J1043*Q1043</x:f>
        <x:v>1821.6</x:v>
      </x:c>
      <x:c r="S1043" s="20" t="str">
        <x:f>IF(D1043&lt;E1043,"closed",IF(D1043&lt;'Paths'!$N$18,"initial","expanded"))</x:f>
        <x:v>expanded</x:v>
      </x:c>
      <x:c r="T1043" s="72"/>
    </x:row>
    <x:row r="1044">
      <x:c r="C1044" s="20" t="str">
        <x:v>P11</x:v>
      </x:c>
      <x:c r="D1044" s="20" t="n">
        <x:v>36</x:v>
      </x:c>
      <x:c r="E1044" s="45" t="n">
        <x:f>IF('Controls'!$D$7="Reference",'Paths'!$J$18,'Paths'!$K$18)</x:f>
        <x:v>2</x:v>
      </x:c>
      <x:c r="F1044" s="47" t="n">
        <x:f>IF(D1044&lt;'Paths'!$N$18,IF('Controls'!$D$7="Reference",'Paths'!$L$18,'Paths'!$M$18),IF('Controls'!$D$7="Reference",'Paths'!$O$18,'Paths'!$P$18))</x:f>
        <x:v>22000</x:v>
      </x:c>
      <x:c r="G1044" s="46" t="n">
        <x:f>IF('Controls'!$D$7="Reference",1,IF(OR(D1044=6,D1044=7,D1044=21,D1044=46),'Paths'!$U$18,1))</x:f>
        <x:v>1</x:v>
      </x:c>
      <x:c r="H1044" s="46" t="n">
        <x:f>IF('Controls'!$D$7="Reference",1,IF(OR(AND(D1044&gt;=14,D1044&lt;=16),AND(D1044&gt;=34,D1044&lt;=35),AND(D1044&gt;=61,D1044&lt;=63)),'Paths'!$V$18,1))</x:f>
        <x:v>1</x:v>
      </x:c>
      <x:c r="I1044" s="46" t="n">
        <x:f>'Paths'!$W$18</x:f>
        <x:v>0.92</x:v>
      </x:c>
      <x:c r="J1044" s="47" t="n">
        <x:f>IF(D1044&lt;E1044,0,MIN(F1044*G1044*H1044*I1044,IF('Paths'!$T$18&gt;0,MAX(0,'Paths'!$T$18-K1043),1000000000)))</x:f>
        <x:v>20240</x:v>
      </x:c>
      <x:c r="K1044" s="47" t="n">
        <x:f>K1043+J1044</x:f>
        <x:v>614560</x:v>
      </x:c>
      <x:c r="L1044" s="46" t="n">
        <x:f>IF(C1044="P0",1,IF(D1044&lt;=3,0.8,IF(D1044&lt;=14,0.65,IF(D1044&lt;=45,0.5,0.3))))</x:f>
        <x:v>0.5</x:v>
      </x:c>
      <x:c r="M1044" s="47" t="n">
        <x:f>J1044*L1044</x:f>
        <x:v>10120</x:v>
      </x:c>
      <x:c r="N1044" s="47" t="n">
        <x:f>N1043+M1044</x:f>
        <x:v>342000.8</x:v>
      </x:c>
      <x:c r="O1044" s="46" t="n">
        <x:f>IF(C1044="P0",0,IF(D1044&lt;=3,0.15,IF(D1044&lt;=14,0.25,IF(D1044&lt;=45,0.35,0.5))))</x:f>
        <x:v>0.35</x:v>
      </x:c>
      <x:c r="P1044" s="47" t="n">
        <x:f>J1044*O1044</x:f>
        <x:v>7084</x:v>
      </x:c>
      <x:c r="Q1044" s="46" t="n">
        <x:f>IF(C1044="P0",0,IF(D1044&lt;=3,0.05,IF(D1044&lt;=14,0.1,IF(D1044&lt;=45,0.15,0.2))))</x:f>
        <x:v>0.15</x:v>
      </x:c>
      <x:c r="R1044" s="47" t="n">
        <x:f>J1044*Q1044</x:f>
        <x:v>3036</x:v>
      </x:c>
      <x:c r="S1044" s="20" t="str">
        <x:f>IF(D1044&lt;E1044,"closed",IF(D1044&lt;'Paths'!$N$18,"initial","expanded"))</x:f>
        <x:v>expanded</x:v>
      </x:c>
      <x:c r="T1044" s="72"/>
    </x:row>
    <x:row r="1045">
      <x:c r="C1045" s="20" t="str">
        <x:v>P11</x:v>
      </x:c>
      <x:c r="D1045" s="20" t="n">
        <x:v>37</x:v>
      </x:c>
      <x:c r="E1045" s="45" t="n">
        <x:f>IF('Controls'!$D$7="Reference",'Paths'!$J$18,'Paths'!$K$18)</x:f>
        <x:v>2</x:v>
      </x:c>
      <x:c r="F1045" s="47" t="n">
        <x:f>IF(D1045&lt;'Paths'!$N$18,IF('Controls'!$D$7="Reference",'Paths'!$L$18,'Paths'!$M$18),IF('Controls'!$D$7="Reference",'Paths'!$O$18,'Paths'!$P$18))</x:f>
        <x:v>22000</x:v>
      </x:c>
      <x:c r="G1045" s="46" t="n">
        <x:f>IF('Controls'!$D$7="Reference",1,IF(OR(D1045=6,D1045=7,D1045=21,D1045=46),'Paths'!$U$18,1))</x:f>
        <x:v>1</x:v>
      </x:c>
      <x:c r="H1045" s="46" t="n">
        <x:f>IF('Controls'!$D$7="Reference",1,IF(OR(AND(D1045&gt;=14,D1045&lt;=16),AND(D1045&gt;=34,D1045&lt;=35),AND(D1045&gt;=61,D1045&lt;=63)),'Paths'!$V$18,1))</x:f>
        <x:v>1</x:v>
      </x:c>
      <x:c r="I1045" s="46" t="n">
        <x:f>'Paths'!$W$18</x:f>
        <x:v>0.92</x:v>
      </x:c>
      <x:c r="J1045" s="47" t="n">
        <x:f>IF(D1045&lt;E1045,0,MIN(F1045*G1045*H1045*I1045,IF('Paths'!$T$18&gt;0,MAX(0,'Paths'!$T$18-K1044),1000000000)))</x:f>
        <x:v>20240</x:v>
      </x:c>
      <x:c r="K1045" s="47" t="n">
        <x:f>K1044+J1045</x:f>
        <x:v>634800</x:v>
      </x:c>
      <x:c r="L1045" s="46" t="n">
        <x:f>IF(C1045="P0",1,IF(D1045&lt;=3,0.8,IF(D1045&lt;=14,0.65,IF(D1045&lt;=45,0.5,0.3))))</x:f>
        <x:v>0.5</x:v>
      </x:c>
      <x:c r="M1045" s="47" t="n">
        <x:f>J1045*L1045</x:f>
        <x:v>10120</x:v>
      </x:c>
      <x:c r="N1045" s="47" t="n">
        <x:f>N1044+M1045</x:f>
        <x:v>352120.8</x:v>
      </x:c>
      <x:c r="O1045" s="46" t="n">
        <x:f>IF(C1045="P0",0,IF(D1045&lt;=3,0.15,IF(D1045&lt;=14,0.25,IF(D1045&lt;=45,0.35,0.5))))</x:f>
        <x:v>0.35</x:v>
      </x:c>
      <x:c r="P1045" s="47" t="n">
        <x:f>J1045*O1045</x:f>
        <x:v>7084</x:v>
      </x:c>
      <x:c r="Q1045" s="46" t="n">
        <x:f>IF(C1045="P0",0,IF(D1045&lt;=3,0.05,IF(D1045&lt;=14,0.1,IF(D1045&lt;=45,0.15,0.2))))</x:f>
        <x:v>0.15</x:v>
      </x:c>
      <x:c r="R1045" s="47" t="n">
        <x:f>J1045*Q1045</x:f>
        <x:v>3036</x:v>
      </x:c>
      <x:c r="S1045" s="20" t="str">
        <x:f>IF(D1045&lt;E1045,"closed",IF(D1045&lt;'Paths'!$N$18,"initial","expanded"))</x:f>
        <x:v>expanded</x:v>
      </x:c>
      <x:c r="T1045" s="72"/>
    </x:row>
    <x:row r="1046">
      <x:c r="C1046" s="20" t="str">
        <x:v>P11</x:v>
      </x:c>
      <x:c r="D1046" s="20" t="n">
        <x:v>38</x:v>
      </x:c>
      <x:c r="E1046" s="45" t="n">
        <x:f>IF('Controls'!$D$7="Reference",'Paths'!$J$18,'Paths'!$K$18)</x:f>
        <x:v>2</x:v>
      </x:c>
      <x:c r="F1046" s="47" t="n">
        <x:f>IF(D1046&lt;'Paths'!$N$18,IF('Controls'!$D$7="Reference",'Paths'!$L$18,'Paths'!$M$18),IF('Controls'!$D$7="Reference",'Paths'!$O$18,'Paths'!$P$18))</x:f>
        <x:v>22000</x:v>
      </x:c>
      <x:c r="G1046" s="46" t="n">
        <x:f>IF('Controls'!$D$7="Reference",1,IF(OR(D1046=6,D1046=7,D1046=21,D1046=46),'Paths'!$U$18,1))</x:f>
        <x:v>1</x:v>
      </x:c>
      <x:c r="H1046" s="46" t="n">
        <x:f>IF('Controls'!$D$7="Reference",1,IF(OR(AND(D1046&gt;=14,D1046&lt;=16),AND(D1046&gt;=34,D1046&lt;=35),AND(D1046&gt;=61,D1046&lt;=63)),'Paths'!$V$18,1))</x:f>
        <x:v>1</x:v>
      </x:c>
      <x:c r="I1046" s="46" t="n">
        <x:f>'Paths'!$W$18</x:f>
        <x:v>0.92</x:v>
      </x:c>
      <x:c r="J1046" s="47" t="n">
        <x:f>IF(D1046&lt;E1046,0,MIN(F1046*G1046*H1046*I1046,IF('Paths'!$T$18&gt;0,MAX(0,'Paths'!$T$18-K1045),1000000000)))</x:f>
        <x:v>20240</x:v>
      </x:c>
      <x:c r="K1046" s="47" t="n">
        <x:f>K1045+J1046</x:f>
        <x:v>655040</x:v>
      </x:c>
      <x:c r="L1046" s="46" t="n">
        <x:f>IF(C1046="P0",1,IF(D1046&lt;=3,0.8,IF(D1046&lt;=14,0.65,IF(D1046&lt;=45,0.5,0.3))))</x:f>
        <x:v>0.5</x:v>
      </x:c>
      <x:c r="M1046" s="47" t="n">
        <x:f>J1046*L1046</x:f>
        <x:v>10120</x:v>
      </x:c>
      <x:c r="N1046" s="47" t="n">
        <x:f>N1045+M1046</x:f>
        <x:v>362240.8</x:v>
      </x:c>
      <x:c r="O1046" s="46" t="n">
        <x:f>IF(C1046="P0",0,IF(D1046&lt;=3,0.15,IF(D1046&lt;=14,0.25,IF(D1046&lt;=45,0.35,0.5))))</x:f>
        <x:v>0.35</x:v>
      </x:c>
      <x:c r="P1046" s="47" t="n">
        <x:f>J1046*O1046</x:f>
        <x:v>7084</x:v>
      </x:c>
      <x:c r="Q1046" s="46" t="n">
        <x:f>IF(C1046="P0",0,IF(D1046&lt;=3,0.05,IF(D1046&lt;=14,0.1,IF(D1046&lt;=45,0.15,0.2))))</x:f>
        <x:v>0.15</x:v>
      </x:c>
      <x:c r="R1046" s="47" t="n">
        <x:f>J1046*Q1046</x:f>
        <x:v>3036</x:v>
      </x:c>
      <x:c r="S1046" s="20" t="str">
        <x:f>IF(D1046&lt;E1046,"closed",IF(D1046&lt;'Paths'!$N$18,"initial","expanded"))</x:f>
        <x:v>expanded</x:v>
      </x:c>
      <x:c r="T1046" s="72"/>
    </x:row>
    <x:row r="1047">
      <x:c r="C1047" s="20" t="str">
        <x:v>P11</x:v>
      </x:c>
      <x:c r="D1047" s="20" t="n">
        <x:v>39</x:v>
      </x:c>
      <x:c r="E1047" s="45" t="n">
        <x:f>IF('Controls'!$D$7="Reference",'Paths'!$J$18,'Paths'!$K$18)</x:f>
        <x:v>2</x:v>
      </x:c>
      <x:c r="F1047" s="47" t="n">
        <x:f>IF(D1047&lt;'Paths'!$N$18,IF('Controls'!$D$7="Reference",'Paths'!$L$18,'Paths'!$M$18),IF('Controls'!$D$7="Reference",'Paths'!$O$18,'Paths'!$P$18))</x:f>
        <x:v>22000</x:v>
      </x:c>
      <x:c r="G1047" s="46" t="n">
        <x:f>IF('Controls'!$D$7="Reference",1,IF(OR(D1047=6,D1047=7,D1047=21,D1047=46),'Paths'!$U$18,1))</x:f>
        <x:v>1</x:v>
      </x:c>
      <x:c r="H1047" s="46" t="n">
        <x:f>IF('Controls'!$D$7="Reference",1,IF(OR(AND(D1047&gt;=14,D1047&lt;=16),AND(D1047&gt;=34,D1047&lt;=35),AND(D1047&gt;=61,D1047&lt;=63)),'Paths'!$V$18,1))</x:f>
        <x:v>1</x:v>
      </x:c>
      <x:c r="I1047" s="46" t="n">
        <x:f>'Paths'!$W$18</x:f>
        <x:v>0.92</x:v>
      </x:c>
      <x:c r="J1047" s="47" t="n">
        <x:f>IF(D1047&lt;E1047,0,MIN(F1047*G1047*H1047*I1047,IF('Paths'!$T$18&gt;0,MAX(0,'Paths'!$T$18-K1046),1000000000)))</x:f>
        <x:v>20240</x:v>
      </x:c>
      <x:c r="K1047" s="47" t="n">
        <x:f>K1046+J1047</x:f>
        <x:v>675280</x:v>
      </x:c>
      <x:c r="L1047" s="46" t="n">
        <x:f>IF(C1047="P0",1,IF(D1047&lt;=3,0.8,IF(D1047&lt;=14,0.65,IF(D1047&lt;=45,0.5,0.3))))</x:f>
        <x:v>0.5</x:v>
      </x:c>
      <x:c r="M1047" s="47" t="n">
        <x:f>J1047*L1047</x:f>
        <x:v>10120</x:v>
      </x:c>
      <x:c r="N1047" s="47" t="n">
        <x:f>N1046+M1047</x:f>
        <x:v>372360.8</x:v>
      </x:c>
      <x:c r="O1047" s="46" t="n">
        <x:f>IF(C1047="P0",0,IF(D1047&lt;=3,0.15,IF(D1047&lt;=14,0.25,IF(D1047&lt;=45,0.35,0.5))))</x:f>
        <x:v>0.35</x:v>
      </x:c>
      <x:c r="P1047" s="47" t="n">
        <x:f>J1047*O1047</x:f>
        <x:v>7084</x:v>
      </x:c>
      <x:c r="Q1047" s="46" t="n">
        <x:f>IF(C1047="P0",0,IF(D1047&lt;=3,0.05,IF(D1047&lt;=14,0.1,IF(D1047&lt;=45,0.15,0.2))))</x:f>
        <x:v>0.15</x:v>
      </x:c>
      <x:c r="R1047" s="47" t="n">
        <x:f>J1047*Q1047</x:f>
        <x:v>3036</x:v>
      </x:c>
      <x:c r="S1047" s="20" t="str">
        <x:f>IF(D1047&lt;E1047,"closed",IF(D1047&lt;'Paths'!$N$18,"initial","expanded"))</x:f>
        <x:v>expanded</x:v>
      </x:c>
      <x:c r="T1047" s="72"/>
    </x:row>
    <x:row r="1048">
      <x:c r="C1048" s="20" t="str">
        <x:v>P11</x:v>
      </x:c>
      <x:c r="D1048" s="20" t="n">
        <x:v>40</x:v>
      </x:c>
      <x:c r="E1048" s="45" t="n">
        <x:f>IF('Controls'!$D$7="Reference",'Paths'!$J$18,'Paths'!$K$18)</x:f>
        <x:v>2</x:v>
      </x:c>
      <x:c r="F1048" s="47" t="n">
        <x:f>IF(D1048&lt;'Paths'!$N$18,IF('Controls'!$D$7="Reference",'Paths'!$L$18,'Paths'!$M$18),IF('Controls'!$D$7="Reference",'Paths'!$O$18,'Paths'!$P$18))</x:f>
        <x:v>22000</x:v>
      </x:c>
      <x:c r="G1048" s="46" t="n">
        <x:f>IF('Controls'!$D$7="Reference",1,IF(OR(D1048=6,D1048=7,D1048=21,D1048=46),'Paths'!$U$18,1))</x:f>
        <x:v>1</x:v>
      </x:c>
      <x:c r="H1048" s="46" t="n">
        <x:f>IF('Controls'!$D$7="Reference",1,IF(OR(AND(D1048&gt;=14,D1048&lt;=16),AND(D1048&gt;=34,D1048&lt;=35),AND(D1048&gt;=61,D1048&lt;=63)),'Paths'!$V$18,1))</x:f>
        <x:v>1</x:v>
      </x:c>
      <x:c r="I1048" s="46" t="n">
        <x:f>'Paths'!$W$18</x:f>
        <x:v>0.92</x:v>
      </x:c>
      <x:c r="J1048" s="47" t="n">
        <x:f>IF(D1048&lt;E1048,0,MIN(F1048*G1048*H1048*I1048,IF('Paths'!$T$18&gt;0,MAX(0,'Paths'!$T$18-K1047),1000000000)))</x:f>
        <x:v>20240</x:v>
      </x:c>
      <x:c r="K1048" s="47" t="n">
        <x:f>K1047+J1048</x:f>
        <x:v>695520</x:v>
      </x:c>
      <x:c r="L1048" s="46" t="n">
        <x:f>IF(C1048="P0",1,IF(D1048&lt;=3,0.8,IF(D1048&lt;=14,0.65,IF(D1048&lt;=45,0.5,0.3))))</x:f>
        <x:v>0.5</x:v>
      </x:c>
      <x:c r="M1048" s="47" t="n">
        <x:f>J1048*L1048</x:f>
        <x:v>10120</x:v>
      </x:c>
      <x:c r="N1048" s="47" t="n">
        <x:f>N1047+M1048</x:f>
        <x:v>382480.8</x:v>
      </x:c>
      <x:c r="O1048" s="46" t="n">
        <x:f>IF(C1048="P0",0,IF(D1048&lt;=3,0.15,IF(D1048&lt;=14,0.25,IF(D1048&lt;=45,0.35,0.5))))</x:f>
        <x:v>0.35</x:v>
      </x:c>
      <x:c r="P1048" s="47" t="n">
        <x:f>J1048*O1048</x:f>
        <x:v>7084</x:v>
      </x:c>
      <x:c r="Q1048" s="46" t="n">
        <x:f>IF(C1048="P0",0,IF(D1048&lt;=3,0.05,IF(D1048&lt;=14,0.1,IF(D1048&lt;=45,0.15,0.2))))</x:f>
        <x:v>0.15</x:v>
      </x:c>
      <x:c r="R1048" s="47" t="n">
        <x:f>J1048*Q1048</x:f>
        <x:v>3036</x:v>
      </x:c>
      <x:c r="S1048" s="20" t="str">
        <x:f>IF(D1048&lt;E1048,"closed",IF(D1048&lt;'Paths'!$N$18,"initial","expanded"))</x:f>
        <x:v>expanded</x:v>
      </x:c>
      <x:c r="T1048" s="72"/>
    </x:row>
    <x:row r="1049">
      <x:c r="C1049" s="20" t="str">
        <x:v>P11</x:v>
      </x:c>
      <x:c r="D1049" s="20" t="n">
        <x:v>41</x:v>
      </x:c>
      <x:c r="E1049" s="45" t="n">
        <x:f>IF('Controls'!$D$7="Reference",'Paths'!$J$18,'Paths'!$K$18)</x:f>
        <x:v>2</x:v>
      </x:c>
      <x:c r="F1049" s="47" t="n">
        <x:f>IF(D1049&lt;'Paths'!$N$18,IF('Controls'!$D$7="Reference",'Paths'!$L$18,'Paths'!$M$18),IF('Controls'!$D$7="Reference",'Paths'!$O$18,'Paths'!$P$18))</x:f>
        <x:v>22000</x:v>
      </x:c>
      <x:c r="G1049" s="46" t="n">
        <x:f>IF('Controls'!$D$7="Reference",1,IF(OR(D1049=6,D1049=7,D1049=21,D1049=46),'Paths'!$U$18,1))</x:f>
        <x:v>1</x:v>
      </x:c>
      <x:c r="H1049" s="46" t="n">
        <x:f>IF('Controls'!$D$7="Reference",1,IF(OR(AND(D1049&gt;=14,D1049&lt;=16),AND(D1049&gt;=34,D1049&lt;=35),AND(D1049&gt;=61,D1049&lt;=63)),'Paths'!$V$18,1))</x:f>
        <x:v>1</x:v>
      </x:c>
      <x:c r="I1049" s="46" t="n">
        <x:f>'Paths'!$W$18</x:f>
        <x:v>0.92</x:v>
      </x:c>
      <x:c r="J1049" s="47" t="n">
        <x:f>IF(D1049&lt;E1049,0,MIN(F1049*G1049*H1049*I1049,IF('Paths'!$T$18&gt;0,MAX(0,'Paths'!$T$18-K1048),1000000000)))</x:f>
        <x:v>20240</x:v>
      </x:c>
      <x:c r="K1049" s="47" t="n">
        <x:f>K1048+J1049</x:f>
        <x:v>715760</x:v>
      </x:c>
      <x:c r="L1049" s="46" t="n">
        <x:f>IF(C1049="P0",1,IF(D1049&lt;=3,0.8,IF(D1049&lt;=14,0.65,IF(D1049&lt;=45,0.5,0.3))))</x:f>
        <x:v>0.5</x:v>
      </x:c>
      <x:c r="M1049" s="47" t="n">
        <x:f>J1049*L1049</x:f>
        <x:v>10120</x:v>
      </x:c>
      <x:c r="N1049" s="47" t="n">
        <x:f>N1048+M1049</x:f>
        <x:v>392600.8</x:v>
      </x:c>
      <x:c r="O1049" s="46" t="n">
        <x:f>IF(C1049="P0",0,IF(D1049&lt;=3,0.15,IF(D1049&lt;=14,0.25,IF(D1049&lt;=45,0.35,0.5))))</x:f>
        <x:v>0.35</x:v>
      </x:c>
      <x:c r="P1049" s="47" t="n">
        <x:f>J1049*O1049</x:f>
        <x:v>7084</x:v>
      </x:c>
      <x:c r="Q1049" s="46" t="n">
        <x:f>IF(C1049="P0",0,IF(D1049&lt;=3,0.05,IF(D1049&lt;=14,0.1,IF(D1049&lt;=45,0.15,0.2))))</x:f>
        <x:v>0.15</x:v>
      </x:c>
      <x:c r="R1049" s="47" t="n">
        <x:f>J1049*Q1049</x:f>
        <x:v>3036</x:v>
      </x:c>
      <x:c r="S1049" s="20" t="str">
        <x:f>IF(D1049&lt;E1049,"closed",IF(D1049&lt;'Paths'!$N$18,"initial","expanded"))</x:f>
        <x:v>expanded</x:v>
      </x:c>
      <x:c r="T1049" s="72"/>
    </x:row>
    <x:row r="1050">
      <x:c r="C1050" s="20" t="str">
        <x:v>P11</x:v>
      </x:c>
      <x:c r="D1050" s="20" t="n">
        <x:v>42</x:v>
      </x:c>
      <x:c r="E1050" s="45" t="n">
        <x:f>IF('Controls'!$D$7="Reference",'Paths'!$J$18,'Paths'!$K$18)</x:f>
        <x:v>2</x:v>
      </x:c>
      <x:c r="F1050" s="47" t="n">
        <x:f>IF(D1050&lt;'Paths'!$N$18,IF('Controls'!$D$7="Reference",'Paths'!$L$18,'Paths'!$M$18),IF('Controls'!$D$7="Reference",'Paths'!$O$18,'Paths'!$P$18))</x:f>
        <x:v>22000</x:v>
      </x:c>
      <x:c r="G1050" s="46" t="n">
        <x:f>IF('Controls'!$D$7="Reference",1,IF(OR(D1050=6,D1050=7,D1050=21,D1050=46),'Paths'!$U$18,1))</x:f>
        <x:v>1</x:v>
      </x:c>
      <x:c r="H1050" s="46" t="n">
        <x:f>IF('Controls'!$D$7="Reference",1,IF(OR(AND(D1050&gt;=14,D1050&lt;=16),AND(D1050&gt;=34,D1050&lt;=35),AND(D1050&gt;=61,D1050&lt;=63)),'Paths'!$V$18,1))</x:f>
        <x:v>1</x:v>
      </x:c>
      <x:c r="I1050" s="46" t="n">
        <x:f>'Paths'!$W$18</x:f>
        <x:v>0.92</x:v>
      </x:c>
      <x:c r="J1050" s="47" t="n">
        <x:f>IF(D1050&lt;E1050,0,MIN(F1050*G1050*H1050*I1050,IF('Paths'!$T$18&gt;0,MAX(0,'Paths'!$T$18-K1049),1000000000)))</x:f>
        <x:v>20240</x:v>
      </x:c>
      <x:c r="K1050" s="47" t="n">
        <x:f>K1049+J1050</x:f>
        <x:v>736000</x:v>
      </x:c>
      <x:c r="L1050" s="46" t="n">
        <x:f>IF(C1050="P0",1,IF(D1050&lt;=3,0.8,IF(D1050&lt;=14,0.65,IF(D1050&lt;=45,0.5,0.3))))</x:f>
        <x:v>0.5</x:v>
      </x:c>
      <x:c r="M1050" s="47" t="n">
        <x:f>J1050*L1050</x:f>
        <x:v>10120</x:v>
      </x:c>
      <x:c r="N1050" s="47" t="n">
        <x:f>N1049+M1050</x:f>
        <x:v>402720.8</x:v>
      </x:c>
      <x:c r="O1050" s="46" t="n">
        <x:f>IF(C1050="P0",0,IF(D1050&lt;=3,0.15,IF(D1050&lt;=14,0.25,IF(D1050&lt;=45,0.35,0.5))))</x:f>
        <x:v>0.35</x:v>
      </x:c>
      <x:c r="P1050" s="47" t="n">
        <x:f>J1050*O1050</x:f>
        <x:v>7084</x:v>
      </x:c>
      <x:c r="Q1050" s="46" t="n">
        <x:f>IF(C1050="P0",0,IF(D1050&lt;=3,0.05,IF(D1050&lt;=14,0.1,IF(D1050&lt;=45,0.15,0.2))))</x:f>
        <x:v>0.15</x:v>
      </x:c>
      <x:c r="R1050" s="47" t="n">
        <x:f>J1050*Q1050</x:f>
        <x:v>3036</x:v>
      </x:c>
      <x:c r="S1050" s="20" t="str">
        <x:f>IF(D1050&lt;E1050,"closed",IF(D1050&lt;'Paths'!$N$18,"initial","expanded"))</x:f>
        <x:v>expanded</x:v>
      </x:c>
      <x:c r="T1050" s="72"/>
    </x:row>
    <x:row r="1051">
      <x:c r="C1051" s="20" t="str">
        <x:v>P11</x:v>
      </x:c>
      <x:c r="D1051" s="20" t="n">
        <x:v>43</x:v>
      </x:c>
      <x:c r="E1051" s="45" t="n">
        <x:f>IF('Controls'!$D$7="Reference",'Paths'!$J$18,'Paths'!$K$18)</x:f>
        <x:v>2</x:v>
      </x:c>
      <x:c r="F1051" s="47" t="n">
        <x:f>IF(D1051&lt;'Paths'!$N$18,IF('Controls'!$D$7="Reference",'Paths'!$L$18,'Paths'!$M$18),IF('Controls'!$D$7="Reference",'Paths'!$O$18,'Paths'!$P$18))</x:f>
        <x:v>22000</x:v>
      </x:c>
      <x:c r="G1051" s="46" t="n">
        <x:f>IF('Controls'!$D$7="Reference",1,IF(OR(D1051=6,D1051=7,D1051=21,D1051=46),'Paths'!$U$18,1))</x:f>
        <x:v>1</x:v>
      </x:c>
      <x:c r="H1051" s="46" t="n">
        <x:f>IF('Controls'!$D$7="Reference",1,IF(OR(AND(D1051&gt;=14,D1051&lt;=16),AND(D1051&gt;=34,D1051&lt;=35),AND(D1051&gt;=61,D1051&lt;=63)),'Paths'!$V$18,1))</x:f>
        <x:v>1</x:v>
      </x:c>
      <x:c r="I1051" s="46" t="n">
        <x:f>'Paths'!$W$18</x:f>
        <x:v>0.92</x:v>
      </x:c>
      <x:c r="J1051" s="47" t="n">
        <x:f>IF(D1051&lt;E1051,0,MIN(F1051*G1051*H1051*I1051,IF('Paths'!$T$18&gt;0,MAX(0,'Paths'!$T$18-K1050),1000000000)))</x:f>
        <x:v>20240</x:v>
      </x:c>
      <x:c r="K1051" s="47" t="n">
        <x:f>K1050+J1051</x:f>
        <x:v>756240</x:v>
      </x:c>
      <x:c r="L1051" s="46" t="n">
        <x:f>IF(C1051="P0",1,IF(D1051&lt;=3,0.8,IF(D1051&lt;=14,0.65,IF(D1051&lt;=45,0.5,0.3))))</x:f>
        <x:v>0.5</x:v>
      </x:c>
      <x:c r="M1051" s="47" t="n">
        <x:f>J1051*L1051</x:f>
        <x:v>10120</x:v>
      </x:c>
      <x:c r="N1051" s="47" t="n">
        <x:f>N1050+M1051</x:f>
        <x:v>412840.8</x:v>
      </x:c>
      <x:c r="O1051" s="46" t="n">
        <x:f>IF(C1051="P0",0,IF(D1051&lt;=3,0.15,IF(D1051&lt;=14,0.25,IF(D1051&lt;=45,0.35,0.5))))</x:f>
        <x:v>0.35</x:v>
      </x:c>
      <x:c r="P1051" s="47" t="n">
        <x:f>J1051*O1051</x:f>
        <x:v>7084</x:v>
      </x:c>
      <x:c r="Q1051" s="46" t="n">
        <x:f>IF(C1051="P0",0,IF(D1051&lt;=3,0.05,IF(D1051&lt;=14,0.1,IF(D1051&lt;=45,0.15,0.2))))</x:f>
        <x:v>0.15</x:v>
      </x:c>
      <x:c r="R1051" s="47" t="n">
        <x:f>J1051*Q1051</x:f>
        <x:v>3036</x:v>
      </x:c>
      <x:c r="S1051" s="20" t="str">
        <x:f>IF(D1051&lt;E1051,"closed",IF(D1051&lt;'Paths'!$N$18,"initial","expanded"))</x:f>
        <x:v>expanded</x:v>
      </x:c>
      <x:c r="T1051" s="72"/>
    </x:row>
    <x:row r="1052">
      <x:c r="C1052" s="20" t="str">
        <x:v>P11</x:v>
      </x:c>
      <x:c r="D1052" s="20" t="n">
        <x:v>44</x:v>
      </x:c>
      <x:c r="E1052" s="45" t="n">
        <x:f>IF('Controls'!$D$7="Reference",'Paths'!$J$18,'Paths'!$K$18)</x:f>
        <x:v>2</x:v>
      </x:c>
      <x:c r="F1052" s="47" t="n">
        <x:f>IF(D1052&lt;'Paths'!$N$18,IF('Controls'!$D$7="Reference",'Paths'!$L$18,'Paths'!$M$18),IF('Controls'!$D$7="Reference",'Paths'!$O$18,'Paths'!$P$18))</x:f>
        <x:v>22000</x:v>
      </x:c>
      <x:c r="G1052" s="46" t="n">
        <x:f>IF('Controls'!$D$7="Reference",1,IF(OR(D1052=6,D1052=7,D1052=21,D1052=46),'Paths'!$U$18,1))</x:f>
        <x:v>1</x:v>
      </x:c>
      <x:c r="H1052" s="46" t="n">
        <x:f>IF('Controls'!$D$7="Reference",1,IF(OR(AND(D1052&gt;=14,D1052&lt;=16),AND(D1052&gt;=34,D1052&lt;=35),AND(D1052&gt;=61,D1052&lt;=63)),'Paths'!$V$18,1))</x:f>
        <x:v>1</x:v>
      </x:c>
      <x:c r="I1052" s="46" t="n">
        <x:f>'Paths'!$W$18</x:f>
        <x:v>0.92</x:v>
      </x:c>
      <x:c r="J1052" s="47" t="n">
        <x:f>IF(D1052&lt;E1052,0,MIN(F1052*G1052*H1052*I1052,IF('Paths'!$T$18&gt;0,MAX(0,'Paths'!$T$18-K1051),1000000000)))</x:f>
        <x:v>20240</x:v>
      </x:c>
      <x:c r="K1052" s="47" t="n">
        <x:f>K1051+J1052</x:f>
        <x:v>776480</x:v>
      </x:c>
      <x:c r="L1052" s="46" t="n">
        <x:f>IF(C1052="P0",1,IF(D1052&lt;=3,0.8,IF(D1052&lt;=14,0.65,IF(D1052&lt;=45,0.5,0.3))))</x:f>
        <x:v>0.5</x:v>
      </x:c>
      <x:c r="M1052" s="47" t="n">
        <x:f>J1052*L1052</x:f>
        <x:v>10120</x:v>
      </x:c>
      <x:c r="N1052" s="47" t="n">
        <x:f>N1051+M1052</x:f>
        <x:v>422960.8</x:v>
      </x:c>
      <x:c r="O1052" s="46" t="n">
        <x:f>IF(C1052="P0",0,IF(D1052&lt;=3,0.15,IF(D1052&lt;=14,0.25,IF(D1052&lt;=45,0.35,0.5))))</x:f>
        <x:v>0.35</x:v>
      </x:c>
      <x:c r="P1052" s="47" t="n">
        <x:f>J1052*O1052</x:f>
        <x:v>7084</x:v>
      </x:c>
      <x:c r="Q1052" s="46" t="n">
        <x:f>IF(C1052="P0",0,IF(D1052&lt;=3,0.05,IF(D1052&lt;=14,0.1,IF(D1052&lt;=45,0.15,0.2))))</x:f>
        <x:v>0.15</x:v>
      </x:c>
      <x:c r="R1052" s="47" t="n">
        <x:f>J1052*Q1052</x:f>
        <x:v>3036</x:v>
      </x:c>
      <x:c r="S1052" s="20" t="str">
        <x:f>IF(D1052&lt;E1052,"closed",IF(D1052&lt;'Paths'!$N$18,"initial","expanded"))</x:f>
        <x:v>expanded</x:v>
      </x:c>
      <x:c r="T1052" s="72"/>
    </x:row>
    <x:row r="1053">
      <x:c r="C1053" s="20" t="str">
        <x:v>P11</x:v>
      </x:c>
      <x:c r="D1053" s="20" t="n">
        <x:v>45</x:v>
      </x:c>
      <x:c r="E1053" s="45" t="n">
        <x:f>IF('Controls'!$D$7="Reference",'Paths'!$J$18,'Paths'!$K$18)</x:f>
        <x:v>2</x:v>
      </x:c>
      <x:c r="F1053" s="47" t="n">
        <x:f>IF(D1053&lt;'Paths'!$N$18,IF('Controls'!$D$7="Reference",'Paths'!$L$18,'Paths'!$M$18),IF('Controls'!$D$7="Reference",'Paths'!$O$18,'Paths'!$P$18))</x:f>
        <x:v>22000</x:v>
      </x:c>
      <x:c r="G1053" s="46" t="n">
        <x:f>IF('Controls'!$D$7="Reference",1,IF(OR(D1053=6,D1053=7,D1053=21,D1053=46),'Paths'!$U$18,1))</x:f>
        <x:v>1</x:v>
      </x:c>
      <x:c r="H1053" s="46" t="n">
        <x:f>IF('Controls'!$D$7="Reference",1,IF(OR(AND(D1053&gt;=14,D1053&lt;=16),AND(D1053&gt;=34,D1053&lt;=35),AND(D1053&gt;=61,D1053&lt;=63)),'Paths'!$V$18,1))</x:f>
        <x:v>1</x:v>
      </x:c>
      <x:c r="I1053" s="46" t="n">
        <x:f>'Paths'!$W$18</x:f>
        <x:v>0.92</x:v>
      </x:c>
      <x:c r="J1053" s="47" t="n">
        <x:f>IF(D1053&lt;E1053,0,MIN(F1053*G1053*H1053*I1053,IF('Paths'!$T$18&gt;0,MAX(0,'Paths'!$T$18-K1052),1000000000)))</x:f>
        <x:v>20240</x:v>
      </x:c>
      <x:c r="K1053" s="47" t="n">
        <x:f>K1052+J1053</x:f>
        <x:v>796720</x:v>
      </x:c>
      <x:c r="L1053" s="46" t="n">
        <x:f>IF(C1053="P0",1,IF(D1053&lt;=3,0.8,IF(D1053&lt;=14,0.65,IF(D1053&lt;=45,0.5,0.3))))</x:f>
        <x:v>0.5</x:v>
      </x:c>
      <x:c r="M1053" s="47" t="n">
        <x:f>J1053*L1053</x:f>
        <x:v>10120</x:v>
      </x:c>
      <x:c r="N1053" s="47" t="n">
        <x:f>N1052+M1053</x:f>
        <x:v>433080.8</x:v>
      </x:c>
      <x:c r="O1053" s="46" t="n">
        <x:f>IF(C1053="P0",0,IF(D1053&lt;=3,0.15,IF(D1053&lt;=14,0.25,IF(D1053&lt;=45,0.35,0.5))))</x:f>
        <x:v>0.35</x:v>
      </x:c>
      <x:c r="P1053" s="47" t="n">
        <x:f>J1053*O1053</x:f>
        <x:v>7084</x:v>
      </x:c>
      <x:c r="Q1053" s="46" t="n">
        <x:f>IF(C1053="P0",0,IF(D1053&lt;=3,0.05,IF(D1053&lt;=14,0.1,IF(D1053&lt;=45,0.15,0.2))))</x:f>
        <x:v>0.15</x:v>
      </x:c>
      <x:c r="R1053" s="47" t="n">
        <x:f>J1053*Q1053</x:f>
        <x:v>3036</x:v>
      </x:c>
      <x:c r="S1053" s="20" t="str">
        <x:f>IF(D1053&lt;E1053,"closed",IF(D1053&lt;'Paths'!$N$18,"initial","expanded"))</x:f>
        <x:v>expanded</x:v>
      </x:c>
      <x:c r="T1053" s="72"/>
    </x:row>
    <x:row r="1054">
      <x:c r="C1054" s="20" t="str">
        <x:v>P11</x:v>
      </x:c>
      <x:c r="D1054" s="20" t="n">
        <x:v>46</x:v>
      </x:c>
      <x:c r="E1054" s="45" t="n">
        <x:f>IF('Controls'!$D$7="Reference",'Paths'!$J$18,'Paths'!$K$18)</x:f>
        <x:v>2</x:v>
      </x:c>
      <x:c r="F1054" s="47" t="n">
        <x:f>IF(D1054&lt;'Paths'!$N$18,IF('Controls'!$D$7="Reference",'Paths'!$L$18,'Paths'!$M$18),IF('Controls'!$D$7="Reference",'Paths'!$O$18,'Paths'!$P$18))</x:f>
        <x:v>22000</x:v>
      </x:c>
      <x:c r="G1054" s="46" t="n">
        <x:f>IF('Controls'!$D$7="Reference",1,IF(OR(D1054=6,D1054=7,D1054=21,D1054=46),'Paths'!$U$18,1))</x:f>
        <x:v>0.8</x:v>
      </x:c>
      <x:c r="H1054" s="46" t="n">
        <x:f>IF('Controls'!$D$7="Reference",1,IF(OR(AND(D1054&gt;=14,D1054&lt;=16),AND(D1054&gt;=34,D1054&lt;=35),AND(D1054&gt;=61,D1054&lt;=63)),'Paths'!$V$18,1))</x:f>
        <x:v>1</x:v>
      </x:c>
      <x:c r="I1054" s="46" t="n">
        <x:f>'Paths'!$W$18</x:f>
        <x:v>0.92</x:v>
      </x:c>
      <x:c r="J1054" s="47" t="n">
        <x:f>IF(D1054&lt;E1054,0,MIN(F1054*G1054*H1054*I1054,IF('Paths'!$T$18&gt;0,MAX(0,'Paths'!$T$18-K1053),1000000000)))</x:f>
        <x:v>16192</x:v>
      </x:c>
      <x:c r="K1054" s="47" t="n">
        <x:f>K1053+J1054</x:f>
        <x:v>812912</x:v>
      </x:c>
      <x:c r="L1054" s="46" t="n">
        <x:f>IF(C1054="P0",1,IF(D1054&lt;=3,0.8,IF(D1054&lt;=14,0.65,IF(D1054&lt;=45,0.5,0.3))))</x:f>
        <x:v>0.3</x:v>
      </x:c>
      <x:c r="M1054" s="47" t="n">
        <x:f>J1054*L1054</x:f>
        <x:v>4857.599999999999</x:v>
      </x:c>
      <x:c r="N1054" s="47" t="n">
        <x:f>N1053+M1054</x:f>
        <x:v>437938.39999999997</x:v>
      </x:c>
      <x:c r="O1054" s="46" t="n">
        <x:f>IF(C1054="P0",0,IF(D1054&lt;=3,0.15,IF(D1054&lt;=14,0.25,IF(D1054&lt;=45,0.35,0.5))))</x:f>
        <x:v>0.5</x:v>
      </x:c>
      <x:c r="P1054" s="47" t="n">
        <x:f>J1054*O1054</x:f>
        <x:v>8096</x:v>
      </x:c>
      <x:c r="Q1054" s="46" t="n">
        <x:f>IF(C1054="P0",0,IF(D1054&lt;=3,0.05,IF(D1054&lt;=14,0.1,IF(D1054&lt;=45,0.15,0.2))))</x:f>
        <x:v>0.2</x:v>
      </x:c>
      <x:c r="R1054" s="47" t="n">
        <x:f>J1054*Q1054</x:f>
        <x:v>3238.4</x:v>
      </x:c>
      <x:c r="S1054" s="20" t="str">
        <x:f>IF(D1054&lt;E1054,"closed",IF(D1054&lt;'Paths'!$N$18,"initial","expanded"))</x:f>
        <x:v>expanded</x:v>
      </x:c>
      <x:c r="T1054" s="72"/>
    </x:row>
    <x:row r="1055">
      <x:c r="C1055" s="20" t="str">
        <x:v>P11</x:v>
      </x:c>
      <x:c r="D1055" s="20" t="n">
        <x:v>47</x:v>
      </x:c>
      <x:c r="E1055" s="45" t="n">
        <x:f>IF('Controls'!$D$7="Reference",'Paths'!$J$18,'Paths'!$K$18)</x:f>
        <x:v>2</x:v>
      </x:c>
      <x:c r="F1055" s="47" t="n">
        <x:f>IF(D1055&lt;'Paths'!$N$18,IF('Controls'!$D$7="Reference",'Paths'!$L$18,'Paths'!$M$18),IF('Controls'!$D$7="Reference",'Paths'!$O$18,'Paths'!$P$18))</x:f>
        <x:v>22000</x:v>
      </x:c>
      <x:c r="G1055" s="46" t="n">
        <x:f>IF('Controls'!$D$7="Reference",1,IF(OR(D1055=6,D1055=7,D1055=21,D1055=46),'Paths'!$U$18,1))</x:f>
        <x:v>1</x:v>
      </x:c>
      <x:c r="H1055" s="46" t="n">
        <x:f>IF('Controls'!$D$7="Reference",1,IF(OR(AND(D1055&gt;=14,D1055&lt;=16),AND(D1055&gt;=34,D1055&lt;=35),AND(D1055&gt;=61,D1055&lt;=63)),'Paths'!$V$18,1))</x:f>
        <x:v>1</x:v>
      </x:c>
      <x:c r="I1055" s="46" t="n">
        <x:f>'Paths'!$W$18</x:f>
        <x:v>0.92</x:v>
      </x:c>
      <x:c r="J1055" s="47" t="n">
        <x:f>IF(D1055&lt;E1055,0,MIN(F1055*G1055*H1055*I1055,IF('Paths'!$T$18&gt;0,MAX(0,'Paths'!$T$18-K1054),1000000000)))</x:f>
        <x:v>20240</x:v>
      </x:c>
      <x:c r="K1055" s="47" t="n">
        <x:f>K1054+J1055</x:f>
        <x:v>833152</x:v>
      </x:c>
      <x:c r="L1055" s="46" t="n">
        <x:f>IF(C1055="P0",1,IF(D1055&lt;=3,0.8,IF(D1055&lt;=14,0.65,IF(D1055&lt;=45,0.5,0.3))))</x:f>
        <x:v>0.3</x:v>
      </x:c>
      <x:c r="M1055" s="47" t="n">
        <x:f>J1055*L1055</x:f>
        <x:v>6072</x:v>
      </x:c>
      <x:c r="N1055" s="47" t="n">
        <x:f>N1054+M1055</x:f>
        <x:v>444010.39999999997</x:v>
      </x:c>
      <x:c r="O1055" s="46" t="n">
        <x:f>IF(C1055="P0",0,IF(D1055&lt;=3,0.15,IF(D1055&lt;=14,0.25,IF(D1055&lt;=45,0.35,0.5))))</x:f>
        <x:v>0.5</x:v>
      </x:c>
      <x:c r="P1055" s="47" t="n">
        <x:f>J1055*O1055</x:f>
        <x:v>10120</x:v>
      </x:c>
      <x:c r="Q1055" s="46" t="n">
        <x:f>IF(C1055="P0",0,IF(D1055&lt;=3,0.05,IF(D1055&lt;=14,0.1,IF(D1055&lt;=45,0.15,0.2))))</x:f>
        <x:v>0.2</x:v>
      </x:c>
      <x:c r="R1055" s="47" t="n">
        <x:f>J1055*Q1055</x:f>
        <x:v>4048</x:v>
      </x:c>
      <x:c r="S1055" s="20" t="str">
        <x:f>IF(D1055&lt;E1055,"closed",IF(D1055&lt;'Paths'!$N$18,"initial","expanded"))</x:f>
        <x:v>expanded</x:v>
      </x:c>
      <x:c r="T1055" s="72"/>
    </x:row>
    <x:row r="1056">
      <x:c r="C1056" s="20" t="str">
        <x:v>P11</x:v>
      </x:c>
      <x:c r="D1056" s="20" t="n">
        <x:v>48</x:v>
      </x:c>
      <x:c r="E1056" s="45" t="n">
        <x:f>IF('Controls'!$D$7="Reference",'Paths'!$J$18,'Paths'!$K$18)</x:f>
        <x:v>2</x:v>
      </x:c>
      <x:c r="F1056" s="47" t="n">
        <x:f>IF(D1056&lt;'Paths'!$N$18,IF('Controls'!$D$7="Reference",'Paths'!$L$18,'Paths'!$M$18),IF('Controls'!$D$7="Reference",'Paths'!$O$18,'Paths'!$P$18))</x:f>
        <x:v>22000</x:v>
      </x:c>
      <x:c r="G1056" s="46" t="n">
        <x:f>IF('Controls'!$D$7="Reference",1,IF(OR(D1056=6,D1056=7,D1056=21,D1056=46),'Paths'!$U$18,1))</x:f>
        <x:v>1</x:v>
      </x:c>
      <x:c r="H1056" s="46" t="n">
        <x:f>IF('Controls'!$D$7="Reference",1,IF(OR(AND(D1056&gt;=14,D1056&lt;=16),AND(D1056&gt;=34,D1056&lt;=35),AND(D1056&gt;=61,D1056&lt;=63)),'Paths'!$V$18,1))</x:f>
        <x:v>1</x:v>
      </x:c>
      <x:c r="I1056" s="46" t="n">
        <x:f>'Paths'!$W$18</x:f>
        <x:v>0.92</x:v>
      </x:c>
      <x:c r="J1056" s="47" t="n">
        <x:f>IF(D1056&lt;E1056,0,MIN(F1056*G1056*H1056*I1056,IF('Paths'!$T$18&gt;0,MAX(0,'Paths'!$T$18-K1055),1000000000)))</x:f>
        <x:v>20240</x:v>
      </x:c>
      <x:c r="K1056" s="47" t="n">
        <x:f>K1055+J1056</x:f>
        <x:v>853392</x:v>
      </x:c>
      <x:c r="L1056" s="46" t="n">
        <x:f>IF(C1056="P0",1,IF(D1056&lt;=3,0.8,IF(D1056&lt;=14,0.65,IF(D1056&lt;=45,0.5,0.3))))</x:f>
        <x:v>0.3</x:v>
      </x:c>
      <x:c r="M1056" s="47" t="n">
        <x:f>J1056*L1056</x:f>
        <x:v>6072</x:v>
      </x:c>
      <x:c r="N1056" s="47" t="n">
        <x:f>N1055+M1056</x:f>
        <x:v>450082.39999999997</x:v>
      </x:c>
      <x:c r="O1056" s="46" t="n">
        <x:f>IF(C1056="P0",0,IF(D1056&lt;=3,0.15,IF(D1056&lt;=14,0.25,IF(D1056&lt;=45,0.35,0.5))))</x:f>
        <x:v>0.5</x:v>
      </x:c>
      <x:c r="P1056" s="47" t="n">
        <x:f>J1056*O1056</x:f>
        <x:v>10120</x:v>
      </x:c>
      <x:c r="Q1056" s="46" t="n">
        <x:f>IF(C1056="P0",0,IF(D1056&lt;=3,0.05,IF(D1056&lt;=14,0.1,IF(D1056&lt;=45,0.15,0.2))))</x:f>
        <x:v>0.2</x:v>
      </x:c>
      <x:c r="R1056" s="47" t="n">
        <x:f>J1056*Q1056</x:f>
        <x:v>4048</x:v>
      </x:c>
      <x:c r="S1056" s="20" t="str">
        <x:f>IF(D1056&lt;E1056,"closed",IF(D1056&lt;'Paths'!$N$18,"initial","expanded"))</x:f>
        <x:v>expanded</x:v>
      </x:c>
      <x:c r="T1056" s="72"/>
    </x:row>
    <x:row r="1057">
      <x:c r="C1057" s="20" t="str">
        <x:v>P11</x:v>
      </x:c>
      <x:c r="D1057" s="20" t="n">
        <x:v>49</x:v>
      </x:c>
      <x:c r="E1057" s="45" t="n">
        <x:f>IF('Controls'!$D$7="Reference",'Paths'!$J$18,'Paths'!$K$18)</x:f>
        <x:v>2</x:v>
      </x:c>
      <x:c r="F1057" s="47" t="n">
        <x:f>IF(D1057&lt;'Paths'!$N$18,IF('Controls'!$D$7="Reference",'Paths'!$L$18,'Paths'!$M$18),IF('Controls'!$D$7="Reference",'Paths'!$O$18,'Paths'!$P$18))</x:f>
        <x:v>22000</x:v>
      </x:c>
      <x:c r="G1057" s="46" t="n">
        <x:f>IF('Controls'!$D$7="Reference",1,IF(OR(D1057=6,D1057=7,D1057=21,D1057=46),'Paths'!$U$18,1))</x:f>
        <x:v>1</x:v>
      </x:c>
      <x:c r="H1057" s="46" t="n">
        <x:f>IF('Controls'!$D$7="Reference",1,IF(OR(AND(D1057&gt;=14,D1057&lt;=16),AND(D1057&gt;=34,D1057&lt;=35),AND(D1057&gt;=61,D1057&lt;=63)),'Paths'!$V$18,1))</x:f>
        <x:v>1</x:v>
      </x:c>
      <x:c r="I1057" s="46" t="n">
        <x:f>'Paths'!$W$18</x:f>
        <x:v>0.92</x:v>
      </x:c>
      <x:c r="J1057" s="47" t="n">
        <x:f>IF(D1057&lt;E1057,0,MIN(F1057*G1057*H1057*I1057,IF('Paths'!$T$18&gt;0,MAX(0,'Paths'!$T$18-K1056),1000000000)))</x:f>
        <x:v>20240</x:v>
      </x:c>
      <x:c r="K1057" s="47" t="n">
        <x:f>K1056+J1057</x:f>
        <x:v>873632</x:v>
      </x:c>
      <x:c r="L1057" s="46" t="n">
        <x:f>IF(C1057="P0",1,IF(D1057&lt;=3,0.8,IF(D1057&lt;=14,0.65,IF(D1057&lt;=45,0.5,0.3))))</x:f>
        <x:v>0.3</x:v>
      </x:c>
      <x:c r="M1057" s="47" t="n">
        <x:f>J1057*L1057</x:f>
        <x:v>6072</x:v>
      </x:c>
      <x:c r="N1057" s="47" t="n">
        <x:f>N1056+M1057</x:f>
        <x:v>456154.39999999997</x:v>
      </x:c>
      <x:c r="O1057" s="46" t="n">
        <x:f>IF(C1057="P0",0,IF(D1057&lt;=3,0.15,IF(D1057&lt;=14,0.25,IF(D1057&lt;=45,0.35,0.5))))</x:f>
        <x:v>0.5</x:v>
      </x:c>
      <x:c r="P1057" s="47" t="n">
        <x:f>J1057*O1057</x:f>
        <x:v>10120</x:v>
      </x:c>
      <x:c r="Q1057" s="46" t="n">
        <x:f>IF(C1057="P0",0,IF(D1057&lt;=3,0.05,IF(D1057&lt;=14,0.1,IF(D1057&lt;=45,0.15,0.2))))</x:f>
        <x:v>0.2</x:v>
      </x:c>
      <x:c r="R1057" s="47" t="n">
        <x:f>J1057*Q1057</x:f>
        <x:v>4048</x:v>
      </x:c>
      <x:c r="S1057" s="20" t="str">
        <x:f>IF(D1057&lt;E1057,"closed",IF(D1057&lt;'Paths'!$N$18,"initial","expanded"))</x:f>
        <x:v>expanded</x:v>
      </x:c>
      <x:c r="T1057" s="72"/>
    </x:row>
    <x:row r="1058">
      <x:c r="C1058" s="20" t="str">
        <x:v>P11</x:v>
      </x:c>
      <x:c r="D1058" s="20" t="n">
        <x:v>50</x:v>
      </x:c>
      <x:c r="E1058" s="45" t="n">
        <x:f>IF('Controls'!$D$7="Reference",'Paths'!$J$18,'Paths'!$K$18)</x:f>
        <x:v>2</x:v>
      </x:c>
      <x:c r="F1058" s="47" t="n">
        <x:f>IF(D1058&lt;'Paths'!$N$18,IF('Controls'!$D$7="Reference",'Paths'!$L$18,'Paths'!$M$18),IF('Controls'!$D$7="Reference",'Paths'!$O$18,'Paths'!$P$18))</x:f>
        <x:v>22000</x:v>
      </x:c>
      <x:c r="G1058" s="46" t="n">
        <x:f>IF('Controls'!$D$7="Reference",1,IF(OR(D1058=6,D1058=7,D1058=21,D1058=46),'Paths'!$U$18,1))</x:f>
        <x:v>1</x:v>
      </x:c>
      <x:c r="H1058" s="46" t="n">
        <x:f>IF('Controls'!$D$7="Reference",1,IF(OR(AND(D1058&gt;=14,D1058&lt;=16),AND(D1058&gt;=34,D1058&lt;=35),AND(D1058&gt;=61,D1058&lt;=63)),'Paths'!$V$18,1))</x:f>
        <x:v>1</x:v>
      </x:c>
      <x:c r="I1058" s="46" t="n">
        <x:f>'Paths'!$W$18</x:f>
        <x:v>0.92</x:v>
      </x:c>
      <x:c r="J1058" s="47" t="n">
        <x:f>IF(D1058&lt;E1058,0,MIN(F1058*G1058*H1058*I1058,IF('Paths'!$T$18&gt;0,MAX(0,'Paths'!$T$18-K1057),1000000000)))</x:f>
        <x:v>20240</x:v>
      </x:c>
      <x:c r="K1058" s="47" t="n">
        <x:f>K1057+J1058</x:f>
        <x:v>893872</x:v>
      </x:c>
      <x:c r="L1058" s="46" t="n">
        <x:f>IF(C1058="P0",1,IF(D1058&lt;=3,0.8,IF(D1058&lt;=14,0.65,IF(D1058&lt;=45,0.5,0.3))))</x:f>
        <x:v>0.3</x:v>
      </x:c>
      <x:c r="M1058" s="47" t="n">
        <x:f>J1058*L1058</x:f>
        <x:v>6072</x:v>
      </x:c>
      <x:c r="N1058" s="47" t="n">
        <x:f>N1057+M1058</x:f>
        <x:v>462226.39999999997</x:v>
      </x:c>
      <x:c r="O1058" s="46" t="n">
        <x:f>IF(C1058="P0",0,IF(D1058&lt;=3,0.15,IF(D1058&lt;=14,0.25,IF(D1058&lt;=45,0.35,0.5))))</x:f>
        <x:v>0.5</x:v>
      </x:c>
      <x:c r="P1058" s="47" t="n">
        <x:f>J1058*O1058</x:f>
        <x:v>10120</x:v>
      </x:c>
      <x:c r="Q1058" s="46" t="n">
        <x:f>IF(C1058="P0",0,IF(D1058&lt;=3,0.05,IF(D1058&lt;=14,0.1,IF(D1058&lt;=45,0.15,0.2))))</x:f>
        <x:v>0.2</x:v>
      </x:c>
      <x:c r="R1058" s="47" t="n">
        <x:f>J1058*Q1058</x:f>
        <x:v>4048</x:v>
      </x:c>
      <x:c r="S1058" s="20" t="str">
        <x:f>IF(D1058&lt;E1058,"closed",IF(D1058&lt;'Paths'!$N$18,"initial","expanded"))</x:f>
        <x:v>expanded</x:v>
      </x:c>
      <x:c r="T1058" s="72"/>
    </x:row>
    <x:row r="1059">
      <x:c r="C1059" s="20" t="str">
        <x:v>P11</x:v>
      </x:c>
      <x:c r="D1059" s="20" t="n">
        <x:v>51</x:v>
      </x:c>
      <x:c r="E1059" s="45" t="n">
        <x:f>IF('Controls'!$D$7="Reference",'Paths'!$J$18,'Paths'!$K$18)</x:f>
        <x:v>2</x:v>
      </x:c>
      <x:c r="F1059" s="47" t="n">
        <x:f>IF(D1059&lt;'Paths'!$N$18,IF('Controls'!$D$7="Reference",'Paths'!$L$18,'Paths'!$M$18),IF('Controls'!$D$7="Reference",'Paths'!$O$18,'Paths'!$P$18))</x:f>
        <x:v>22000</x:v>
      </x:c>
      <x:c r="G1059" s="46" t="n">
        <x:f>IF('Controls'!$D$7="Reference",1,IF(OR(D1059=6,D1059=7,D1059=21,D1059=46),'Paths'!$U$18,1))</x:f>
        <x:v>1</x:v>
      </x:c>
      <x:c r="H1059" s="46" t="n">
        <x:f>IF('Controls'!$D$7="Reference",1,IF(OR(AND(D1059&gt;=14,D1059&lt;=16),AND(D1059&gt;=34,D1059&lt;=35),AND(D1059&gt;=61,D1059&lt;=63)),'Paths'!$V$18,1))</x:f>
        <x:v>1</x:v>
      </x:c>
      <x:c r="I1059" s="46" t="n">
        <x:f>'Paths'!$W$18</x:f>
        <x:v>0.92</x:v>
      </x:c>
      <x:c r="J1059" s="47" t="n">
        <x:f>IF(D1059&lt;E1059,0,MIN(F1059*G1059*H1059*I1059,IF('Paths'!$T$18&gt;0,MAX(0,'Paths'!$T$18-K1058),1000000000)))</x:f>
        <x:v>20240</x:v>
      </x:c>
      <x:c r="K1059" s="47" t="n">
        <x:f>K1058+J1059</x:f>
        <x:v>914112</x:v>
      </x:c>
      <x:c r="L1059" s="46" t="n">
        <x:f>IF(C1059="P0",1,IF(D1059&lt;=3,0.8,IF(D1059&lt;=14,0.65,IF(D1059&lt;=45,0.5,0.3))))</x:f>
        <x:v>0.3</x:v>
      </x:c>
      <x:c r="M1059" s="47" t="n">
        <x:f>J1059*L1059</x:f>
        <x:v>6072</x:v>
      </x:c>
      <x:c r="N1059" s="47" t="n">
        <x:f>N1058+M1059</x:f>
        <x:v>468298.39999999997</x:v>
      </x:c>
      <x:c r="O1059" s="46" t="n">
        <x:f>IF(C1059="P0",0,IF(D1059&lt;=3,0.15,IF(D1059&lt;=14,0.25,IF(D1059&lt;=45,0.35,0.5))))</x:f>
        <x:v>0.5</x:v>
      </x:c>
      <x:c r="P1059" s="47" t="n">
        <x:f>J1059*O1059</x:f>
        <x:v>10120</x:v>
      </x:c>
      <x:c r="Q1059" s="46" t="n">
        <x:f>IF(C1059="P0",0,IF(D1059&lt;=3,0.05,IF(D1059&lt;=14,0.1,IF(D1059&lt;=45,0.15,0.2))))</x:f>
        <x:v>0.2</x:v>
      </x:c>
      <x:c r="R1059" s="47" t="n">
        <x:f>J1059*Q1059</x:f>
        <x:v>4048</x:v>
      </x:c>
      <x:c r="S1059" s="20" t="str">
        <x:f>IF(D1059&lt;E1059,"closed",IF(D1059&lt;'Paths'!$N$18,"initial","expanded"))</x:f>
        <x:v>expanded</x:v>
      </x:c>
      <x:c r="T1059" s="72"/>
    </x:row>
    <x:row r="1060">
      <x:c r="C1060" s="20" t="str">
        <x:v>P11</x:v>
      </x:c>
      <x:c r="D1060" s="20" t="n">
        <x:v>52</x:v>
      </x:c>
      <x:c r="E1060" s="45" t="n">
        <x:f>IF('Controls'!$D$7="Reference",'Paths'!$J$18,'Paths'!$K$18)</x:f>
        <x:v>2</x:v>
      </x:c>
      <x:c r="F1060" s="47" t="n">
        <x:f>IF(D1060&lt;'Paths'!$N$18,IF('Controls'!$D$7="Reference",'Paths'!$L$18,'Paths'!$M$18),IF('Controls'!$D$7="Reference",'Paths'!$O$18,'Paths'!$P$18))</x:f>
        <x:v>22000</x:v>
      </x:c>
      <x:c r="G1060" s="46" t="n">
        <x:f>IF('Controls'!$D$7="Reference",1,IF(OR(D1060=6,D1060=7,D1060=21,D1060=46),'Paths'!$U$18,1))</x:f>
        <x:v>1</x:v>
      </x:c>
      <x:c r="H1060" s="46" t="n">
        <x:f>IF('Controls'!$D$7="Reference",1,IF(OR(AND(D1060&gt;=14,D1060&lt;=16),AND(D1060&gt;=34,D1060&lt;=35),AND(D1060&gt;=61,D1060&lt;=63)),'Paths'!$V$18,1))</x:f>
        <x:v>1</x:v>
      </x:c>
      <x:c r="I1060" s="46" t="n">
        <x:f>'Paths'!$W$18</x:f>
        <x:v>0.92</x:v>
      </x:c>
      <x:c r="J1060" s="47" t="n">
        <x:f>IF(D1060&lt;E1060,0,MIN(F1060*G1060*H1060*I1060,IF('Paths'!$T$18&gt;0,MAX(0,'Paths'!$T$18-K1059),1000000000)))</x:f>
        <x:v>20240</x:v>
      </x:c>
      <x:c r="K1060" s="47" t="n">
        <x:f>K1059+J1060</x:f>
        <x:v>934352</x:v>
      </x:c>
      <x:c r="L1060" s="46" t="n">
        <x:f>IF(C1060="P0",1,IF(D1060&lt;=3,0.8,IF(D1060&lt;=14,0.65,IF(D1060&lt;=45,0.5,0.3))))</x:f>
        <x:v>0.3</x:v>
      </x:c>
      <x:c r="M1060" s="47" t="n">
        <x:f>J1060*L1060</x:f>
        <x:v>6072</x:v>
      </x:c>
      <x:c r="N1060" s="47" t="n">
        <x:f>N1059+M1060</x:f>
        <x:v>474370.39999999997</x:v>
      </x:c>
      <x:c r="O1060" s="46" t="n">
        <x:f>IF(C1060="P0",0,IF(D1060&lt;=3,0.15,IF(D1060&lt;=14,0.25,IF(D1060&lt;=45,0.35,0.5))))</x:f>
        <x:v>0.5</x:v>
      </x:c>
      <x:c r="P1060" s="47" t="n">
        <x:f>J1060*O1060</x:f>
        <x:v>10120</x:v>
      </x:c>
      <x:c r="Q1060" s="46" t="n">
        <x:f>IF(C1060="P0",0,IF(D1060&lt;=3,0.05,IF(D1060&lt;=14,0.1,IF(D1060&lt;=45,0.15,0.2))))</x:f>
        <x:v>0.2</x:v>
      </x:c>
      <x:c r="R1060" s="47" t="n">
        <x:f>J1060*Q1060</x:f>
        <x:v>4048</x:v>
      </x:c>
      <x:c r="S1060" s="20" t="str">
        <x:f>IF(D1060&lt;E1060,"closed",IF(D1060&lt;'Paths'!$N$18,"initial","expanded"))</x:f>
        <x:v>expanded</x:v>
      </x:c>
      <x:c r="T1060" s="72"/>
    </x:row>
    <x:row r="1061">
      <x:c r="C1061" s="20" t="str">
        <x:v>P11</x:v>
      </x:c>
      <x:c r="D1061" s="20" t="n">
        <x:v>53</x:v>
      </x:c>
      <x:c r="E1061" s="45" t="n">
        <x:f>IF('Controls'!$D$7="Reference",'Paths'!$J$18,'Paths'!$K$18)</x:f>
        <x:v>2</x:v>
      </x:c>
      <x:c r="F1061" s="47" t="n">
        <x:f>IF(D1061&lt;'Paths'!$N$18,IF('Controls'!$D$7="Reference",'Paths'!$L$18,'Paths'!$M$18),IF('Controls'!$D$7="Reference",'Paths'!$O$18,'Paths'!$P$18))</x:f>
        <x:v>22000</x:v>
      </x:c>
      <x:c r="G1061" s="46" t="n">
        <x:f>IF('Controls'!$D$7="Reference",1,IF(OR(D1061=6,D1061=7,D1061=21,D1061=46),'Paths'!$U$18,1))</x:f>
        <x:v>1</x:v>
      </x:c>
      <x:c r="H1061" s="46" t="n">
        <x:f>IF('Controls'!$D$7="Reference",1,IF(OR(AND(D1061&gt;=14,D1061&lt;=16),AND(D1061&gt;=34,D1061&lt;=35),AND(D1061&gt;=61,D1061&lt;=63)),'Paths'!$V$18,1))</x:f>
        <x:v>1</x:v>
      </x:c>
      <x:c r="I1061" s="46" t="n">
        <x:f>'Paths'!$W$18</x:f>
        <x:v>0.92</x:v>
      </x:c>
      <x:c r="J1061" s="47" t="n">
        <x:f>IF(D1061&lt;E1061,0,MIN(F1061*G1061*H1061*I1061,IF('Paths'!$T$18&gt;0,MAX(0,'Paths'!$T$18-K1060),1000000000)))</x:f>
        <x:v>20240</x:v>
      </x:c>
      <x:c r="K1061" s="47" t="n">
        <x:f>K1060+J1061</x:f>
        <x:v>954592</x:v>
      </x:c>
      <x:c r="L1061" s="46" t="n">
        <x:f>IF(C1061="P0",1,IF(D1061&lt;=3,0.8,IF(D1061&lt;=14,0.65,IF(D1061&lt;=45,0.5,0.3))))</x:f>
        <x:v>0.3</x:v>
      </x:c>
      <x:c r="M1061" s="47" t="n">
        <x:f>J1061*L1061</x:f>
        <x:v>6072</x:v>
      </x:c>
      <x:c r="N1061" s="47" t="n">
        <x:f>N1060+M1061</x:f>
        <x:v>480442.39999999997</x:v>
      </x:c>
      <x:c r="O1061" s="46" t="n">
        <x:f>IF(C1061="P0",0,IF(D1061&lt;=3,0.15,IF(D1061&lt;=14,0.25,IF(D1061&lt;=45,0.35,0.5))))</x:f>
        <x:v>0.5</x:v>
      </x:c>
      <x:c r="P1061" s="47" t="n">
        <x:f>J1061*O1061</x:f>
        <x:v>10120</x:v>
      </x:c>
      <x:c r="Q1061" s="46" t="n">
        <x:f>IF(C1061="P0",0,IF(D1061&lt;=3,0.05,IF(D1061&lt;=14,0.1,IF(D1061&lt;=45,0.15,0.2))))</x:f>
        <x:v>0.2</x:v>
      </x:c>
      <x:c r="R1061" s="47" t="n">
        <x:f>J1061*Q1061</x:f>
        <x:v>4048</x:v>
      </x:c>
      <x:c r="S1061" s="20" t="str">
        <x:f>IF(D1061&lt;E1061,"closed",IF(D1061&lt;'Paths'!$N$18,"initial","expanded"))</x:f>
        <x:v>expanded</x:v>
      </x:c>
      <x:c r="T1061" s="72"/>
    </x:row>
    <x:row r="1062">
      <x:c r="C1062" s="20" t="str">
        <x:v>P11</x:v>
      </x:c>
      <x:c r="D1062" s="20" t="n">
        <x:v>54</x:v>
      </x:c>
      <x:c r="E1062" s="45" t="n">
        <x:f>IF('Controls'!$D$7="Reference",'Paths'!$J$18,'Paths'!$K$18)</x:f>
        <x:v>2</x:v>
      </x:c>
      <x:c r="F1062" s="47" t="n">
        <x:f>IF(D1062&lt;'Paths'!$N$18,IF('Controls'!$D$7="Reference",'Paths'!$L$18,'Paths'!$M$18),IF('Controls'!$D$7="Reference",'Paths'!$O$18,'Paths'!$P$18))</x:f>
        <x:v>22000</x:v>
      </x:c>
      <x:c r="G1062" s="46" t="n">
        <x:f>IF('Controls'!$D$7="Reference",1,IF(OR(D1062=6,D1062=7,D1062=21,D1062=46),'Paths'!$U$18,1))</x:f>
        <x:v>1</x:v>
      </x:c>
      <x:c r="H1062" s="46" t="n">
        <x:f>IF('Controls'!$D$7="Reference",1,IF(OR(AND(D1062&gt;=14,D1062&lt;=16),AND(D1062&gt;=34,D1062&lt;=35),AND(D1062&gt;=61,D1062&lt;=63)),'Paths'!$V$18,1))</x:f>
        <x:v>1</x:v>
      </x:c>
      <x:c r="I1062" s="46" t="n">
        <x:f>'Paths'!$W$18</x:f>
        <x:v>0.92</x:v>
      </x:c>
      <x:c r="J1062" s="47" t="n">
        <x:f>IF(D1062&lt;E1062,0,MIN(F1062*G1062*H1062*I1062,IF('Paths'!$T$18&gt;0,MAX(0,'Paths'!$T$18-K1061),1000000000)))</x:f>
        <x:v>20240</x:v>
      </x:c>
      <x:c r="K1062" s="47" t="n">
        <x:f>K1061+J1062</x:f>
        <x:v>974832</x:v>
      </x:c>
      <x:c r="L1062" s="46" t="n">
        <x:f>IF(C1062="P0",1,IF(D1062&lt;=3,0.8,IF(D1062&lt;=14,0.65,IF(D1062&lt;=45,0.5,0.3))))</x:f>
        <x:v>0.3</x:v>
      </x:c>
      <x:c r="M1062" s="47" t="n">
        <x:f>J1062*L1062</x:f>
        <x:v>6072</x:v>
      </x:c>
      <x:c r="N1062" s="47" t="n">
        <x:f>N1061+M1062</x:f>
        <x:v>486514.39999999997</x:v>
      </x:c>
      <x:c r="O1062" s="46" t="n">
        <x:f>IF(C1062="P0",0,IF(D1062&lt;=3,0.15,IF(D1062&lt;=14,0.25,IF(D1062&lt;=45,0.35,0.5))))</x:f>
        <x:v>0.5</x:v>
      </x:c>
      <x:c r="P1062" s="47" t="n">
        <x:f>J1062*O1062</x:f>
        <x:v>10120</x:v>
      </x:c>
      <x:c r="Q1062" s="46" t="n">
        <x:f>IF(C1062="P0",0,IF(D1062&lt;=3,0.05,IF(D1062&lt;=14,0.1,IF(D1062&lt;=45,0.15,0.2))))</x:f>
        <x:v>0.2</x:v>
      </x:c>
      <x:c r="R1062" s="47" t="n">
        <x:f>J1062*Q1062</x:f>
        <x:v>4048</x:v>
      </x:c>
      <x:c r="S1062" s="20" t="str">
        <x:f>IF(D1062&lt;E1062,"closed",IF(D1062&lt;'Paths'!$N$18,"initial","expanded"))</x:f>
        <x:v>expanded</x:v>
      </x:c>
      <x:c r="T1062" s="72"/>
    </x:row>
    <x:row r="1063">
      <x:c r="C1063" s="20" t="str">
        <x:v>P11</x:v>
      </x:c>
      <x:c r="D1063" s="20" t="n">
        <x:v>55</x:v>
      </x:c>
      <x:c r="E1063" s="45" t="n">
        <x:f>IF('Controls'!$D$7="Reference",'Paths'!$J$18,'Paths'!$K$18)</x:f>
        <x:v>2</x:v>
      </x:c>
      <x:c r="F1063" s="47" t="n">
        <x:f>IF(D1063&lt;'Paths'!$N$18,IF('Controls'!$D$7="Reference",'Paths'!$L$18,'Paths'!$M$18),IF('Controls'!$D$7="Reference",'Paths'!$O$18,'Paths'!$P$18))</x:f>
        <x:v>22000</x:v>
      </x:c>
      <x:c r="G1063" s="46" t="n">
        <x:f>IF('Controls'!$D$7="Reference",1,IF(OR(D1063=6,D1063=7,D1063=21,D1063=46),'Paths'!$U$18,1))</x:f>
        <x:v>1</x:v>
      </x:c>
      <x:c r="H1063" s="46" t="n">
        <x:f>IF('Controls'!$D$7="Reference",1,IF(OR(AND(D1063&gt;=14,D1063&lt;=16),AND(D1063&gt;=34,D1063&lt;=35),AND(D1063&gt;=61,D1063&lt;=63)),'Paths'!$V$18,1))</x:f>
        <x:v>1</x:v>
      </x:c>
      <x:c r="I1063" s="46" t="n">
        <x:f>'Paths'!$W$18</x:f>
        <x:v>0.92</x:v>
      </x:c>
      <x:c r="J1063" s="47" t="n">
        <x:f>IF(D1063&lt;E1063,0,MIN(F1063*G1063*H1063*I1063,IF('Paths'!$T$18&gt;0,MAX(0,'Paths'!$T$18-K1062),1000000000)))</x:f>
        <x:v>20240</x:v>
      </x:c>
      <x:c r="K1063" s="47" t="n">
        <x:f>K1062+J1063</x:f>
        <x:v>995072</x:v>
      </x:c>
      <x:c r="L1063" s="46" t="n">
        <x:f>IF(C1063="P0",1,IF(D1063&lt;=3,0.8,IF(D1063&lt;=14,0.65,IF(D1063&lt;=45,0.5,0.3))))</x:f>
        <x:v>0.3</x:v>
      </x:c>
      <x:c r="M1063" s="47" t="n">
        <x:f>J1063*L1063</x:f>
        <x:v>6072</x:v>
      </x:c>
      <x:c r="N1063" s="47" t="n">
        <x:f>N1062+M1063</x:f>
        <x:v>492586.39999999997</x:v>
      </x:c>
      <x:c r="O1063" s="46" t="n">
        <x:f>IF(C1063="P0",0,IF(D1063&lt;=3,0.15,IF(D1063&lt;=14,0.25,IF(D1063&lt;=45,0.35,0.5))))</x:f>
        <x:v>0.5</x:v>
      </x:c>
      <x:c r="P1063" s="47" t="n">
        <x:f>J1063*O1063</x:f>
        <x:v>10120</x:v>
      </x:c>
      <x:c r="Q1063" s="46" t="n">
        <x:f>IF(C1063="P0",0,IF(D1063&lt;=3,0.05,IF(D1063&lt;=14,0.1,IF(D1063&lt;=45,0.15,0.2))))</x:f>
        <x:v>0.2</x:v>
      </x:c>
      <x:c r="R1063" s="47" t="n">
        <x:f>J1063*Q1063</x:f>
        <x:v>4048</x:v>
      </x:c>
      <x:c r="S1063" s="20" t="str">
        <x:f>IF(D1063&lt;E1063,"closed",IF(D1063&lt;'Paths'!$N$18,"initial","expanded"))</x:f>
        <x:v>expanded</x:v>
      </x:c>
      <x:c r="T1063" s="72"/>
    </x:row>
    <x:row r="1064">
      <x:c r="C1064" s="20" t="str">
        <x:v>P11</x:v>
      </x:c>
      <x:c r="D1064" s="20" t="n">
        <x:v>56</x:v>
      </x:c>
      <x:c r="E1064" s="45" t="n">
        <x:f>IF('Controls'!$D$7="Reference",'Paths'!$J$18,'Paths'!$K$18)</x:f>
        <x:v>2</x:v>
      </x:c>
      <x:c r="F1064" s="47" t="n">
        <x:f>IF(D1064&lt;'Paths'!$N$18,IF('Controls'!$D$7="Reference",'Paths'!$L$18,'Paths'!$M$18),IF('Controls'!$D$7="Reference",'Paths'!$O$18,'Paths'!$P$18))</x:f>
        <x:v>22000</x:v>
      </x:c>
      <x:c r="G1064" s="46" t="n">
        <x:f>IF('Controls'!$D$7="Reference",1,IF(OR(D1064=6,D1064=7,D1064=21,D1064=46),'Paths'!$U$18,1))</x:f>
        <x:v>1</x:v>
      </x:c>
      <x:c r="H1064" s="46" t="n">
        <x:f>IF('Controls'!$D$7="Reference",1,IF(OR(AND(D1064&gt;=14,D1064&lt;=16),AND(D1064&gt;=34,D1064&lt;=35),AND(D1064&gt;=61,D1064&lt;=63)),'Paths'!$V$18,1))</x:f>
        <x:v>1</x:v>
      </x:c>
      <x:c r="I1064" s="46" t="n">
        <x:f>'Paths'!$W$18</x:f>
        <x:v>0.92</x:v>
      </x:c>
      <x:c r="J1064" s="47" t="n">
        <x:f>IF(D1064&lt;E1064,0,MIN(F1064*G1064*H1064*I1064,IF('Paths'!$T$18&gt;0,MAX(0,'Paths'!$T$18-K1063),1000000000)))</x:f>
        <x:v>20240</x:v>
      </x:c>
      <x:c r="K1064" s="47" t="n">
        <x:f>K1063+J1064</x:f>
        <x:v>1015312</x:v>
      </x:c>
      <x:c r="L1064" s="46" t="n">
        <x:f>IF(C1064="P0",1,IF(D1064&lt;=3,0.8,IF(D1064&lt;=14,0.65,IF(D1064&lt;=45,0.5,0.3))))</x:f>
        <x:v>0.3</x:v>
      </x:c>
      <x:c r="M1064" s="47" t="n">
        <x:f>J1064*L1064</x:f>
        <x:v>6072</x:v>
      </x:c>
      <x:c r="N1064" s="47" t="n">
        <x:f>N1063+M1064</x:f>
        <x:v>498658.39999999997</x:v>
      </x:c>
      <x:c r="O1064" s="46" t="n">
        <x:f>IF(C1064="P0",0,IF(D1064&lt;=3,0.15,IF(D1064&lt;=14,0.25,IF(D1064&lt;=45,0.35,0.5))))</x:f>
        <x:v>0.5</x:v>
      </x:c>
      <x:c r="P1064" s="47" t="n">
        <x:f>J1064*O1064</x:f>
        <x:v>10120</x:v>
      </x:c>
      <x:c r="Q1064" s="46" t="n">
        <x:f>IF(C1064="P0",0,IF(D1064&lt;=3,0.05,IF(D1064&lt;=14,0.1,IF(D1064&lt;=45,0.15,0.2))))</x:f>
        <x:v>0.2</x:v>
      </x:c>
      <x:c r="R1064" s="47" t="n">
        <x:f>J1064*Q1064</x:f>
        <x:v>4048</x:v>
      </x:c>
      <x:c r="S1064" s="20" t="str">
        <x:f>IF(D1064&lt;E1064,"closed",IF(D1064&lt;'Paths'!$N$18,"initial","expanded"))</x:f>
        <x:v>expanded</x:v>
      </x:c>
      <x:c r="T1064" s="72"/>
    </x:row>
    <x:row r="1065">
      <x:c r="C1065" s="20" t="str">
        <x:v>P11</x:v>
      </x:c>
      <x:c r="D1065" s="20" t="n">
        <x:v>57</x:v>
      </x:c>
      <x:c r="E1065" s="45" t="n">
        <x:f>IF('Controls'!$D$7="Reference",'Paths'!$J$18,'Paths'!$K$18)</x:f>
        <x:v>2</x:v>
      </x:c>
      <x:c r="F1065" s="47" t="n">
        <x:f>IF(D1065&lt;'Paths'!$N$18,IF('Controls'!$D$7="Reference",'Paths'!$L$18,'Paths'!$M$18),IF('Controls'!$D$7="Reference",'Paths'!$O$18,'Paths'!$P$18))</x:f>
        <x:v>22000</x:v>
      </x:c>
      <x:c r="G1065" s="46" t="n">
        <x:f>IF('Controls'!$D$7="Reference",1,IF(OR(D1065=6,D1065=7,D1065=21,D1065=46),'Paths'!$U$18,1))</x:f>
        <x:v>1</x:v>
      </x:c>
      <x:c r="H1065" s="46" t="n">
        <x:f>IF('Controls'!$D$7="Reference",1,IF(OR(AND(D1065&gt;=14,D1065&lt;=16),AND(D1065&gt;=34,D1065&lt;=35),AND(D1065&gt;=61,D1065&lt;=63)),'Paths'!$V$18,1))</x:f>
        <x:v>1</x:v>
      </x:c>
      <x:c r="I1065" s="46" t="n">
        <x:f>'Paths'!$W$18</x:f>
        <x:v>0.92</x:v>
      </x:c>
      <x:c r="J1065" s="47" t="n">
        <x:f>IF(D1065&lt;E1065,0,MIN(F1065*G1065*H1065*I1065,IF('Paths'!$T$18&gt;0,MAX(0,'Paths'!$T$18-K1064),1000000000)))</x:f>
        <x:v>20240</x:v>
      </x:c>
      <x:c r="K1065" s="47" t="n">
        <x:f>K1064+J1065</x:f>
        <x:v>1035552</x:v>
      </x:c>
      <x:c r="L1065" s="46" t="n">
        <x:f>IF(C1065="P0",1,IF(D1065&lt;=3,0.8,IF(D1065&lt;=14,0.65,IF(D1065&lt;=45,0.5,0.3))))</x:f>
        <x:v>0.3</x:v>
      </x:c>
      <x:c r="M1065" s="47" t="n">
        <x:f>J1065*L1065</x:f>
        <x:v>6072</x:v>
      </x:c>
      <x:c r="N1065" s="47" t="n">
        <x:f>N1064+M1065</x:f>
        <x:v>504730.39999999997</x:v>
      </x:c>
      <x:c r="O1065" s="46" t="n">
        <x:f>IF(C1065="P0",0,IF(D1065&lt;=3,0.15,IF(D1065&lt;=14,0.25,IF(D1065&lt;=45,0.35,0.5))))</x:f>
        <x:v>0.5</x:v>
      </x:c>
      <x:c r="P1065" s="47" t="n">
        <x:f>J1065*O1065</x:f>
        <x:v>10120</x:v>
      </x:c>
      <x:c r="Q1065" s="46" t="n">
        <x:f>IF(C1065="P0",0,IF(D1065&lt;=3,0.05,IF(D1065&lt;=14,0.1,IF(D1065&lt;=45,0.15,0.2))))</x:f>
        <x:v>0.2</x:v>
      </x:c>
      <x:c r="R1065" s="47" t="n">
        <x:f>J1065*Q1065</x:f>
        <x:v>4048</x:v>
      </x:c>
      <x:c r="S1065" s="20" t="str">
        <x:f>IF(D1065&lt;E1065,"closed",IF(D1065&lt;'Paths'!$N$18,"initial","expanded"))</x:f>
        <x:v>expanded</x:v>
      </x:c>
      <x:c r="T1065" s="72"/>
    </x:row>
    <x:row r="1066">
      <x:c r="C1066" s="20" t="str">
        <x:v>P11</x:v>
      </x:c>
      <x:c r="D1066" s="20" t="n">
        <x:v>58</x:v>
      </x:c>
      <x:c r="E1066" s="45" t="n">
        <x:f>IF('Controls'!$D$7="Reference",'Paths'!$J$18,'Paths'!$K$18)</x:f>
        <x:v>2</x:v>
      </x:c>
      <x:c r="F1066" s="47" t="n">
        <x:f>IF(D1066&lt;'Paths'!$N$18,IF('Controls'!$D$7="Reference",'Paths'!$L$18,'Paths'!$M$18),IF('Controls'!$D$7="Reference",'Paths'!$O$18,'Paths'!$P$18))</x:f>
        <x:v>22000</x:v>
      </x:c>
      <x:c r="G1066" s="46" t="n">
        <x:f>IF('Controls'!$D$7="Reference",1,IF(OR(D1066=6,D1066=7,D1066=21,D1066=46),'Paths'!$U$18,1))</x:f>
        <x:v>1</x:v>
      </x:c>
      <x:c r="H1066" s="46" t="n">
        <x:f>IF('Controls'!$D$7="Reference",1,IF(OR(AND(D1066&gt;=14,D1066&lt;=16),AND(D1066&gt;=34,D1066&lt;=35),AND(D1066&gt;=61,D1066&lt;=63)),'Paths'!$V$18,1))</x:f>
        <x:v>1</x:v>
      </x:c>
      <x:c r="I1066" s="46" t="n">
        <x:f>'Paths'!$W$18</x:f>
        <x:v>0.92</x:v>
      </x:c>
      <x:c r="J1066" s="47" t="n">
        <x:f>IF(D1066&lt;E1066,0,MIN(F1066*G1066*H1066*I1066,IF('Paths'!$T$18&gt;0,MAX(0,'Paths'!$T$18-K1065),1000000000)))</x:f>
        <x:v>20240</x:v>
      </x:c>
      <x:c r="K1066" s="47" t="n">
        <x:f>K1065+J1066</x:f>
        <x:v>1055792</x:v>
      </x:c>
      <x:c r="L1066" s="46" t="n">
        <x:f>IF(C1066="P0",1,IF(D1066&lt;=3,0.8,IF(D1066&lt;=14,0.65,IF(D1066&lt;=45,0.5,0.3))))</x:f>
        <x:v>0.3</x:v>
      </x:c>
      <x:c r="M1066" s="47" t="n">
        <x:f>J1066*L1066</x:f>
        <x:v>6072</x:v>
      </x:c>
      <x:c r="N1066" s="47" t="n">
        <x:f>N1065+M1066</x:f>
        <x:v>510802.39999999997</x:v>
      </x:c>
      <x:c r="O1066" s="46" t="n">
        <x:f>IF(C1066="P0",0,IF(D1066&lt;=3,0.15,IF(D1066&lt;=14,0.25,IF(D1066&lt;=45,0.35,0.5))))</x:f>
        <x:v>0.5</x:v>
      </x:c>
      <x:c r="P1066" s="47" t="n">
        <x:f>J1066*O1066</x:f>
        <x:v>10120</x:v>
      </x:c>
      <x:c r="Q1066" s="46" t="n">
        <x:f>IF(C1066="P0",0,IF(D1066&lt;=3,0.05,IF(D1066&lt;=14,0.1,IF(D1066&lt;=45,0.15,0.2))))</x:f>
        <x:v>0.2</x:v>
      </x:c>
      <x:c r="R1066" s="47" t="n">
        <x:f>J1066*Q1066</x:f>
        <x:v>4048</x:v>
      </x:c>
      <x:c r="S1066" s="20" t="str">
        <x:f>IF(D1066&lt;E1066,"closed",IF(D1066&lt;'Paths'!$N$18,"initial","expanded"))</x:f>
        <x:v>expanded</x:v>
      </x:c>
      <x:c r="T1066" s="72"/>
    </x:row>
    <x:row r="1067">
      <x:c r="C1067" s="20" t="str">
        <x:v>P11</x:v>
      </x:c>
      <x:c r="D1067" s="20" t="n">
        <x:v>59</x:v>
      </x:c>
      <x:c r="E1067" s="45" t="n">
        <x:f>IF('Controls'!$D$7="Reference",'Paths'!$J$18,'Paths'!$K$18)</x:f>
        <x:v>2</x:v>
      </x:c>
      <x:c r="F1067" s="47" t="n">
        <x:f>IF(D1067&lt;'Paths'!$N$18,IF('Controls'!$D$7="Reference",'Paths'!$L$18,'Paths'!$M$18),IF('Controls'!$D$7="Reference",'Paths'!$O$18,'Paths'!$P$18))</x:f>
        <x:v>22000</x:v>
      </x:c>
      <x:c r="G1067" s="46" t="n">
        <x:f>IF('Controls'!$D$7="Reference",1,IF(OR(D1067=6,D1067=7,D1067=21,D1067=46),'Paths'!$U$18,1))</x:f>
        <x:v>1</x:v>
      </x:c>
      <x:c r="H1067" s="46" t="n">
        <x:f>IF('Controls'!$D$7="Reference",1,IF(OR(AND(D1067&gt;=14,D1067&lt;=16),AND(D1067&gt;=34,D1067&lt;=35),AND(D1067&gt;=61,D1067&lt;=63)),'Paths'!$V$18,1))</x:f>
        <x:v>1</x:v>
      </x:c>
      <x:c r="I1067" s="46" t="n">
        <x:f>'Paths'!$W$18</x:f>
        <x:v>0.92</x:v>
      </x:c>
      <x:c r="J1067" s="47" t="n">
        <x:f>IF(D1067&lt;E1067,0,MIN(F1067*G1067*H1067*I1067,IF('Paths'!$T$18&gt;0,MAX(0,'Paths'!$T$18-K1066),1000000000)))</x:f>
        <x:v>20240</x:v>
      </x:c>
      <x:c r="K1067" s="47" t="n">
        <x:f>K1066+J1067</x:f>
        <x:v>1076032</x:v>
      </x:c>
      <x:c r="L1067" s="46" t="n">
        <x:f>IF(C1067="P0",1,IF(D1067&lt;=3,0.8,IF(D1067&lt;=14,0.65,IF(D1067&lt;=45,0.5,0.3))))</x:f>
        <x:v>0.3</x:v>
      </x:c>
      <x:c r="M1067" s="47" t="n">
        <x:f>J1067*L1067</x:f>
        <x:v>6072</x:v>
      </x:c>
      <x:c r="N1067" s="47" t="n">
        <x:f>N1066+M1067</x:f>
        <x:v>516874.39999999997</x:v>
      </x:c>
      <x:c r="O1067" s="46" t="n">
        <x:f>IF(C1067="P0",0,IF(D1067&lt;=3,0.15,IF(D1067&lt;=14,0.25,IF(D1067&lt;=45,0.35,0.5))))</x:f>
        <x:v>0.5</x:v>
      </x:c>
      <x:c r="P1067" s="47" t="n">
        <x:f>J1067*O1067</x:f>
        <x:v>10120</x:v>
      </x:c>
      <x:c r="Q1067" s="46" t="n">
        <x:f>IF(C1067="P0",0,IF(D1067&lt;=3,0.05,IF(D1067&lt;=14,0.1,IF(D1067&lt;=45,0.15,0.2))))</x:f>
        <x:v>0.2</x:v>
      </x:c>
      <x:c r="R1067" s="47" t="n">
        <x:f>J1067*Q1067</x:f>
        <x:v>4048</x:v>
      </x:c>
      <x:c r="S1067" s="20" t="str">
        <x:f>IF(D1067&lt;E1067,"closed",IF(D1067&lt;'Paths'!$N$18,"initial","expanded"))</x:f>
        <x:v>expanded</x:v>
      </x:c>
      <x:c r="T1067" s="72"/>
    </x:row>
    <x:row r="1068">
      <x:c r="C1068" s="20" t="str">
        <x:v>P11</x:v>
      </x:c>
      <x:c r="D1068" s="20" t="n">
        <x:v>60</x:v>
      </x:c>
      <x:c r="E1068" s="45" t="n">
        <x:f>IF('Controls'!$D$7="Reference",'Paths'!$J$18,'Paths'!$K$18)</x:f>
        <x:v>2</x:v>
      </x:c>
      <x:c r="F1068" s="47" t="n">
        <x:f>IF(D1068&lt;'Paths'!$N$18,IF('Controls'!$D$7="Reference",'Paths'!$L$18,'Paths'!$M$18),IF('Controls'!$D$7="Reference",'Paths'!$O$18,'Paths'!$P$18))</x:f>
        <x:v>22000</x:v>
      </x:c>
      <x:c r="G1068" s="46" t="n">
        <x:f>IF('Controls'!$D$7="Reference",1,IF(OR(D1068=6,D1068=7,D1068=21,D1068=46),'Paths'!$U$18,1))</x:f>
        <x:v>1</x:v>
      </x:c>
      <x:c r="H1068" s="46" t="n">
        <x:f>IF('Controls'!$D$7="Reference",1,IF(OR(AND(D1068&gt;=14,D1068&lt;=16),AND(D1068&gt;=34,D1068&lt;=35),AND(D1068&gt;=61,D1068&lt;=63)),'Paths'!$V$18,1))</x:f>
        <x:v>1</x:v>
      </x:c>
      <x:c r="I1068" s="46" t="n">
        <x:f>'Paths'!$W$18</x:f>
        <x:v>0.92</x:v>
      </x:c>
      <x:c r="J1068" s="47" t="n">
        <x:f>IF(D1068&lt;E1068,0,MIN(F1068*G1068*H1068*I1068,IF('Paths'!$T$18&gt;0,MAX(0,'Paths'!$T$18-K1067),1000000000)))</x:f>
        <x:v>20240</x:v>
      </x:c>
      <x:c r="K1068" s="47" t="n">
        <x:f>K1067+J1068</x:f>
        <x:v>1096272</x:v>
      </x:c>
      <x:c r="L1068" s="46" t="n">
        <x:f>IF(C1068="P0",1,IF(D1068&lt;=3,0.8,IF(D1068&lt;=14,0.65,IF(D1068&lt;=45,0.5,0.3))))</x:f>
        <x:v>0.3</x:v>
      </x:c>
      <x:c r="M1068" s="47" t="n">
        <x:f>J1068*L1068</x:f>
        <x:v>6072</x:v>
      </x:c>
      <x:c r="N1068" s="47" t="n">
        <x:f>N1067+M1068</x:f>
        <x:v>522946.39999999997</x:v>
      </x:c>
      <x:c r="O1068" s="46" t="n">
        <x:f>IF(C1068="P0",0,IF(D1068&lt;=3,0.15,IF(D1068&lt;=14,0.25,IF(D1068&lt;=45,0.35,0.5))))</x:f>
        <x:v>0.5</x:v>
      </x:c>
      <x:c r="P1068" s="47" t="n">
        <x:f>J1068*O1068</x:f>
        <x:v>10120</x:v>
      </x:c>
      <x:c r="Q1068" s="46" t="n">
        <x:f>IF(C1068="P0",0,IF(D1068&lt;=3,0.05,IF(D1068&lt;=14,0.1,IF(D1068&lt;=45,0.15,0.2))))</x:f>
        <x:v>0.2</x:v>
      </x:c>
      <x:c r="R1068" s="47" t="n">
        <x:f>J1068*Q1068</x:f>
        <x:v>4048</x:v>
      </x:c>
      <x:c r="S1068" s="20" t="str">
        <x:f>IF(D1068&lt;E1068,"closed",IF(D1068&lt;'Paths'!$N$18,"initial","expanded"))</x:f>
        <x:v>expanded</x:v>
      </x:c>
      <x:c r="T1068" s="72"/>
    </x:row>
    <x:row r="1069">
      <x:c r="C1069" s="20" t="str">
        <x:v>P11</x:v>
      </x:c>
      <x:c r="D1069" s="20" t="n">
        <x:v>61</x:v>
      </x:c>
      <x:c r="E1069" s="45" t="n">
        <x:f>IF('Controls'!$D$7="Reference",'Paths'!$J$18,'Paths'!$K$18)</x:f>
        <x:v>2</x:v>
      </x:c>
      <x:c r="F1069" s="47" t="n">
        <x:f>IF(D1069&lt;'Paths'!$N$18,IF('Controls'!$D$7="Reference",'Paths'!$L$18,'Paths'!$M$18),IF('Controls'!$D$7="Reference",'Paths'!$O$18,'Paths'!$P$18))</x:f>
        <x:v>22000</x:v>
      </x:c>
      <x:c r="G1069" s="46" t="n">
        <x:f>IF('Controls'!$D$7="Reference",1,IF(OR(D1069=6,D1069=7,D1069=21,D1069=46),'Paths'!$U$18,1))</x:f>
        <x:v>1</x:v>
      </x:c>
      <x:c r="H1069" s="46" t="n">
        <x:f>IF('Controls'!$D$7="Reference",1,IF(OR(AND(D1069&gt;=14,D1069&lt;=16),AND(D1069&gt;=34,D1069&lt;=35),AND(D1069&gt;=61,D1069&lt;=63)),'Paths'!$V$18,1))</x:f>
        <x:v>0.6</x:v>
      </x:c>
      <x:c r="I1069" s="46" t="n">
        <x:f>'Paths'!$W$18</x:f>
        <x:v>0.92</x:v>
      </x:c>
      <x:c r="J1069" s="47" t="n">
        <x:f>IF(D1069&lt;E1069,0,MIN(F1069*G1069*H1069*I1069,IF('Paths'!$T$18&gt;0,MAX(0,'Paths'!$T$18-K1068),1000000000)))</x:f>
        <x:v>12144</x:v>
      </x:c>
      <x:c r="K1069" s="47" t="n">
        <x:f>K1068+J1069</x:f>
        <x:v>1108416</x:v>
      </x:c>
      <x:c r="L1069" s="46" t="n">
        <x:f>IF(C1069="P0",1,IF(D1069&lt;=3,0.8,IF(D1069&lt;=14,0.65,IF(D1069&lt;=45,0.5,0.3))))</x:f>
        <x:v>0.3</x:v>
      </x:c>
      <x:c r="M1069" s="47" t="n">
        <x:f>J1069*L1069</x:f>
        <x:v>3643.2</x:v>
      </x:c>
      <x:c r="N1069" s="47" t="n">
        <x:f>N1068+M1069</x:f>
        <x:v>526589.6</x:v>
      </x:c>
      <x:c r="O1069" s="46" t="n">
        <x:f>IF(C1069="P0",0,IF(D1069&lt;=3,0.15,IF(D1069&lt;=14,0.25,IF(D1069&lt;=45,0.35,0.5))))</x:f>
        <x:v>0.5</x:v>
      </x:c>
      <x:c r="P1069" s="47" t="n">
        <x:f>J1069*O1069</x:f>
        <x:v>6072</x:v>
      </x:c>
      <x:c r="Q1069" s="46" t="n">
        <x:f>IF(C1069="P0",0,IF(D1069&lt;=3,0.05,IF(D1069&lt;=14,0.1,IF(D1069&lt;=45,0.15,0.2))))</x:f>
        <x:v>0.2</x:v>
      </x:c>
      <x:c r="R1069" s="47" t="n">
        <x:f>J1069*Q1069</x:f>
        <x:v>2428.8</x:v>
      </x:c>
      <x:c r="S1069" s="20" t="str">
        <x:f>IF(D1069&lt;E1069,"closed",IF(D1069&lt;'Paths'!$N$18,"initial","expanded"))</x:f>
        <x:v>expanded</x:v>
      </x:c>
      <x:c r="T1069" s="72"/>
    </x:row>
    <x:row r="1070">
      <x:c r="C1070" s="20" t="str">
        <x:v>P11</x:v>
      </x:c>
      <x:c r="D1070" s="20" t="n">
        <x:v>62</x:v>
      </x:c>
      <x:c r="E1070" s="45" t="n">
        <x:f>IF('Controls'!$D$7="Reference",'Paths'!$J$18,'Paths'!$K$18)</x:f>
        <x:v>2</x:v>
      </x:c>
      <x:c r="F1070" s="47" t="n">
        <x:f>IF(D1070&lt;'Paths'!$N$18,IF('Controls'!$D$7="Reference",'Paths'!$L$18,'Paths'!$M$18),IF('Controls'!$D$7="Reference",'Paths'!$O$18,'Paths'!$P$18))</x:f>
        <x:v>22000</x:v>
      </x:c>
      <x:c r="G1070" s="46" t="n">
        <x:f>IF('Controls'!$D$7="Reference",1,IF(OR(D1070=6,D1070=7,D1070=21,D1070=46),'Paths'!$U$18,1))</x:f>
        <x:v>1</x:v>
      </x:c>
      <x:c r="H1070" s="46" t="n">
        <x:f>IF('Controls'!$D$7="Reference",1,IF(OR(AND(D1070&gt;=14,D1070&lt;=16),AND(D1070&gt;=34,D1070&lt;=35),AND(D1070&gt;=61,D1070&lt;=63)),'Paths'!$V$18,1))</x:f>
        <x:v>0.6</x:v>
      </x:c>
      <x:c r="I1070" s="46" t="n">
        <x:f>'Paths'!$W$18</x:f>
        <x:v>0.92</x:v>
      </x:c>
      <x:c r="J1070" s="47" t="n">
        <x:f>IF(D1070&lt;E1070,0,MIN(F1070*G1070*H1070*I1070,IF('Paths'!$T$18&gt;0,MAX(0,'Paths'!$T$18-K1069),1000000000)))</x:f>
        <x:v>12144</x:v>
      </x:c>
      <x:c r="K1070" s="47" t="n">
        <x:f>K1069+J1070</x:f>
        <x:v>1120560</x:v>
      </x:c>
      <x:c r="L1070" s="46" t="n">
        <x:f>IF(C1070="P0",1,IF(D1070&lt;=3,0.8,IF(D1070&lt;=14,0.65,IF(D1070&lt;=45,0.5,0.3))))</x:f>
        <x:v>0.3</x:v>
      </x:c>
      <x:c r="M1070" s="47" t="n">
        <x:f>J1070*L1070</x:f>
        <x:v>3643.2</x:v>
      </x:c>
      <x:c r="N1070" s="47" t="n">
        <x:f>N1069+M1070</x:f>
        <x:v>530232.7999999999</x:v>
      </x:c>
      <x:c r="O1070" s="46" t="n">
        <x:f>IF(C1070="P0",0,IF(D1070&lt;=3,0.15,IF(D1070&lt;=14,0.25,IF(D1070&lt;=45,0.35,0.5))))</x:f>
        <x:v>0.5</x:v>
      </x:c>
      <x:c r="P1070" s="47" t="n">
        <x:f>J1070*O1070</x:f>
        <x:v>6072</x:v>
      </x:c>
      <x:c r="Q1070" s="46" t="n">
        <x:f>IF(C1070="P0",0,IF(D1070&lt;=3,0.05,IF(D1070&lt;=14,0.1,IF(D1070&lt;=45,0.15,0.2))))</x:f>
        <x:v>0.2</x:v>
      </x:c>
      <x:c r="R1070" s="47" t="n">
        <x:f>J1070*Q1070</x:f>
        <x:v>2428.8</x:v>
      </x:c>
      <x:c r="S1070" s="20" t="str">
        <x:f>IF(D1070&lt;E1070,"closed",IF(D1070&lt;'Paths'!$N$18,"initial","expanded"))</x:f>
        <x:v>expanded</x:v>
      </x:c>
      <x:c r="T1070" s="72"/>
    </x:row>
    <x:row r="1071">
      <x:c r="C1071" s="20" t="str">
        <x:v>P11</x:v>
      </x:c>
      <x:c r="D1071" s="20" t="n">
        <x:v>63</x:v>
      </x:c>
      <x:c r="E1071" s="45" t="n">
        <x:f>IF('Controls'!$D$7="Reference",'Paths'!$J$18,'Paths'!$K$18)</x:f>
        <x:v>2</x:v>
      </x:c>
      <x:c r="F1071" s="47" t="n">
        <x:f>IF(D1071&lt;'Paths'!$N$18,IF('Controls'!$D$7="Reference",'Paths'!$L$18,'Paths'!$M$18),IF('Controls'!$D$7="Reference",'Paths'!$O$18,'Paths'!$P$18))</x:f>
        <x:v>22000</x:v>
      </x:c>
      <x:c r="G1071" s="46" t="n">
        <x:f>IF('Controls'!$D$7="Reference",1,IF(OR(D1071=6,D1071=7,D1071=21,D1071=46),'Paths'!$U$18,1))</x:f>
        <x:v>1</x:v>
      </x:c>
      <x:c r="H1071" s="46" t="n">
        <x:f>IF('Controls'!$D$7="Reference",1,IF(OR(AND(D1071&gt;=14,D1071&lt;=16),AND(D1071&gt;=34,D1071&lt;=35),AND(D1071&gt;=61,D1071&lt;=63)),'Paths'!$V$18,1))</x:f>
        <x:v>0.6</x:v>
      </x:c>
      <x:c r="I1071" s="46" t="n">
        <x:f>'Paths'!$W$18</x:f>
        <x:v>0.92</x:v>
      </x:c>
      <x:c r="J1071" s="47" t="n">
        <x:f>IF(D1071&lt;E1071,0,MIN(F1071*G1071*H1071*I1071,IF('Paths'!$T$18&gt;0,MAX(0,'Paths'!$T$18-K1070),1000000000)))</x:f>
        <x:v>12144</x:v>
      </x:c>
      <x:c r="K1071" s="47" t="n">
        <x:f>K1070+J1071</x:f>
        <x:v>1132704</x:v>
      </x:c>
      <x:c r="L1071" s="46" t="n">
        <x:f>IF(C1071="P0",1,IF(D1071&lt;=3,0.8,IF(D1071&lt;=14,0.65,IF(D1071&lt;=45,0.5,0.3))))</x:f>
        <x:v>0.3</x:v>
      </x:c>
      <x:c r="M1071" s="47" t="n">
        <x:f>J1071*L1071</x:f>
        <x:v>3643.2</x:v>
      </x:c>
      <x:c r="N1071" s="47" t="n">
        <x:f>N1070+M1071</x:f>
        <x:v>533875.9999999999</x:v>
      </x:c>
      <x:c r="O1071" s="46" t="n">
        <x:f>IF(C1071="P0",0,IF(D1071&lt;=3,0.15,IF(D1071&lt;=14,0.25,IF(D1071&lt;=45,0.35,0.5))))</x:f>
        <x:v>0.5</x:v>
      </x:c>
      <x:c r="P1071" s="47" t="n">
        <x:f>J1071*O1071</x:f>
        <x:v>6072</x:v>
      </x:c>
      <x:c r="Q1071" s="46" t="n">
        <x:f>IF(C1071="P0",0,IF(D1071&lt;=3,0.05,IF(D1071&lt;=14,0.1,IF(D1071&lt;=45,0.15,0.2))))</x:f>
        <x:v>0.2</x:v>
      </x:c>
      <x:c r="R1071" s="47" t="n">
        <x:f>J1071*Q1071</x:f>
        <x:v>2428.8</x:v>
      </x:c>
      <x:c r="S1071" s="20" t="str">
        <x:f>IF(D1071&lt;E1071,"closed",IF(D1071&lt;'Paths'!$N$18,"initial","expanded"))</x:f>
        <x:v>expanded</x:v>
      </x:c>
      <x:c r="T1071" s="72"/>
    </x:row>
    <x:row r="1072">
      <x:c r="C1072" s="20" t="str">
        <x:v>P11</x:v>
      </x:c>
      <x:c r="D1072" s="20" t="n">
        <x:v>64</x:v>
      </x:c>
      <x:c r="E1072" s="45" t="n">
        <x:f>IF('Controls'!$D$7="Reference",'Paths'!$J$18,'Paths'!$K$18)</x:f>
        <x:v>2</x:v>
      </x:c>
      <x:c r="F1072" s="47" t="n">
        <x:f>IF(D1072&lt;'Paths'!$N$18,IF('Controls'!$D$7="Reference",'Paths'!$L$18,'Paths'!$M$18),IF('Controls'!$D$7="Reference",'Paths'!$O$18,'Paths'!$P$18))</x:f>
        <x:v>22000</x:v>
      </x:c>
      <x:c r="G1072" s="46" t="n">
        <x:f>IF('Controls'!$D$7="Reference",1,IF(OR(D1072=6,D1072=7,D1072=21,D1072=46),'Paths'!$U$18,1))</x:f>
        <x:v>1</x:v>
      </x:c>
      <x:c r="H1072" s="46" t="n">
        <x:f>IF('Controls'!$D$7="Reference",1,IF(OR(AND(D1072&gt;=14,D1072&lt;=16),AND(D1072&gt;=34,D1072&lt;=35),AND(D1072&gt;=61,D1072&lt;=63)),'Paths'!$V$18,1))</x:f>
        <x:v>1</x:v>
      </x:c>
      <x:c r="I1072" s="46" t="n">
        <x:f>'Paths'!$W$18</x:f>
        <x:v>0.92</x:v>
      </x:c>
      <x:c r="J1072" s="47" t="n">
        <x:f>IF(D1072&lt;E1072,0,MIN(F1072*G1072*H1072*I1072,IF('Paths'!$T$18&gt;0,MAX(0,'Paths'!$T$18-K1071),1000000000)))</x:f>
        <x:v>20240</x:v>
      </x:c>
      <x:c r="K1072" s="47" t="n">
        <x:f>K1071+J1072</x:f>
        <x:v>1152944</x:v>
      </x:c>
      <x:c r="L1072" s="46" t="n">
        <x:f>IF(C1072="P0",1,IF(D1072&lt;=3,0.8,IF(D1072&lt;=14,0.65,IF(D1072&lt;=45,0.5,0.3))))</x:f>
        <x:v>0.3</x:v>
      </x:c>
      <x:c r="M1072" s="47" t="n">
        <x:f>J1072*L1072</x:f>
        <x:v>6072</x:v>
      </x:c>
      <x:c r="N1072" s="47" t="n">
        <x:f>N1071+M1072</x:f>
        <x:v>539947.9999999999</x:v>
      </x:c>
      <x:c r="O1072" s="46" t="n">
        <x:f>IF(C1072="P0",0,IF(D1072&lt;=3,0.15,IF(D1072&lt;=14,0.25,IF(D1072&lt;=45,0.35,0.5))))</x:f>
        <x:v>0.5</x:v>
      </x:c>
      <x:c r="P1072" s="47" t="n">
        <x:f>J1072*O1072</x:f>
        <x:v>10120</x:v>
      </x:c>
      <x:c r="Q1072" s="46" t="n">
        <x:f>IF(C1072="P0",0,IF(D1072&lt;=3,0.05,IF(D1072&lt;=14,0.1,IF(D1072&lt;=45,0.15,0.2))))</x:f>
        <x:v>0.2</x:v>
      </x:c>
      <x:c r="R1072" s="47" t="n">
        <x:f>J1072*Q1072</x:f>
        <x:v>4048</x:v>
      </x:c>
      <x:c r="S1072" s="20" t="str">
        <x:f>IF(D1072&lt;E1072,"closed",IF(D1072&lt;'Paths'!$N$18,"initial","expanded"))</x:f>
        <x:v>expanded</x:v>
      </x:c>
      <x:c r="T1072" s="72"/>
    </x:row>
    <x:row r="1073">
      <x:c r="C1073" s="20" t="str">
        <x:v>P11</x:v>
      </x:c>
      <x:c r="D1073" s="20" t="n">
        <x:v>65</x:v>
      </x:c>
      <x:c r="E1073" s="45" t="n">
        <x:f>IF('Controls'!$D$7="Reference",'Paths'!$J$18,'Paths'!$K$18)</x:f>
        <x:v>2</x:v>
      </x:c>
      <x:c r="F1073" s="47" t="n">
        <x:f>IF(D1073&lt;'Paths'!$N$18,IF('Controls'!$D$7="Reference",'Paths'!$L$18,'Paths'!$M$18),IF('Controls'!$D$7="Reference",'Paths'!$O$18,'Paths'!$P$18))</x:f>
        <x:v>22000</x:v>
      </x:c>
      <x:c r="G1073" s="46" t="n">
        <x:f>IF('Controls'!$D$7="Reference",1,IF(OR(D1073=6,D1073=7,D1073=21,D1073=46),'Paths'!$U$18,1))</x:f>
        <x:v>1</x:v>
      </x:c>
      <x:c r="H1073" s="46" t="n">
        <x:f>IF('Controls'!$D$7="Reference",1,IF(OR(AND(D1073&gt;=14,D1073&lt;=16),AND(D1073&gt;=34,D1073&lt;=35),AND(D1073&gt;=61,D1073&lt;=63)),'Paths'!$V$18,1))</x:f>
        <x:v>1</x:v>
      </x:c>
      <x:c r="I1073" s="46" t="n">
        <x:f>'Paths'!$W$18</x:f>
        <x:v>0.92</x:v>
      </x:c>
      <x:c r="J1073" s="47" t="n">
        <x:f>IF(D1073&lt;E1073,0,MIN(F1073*G1073*H1073*I1073,IF('Paths'!$T$18&gt;0,MAX(0,'Paths'!$T$18-K1072),1000000000)))</x:f>
        <x:v>20240</x:v>
      </x:c>
      <x:c r="K1073" s="47" t="n">
        <x:f>K1072+J1073</x:f>
        <x:v>1173184</x:v>
      </x:c>
      <x:c r="L1073" s="46" t="n">
        <x:f>IF(C1073="P0",1,IF(D1073&lt;=3,0.8,IF(D1073&lt;=14,0.65,IF(D1073&lt;=45,0.5,0.3))))</x:f>
        <x:v>0.3</x:v>
      </x:c>
      <x:c r="M1073" s="47" t="n">
        <x:f>J1073*L1073</x:f>
        <x:v>6072</x:v>
      </x:c>
      <x:c r="N1073" s="47" t="n">
        <x:f>N1072+M1073</x:f>
        <x:v>546019.9999999999</x:v>
      </x:c>
      <x:c r="O1073" s="46" t="n">
        <x:f>IF(C1073="P0",0,IF(D1073&lt;=3,0.15,IF(D1073&lt;=14,0.25,IF(D1073&lt;=45,0.35,0.5))))</x:f>
        <x:v>0.5</x:v>
      </x:c>
      <x:c r="P1073" s="47" t="n">
        <x:f>J1073*O1073</x:f>
        <x:v>10120</x:v>
      </x:c>
      <x:c r="Q1073" s="46" t="n">
        <x:f>IF(C1073="P0",0,IF(D1073&lt;=3,0.05,IF(D1073&lt;=14,0.1,IF(D1073&lt;=45,0.15,0.2))))</x:f>
        <x:v>0.2</x:v>
      </x:c>
      <x:c r="R1073" s="47" t="n">
        <x:f>J1073*Q1073</x:f>
        <x:v>4048</x:v>
      </x:c>
      <x:c r="S1073" s="20" t="str">
        <x:f>IF(D1073&lt;E1073,"closed",IF(D1073&lt;'Paths'!$N$18,"initial","expanded"))</x:f>
        <x:v>expanded</x:v>
      </x:c>
      <x:c r="T1073" s="72"/>
    </x:row>
    <x:row r="1074">
      <x:c r="C1074" s="20" t="str">
        <x:v>P11</x:v>
      </x:c>
      <x:c r="D1074" s="20" t="n">
        <x:v>66</x:v>
      </x:c>
      <x:c r="E1074" s="45" t="n">
        <x:f>IF('Controls'!$D$7="Reference",'Paths'!$J$18,'Paths'!$K$18)</x:f>
        <x:v>2</x:v>
      </x:c>
      <x:c r="F1074" s="47" t="n">
        <x:f>IF(D1074&lt;'Paths'!$N$18,IF('Controls'!$D$7="Reference",'Paths'!$L$18,'Paths'!$M$18),IF('Controls'!$D$7="Reference",'Paths'!$O$18,'Paths'!$P$18))</x:f>
        <x:v>22000</x:v>
      </x:c>
      <x:c r="G1074" s="46" t="n">
        <x:f>IF('Controls'!$D$7="Reference",1,IF(OR(D1074=6,D1074=7,D1074=21,D1074=46),'Paths'!$U$18,1))</x:f>
        <x:v>1</x:v>
      </x:c>
      <x:c r="H1074" s="46" t="n">
        <x:f>IF('Controls'!$D$7="Reference",1,IF(OR(AND(D1074&gt;=14,D1074&lt;=16),AND(D1074&gt;=34,D1074&lt;=35),AND(D1074&gt;=61,D1074&lt;=63)),'Paths'!$V$18,1))</x:f>
        <x:v>1</x:v>
      </x:c>
      <x:c r="I1074" s="46" t="n">
        <x:f>'Paths'!$W$18</x:f>
        <x:v>0.92</x:v>
      </x:c>
      <x:c r="J1074" s="47" t="n">
        <x:f>IF(D1074&lt;E1074,0,MIN(F1074*G1074*H1074*I1074,IF('Paths'!$T$18&gt;0,MAX(0,'Paths'!$T$18-K1073),1000000000)))</x:f>
        <x:v>20240</x:v>
      </x:c>
      <x:c r="K1074" s="47" t="n">
        <x:f>K1073+J1074</x:f>
        <x:v>1193424</x:v>
      </x:c>
      <x:c r="L1074" s="46" t="n">
        <x:f>IF(C1074="P0",1,IF(D1074&lt;=3,0.8,IF(D1074&lt;=14,0.65,IF(D1074&lt;=45,0.5,0.3))))</x:f>
        <x:v>0.3</x:v>
      </x:c>
      <x:c r="M1074" s="47" t="n">
        <x:f>J1074*L1074</x:f>
        <x:v>6072</x:v>
      </x:c>
      <x:c r="N1074" s="47" t="n">
        <x:f>N1073+M1074</x:f>
        <x:v>552091.9999999999</x:v>
      </x:c>
      <x:c r="O1074" s="46" t="n">
        <x:f>IF(C1074="P0",0,IF(D1074&lt;=3,0.15,IF(D1074&lt;=14,0.25,IF(D1074&lt;=45,0.35,0.5))))</x:f>
        <x:v>0.5</x:v>
      </x:c>
      <x:c r="P1074" s="47" t="n">
        <x:f>J1074*O1074</x:f>
        <x:v>10120</x:v>
      </x:c>
      <x:c r="Q1074" s="46" t="n">
        <x:f>IF(C1074="P0",0,IF(D1074&lt;=3,0.05,IF(D1074&lt;=14,0.1,IF(D1074&lt;=45,0.15,0.2))))</x:f>
        <x:v>0.2</x:v>
      </x:c>
      <x:c r="R1074" s="47" t="n">
        <x:f>J1074*Q1074</x:f>
        <x:v>4048</x:v>
      </x:c>
      <x:c r="S1074" s="20" t="str">
        <x:f>IF(D1074&lt;E1074,"closed",IF(D1074&lt;'Paths'!$N$18,"initial","expanded"))</x:f>
        <x:v>expanded</x:v>
      </x:c>
      <x:c r="T1074" s="72"/>
    </x:row>
    <x:row r="1075">
      <x:c r="C1075" s="20" t="str">
        <x:v>P11</x:v>
      </x:c>
      <x:c r="D1075" s="20" t="n">
        <x:v>67</x:v>
      </x:c>
      <x:c r="E1075" s="45" t="n">
        <x:f>IF('Controls'!$D$7="Reference",'Paths'!$J$18,'Paths'!$K$18)</x:f>
        <x:v>2</x:v>
      </x:c>
      <x:c r="F1075" s="47" t="n">
        <x:f>IF(D1075&lt;'Paths'!$N$18,IF('Controls'!$D$7="Reference",'Paths'!$L$18,'Paths'!$M$18),IF('Controls'!$D$7="Reference",'Paths'!$O$18,'Paths'!$P$18))</x:f>
        <x:v>22000</x:v>
      </x:c>
      <x:c r="G1075" s="46" t="n">
        <x:f>IF('Controls'!$D$7="Reference",1,IF(OR(D1075=6,D1075=7,D1075=21,D1075=46),'Paths'!$U$18,1))</x:f>
        <x:v>1</x:v>
      </x:c>
      <x:c r="H1075" s="46" t="n">
        <x:f>IF('Controls'!$D$7="Reference",1,IF(OR(AND(D1075&gt;=14,D1075&lt;=16),AND(D1075&gt;=34,D1075&lt;=35),AND(D1075&gt;=61,D1075&lt;=63)),'Paths'!$V$18,1))</x:f>
        <x:v>1</x:v>
      </x:c>
      <x:c r="I1075" s="46" t="n">
        <x:f>'Paths'!$W$18</x:f>
        <x:v>0.92</x:v>
      </x:c>
      <x:c r="J1075" s="47" t="n">
        <x:f>IF(D1075&lt;E1075,0,MIN(F1075*G1075*H1075*I1075,IF('Paths'!$T$18&gt;0,MAX(0,'Paths'!$T$18-K1074),1000000000)))</x:f>
        <x:v>20240</x:v>
      </x:c>
      <x:c r="K1075" s="47" t="n">
        <x:f>K1074+J1075</x:f>
        <x:v>1213664</x:v>
      </x:c>
      <x:c r="L1075" s="46" t="n">
        <x:f>IF(C1075="P0",1,IF(D1075&lt;=3,0.8,IF(D1075&lt;=14,0.65,IF(D1075&lt;=45,0.5,0.3))))</x:f>
        <x:v>0.3</x:v>
      </x:c>
      <x:c r="M1075" s="47" t="n">
        <x:f>J1075*L1075</x:f>
        <x:v>6072</x:v>
      </x:c>
      <x:c r="N1075" s="47" t="n">
        <x:f>N1074+M1075</x:f>
        <x:v>558163.9999999999</x:v>
      </x:c>
      <x:c r="O1075" s="46" t="n">
        <x:f>IF(C1075="P0",0,IF(D1075&lt;=3,0.15,IF(D1075&lt;=14,0.25,IF(D1075&lt;=45,0.35,0.5))))</x:f>
        <x:v>0.5</x:v>
      </x:c>
      <x:c r="P1075" s="47" t="n">
        <x:f>J1075*O1075</x:f>
        <x:v>10120</x:v>
      </x:c>
      <x:c r="Q1075" s="46" t="n">
        <x:f>IF(C1075="P0",0,IF(D1075&lt;=3,0.05,IF(D1075&lt;=14,0.1,IF(D1075&lt;=45,0.15,0.2))))</x:f>
        <x:v>0.2</x:v>
      </x:c>
      <x:c r="R1075" s="47" t="n">
        <x:f>J1075*Q1075</x:f>
        <x:v>4048</x:v>
      </x:c>
      <x:c r="S1075" s="20" t="str">
        <x:f>IF(D1075&lt;E1075,"closed",IF(D1075&lt;'Paths'!$N$18,"initial","expanded"))</x:f>
        <x:v>expanded</x:v>
      </x:c>
      <x:c r="T1075" s="72"/>
    </x:row>
    <x:row r="1076">
      <x:c r="C1076" s="20" t="str">
        <x:v>P11</x:v>
      </x:c>
      <x:c r="D1076" s="20" t="n">
        <x:v>68</x:v>
      </x:c>
      <x:c r="E1076" s="45" t="n">
        <x:f>IF('Controls'!$D$7="Reference",'Paths'!$J$18,'Paths'!$K$18)</x:f>
        <x:v>2</x:v>
      </x:c>
      <x:c r="F1076" s="47" t="n">
        <x:f>IF(D1076&lt;'Paths'!$N$18,IF('Controls'!$D$7="Reference",'Paths'!$L$18,'Paths'!$M$18),IF('Controls'!$D$7="Reference",'Paths'!$O$18,'Paths'!$P$18))</x:f>
        <x:v>22000</x:v>
      </x:c>
      <x:c r="G1076" s="46" t="n">
        <x:f>IF('Controls'!$D$7="Reference",1,IF(OR(D1076=6,D1076=7,D1076=21,D1076=46),'Paths'!$U$18,1))</x:f>
        <x:v>1</x:v>
      </x:c>
      <x:c r="H1076" s="46" t="n">
        <x:f>IF('Controls'!$D$7="Reference",1,IF(OR(AND(D1076&gt;=14,D1076&lt;=16),AND(D1076&gt;=34,D1076&lt;=35),AND(D1076&gt;=61,D1076&lt;=63)),'Paths'!$V$18,1))</x:f>
        <x:v>1</x:v>
      </x:c>
      <x:c r="I1076" s="46" t="n">
        <x:f>'Paths'!$W$18</x:f>
        <x:v>0.92</x:v>
      </x:c>
      <x:c r="J1076" s="47" t="n">
        <x:f>IF(D1076&lt;E1076,0,MIN(F1076*G1076*H1076*I1076,IF('Paths'!$T$18&gt;0,MAX(0,'Paths'!$T$18-K1075),1000000000)))</x:f>
        <x:v>20240</x:v>
      </x:c>
      <x:c r="K1076" s="47" t="n">
        <x:f>K1075+J1076</x:f>
        <x:v>1233904</x:v>
      </x:c>
      <x:c r="L1076" s="46" t="n">
        <x:f>IF(C1076="P0",1,IF(D1076&lt;=3,0.8,IF(D1076&lt;=14,0.65,IF(D1076&lt;=45,0.5,0.3))))</x:f>
        <x:v>0.3</x:v>
      </x:c>
      <x:c r="M1076" s="47" t="n">
        <x:f>J1076*L1076</x:f>
        <x:v>6072</x:v>
      </x:c>
      <x:c r="N1076" s="47" t="n">
        <x:f>N1075+M1076</x:f>
        <x:v>564235.9999999999</x:v>
      </x:c>
      <x:c r="O1076" s="46" t="n">
        <x:f>IF(C1076="P0",0,IF(D1076&lt;=3,0.15,IF(D1076&lt;=14,0.25,IF(D1076&lt;=45,0.35,0.5))))</x:f>
        <x:v>0.5</x:v>
      </x:c>
      <x:c r="P1076" s="47" t="n">
        <x:f>J1076*O1076</x:f>
        <x:v>10120</x:v>
      </x:c>
      <x:c r="Q1076" s="46" t="n">
        <x:f>IF(C1076="P0",0,IF(D1076&lt;=3,0.05,IF(D1076&lt;=14,0.1,IF(D1076&lt;=45,0.15,0.2))))</x:f>
        <x:v>0.2</x:v>
      </x:c>
      <x:c r="R1076" s="47" t="n">
        <x:f>J1076*Q1076</x:f>
        <x:v>4048</x:v>
      </x:c>
      <x:c r="S1076" s="20" t="str">
        <x:f>IF(D1076&lt;E1076,"closed",IF(D1076&lt;'Paths'!$N$18,"initial","expanded"))</x:f>
        <x:v>expanded</x:v>
      </x:c>
      <x:c r="T1076" s="72"/>
    </x:row>
    <x:row r="1077">
      <x:c r="C1077" s="20" t="str">
        <x:v>P11</x:v>
      </x:c>
      <x:c r="D1077" s="20" t="n">
        <x:v>69</x:v>
      </x:c>
      <x:c r="E1077" s="45" t="n">
        <x:f>IF('Controls'!$D$7="Reference",'Paths'!$J$18,'Paths'!$K$18)</x:f>
        <x:v>2</x:v>
      </x:c>
      <x:c r="F1077" s="47" t="n">
        <x:f>IF(D1077&lt;'Paths'!$N$18,IF('Controls'!$D$7="Reference",'Paths'!$L$18,'Paths'!$M$18),IF('Controls'!$D$7="Reference",'Paths'!$O$18,'Paths'!$P$18))</x:f>
        <x:v>22000</x:v>
      </x:c>
      <x:c r="G1077" s="46" t="n">
        <x:f>IF('Controls'!$D$7="Reference",1,IF(OR(D1077=6,D1077=7,D1077=21,D1077=46),'Paths'!$U$18,1))</x:f>
        <x:v>1</x:v>
      </x:c>
      <x:c r="H1077" s="46" t="n">
        <x:f>IF('Controls'!$D$7="Reference",1,IF(OR(AND(D1077&gt;=14,D1077&lt;=16),AND(D1077&gt;=34,D1077&lt;=35),AND(D1077&gt;=61,D1077&lt;=63)),'Paths'!$V$18,1))</x:f>
        <x:v>1</x:v>
      </x:c>
      <x:c r="I1077" s="46" t="n">
        <x:f>'Paths'!$W$18</x:f>
        <x:v>0.92</x:v>
      </x:c>
      <x:c r="J1077" s="47" t="n">
        <x:f>IF(D1077&lt;E1077,0,MIN(F1077*G1077*H1077*I1077,IF('Paths'!$T$18&gt;0,MAX(0,'Paths'!$T$18-K1076),1000000000)))</x:f>
        <x:v>20240</x:v>
      </x:c>
      <x:c r="K1077" s="47" t="n">
        <x:f>K1076+J1077</x:f>
        <x:v>1254144</x:v>
      </x:c>
      <x:c r="L1077" s="46" t="n">
        <x:f>IF(C1077="P0",1,IF(D1077&lt;=3,0.8,IF(D1077&lt;=14,0.65,IF(D1077&lt;=45,0.5,0.3))))</x:f>
        <x:v>0.3</x:v>
      </x:c>
      <x:c r="M1077" s="47" t="n">
        <x:f>J1077*L1077</x:f>
        <x:v>6072</x:v>
      </x:c>
      <x:c r="N1077" s="47" t="n">
        <x:f>N1076+M1077</x:f>
        <x:v>570307.9999999999</x:v>
      </x:c>
      <x:c r="O1077" s="46" t="n">
        <x:f>IF(C1077="P0",0,IF(D1077&lt;=3,0.15,IF(D1077&lt;=14,0.25,IF(D1077&lt;=45,0.35,0.5))))</x:f>
        <x:v>0.5</x:v>
      </x:c>
      <x:c r="P1077" s="47" t="n">
        <x:f>J1077*O1077</x:f>
        <x:v>10120</x:v>
      </x:c>
      <x:c r="Q1077" s="46" t="n">
        <x:f>IF(C1077="P0",0,IF(D1077&lt;=3,0.05,IF(D1077&lt;=14,0.1,IF(D1077&lt;=45,0.15,0.2))))</x:f>
        <x:v>0.2</x:v>
      </x:c>
      <x:c r="R1077" s="47" t="n">
        <x:f>J1077*Q1077</x:f>
        <x:v>4048</x:v>
      </x:c>
      <x:c r="S1077" s="20" t="str">
        <x:f>IF(D1077&lt;E1077,"closed",IF(D1077&lt;'Paths'!$N$18,"initial","expanded"))</x:f>
        <x:v>expanded</x:v>
      </x:c>
      <x:c r="T1077" s="72"/>
    </x:row>
    <x:row r="1078">
      <x:c r="C1078" s="20" t="str">
        <x:v>P11</x:v>
      </x:c>
      <x:c r="D1078" s="20" t="n">
        <x:v>70</x:v>
      </x:c>
      <x:c r="E1078" s="45" t="n">
        <x:f>IF('Controls'!$D$7="Reference",'Paths'!$J$18,'Paths'!$K$18)</x:f>
        <x:v>2</x:v>
      </x:c>
      <x:c r="F1078" s="47" t="n">
        <x:f>IF(D1078&lt;'Paths'!$N$18,IF('Controls'!$D$7="Reference",'Paths'!$L$18,'Paths'!$M$18),IF('Controls'!$D$7="Reference",'Paths'!$O$18,'Paths'!$P$18))</x:f>
        <x:v>22000</x:v>
      </x:c>
      <x:c r="G1078" s="46" t="n">
        <x:f>IF('Controls'!$D$7="Reference",1,IF(OR(D1078=6,D1078=7,D1078=21,D1078=46),'Paths'!$U$18,1))</x:f>
        <x:v>1</x:v>
      </x:c>
      <x:c r="H1078" s="46" t="n">
        <x:f>IF('Controls'!$D$7="Reference",1,IF(OR(AND(D1078&gt;=14,D1078&lt;=16),AND(D1078&gt;=34,D1078&lt;=35),AND(D1078&gt;=61,D1078&lt;=63)),'Paths'!$V$18,1))</x:f>
        <x:v>1</x:v>
      </x:c>
      <x:c r="I1078" s="46" t="n">
        <x:f>'Paths'!$W$18</x:f>
        <x:v>0.92</x:v>
      </x:c>
      <x:c r="J1078" s="47" t="n">
        <x:f>IF(D1078&lt;E1078,0,MIN(F1078*G1078*H1078*I1078,IF('Paths'!$T$18&gt;0,MAX(0,'Paths'!$T$18-K1077),1000000000)))</x:f>
        <x:v>20240</x:v>
      </x:c>
      <x:c r="K1078" s="47" t="n">
        <x:f>K1077+J1078</x:f>
        <x:v>1274384</x:v>
      </x:c>
      <x:c r="L1078" s="46" t="n">
        <x:f>IF(C1078="P0",1,IF(D1078&lt;=3,0.8,IF(D1078&lt;=14,0.65,IF(D1078&lt;=45,0.5,0.3))))</x:f>
        <x:v>0.3</x:v>
      </x:c>
      <x:c r="M1078" s="47" t="n">
        <x:f>J1078*L1078</x:f>
        <x:v>6072</x:v>
      </x:c>
      <x:c r="N1078" s="47" t="n">
        <x:f>N1077+M1078</x:f>
        <x:v>576379.9999999999</x:v>
      </x:c>
      <x:c r="O1078" s="46" t="n">
        <x:f>IF(C1078="P0",0,IF(D1078&lt;=3,0.15,IF(D1078&lt;=14,0.25,IF(D1078&lt;=45,0.35,0.5))))</x:f>
        <x:v>0.5</x:v>
      </x:c>
      <x:c r="P1078" s="47" t="n">
        <x:f>J1078*O1078</x:f>
        <x:v>10120</x:v>
      </x:c>
      <x:c r="Q1078" s="46" t="n">
        <x:f>IF(C1078="P0",0,IF(D1078&lt;=3,0.05,IF(D1078&lt;=14,0.1,IF(D1078&lt;=45,0.15,0.2))))</x:f>
        <x:v>0.2</x:v>
      </x:c>
      <x:c r="R1078" s="47" t="n">
        <x:f>J1078*Q1078</x:f>
        <x:v>4048</x:v>
      </x:c>
      <x:c r="S1078" s="20" t="str">
        <x:f>IF(D1078&lt;E1078,"closed",IF(D1078&lt;'Paths'!$N$18,"initial","expanded"))</x:f>
        <x:v>expanded</x:v>
      </x:c>
      <x:c r="T1078" s="72"/>
    </x:row>
    <x:row r="1079">
      <x:c r="C1079" s="20" t="str">
        <x:v>P11</x:v>
      </x:c>
      <x:c r="D1079" s="20" t="n">
        <x:v>71</x:v>
      </x:c>
      <x:c r="E1079" s="45" t="n">
        <x:f>IF('Controls'!$D$7="Reference",'Paths'!$J$18,'Paths'!$K$18)</x:f>
        <x:v>2</x:v>
      </x:c>
      <x:c r="F1079" s="47" t="n">
        <x:f>IF(D1079&lt;'Paths'!$N$18,IF('Controls'!$D$7="Reference",'Paths'!$L$18,'Paths'!$M$18),IF('Controls'!$D$7="Reference",'Paths'!$O$18,'Paths'!$P$18))</x:f>
        <x:v>22000</x:v>
      </x:c>
      <x:c r="G1079" s="46" t="n">
        <x:f>IF('Controls'!$D$7="Reference",1,IF(OR(D1079=6,D1079=7,D1079=21,D1079=46),'Paths'!$U$18,1))</x:f>
        <x:v>1</x:v>
      </x:c>
      <x:c r="H1079" s="46" t="n">
        <x:f>IF('Controls'!$D$7="Reference",1,IF(OR(AND(D1079&gt;=14,D1079&lt;=16),AND(D1079&gt;=34,D1079&lt;=35),AND(D1079&gt;=61,D1079&lt;=63)),'Paths'!$V$18,1))</x:f>
        <x:v>1</x:v>
      </x:c>
      <x:c r="I1079" s="46" t="n">
        <x:f>'Paths'!$W$18</x:f>
        <x:v>0.92</x:v>
      </x:c>
      <x:c r="J1079" s="47" t="n">
        <x:f>IF(D1079&lt;E1079,0,MIN(F1079*G1079*H1079*I1079,IF('Paths'!$T$18&gt;0,MAX(0,'Paths'!$T$18-K1078),1000000000)))</x:f>
        <x:v>20240</x:v>
      </x:c>
      <x:c r="K1079" s="47" t="n">
        <x:f>K1078+J1079</x:f>
        <x:v>1294624</x:v>
      </x:c>
      <x:c r="L1079" s="46" t="n">
        <x:f>IF(C1079="P0",1,IF(D1079&lt;=3,0.8,IF(D1079&lt;=14,0.65,IF(D1079&lt;=45,0.5,0.3))))</x:f>
        <x:v>0.3</x:v>
      </x:c>
      <x:c r="M1079" s="47" t="n">
        <x:f>J1079*L1079</x:f>
        <x:v>6072</x:v>
      </x:c>
      <x:c r="N1079" s="47" t="n">
        <x:f>N1078+M1079</x:f>
        <x:v>582451.9999999999</x:v>
      </x:c>
      <x:c r="O1079" s="46" t="n">
        <x:f>IF(C1079="P0",0,IF(D1079&lt;=3,0.15,IF(D1079&lt;=14,0.25,IF(D1079&lt;=45,0.35,0.5))))</x:f>
        <x:v>0.5</x:v>
      </x:c>
      <x:c r="P1079" s="47" t="n">
        <x:f>J1079*O1079</x:f>
        <x:v>10120</x:v>
      </x:c>
      <x:c r="Q1079" s="46" t="n">
        <x:f>IF(C1079="P0",0,IF(D1079&lt;=3,0.05,IF(D1079&lt;=14,0.1,IF(D1079&lt;=45,0.15,0.2))))</x:f>
        <x:v>0.2</x:v>
      </x:c>
      <x:c r="R1079" s="47" t="n">
        <x:f>J1079*Q1079</x:f>
        <x:v>4048</x:v>
      </x:c>
      <x:c r="S1079" s="20" t="str">
        <x:f>IF(D1079&lt;E1079,"closed",IF(D1079&lt;'Paths'!$N$18,"initial","expanded"))</x:f>
        <x:v>expanded</x:v>
      </x:c>
      <x:c r="T1079" s="72"/>
    </x:row>
    <x:row r="1080">
      <x:c r="C1080" s="20" t="str">
        <x:v>P11</x:v>
      </x:c>
      <x:c r="D1080" s="20" t="n">
        <x:v>72</x:v>
      </x:c>
      <x:c r="E1080" s="45" t="n">
        <x:f>IF('Controls'!$D$7="Reference",'Paths'!$J$18,'Paths'!$K$18)</x:f>
        <x:v>2</x:v>
      </x:c>
      <x:c r="F1080" s="47" t="n">
        <x:f>IF(D1080&lt;'Paths'!$N$18,IF('Controls'!$D$7="Reference",'Paths'!$L$18,'Paths'!$M$18),IF('Controls'!$D$7="Reference",'Paths'!$O$18,'Paths'!$P$18))</x:f>
        <x:v>22000</x:v>
      </x:c>
      <x:c r="G1080" s="46" t="n">
        <x:f>IF('Controls'!$D$7="Reference",1,IF(OR(D1080=6,D1080=7,D1080=21,D1080=46),'Paths'!$U$18,1))</x:f>
        <x:v>1</x:v>
      </x:c>
      <x:c r="H1080" s="46" t="n">
        <x:f>IF('Controls'!$D$7="Reference",1,IF(OR(AND(D1080&gt;=14,D1080&lt;=16),AND(D1080&gt;=34,D1080&lt;=35),AND(D1080&gt;=61,D1080&lt;=63)),'Paths'!$V$18,1))</x:f>
        <x:v>1</x:v>
      </x:c>
      <x:c r="I1080" s="46" t="n">
        <x:f>'Paths'!$W$18</x:f>
        <x:v>0.92</x:v>
      </x:c>
      <x:c r="J1080" s="47" t="n">
        <x:f>IF(D1080&lt;E1080,0,MIN(F1080*G1080*H1080*I1080,IF('Paths'!$T$18&gt;0,MAX(0,'Paths'!$T$18-K1079),1000000000)))</x:f>
        <x:v>20240</x:v>
      </x:c>
      <x:c r="K1080" s="47" t="n">
        <x:f>K1079+J1080</x:f>
        <x:v>1314864</x:v>
      </x:c>
      <x:c r="L1080" s="46" t="n">
        <x:f>IF(C1080="P0",1,IF(D1080&lt;=3,0.8,IF(D1080&lt;=14,0.65,IF(D1080&lt;=45,0.5,0.3))))</x:f>
        <x:v>0.3</x:v>
      </x:c>
      <x:c r="M1080" s="47" t="n">
        <x:f>J1080*L1080</x:f>
        <x:v>6072</x:v>
      </x:c>
      <x:c r="N1080" s="47" t="n">
        <x:f>N1079+M1080</x:f>
        <x:v>588523.9999999999</x:v>
      </x:c>
      <x:c r="O1080" s="46" t="n">
        <x:f>IF(C1080="P0",0,IF(D1080&lt;=3,0.15,IF(D1080&lt;=14,0.25,IF(D1080&lt;=45,0.35,0.5))))</x:f>
        <x:v>0.5</x:v>
      </x:c>
      <x:c r="P1080" s="47" t="n">
        <x:f>J1080*O1080</x:f>
        <x:v>10120</x:v>
      </x:c>
      <x:c r="Q1080" s="46" t="n">
        <x:f>IF(C1080="P0",0,IF(D1080&lt;=3,0.05,IF(D1080&lt;=14,0.1,IF(D1080&lt;=45,0.15,0.2))))</x:f>
        <x:v>0.2</x:v>
      </x:c>
      <x:c r="R1080" s="47" t="n">
        <x:f>J1080*Q1080</x:f>
        <x:v>4048</x:v>
      </x:c>
      <x:c r="S1080" s="20" t="str">
        <x:f>IF(D1080&lt;E1080,"closed",IF(D1080&lt;'Paths'!$N$18,"initial","expanded"))</x:f>
        <x:v>expanded</x:v>
      </x:c>
      <x:c r="T1080" s="72"/>
    </x:row>
    <x:row r="1081">
      <x:c r="C1081" s="20" t="str">
        <x:v>P11</x:v>
      </x:c>
      <x:c r="D1081" s="20" t="n">
        <x:v>73</x:v>
      </x:c>
      <x:c r="E1081" s="45" t="n">
        <x:f>IF('Controls'!$D$7="Reference",'Paths'!$J$18,'Paths'!$K$18)</x:f>
        <x:v>2</x:v>
      </x:c>
      <x:c r="F1081" s="47" t="n">
        <x:f>IF(D1081&lt;'Paths'!$N$18,IF('Controls'!$D$7="Reference",'Paths'!$L$18,'Paths'!$M$18),IF('Controls'!$D$7="Reference",'Paths'!$O$18,'Paths'!$P$18))</x:f>
        <x:v>22000</x:v>
      </x:c>
      <x:c r="G1081" s="46" t="n">
        <x:f>IF('Controls'!$D$7="Reference",1,IF(OR(D1081=6,D1081=7,D1081=21,D1081=46),'Paths'!$U$18,1))</x:f>
        <x:v>1</x:v>
      </x:c>
      <x:c r="H1081" s="46" t="n">
        <x:f>IF('Controls'!$D$7="Reference",1,IF(OR(AND(D1081&gt;=14,D1081&lt;=16),AND(D1081&gt;=34,D1081&lt;=35),AND(D1081&gt;=61,D1081&lt;=63)),'Paths'!$V$18,1))</x:f>
        <x:v>1</x:v>
      </x:c>
      <x:c r="I1081" s="46" t="n">
        <x:f>'Paths'!$W$18</x:f>
        <x:v>0.92</x:v>
      </x:c>
      <x:c r="J1081" s="47" t="n">
        <x:f>IF(D1081&lt;E1081,0,MIN(F1081*G1081*H1081*I1081,IF('Paths'!$T$18&gt;0,MAX(0,'Paths'!$T$18-K1080),1000000000)))</x:f>
        <x:v>20240</x:v>
      </x:c>
      <x:c r="K1081" s="47" t="n">
        <x:f>K1080+J1081</x:f>
        <x:v>1335104</x:v>
      </x:c>
      <x:c r="L1081" s="46" t="n">
        <x:f>IF(C1081="P0",1,IF(D1081&lt;=3,0.8,IF(D1081&lt;=14,0.65,IF(D1081&lt;=45,0.5,0.3))))</x:f>
        <x:v>0.3</x:v>
      </x:c>
      <x:c r="M1081" s="47" t="n">
        <x:f>J1081*L1081</x:f>
        <x:v>6072</x:v>
      </x:c>
      <x:c r="N1081" s="47" t="n">
        <x:f>N1080+M1081</x:f>
        <x:v>594595.9999999999</x:v>
      </x:c>
      <x:c r="O1081" s="46" t="n">
        <x:f>IF(C1081="P0",0,IF(D1081&lt;=3,0.15,IF(D1081&lt;=14,0.25,IF(D1081&lt;=45,0.35,0.5))))</x:f>
        <x:v>0.5</x:v>
      </x:c>
      <x:c r="P1081" s="47" t="n">
        <x:f>J1081*O1081</x:f>
        <x:v>10120</x:v>
      </x:c>
      <x:c r="Q1081" s="46" t="n">
        <x:f>IF(C1081="P0",0,IF(D1081&lt;=3,0.05,IF(D1081&lt;=14,0.1,IF(D1081&lt;=45,0.15,0.2))))</x:f>
        <x:v>0.2</x:v>
      </x:c>
      <x:c r="R1081" s="47" t="n">
        <x:f>J1081*Q1081</x:f>
        <x:v>4048</x:v>
      </x:c>
      <x:c r="S1081" s="20" t="str">
        <x:f>IF(D1081&lt;E1081,"closed",IF(D1081&lt;'Paths'!$N$18,"initial","expanded"))</x:f>
        <x:v>expanded</x:v>
      </x:c>
      <x:c r="T1081" s="72"/>
    </x:row>
    <x:row r="1082">
      <x:c r="C1082" s="20" t="str">
        <x:v>P11</x:v>
      </x:c>
      <x:c r="D1082" s="20" t="n">
        <x:v>74</x:v>
      </x:c>
      <x:c r="E1082" s="45" t="n">
        <x:f>IF('Controls'!$D$7="Reference",'Paths'!$J$18,'Paths'!$K$18)</x:f>
        <x:v>2</x:v>
      </x:c>
      <x:c r="F1082" s="47" t="n">
        <x:f>IF(D1082&lt;'Paths'!$N$18,IF('Controls'!$D$7="Reference",'Paths'!$L$18,'Paths'!$M$18),IF('Controls'!$D$7="Reference",'Paths'!$O$18,'Paths'!$P$18))</x:f>
        <x:v>22000</x:v>
      </x:c>
      <x:c r="G1082" s="46" t="n">
        <x:f>IF('Controls'!$D$7="Reference",1,IF(OR(D1082=6,D1082=7,D1082=21,D1082=46),'Paths'!$U$18,1))</x:f>
        <x:v>1</x:v>
      </x:c>
      <x:c r="H1082" s="46" t="n">
        <x:f>IF('Controls'!$D$7="Reference",1,IF(OR(AND(D1082&gt;=14,D1082&lt;=16),AND(D1082&gt;=34,D1082&lt;=35),AND(D1082&gt;=61,D1082&lt;=63)),'Paths'!$V$18,1))</x:f>
        <x:v>1</x:v>
      </x:c>
      <x:c r="I1082" s="46" t="n">
        <x:f>'Paths'!$W$18</x:f>
        <x:v>0.92</x:v>
      </x:c>
      <x:c r="J1082" s="47" t="n">
        <x:f>IF(D1082&lt;E1082,0,MIN(F1082*G1082*H1082*I1082,IF('Paths'!$T$18&gt;0,MAX(0,'Paths'!$T$18-K1081),1000000000)))</x:f>
        <x:v>20240</x:v>
      </x:c>
      <x:c r="K1082" s="47" t="n">
        <x:f>K1081+J1082</x:f>
        <x:v>1355344</x:v>
      </x:c>
      <x:c r="L1082" s="46" t="n">
        <x:f>IF(C1082="P0",1,IF(D1082&lt;=3,0.8,IF(D1082&lt;=14,0.65,IF(D1082&lt;=45,0.5,0.3))))</x:f>
        <x:v>0.3</x:v>
      </x:c>
      <x:c r="M1082" s="47" t="n">
        <x:f>J1082*L1082</x:f>
        <x:v>6072</x:v>
      </x:c>
      <x:c r="N1082" s="47" t="n">
        <x:f>N1081+M1082</x:f>
        <x:v>600667.9999999999</x:v>
      </x:c>
      <x:c r="O1082" s="46" t="n">
        <x:f>IF(C1082="P0",0,IF(D1082&lt;=3,0.15,IF(D1082&lt;=14,0.25,IF(D1082&lt;=45,0.35,0.5))))</x:f>
        <x:v>0.5</x:v>
      </x:c>
      <x:c r="P1082" s="47" t="n">
        <x:f>J1082*O1082</x:f>
        <x:v>10120</x:v>
      </x:c>
      <x:c r="Q1082" s="46" t="n">
        <x:f>IF(C1082="P0",0,IF(D1082&lt;=3,0.05,IF(D1082&lt;=14,0.1,IF(D1082&lt;=45,0.15,0.2))))</x:f>
        <x:v>0.2</x:v>
      </x:c>
      <x:c r="R1082" s="47" t="n">
        <x:f>J1082*Q1082</x:f>
        <x:v>4048</x:v>
      </x:c>
      <x:c r="S1082" s="20" t="str">
        <x:f>IF(D1082&lt;E1082,"closed",IF(D1082&lt;'Paths'!$N$18,"initial","expanded"))</x:f>
        <x:v>expanded</x:v>
      </x:c>
      <x:c r="T1082" s="72"/>
    </x:row>
    <x:row r="1083">
      <x:c r="C1083" s="20" t="str">
        <x:v>P11</x:v>
      </x:c>
      <x:c r="D1083" s="20" t="n">
        <x:v>75</x:v>
      </x:c>
      <x:c r="E1083" s="45" t="n">
        <x:f>IF('Controls'!$D$7="Reference",'Paths'!$J$18,'Paths'!$K$18)</x:f>
        <x:v>2</x:v>
      </x:c>
      <x:c r="F1083" s="47" t="n">
        <x:f>IF(D1083&lt;'Paths'!$N$18,IF('Controls'!$D$7="Reference",'Paths'!$L$18,'Paths'!$M$18),IF('Controls'!$D$7="Reference",'Paths'!$O$18,'Paths'!$P$18))</x:f>
        <x:v>22000</x:v>
      </x:c>
      <x:c r="G1083" s="46" t="n">
        <x:f>IF('Controls'!$D$7="Reference",1,IF(OR(D1083=6,D1083=7,D1083=21,D1083=46),'Paths'!$U$18,1))</x:f>
        <x:v>1</x:v>
      </x:c>
      <x:c r="H1083" s="46" t="n">
        <x:f>IF('Controls'!$D$7="Reference",1,IF(OR(AND(D1083&gt;=14,D1083&lt;=16),AND(D1083&gt;=34,D1083&lt;=35),AND(D1083&gt;=61,D1083&lt;=63)),'Paths'!$V$18,1))</x:f>
        <x:v>1</x:v>
      </x:c>
      <x:c r="I1083" s="46" t="n">
        <x:f>'Paths'!$W$18</x:f>
        <x:v>0.92</x:v>
      </x:c>
      <x:c r="J1083" s="47" t="n">
        <x:f>IF(D1083&lt;E1083,0,MIN(F1083*G1083*H1083*I1083,IF('Paths'!$T$18&gt;0,MAX(0,'Paths'!$T$18-K1082),1000000000)))</x:f>
        <x:v>20240</x:v>
      </x:c>
      <x:c r="K1083" s="47" t="n">
        <x:f>K1082+J1083</x:f>
        <x:v>1375584</x:v>
      </x:c>
      <x:c r="L1083" s="46" t="n">
        <x:f>IF(C1083="P0",1,IF(D1083&lt;=3,0.8,IF(D1083&lt;=14,0.65,IF(D1083&lt;=45,0.5,0.3))))</x:f>
        <x:v>0.3</x:v>
      </x:c>
      <x:c r="M1083" s="47" t="n">
        <x:f>J1083*L1083</x:f>
        <x:v>6072</x:v>
      </x:c>
      <x:c r="N1083" s="47" t="n">
        <x:f>N1082+M1083</x:f>
        <x:v>606739.9999999999</x:v>
      </x:c>
      <x:c r="O1083" s="46" t="n">
        <x:f>IF(C1083="P0",0,IF(D1083&lt;=3,0.15,IF(D1083&lt;=14,0.25,IF(D1083&lt;=45,0.35,0.5))))</x:f>
        <x:v>0.5</x:v>
      </x:c>
      <x:c r="P1083" s="47" t="n">
        <x:f>J1083*O1083</x:f>
        <x:v>10120</x:v>
      </x:c>
      <x:c r="Q1083" s="46" t="n">
        <x:f>IF(C1083="P0",0,IF(D1083&lt;=3,0.05,IF(D1083&lt;=14,0.1,IF(D1083&lt;=45,0.15,0.2))))</x:f>
        <x:v>0.2</x:v>
      </x:c>
      <x:c r="R1083" s="47" t="n">
        <x:f>J1083*Q1083</x:f>
        <x:v>4048</x:v>
      </x:c>
      <x:c r="S1083" s="20" t="str">
        <x:f>IF(D1083&lt;E1083,"closed",IF(D1083&lt;'Paths'!$N$18,"initial","expanded"))</x:f>
        <x:v>expanded</x:v>
      </x:c>
      <x:c r="T1083" s="72"/>
    </x:row>
    <x:row r="1084">
      <x:c r="C1084" s="20" t="str">
        <x:v>P11</x:v>
      </x:c>
      <x:c r="D1084" s="20" t="n">
        <x:v>76</x:v>
      </x:c>
      <x:c r="E1084" s="45" t="n">
        <x:f>IF('Controls'!$D$7="Reference",'Paths'!$J$18,'Paths'!$K$18)</x:f>
        <x:v>2</x:v>
      </x:c>
      <x:c r="F1084" s="47" t="n">
        <x:f>IF(D1084&lt;'Paths'!$N$18,IF('Controls'!$D$7="Reference",'Paths'!$L$18,'Paths'!$M$18),IF('Controls'!$D$7="Reference",'Paths'!$O$18,'Paths'!$P$18))</x:f>
        <x:v>22000</x:v>
      </x:c>
      <x:c r="G1084" s="46" t="n">
        <x:f>IF('Controls'!$D$7="Reference",1,IF(OR(D1084=6,D1084=7,D1084=21,D1084=46),'Paths'!$U$18,1))</x:f>
        <x:v>1</x:v>
      </x:c>
      <x:c r="H1084" s="46" t="n">
        <x:f>IF('Controls'!$D$7="Reference",1,IF(OR(AND(D1084&gt;=14,D1084&lt;=16),AND(D1084&gt;=34,D1084&lt;=35),AND(D1084&gt;=61,D1084&lt;=63)),'Paths'!$V$18,1))</x:f>
        <x:v>1</x:v>
      </x:c>
      <x:c r="I1084" s="46" t="n">
        <x:f>'Paths'!$W$18</x:f>
        <x:v>0.92</x:v>
      </x:c>
      <x:c r="J1084" s="47" t="n">
        <x:f>IF(D1084&lt;E1084,0,MIN(F1084*G1084*H1084*I1084,IF('Paths'!$T$18&gt;0,MAX(0,'Paths'!$T$18-K1083),1000000000)))</x:f>
        <x:v>20240</x:v>
      </x:c>
      <x:c r="K1084" s="47" t="n">
        <x:f>K1083+J1084</x:f>
        <x:v>1395824</x:v>
      </x:c>
      <x:c r="L1084" s="46" t="n">
        <x:f>IF(C1084="P0",1,IF(D1084&lt;=3,0.8,IF(D1084&lt;=14,0.65,IF(D1084&lt;=45,0.5,0.3))))</x:f>
        <x:v>0.3</x:v>
      </x:c>
      <x:c r="M1084" s="47" t="n">
        <x:f>J1084*L1084</x:f>
        <x:v>6072</x:v>
      </x:c>
      <x:c r="N1084" s="47" t="n">
        <x:f>N1083+M1084</x:f>
        <x:v>612811.9999999999</x:v>
      </x:c>
      <x:c r="O1084" s="46" t="n">
        <x:f>IF(C1084="P0",0,IF(D1084&lt;=3,0.15,IF(D1084&lt;=14,0.25,IF(D1084&lt;=45,0.35,0.5))))</x:f>
        <x:v>0.5</x:v>
      </x:c>
      <x:c r="P1084" s="47" t="n">
        <x:f>J1084*O1084</x:f>
        <x:v>10120</x:v>
      </x:c>
      <x:c r="Q1084" s="46" t="n">
        <x:f>IF(C1084="P0",0,IF(D1084&lt;=3,0.05,IF(D1084&lt;=14,0.1,IF(D1084&lt;=45,0.15,0.2))))</x:f>
        <x:v>0.2</x:v>
      </x:c>
      <x:c r="R1084" s="47" t="n">
        <x:f>J1084*Q1084</x:f>
        <x:v>4048</x:v>
      </x:c>
      <x:c r="S1084" s="20" t="str">
        <x:f>IF(D1084&lt;E1084,"closed",IF(D1084&lt;'Paths'!$N$18,"initial","expanded"))</x:f>
        <x:v>expanded</x:v>
      </x:c>
      <x:c r="T1084" s="72"/>
    </x:row>
    <x:row r="1085">
      <x:c r="C1085" s="20" t="str">
        <x:v>P11</x:v>
      </x:c>
      <x:c r="D1085" s="20" t="n">
        <x:v>77</x:v>
      </x:c>
      <x:c r="E1085" s="45" t="n">
        <x:f>IF('Controls'!$D$7="Reference",'Paths'!$J$18,'Paths'!$K$18)</x:f>
        <x:v>2</x:v>
      </x:c>
      <x:c r="F1085" s="47" t="n">
        <x:f>IF(D1085&lt;'Paths'!$N$18,IF('Controls'!$D$7="Reference",'Paths'!$L$18,'Paths'!$M$18),IF('Controls'!$D$7="Reference",'Paths'!$O$18,'Paths'!$P$18))</x:f>
        <x:v>22000</x:v>
      </x:c>
      <x:c r="G1085" s="46" t="n">
        <x:f>IF('Controls'!$D$7="Reference",1,IF(OR(D1085=6,D1085=7,D1085=21,D1085=46),'Paths'!$U$18,1))</x:f>
        <x:v>1</x:v>
      </x:c>
      <x:c r="H1085" s="46" t="n">
        <x:f>IF('Controls'!$D$7="Reference",1,IF(OR(AND(D1085&gt;=14,D1085&lt;=16),AND(D1085&gt;=34,D1085&lt;=35),AND(D1085&gt;=61,D1085&lt;=63)),'Paths'!$V$18,1))</x:f>
        <x:v>1</x:v>
      </x:c>
      <x:c r="I1085" s="46" t="n">
        <x:f>'Paths'!$W$18</x:f>
        <x:v>0.92</x:v>
      </x:c>
      <x:c r="J1085" s="47" t="n">
        <x:f>IF(D1085&lt;E1085,0,MIN(F1085*G1085*H1085*I1085,IF('Paths'!$T$18&gt;0,MAX(0,'Paths'!$T$18-K1084),1000000000)))</x:f>
        <x:v>20240</x:v>
      </x:c>
      <x:c r="K1085" s="47" t="n">
        <x:f>K1084+J1085</x:f>
        <x:v>1416064</x:v>
      </x:c>
      <x:c r="L1085" s="46" t="n">
        <x:f>IF(C1085="P0",1,IF(D1085&lt;=3,0.8,IF(D1085&lt;=14,0.65,IF(D1085&lt;=45,0.5,0.3))))</x:f>
        <x:v>0.3</x:v>
      </x:c>
      <x:c r="M1085" s="47" t="n">
        <x:f>J1085*L1085</x:f>
        <x:v>6072</x:v>
      </x:c>
      <x:c r="N1085" s="47" t="n">
        <x:f>N1084+M1085</x:f>
        <x:v>618883.9999999999</x:v>
      </x:c>
      <x:c r="O1085" s="46" t="n">
        <x:f>IF(C1085="P0",0,IF(D1085&lt;=3,0.15,IF(D1085&lt;=14,0.25,IF(D1085&lt;=45,0.35,0.5))))</x:f>
        <x:v>0.5</x:v>
      </x:c>
      <x:c r="P1085" s="47" t="n">
        <x:f>J1085*O1085</x:f>
        <x:v>10120</x:v>
      </x:c>
      <x:c r="Q1085" s="46" t="n">
        <x:f>IF(C1085="P0",0,IF(D1085&lt;=3,0.05,IF(D1085&lt;=14,0.1,IF(D1085&lt;=45,0.15,0.2))))</x:f>
        <x:v>0.2</x:v>
      </x:c>
      <x:c r="R1085" s="47" t="n">
        <x:f>J1085*Q1085</x:f>
        <x:v>4048</x:v>
      </x:c>
      <x:c r="S1085" s="20" t="str">
        <x:f>IF(D1085&lt;E1085,"closed",IF(D1085&lt;'Paths'!$N$18,"initial","expanded"))</x:f>
        <x:v>expanded</x:v>
      </x:c>
      <x:c r="T1085" s="72"/>
    </x:row>
    <x:row r="1086">
      <x:c r="C1086" s="20" t="str">
        <x:v>P11</x:v>
      </x:c>
      <x:c r="D1086" s="20" t="n">
        <x:v>78</x:v>
      </x:c>
      <x:c r="E1086" s="45" t="n">
        <x:f>IF('Controls'!$D$7="Reference",'Paths'!$J$18,'Paths'!$K$18)</x:f>
        <x:v>2</x:v>
      </x:c>
      <x:c r="F1086" s="47" t="n">
        <x:f>IF(D1086&lt;'Paths'!$N$18,IF('Controls'!$D$7="Reference",'Paths'!$L$18,'Paths'!$M$18),IF('Controls'!$D$7="Reference",'Paths'!$O$18,'Paths'!$P$18))</x:f>
        <x:v>22000</x:v>
      </x:c>
      <x:c r="G1086" s="46" t="n">
        <x:f>IF('Controls'!$D$7="Reference",1,IF(OR(D1086=6,D1086=7,D1086=21,D1086=46),'Paths'!$U$18,1))</x:f>
        <x:v>1</x:v>
      </x:c>
      <x:c r="H1086" s="46" t="n">
        <x:f>IF('Controls'!$D$7="Reference",1,IF(OR(AND(D1086&gt;=14,D1086&lt;=16),AND(D1086&gt;=34,D1086&lt;=35),AND(D1086&gt;=61,D1086&lt;=63)),'Paths'!$V$18,1))</x:f>
        <x:v>1</x:v>
      </x:c>
      <x:c r="I1086" s="46" t="n">
        <x:f>'Paths'!$W$18</x:f>
        <x:v>0.92</x:v>
      </x:c>
      <x:c r="J1086" s="47" t="n">
        <x:f>IF(D1086&lt;E1086,0,MIN(F1086*G1086*H1086*I1086,IF('Paths'!$T$18&gt;0,MAX(0,'Paths'!$T$18-K1085),1000000000)))</x:f>
        <x:v>20240</x:v>
      </x:c>
      <x:c r="K1086" s="47" t="n">
        <x:f>K1085+J1086</x:f>
        <x:v>1436304</x:v>
      </x:c>
      <x:c r="L1086" s="46" t="n">
        <x:f>IF(C1086="P0",1,IF(D1086&lt;=3,0.8,IF(D1086&lt;=14,0.65,IF(D1086&lt;=45,0.5,0.3))))</x:f>
        <x:v>0.3</x:v>
      </x:c>
      <x:c r="M1086" s="47" t="n">
        <x:f>J1086*L1086</x:f>
        <x:v>6072</x:v>
      </x:c>
      <x:c r="N1086" s="47" t="n">
        <x:f>N1085+M1086</x:f>
        <x:v>624955.9999999999</x:v>
      </x:c>
      <x:c r="O1086" s="46" t="n">
        <x:f>IF(C1086="P0",0,IF(D1086&lt;=3,0.15,IF(D1086&lt;=14,0.25,IF(D1086&lt;=45,0.35,0.5))))</x:f>
        <x:v>0.5</x:v>
      </x:c>
      <x:c r="P1086" s="47" t="n">
        <x:f>J1086*O1086</x:f>
        <x:v>10120</x:v>
      </x:c>
      <x:c r="Q1086" s="46" t="n">
        <x:f>IF(C1086="P0",0,IF(D1086&lt;=3,0.05,IF(D1086&lt;=14,0.1,IF(D1086&lt;=45,0.15,0.2))))</x:f>
        <x:v>0.2</x:v>
      </x:c>
      <x:c r="R1086" s="47" t="n">
        <x:f>J1086*Q1086</x:f>
        <x:v>4048</x:v>
      </x:c>
      <x:c r="S1086" s="20" t="str">
        <x:f>IF(D1086&lt;E1086,"closed",IF(D1086&lt;'Paths'!$N$18,"initial","expanded"))</x:f>
        <x:v>expanded</x:v>
      </x:c>
      <x:c r="T1086" s="72"/>
    </x:row>
    <x:row r="1087">
      <x:c r="C1087" s="20" t="str">
        <x:v>P11</x:v>
      </x:c>
      <x:c r="D1087" s="20" t="n">
        <x:v>79</x:v>
      </x:c>
      <x:c r="E1087" s="45" t="n">
        <x:f>IF('Controls'!$D$7="Reference",'Paths'!$J$18,'Paths'!$K$18)</x:f>
        <x:v>2</x:v>
      </x:c>
      <x:c r="F1087" s="47" t="n">
        <x:f>IF(D1087&lt;'Paths'!$N$18,IF('Controls'!$D$7="Reference",'Paths'!$L$18,'Paths'!$M$18),IF('Controls'!$D$7="Reference",'Paths'!$O$18,'Paths'!$P$18))</x:f>
        <x:v>22000</x:v>
      </x:c>
      <x:c r="G1087" s="46" t="n">
        <x:f>IF('Controls'!$D$7="Reference",1,IF(OR(D1087=6,D1087=7,D1087=21,D1087=46),'Paths'!$U$18,1))</x:f>
        <x:v>1</x:v>
      </x:c>
      <x:c r="H1087" s="46" t="n">
        <x:f>IF('Controls'!$D$7="Reference",1,IF(OR(AND(D1087&gt;=14,D1087&lt;=16),AND(D1087&gt;=34,D1087&lt;=35),AND(D1087&gt;=61,D1087&lt;=63)),'Paths'!$V$18,1))</x:f>
        <x:v>1</x:v>
      </x:c>
      <x:c r="I1087" s="46" t="n">
        <x:f>'Paths'!$W$18</x:f>
        <x:v>0.92</x:v>
      </x:c>
      <x:c r="J1087" s="47" t="n">
        <x:f>IF(D1087&lt;E1087,0,MIN(F1087*G1087*H1087*I1087,IF('Paths'!$T$18&gt;0,MAX(0,'Paths'!$T$18-K1086),1000000000)))</x:f>
        <x:v>20240</x:v>
      </x:c>
      <x:c r="K1087" s="47" t="n">
        <x:f>K1086+J1087</x:f>
        <x:v>1456544</x:v>
      </x:c>
      <x:c r="L1087" s="46" t="n">
        <x:f>IF(C1087="P0",1,IF(D1087&lt;=3,0.8,IF(D1087&lt;=14,0.65,IF(D1087&lt;=45,0.5,0.3))))</x:f>
        <x:v>0.3</x:v>
      </x:c>
      <x:c r="M1087" s="47" t="n">
        <x:f>J1087*L1087</x:f>
        <x:v>6072</x:v>
      </x:c>
      <x:c r="N1087" s="47" t="n">
        <x:f>N1086+M1087</x:f>
        <x:v>631027.9999999999</x:v>
      </x:c>
      <x:c r="O1087" s="46" t="n">
        <x:f>IF(C1087="P0",0,IF(D1087&lt;=3,0.15,IF(D1087&lt;=14,0.25,IF(D1087&lt;=45,0.35,0.5))))</x:f>
        <x:v>0.5</x:v>
      </x:c>
      <x:c r="P1087" s="47" t="n">
        <x:f>J1087*O1087</x:f>
        <x:v>10120</x:v>
      </x:c>
      <x:c r="Q1087" s="46" t="n">
        <x:f>IF(C1087="P0",0,IF(D1087&lt;=3,0.05,IF(D1087&lt;=14,0.1,IF(D1087&lt;=45,0.15,0.2))))</x:f>
        <x:v>0.2</x:v>
      </x:c>
      <x:c r="R1087" s="47" t="n">
        <x:f>J1087*Q1087</x:f>
        <x:v>4048</x:v>
      </x:c>
      <x:c r="S1087" s="20" t="str">
        <x:f>IF(D1087&lt;E1087,"closed",IF(D1087&lt;'Paths'!$N$18,"initial","expanded"))</x:f>
        <x:v>expanded</x:v>
      </x:c>
      <x:c r="T1087" s="72"/>
    </x:row>
    <x:row r="1088">
      <x:c r="C1088" s="20" t="str">
        <x:v>P11</x:v>
      </x:c>
      <x:c r="D1088" s="20" t="n">
        <x:v>80</x:v>
      </x:c>
      <x:c r="E1088" s="45" t="n">
        <x:f>IF('Controls'!$D$7="Reference",'Paths'!$J$18,'Paths'!$K$18)</x:f>
        <x:v>2</x:v>
      </x:c>
      <x:c r="F1088" s="47" t="n">
        <x:f>IF(D1088&lt;'Paths'!$N$18,IF('Controls'!$D$7="Reference",'Paths'!$L$18,'Paths'!$M$18),IF('Controls'!$D$7="Reference",'Paths'!$O$18,'Paths'!$P$18))</x:f>
        <x:v>22000</x:v>
      </x:c>
      <x:c r="G1088" s="46" t="n">
        <x:f>IF('Controls'!$D$7="Reference",1,IF(OR(D1088=6,D1088=7,D1088=21,D1088=46),'Paths'!$U$18,1))</x:f>
        <x:v>1</x:v>
      </x:c>
      <x:c r="H1088" s="46" t="n">
        <x:f>IF('Controls'!$D$7="Reference",1,IF(OR(AND(D1088&gt;=14,D1088&lt;=16),AND(D1088&gt;=34,D1088&lt;=35),AND(D1088&gt;=61,D1088&lt;=63)),'Paths'!$V$18,1))</x:f>
        <x:v>1</x:v>
      </x:c>
      <x:c r="I1088" s="46" t="n">
        <x:f>'Paths'!$W$18</x:f>
        <x:v>0.92</x:v>
      </x:c>
      <x:c r="J1088" s="47" t="n">
        <x:f>IF(D1088&lt;E1088,0,MIN(F1088*G1088*H1088*I1088,IF('Paths'!$T$18&gt;0,MAX(0,'Paths'!$T$18-K1087),1000000000)))</x:f>
        <x:v>20240</x:v>
      </x:c>
      <x:c r="K1088" s="47" t="n">
        <x:f>K1087+J1088</x:f>
        <x:v>1476784</x:v>
      </x:c>
      <x:c r="L1088" s="46" t="n">
        <x:f>IF(C1088="P0",1,IF(D1088&lt;=3,0.8,IF(D1088&lt;=14,0.65,IF(D1088&lt;=45,0.5,0.3))))</x:f>
        <x:v>0.3</x:v>
      </x:c>
      <x:c r="M1088" s="47" t="n">
        <x:f>J1088*L1088</x:f>
        <x:v>6072</x:v>
      </x:c>
      <x:c r="N1088" s="47" t="n">
        <x:f>N1087+M1088</x:f>
        <x:v>637099.9999999999</x:v>
      </x:c>
      <x:c r="O1088" s="46" t="n">
        <x:f>IF(C1088="P0",0,IF(D1088&lt;=3,0.15,IF(D1088&lt;=14,0.25,IF(D1088&lt;=45,0.35,0.5))))</x:f>
        <x:v>0.5</x:v>
      </x:c>
      <x:c r="P1088" s="47" t="n">
        <x:f>J1088*O1088</x:f>
        <x:v>10120</x:v>
      </x:c>
      <x:c r="Q1088" s="46" t="n">
        <x:f>IF(C1088="P0",0,IF(D1088&lt;=3,0.05,IF(D1088&lt;=14,0.1,IF(D1088&lt;=45,0.15,0.2))))</x:f>
        <x:v>0.2</x:v>
      </x:c>
      <x:c r="R1088" s="47" t="n">
        <x:f>J1088*Q1088</x:f>
        <x:v>4048</x:v>
      </x:c>
      <x:c r="S1088" s="20" t="str">
        <x:f>IF(D1088&lt;E1088,"closed",IF(D1088&lt;'Paths'!$N$18,"initial","expanded"))</x:f>
        <x:v>expanded</x:v>
      </x:c>
      <x:c r="T1088" s="72"/>
    </x:row>
    <x:row r="1089">
      <x:c r="C1089" s="20" t="str">
        <x:v>P11</x:v>
      </x:c>
      <x:c r="D1089" s="20" t="n">
        <x:v>81</x:v>
      </x:c>
      <x:c r="E1089" s="45" t="n">
        <x:f>IF('Controls'!$D$7="Reference",'Paths'!$J$18,'Paths'!$K$18)</x:f>
        <x:v>2</x:v>
      </x:c>
      <x:c r="F1089" s="47" t="n">
        <x:f>IF(D1089&lt;'Paths'!$N$18,IF('Controls'!$D$7="Reference",'Paths'!$L$18,'Paths'!$M$18),IF('Controls'!$D$7="Reference",'Paths'!$O$18,'Paths'!$P$18))</x:f>
        <x:v>22000</x:v>
      </x:c>
      <x:c r="G1089" s="46" t="n">
        <x:f>IF('Controls'!$D$7="Reference",1,IF(OR(D1089=6,D1089=7,D1089=21,D1089=46),'Paths'!$U$18,1))</x:f>
        <x:v>1</x:v>
      </x:c>
      <x:c r="H1089" s="46" t="n">
        <x:f>IF('Controls'!$D$7="Reference",1,IF(OR(AND(D1089&gt;=14,D1089&lt;=16),AND(D1089&gt;=34,D1089&lt;=35),AND(D1089&gt;=61,D1089&lt;=63)),'Paths'!$V$18,1))</x:f>
        <x:v>1</x:v>
      </x:c>
      <x:c r="I1089" s="46" t="n">
        <x:f>'Paths'!$W$18</x:f>
        <x:v>0.92</x:v>
      </x:c>
      <x:c r="J1089" s="47" t="n">
        <x:f>IF(D1089&lt;E1089,0,MIN(F1089*G1089*H1089*I1089,IF('Paths'!$T$18&gt;0,MAX(0,'Paths'!$T$18-K1088),1000000000)))</x:f>
        <x:v>20240</x:v>
      </x:c>
      <x:c r="K1089" s="47" t="n">
        <x:f>K1088+J1089</x:f>
        <x:v>1497024</x:v>
      </x:c>
      <x:c r="L1089" s="46" t="n">
        <x:f>IF(C1089="P0",1,IF(D1089&lt;=3,0.8,IF(D1089&lt;=14,0.65,IF(D1089&lt;=45,0.5,0.3))))</x:f>
        <x:v>0.3</x:v>
      </x:c>
      <x:c r="M1089" s="47" t="n">
        <x:f>J1089*L1089</x:f>
        <x:v>6072</x:v>
      </x:c>
      <x:c r="N1089" s="47" t="n">
        <x:f>N1088+M1089</x:f>
        <x:v>643171.9999999999</x:v>
      </x:c>
      <x:c r="O1089" s="46" t="n">
        <x:f>IF(C1089="P0",0,IF(D1089&lt;=3,0.15,IF(D1089&lt;=14,0.25,IF(D1089&lt;=45,0.35,0.5))))</x:f>
        <x:v>0.5</x:v>
      </x:c>
      <x:c r="P1089" s="47" t="n">
        <x:f>J1089*O1089</x:f>
        <x:v>10120</x:v>
      </x:c>
      <x:c r="Q1089" s="46" t="n">
        <x:f>IF(C1089="P0",0,IF(D1089&lt;=3,0.05,IF(D1089&lt;=14,0.1,IF(D1089&lt;=45,0.15,0.2))))</x:f>
        <x:v>0.2</x:v>
      </x:c>
      <x:c r="R1089" s="47" t="n">
        <x:f>J1089*Q1089</x:f>
        <x:v>4048</x:v>
      </x:c>
      <x:c r="S1089" s="20" t="str">
        <x:f>IF(D1089&lt;E1089,"closed",IF(D1089&lt;'Paths'!$N$18,"initial","expanded"))</x:f>
        <x:v>expanded</x:v>
      </x:c>
      <x:c r="T1089" s="72"/>
    </x:row>
    <x:row r="1090">
      <x:c r="C1090" s="20" t="str">
        <x:v>P11</x:v>
      </x:c>
      <x:c r="D1090" s="20" t="n">
        <x:v>82</x:v>
      </x:c>
      <x:c r="E1090" s="45" t="n">
        <x:f>IF('Controls'!$D$7="Reference",'Paths'!$J$18,'Paths'!$K$18)</x:f>
        <x:v>2</x:v>
      </x:c>
      <x:c r="F1090" s="47" t="n">
        <x:f>IF(D1090&lt;'Paths'!$N$18,IF('Controls'!$D$7="Reference",'Paths'!$L$18,'Paths'!$M$18),IF('Controls'!$D$7="Reference",'Paths'!$O$18,'Paths'!$P$18))</x:f>
        <x:v>22000</x:v>
      </x:c>
      <x:c r="G1090" s="46" t="n">
        <x:f>IF('Controls'!$D$7="Reference",1,IF(OR(D1090=6,D1090=7,D1090=21,D1090=46),'Paths'!$U$18,1))</x:f>
        <x:v>1</x:v>
      </x:c>
      <x:c r="H1090" s="46" t="n">
        <x:f>IF('Controls'!$D$7="Reference",1,IF(OR(AND(D1090&gt;=14,D1090&lt;=16),AND(D1090&gt;=34,D1090&lt;=35),AND(D1090&gt;=61,D1090&lt;=63)),'Paths'!$V$18,1))</x:f>
        <x:v>1</x:v>
      </x:c>
      <x:c r="I1090" s="46" t="n">
        <x:f>'Paths'!$W$18</x:f>
        <x:v>0.92</x:v>
      </x:c>
      <x:c r="J1090" s="47" t="n">
        <x:f>IF(D1090&lt;E1090,0,MIN(F1090*G1090*H1090*I1090,IF('Paths'!$T$18&gt;0,MAX(0,'Paths'!$T$18-K1089),1000000000)))</x:f>
        <x:v>20240</x:v>
      </x:c>
      <x:c r="K1090" s="47" t="n">
        <x:f>K1089+J1090</x:f>
        <x:v>1517264</x:v>
      </x:c>
      <x:c r="L1090" s="46" t="n">
        <x:f>IF(C1090="P0",1,IF(D1090&lt;=3,0.8,IF(D1090&lt;=14,0.65,IF(D1090&lt;=45,0.5,0.3))))</x:f>
        <x:v>0.3</x:v>
      </x:c>
      <x:c r="M1090" s="47" t="n">
        <x:f>J1090*L1090</x:f>
        <x:v>6072</x:v>
      </x:c>
      <x:c r="N1090" s="47" t="n">
        <x:f>N1089+M1090</x:f>
        <x:v>649243.9999999999</x:v>
      </x:c>
      <x:c r="O1090" s="46" t="n">
        <x:f>IF(C1090="P0",0,IF(D1090&lt;=3,0.15,IF(D1090&lt;=14,0.25,IF(D1090&lt;=45,0.35,0.5))))</x:f>
        <x:v>0.5</x:v>
      </x:c>
      <x:c r="P1090" s="47" t="n">
        <x:f>J1090*O1090</x:f>
        <x:v>10120</x:v>
      </x:c>
      <x:c r="Q1090" s="46" t="n">
        <x:f>IF(C1090="P0",0,IF(D1090&lt;=3,0.05,IF(D1090&lt;=14,0.1,IF(D1090&lt;=45,0.15,0.2))))</x:f>
        <x:v>0.2</x:v>
      </x:c>
      <x:c r="R1090" s="47" t="n">
        <x:f>J1090*Q1090</x:f>
        <x:v>4048</x:v>
      </x:c>
      <x:c r="S1090" s="20" t="str">
        <x:f>IF(D1090&lt;E1090,"closed",IF(D1090&lt;'Paths'!$N$18,"initial","expanded"))</x:f>
        <x:v>expanded</x:v>
      </x:c>
      <x:c r="T1090" s="72"/>
    </x:row>
    <x:row r="1091">
      <x:c r="C1091" s="20" t="str">
        <x:v>P11</x:v>
      </x:c>
      <x:c r="D1091" s="20" t="n">
        <x:v>83</x:v>
      </x:c>
      <x:c r="E1091" s="45" t="n">
        <x:f>IF('Controls'!$D$7="Reference",'Paths'!$J$18,'Paths'!$K$18)</x:f>
        <x:v>2</x:v>
      </x:c>
      <x:c r="F1091" s="47" t="n">
        <x:f>IF(D1091&lt;'Paths'!$N$18,IF('Controls'!$D$7="Reference",'Paths'!$L$18,'Paths'!$M$18),IF('Controls'!$D$7="Reference",'Paths'!$O$18,'Paths'!$P$18))</x:f>
        <x:v>22000</x:v>
      </x:c>
      <x:c r="G1091" s="46" t="n">
        <x:f>IF('Controls'!$D$7="Reference",1,IF(OR(D1091=6,D1091=7,D1091=21,D1091=46),'Paths'!$U$18,1))</x:f>
        <x:v>1</x:v>
      </x:c>
      <x:c r="H1091" s="46" t="n">
        <x:f>IF('Controls'!$D$7="Reference",1,IF(OR(AND(D1091&gt;=14,D1091&lt;=16),AND(D1091&gt;=34,D1091&lt;=35),AND(D1091&gt;=61,D1091&lt;=63)),'Paths'!$V$18,1))</x:f>
        <x:v>1</x:v>
      </x:c>
      <x:c r="I1091" s="46" t="n">
        <x:f>'Paths'!$W$18</x:f>
        <x:v>0.92</x:v>
      </x:c>
      <x:c r="J1091" s="47" t="n">
        <x:f>IF(D1091&lt;E1091,0,MIN(F1091*G1091*H1091*I1091,IF('Paths'!$T$18&gt;0,MAX(0,'Paths'!$T$18-K1090),1000000000)))</x:f>
        <x:v>20240</x:v>
      </x:c>
      <x:c r="K1091" s="47" t="n">
        <x:f>K1090+J1091</x:f>
        <x:v>1537504</x:v>
      </x:c>
      <x:c r="L1091" s="46" t="n">
        <x:f>IF(C1091="P0",1,IF(D1091&lt;=3,0.8,IF(D1091&lt;=14,0.65,IF(D1091&lt;=45,0.5,0.3))))</x:f>
        <x:v>0.3</x:v>
      </x:c>
      <x:c r="M1091" s="47" t="n">
        <x:f>J1091*L1091</x:f>
        <x:v>6072</x:v>
      </x:c>
      <x:c r="N1091" s="47" t="n">
        <x:f>N1090+M1091</x:f>
        <x:v>655315.9999999999</x:v>
      </x:c>
      <x:c r="O1091" s="46" t="n">
        <x:f>IF(C1091="P0",0,IF(D1091&lt;=3,0.15,IF(D1091&lt;=14,0.25,IF(D1091&lt;=45,0.35,0.5))))</x:f>
        <x:v>0.5</x:v>
      </x:c>
      <x:c r="P1091" s="47" t="n">
        <x:f>J1091*O1091</x:f>
        <x:v>10120</x:v>
      </x:c>
      <x:c r="Q1091" s="46" t="n">
        <x:f>IF(C1091="P0",0,IF(D1091&lt;=3,0.05,IF(D1091&lt;=14,0.1,IF(D1091&lt;=45,0.15,0.2))))</x:f>
        <x:v>0.2</x:v>
      </x:c>
      <x:c r="R1091" s="47" t="n">
        <x:f>J1091*Q1091</x:f>
        <x:v>4048</x:v>
      </x:c>
      <x:c r="S1091" s="20" t="str">
        <x:f>IF(D1091&lt;E1091,"closed",IF(D1091&lt;'Paths'!$N$18,"initial","expanded"))</x:f>
        <x:v>expanded</x:v>
      </x:c>
      <x:c r="T1091" s="72"/>
    </x:row>
    <x:row r="1092">
      <x:c r="C1092" s="20" t="str">
        <x:v>P11</x:v>
      </x:c>
      <x:c r="D1092" s="20" t="n">
        <x:v>84</x:v>
      </x:c>
      <x:c r="E1092" s="45" t="n">
        <x:f>IF('Controls'!$D$7="Reference",'Paths'!$J$18,'Paths'!$K$18)</x:f>
        <x:v>2</x:v>
      </x:c>
      <x:c r="F1092" s="47" t="n">
        <x:f>IF(D1092&lt;'Paths'!$N$18,IF('Controls'!$D$7="Reference",'Paths'!$L$18,'Paths'!$M$18),IF('Controls'!$D$7="Reference",'Paths'!$O$18,'Paths'!$P$18))</x:f>
        <x:v>22000</x:v>
      </x:c>
      <x:c r="G1092" s="46" t="n">
        <x:f>IF('Controls'!$D$7="Reference",1,IF(OR(D1092=6,D1092=7,D1092=21,D1092=46),'Paths'!$U$18,1))</x:f>
        <x:v>1</x:v>
      </x:c>
      <x:c r="H1092" s="46" t="n">
        <x:f>IF('Controls'!$D$7="Reference",1,IF(OR(AND(D1092&gt;=14,D1092&lt;=16),AND(D1092&gt;=34,D1092&lt;=35),AND(D1092&gt;=61,D1092&lt;=63)),'Paths'!$V$18,1))</x:f>
        <x:v>1</x:v>
      </x:c>
      <x:c r="I1092" s="46" t="n">
        <x:f>'Paths'!$W$18</x:f>
        <x:v>0.92</x:v>
      </x:c>
      <x:c r="J1092" s="47" t="n">
        <x:f>IF(D1092&lt;E1092,0,MIN(F1092*G1092*H1092*I1092,IF('Paths'!$T$18&gt;0,MAX(0,'Paths'!$T$18-K1091),1000000000)))</x:f>
        <x:v>20240</x:v>
      </x:c>
      <x:c r="K1092" s="47" t="n">
        <x:f>K1091+J1092</x:f>
        <x:v>1557744</x:v>
      </x:c>
      <x:c r="L1092" s="46" t="n">
        <x:f>IF(C1092="P0",1,IF(D1092&lt;=3,0.8,IF(D1092&lt;=14,0.65,IF(D1092&lt;=45,0.5,0.3))))</x:f>
        <x:v>0.3</x:v>
      </x:c>
      <x:c r="M1092" s="47" t="n">
        <x:f>J1092*L1092</x:f>
        <x:v>6072</x:v>
      </x:c>
      <x:c r="N1092" s="47" t="n">
        <x:f>N1091+M1092</x:f>
        <x:v>661387.9999999999</x:v>
      </x:c>
      <x:c r="O1092" s="46" t="n">
        <x:f>IF(C1092="P0",0,IF(D1092&lt;=3,0.15,IF(D1092&lt;=14,0.25,IF(D1092&lt;=45,0.35,0.5))))</x:f>
        <x:v>0.5</x:v>
      </x:c>
      <x:c r="P1092" s="47" t="n">
        <x:f>J1092*O1092</x:f>
        <x:v>10120</x:v>
      </x:c>
      <x:c r="Q1092" s="46" t="n">
        <x:f>IF(C1092="P0",0,IF(D1092&lt;=3,0.05,IF(D1092&lt;=14,0.1,IF(D1092&lt;=45,0.15,0.2))))</x:f>
        <x:v>0.2</x:v>
      </x:c>
      <x:c r="R1092" s="47" t="n">
        <x:f>J1092*Q1092</x:f>
        <x:v>4048</x:v>
      </x:c>
      <x:c r="S1092" s="20" t="str">
        <x:f>IF(D1092&lt;E1092,"closed",IF(D1092&lt;'Paths'!$N$18,"initial","expanded"))</x:f>
        <x:v>expanded</x:v>
      </x:c>
      <x:c r="T1092" s="72"/>
    </x:row>
    <x:row r="1093">
      <x:c r="C1093" s="20" t="str">
        <x:v>P11</x:v>
      </x:c>
      <x:c r="D1093" s="20" t="n">
        <x:v>85</x:v>
      </x:c>
      <x:c r="E1093" s="45" t="n">
        <x:f>IF('Controls'!$D$7="Reference",'Paths'!$J$18,'Paths'!$K$18)</x:f>
        <x:v>2</x:v>
      </x:c>
      <x:c r="F1093" s="47" t="n">
        <x:f>IF(D1093&lt;'Paths'!$N$18,IF('Controls'!$D$7="Reference",'Paths'!$L$18,'Paths'!$M$18),IF('Controls'!$D$7="Reference",'Paths'!$O$18,'Paths'!$P$18))</x:f>
        <x:v>22000</x:v>
      </x:c>
      <x:c r="G1093" s="46" t="n">
        <x:f>IF('Controls'!$D$7="Reference",1,IF(OR(D1093=6,D1093=7,D1093=21,D1093=46),'Paths'!$U$18,1))</x:f>
        <x:v>1</x:v>
      </x:c>
      <x:c r="H1093" s="46" t="n">
        <x:f>IF('Controls'!$D$7="Reference",1,IF(OR(AND(D1093&gt;=14,D1093&lt;=16),AND(D1093&gt;=34,D1093&lt;=35),AND(D1093&gt;=61,D1093&lt;=63)),'Paths'!$V$18,1))</x:f>
        <x:v>1</x:v>
      </x:c>
      <x:c r="I1093" s="46" t="n">
        <x:f>'Paths'!$W$18</x:f>
        <x:v>0.92</x:v>
      </x:c>
      <x:c r="J1093" s="47" t="n">
        <x:f>IF(D1093&lt;E1093,0,MIN(F1093*G1093*H1093*I1093,IF('Paths'!$T$18&gt;0,MAX(0,'Paths'!$T$18-K1092),1000000000)))</x:f>
        <x:v>20240</x:v>
      </x:c>
      <x:c r="K1093" s="47" t="n">
        <x:f>K1092+J1093</x:f>
        <x:v>1577984</x:v>
      </x:c>
      <x:c r="L1093" s="46" t="n">
        <x:f>IF(C1093="P0",1,IF(D1093&lt;=3,0.8,IF(D1093&lt;=14,0.65,IF(D1093&lt;=45,0.5,0.3))))</x:f>
        <x:v>0.3</x:v>
      </x:c>
      <x:c r="M1093" s="47" t="n">
        <x:f>J1093*L1093</x:f>
        <x:v>6072</x:v>
      </x:c>
      <x:c r="N1093" s="47" t="n">
        <x:f>N1092+M1093</x:f>
        <x:v>667459.9999999999</x:v>
      </x:c>
      <x:c r="O1093" s="46" t="n">
        <x:f>IF(C1093="P0",0,IF(D1093&lt;=3,0.15,IF(D1093&lt;=14,0.25,IF(D1093&lt;=45,0.35,0.5))))</x:f>
        <x:v>0.5</x:v>
      </x:c>
      <x:c r="P1093" s="47" t="n">
        <x:f>J1093*O1093</x:f>
        <x:v>10120</x:v>
      </x:c>
      <x:c r="Q1093" s="46" t="n">
        <x:f>IF(C1093="P0",0,IF(D1093&lt;=3,0.05,IF(D1093&lt;=14,0.1,IF(D1093&lt;=45,0.15,0.2))))</x:f>
        <x:v>0.2</x:v>
      </x:c>
      <x:c r="R1093" s="47" t="n">
        <x:f>J1093*Q1093</x:f>
        <x:v>4048</x:v>
      </x:c>
      <x:c r="S1093" s="20" t="str">
        <x:f>IF(D1093&lt;E1093,"closed",IF(D1093&lt;'Paths'!$N$18,"initial","expanded"))</x:f>
        <x:v>expanded</x:v>
      </x:c>
      <x:c r="T1093" s="72"/>
    </x:row>
    <x:row r="1094">
      <x:c r="C1094" s="20" t="str">
        <x:v>P11</x:v>
      </x:c>
      <x:c r="D1094" s="20" t="n">
        <x:v>86</x:v>
      </x:c>
      <x:c r="E1094" s="45" t="n">
        <x:f>IF('Controls'!$D$7="Reference",'Paths'!$J$18,'Paths'!$K$18)</x:f>
        <x:v>2</x:v>
      </x:c>
      <x:c r="F1094" s="47" t="n">
        <x:f>IF(D1094&lt;'Paths'!$N$18,IF('Controls'!$D$7="Reference",'Paths'!$L$18,'Paths'!$M$18),IF('Controls'!$D$7="Reference",'Paths'!$O$18,'Paths'!$P$18))</x:f>
        <x:v>22000</x:v>
      </x:c>
      <x:c r="G1094" s="46" t="n">
        <x:f>IF('Controls'!$D$7="Reference",1,IF(OR(D1094=6,D1094=7,D1094=21,D1094=46),'Paths'!$U$18,1))</x:f>
        <x:v>1</x:v>
      </x:c>
      <x:c r="H1094" s="46" t="n">
        <x:f>IF('Controls'!$D$7="Reference",1,IF(OR(AND(D1094&gt;=14,D1094&lt;=16),AND(D1094&gt;=34,D1094&lt;=35),AND(D1094&gt;=61,D1094&lt;=63)),'Paths'!$V$18,1))</x:f>
        <x:v>1</x:v>
      </x:c>
      <x:c r="I1094" s="46" t="n">
        <x:f>'Paths'!$W$18</x:f>
        <x:v>0.92</x:v>
      </x:c>
      <x:c r="J1094" s="47" t="n">
        <x:f>IF(D1094&lt;E1094,0,MIN(F1094*G1094*H1094*I1094,IF('Paths'!$T$18&gt;0,MAX(0,'Paths'!$T$18-K1093),1000000000)))</x:f>
        <x:v>20240</x:v>
      </x:c>
      <x:c r="K1094" s="47" t="n">
        <x:f>K1093+J1094</x:f>
        <x:v>1598224</x:v>
      </x:c>
      <x:c r="L1094" s="46" t="n">
        <x:f>IF(C1094="P0",1,IF(D1094&lt;=3,0.8,IF(D1094&lt;=14,0.65,IF(D1094&lt;=45,0.5,0.3))))</x:f>
        <x:v>0.3</x:v>
      </x:c>
      <x:c r="M1094" s="47" t="n">
        <x:f>J1094*L1094</x:f>
        <x:v>6072</x:v>
      </x:c>
      <x:c r="N1094" s="47" t="n">
        <x:f>N1093+M1094</x:f>
        <x:v>673531.9999999999</x:v>
      </x:c>
      <x:c r="O1094" s="46" t="n">
        <x:f>IF(C1094="P0",0,IF(D1094&lt;=3,0.15,IF(D1094&lt;=14,0.25,IF(D1094&lt;=45,0.35,0.5))))</x:f>
        <x:v>0.5</x:v>
      </x:c>
      <x:c r="P1094" s="47" t="n">
        <x:f>J1094*O1094</x:f>
        <x:v>10120</x:v>
      </x:c>
      <x:c r="Q1094" s="46" t="n">
        <x:f>IF(C1094="P0",0,IF(D1094&lt;=3,0.05,IF(D1094&lt;=14,0.1,IF(D1094&lt;=45,0.15,0.2))))</x:f>
        <x:v>0.2</x:v>
      </x:c>
      <x:c r="R1094" s="47" t="n">
        <x:f>J1094*Q1094</x:f>
        <x:v>4048</x:v>
      </x:c>
      <x:c r="S1094" s="20" t="str">
        <x:f>IF(D1094&lt;E1094,"closed",IF(D1094&lt;'Paths'!$N$18,"initial","expanded"))</x:f>
        <x:v>expanded</x:v>
      </x:c>
      <x:c r="T1094" s="72"/>
    </x:row>
    <x:row r="1095">
      <x:c r="C1095" s="20" t="str">
        <x:v>P11</x:v>
      </x:c>
      <x:c r="D1095" s="20" t="n">
        <x:v>87</x:v>
      </x:c>
      <x:c r="E1095" s="45" t="n">
        <x:f>IF('Controls'!$D$7="Reference",'Paths'!$J$18,'Paths'!$K$18)</x:f>
        <x:v>2</x:v>
      </x:c>
      <x:c r="F1095" s="47" t="n">
        <x:f>IF(D1095&lt;'Paths'!$N$18,IF('Controls'!$D$7="Reference",'Paths'!$L$18,'Paths'!$M$18),IF('Controls'!$D$7="Reference",'Paths'!$O$18,'Paths'!$P$18))</x:f>
        <x:v>22000</x:v>
      </x:c>
      <x:c r="G1095" s="46" t="n">
        <x:f>IF('Controls'!$D$7="Reference",1,IF(OR(D1095=6,D1095=7,D1095=21,D1095=46),'Paths'!$U$18,1))</x:f>
        <x:v>1</x:v>
      </x:c>
      <x:c r="H1095" s="46" t="n">
        <x:f>IF('Controls'!$D$7="Reference",1,IF(OR(AND(D1095&gt;=14,D1095&lt;=16),AND(D1095&gt;=34,D1095&lt;=35),AND(D1095&gt;=61,D1095&lt;=63)),'Paths'!$V$18,1))</x:f>
        <x:v>1</x:v>
      </x:c>
      <x:c r="I1095" s="46" t="n">
        <x:f>'Paths'!$W$18</x:f>
        <x:v>0.92</x:v>
      </x:c>
      <x:c r="J1095" s="47" t="n">
        <x:f>IF(D1095&lt;E1095,0,MIN(F1095*G1095*H1095*I1095,IF('Paths'!$T$18&gt;0,MAX(0,'Paths'!$T$18-K1094),1000000000)))</x:f>
        <x:v>20240</x:v>
      </x:c>
      <x:c r="K1095" s="47" t="n">
        <x:f>K1094+J1095</x:f>
        <x:v>1618464</x:v>
      </x:c>
      <x:c r="L1095" s="46" t="n">
        <x:f>IF(C1095="P0",1,IF(D1095&lt;=3,0.8,IF(D1095&lt;=14,0.65,IF(D1095&lt;=45,0.5,0.3))))</x:f>
        <x:v>0.3</x:v>
      </x:c>
      <x:c r="M1095" s="47" t="n">
        <x:f>J1095*L1095</x:f>
        <x:v>6072</x:v>
      </x:c>
      <x:c r="N1095" s="47" t="n">
        <x:f>N1094+M1095</x:f>
        <x:v>679603.9999999999</x:v>
      </x:c>
      <x:c r="O1095" s="46" t="n">
        <x:f>IF(C1095="P0",0,IF(D1095&lt;=3,0.15,IF(D1095&lt;=14,0.25,IF(D1095&lt;=45,0.35,0.5))))</x:f>
        <x:v>0.5</x:v>
      </x:c>
      <x:c r="P1095" s="47" t="n">
        <x:f>J1095*O1095</x:f>
        <x:v>10120</x:v>
      </x:c>
      <x:c r="Q1095" s="46" t="n">
        <x:f>IF(C1095="P0",0,IF(D1095&lt;=3,0.05,IF(D1095&lt;=14,0.1,IF(D1095&lt;=45,0.15,0.2))))</x:f>
        <x:v>0.2</x:v>
      </x:c>
      <x:c r="R1095" s="47" t="n">
        <x:f>J1095*Q1095</x:f>
        <x:v>4048</x:v>
      </x:c>
      <x:c r="S1095" s="20" t="str">
        <x:f>IF(D1095&lt;E1095,"closed",IF(D1095&lt;'Paths'!$N$18,"initial","expanded"))</x:f>
        <x:v>expanded</x:v>
      </x:c>
      <x:c r="T1095" s="72"/>
    </x:row>
    <x:row r="1096">
      <x:c r="C1096" s="20" t="str">
        <x:v>P11</x:v>
      </x:c>
      <x:c r="D1096" s="20" t="n">
        <x:v>88</x:v>
      </x:c>
      <x:c r="E1096" s="45" t="n">
        <x:f>IF('Controls'!$D$7="Reference",'Paths'!$J$18,'Paths'!$K$18)</x:f>
        <x:v>2</x:v>
      </x:c>
      <x:c r="F1096" s="47" t="n">
        <x:f>IF(D1096&lt;'Paths'!$N$18,IF('Controls'!$D$7="Reference",'Paths'!$L$18,'Paths'!$M$18),IF('Controls'!$D$7="Reference",'Paths'!$O$18,'Paths'!$P$18))</x:f>
        <x:v>22000</x:v>
      </x:c>
      <x:c r="G1096" s="46" t="n">
        <x:f>IF('Controls'!$D$7="Reference",1,IF(OR(D1096=6,D1096=7,D1096=21,D1096=46),'Paths'!$U$18,1))</x:f>
        <x:v>1</x:v>
      </x:c>
      <x:c r="H1096" s="46" t="n">
        <x:f>IF('Controls'!$D$7="Reference",1,IF(OR(AND(D1096&gt;=14,D1096&lt;=16),AND(D1096&gt;=34,D1096&lt;=35),AND(D1096&gt;=61,D1096&lt;=63)),'Paths'!$V$18,1))</x:f>
        <x:v>1</x:v>
      </x:c>
      <x:c r="I1096" s="46" t="n">
        <x:f>'Paths'!$W$18</x:f>
        <x:v>0.92</x:v>
      </x:c>
      <x:c r="J1096" s="47" t="n">
        <x:f>IF(D1096&lt;E1096,0,MIN(F1096*G1096*H1096*I1096,IF('Paths'!$T$18&gt;0,MAX(0,'Paths'!$T$18-K1095),1000000000)))</x:f>
        <x:v>20240</x:v>
      </x:c>
      <x:c r="K1096" s="47" t="n">
        <x:f>K1095+J1096</x:f>
        <x:v>1638704</x:v>
      </x:c>
      <x:c r="L1096" s="46" t="n">
        <x:f>IF(C1096="P0",1,IF(D1096&lt;=3,0.8,IF(D1096&lt;=14,0.65,IF(D1096&lt;=45,0.5,0.3))))</x:f>
        <x:v>0.3</x:v>
      </x:c>
      <x:c r="M1096" s="47" t="n">
        <x:f>J1096*L1096</x:f>
        <x:v>6072</x:v>
      </x:c>
      <x:c r="N1096" s="47" t="n">
        <x:f>N1095+M1096</x:f>
        <x:v>685675.9999999999</x:v>
      </x:c>
      <x:c r="O1096" s="46" t="n">
        <x:f>IF(C1096="P0",0,IF(D1096&lt;=3,0.15,IF(D1096&lt;=14,0.25,IF(D1096&lt;=45,0.35,0.5))))</x:f>
        <x:v>0.5</x:v>
      </x:c>
      <x:c r="P1096" s="47" t="n">
        <x:f>J1096*O1096</x:f>
        <x:v>10120</x:v>
      </x:c>
      <x:c r="Q1096" s="46" t="n">
        <x:f>IF(C1096="P0",0,IF(D1096&lt;=3,0.05,IF(D1096&lt;=14,0.1,IF(D1096&lt;=45,0.15,0.2))))</x:f>
        <x:v>0.2</x:v>
      </x:c>
      <x:c r="R1096" s="47" t="n">
        <x:f>J1096*Q1096</x:f>
        <x:v>4048</x:v>
      </x:c>
      <x:c r="S1096" s="20" t="str">
        <x:f>IF(D1096&lt;E1096,"closed",IF(D1096&lt;'Paths'!$N$18,"initial","expanded"))</x:f>
        <x:v>expanded</x:v>
      </x:c>
      <x:c r="T1096" s="72"/>
    </x:row>
    <x:row r="1097">
      <x:c r="C1097" s="20" t="str">
        <x:v>P11</x:v>
      </x:c>
      <x:c r="D1097" s="20" t="n">
        <x:v>89</x:v>
      </x:c>
      <x:c r="E1097" s="45" t="n">
        <x:f>IF('Controls'!$D$7="Reference",'Paths'!$J$18,'Paths'!$K$18)</x:f>
        <x:v>2</x:v>
      </x:c>
      <x:c r="F1097" s="47" t="n">
        <x:f>IF(D1097&lt;'Paths'!$N$18,IF('Controls'!$D$7="Reference",'Paths'!$L$18,'Paths'!$M$18),IF('Controls'!$D$7="Reference",'Paths'!$O$18,'Paths'!$P$18))</x:f>
        <x:v>22000</x:v>
      </x:c>
      <x:c r="G1097" s="46" t="n">
        <x:f>IF('Controls'!$D$7="Reference",1,IF(OR(D1097=6,D1097=7,D1097=21,D1097=46),'Paths'!$U$18,1))</x:f>
        <x:v>1</x:v>
      </x:c>
      <x:c r="H1097" s="46" t="n">
        <x:f>IF('Controls'!$D$7="Reference",1,IF(OR(AND(D1097&gt;=14,D1097&lt;=16),AND(D1097&gt;=34,D1097&lt;=35),AND(D1097&gt;=61,D1097&lt;=63)),'Paths'!$V$18,1))</x:f>
        <x:v>1</x:v>
      </x:c>
      <x:c r="I1097" s="46" t="n">
        <x:f>'Paths'!$W$18</x:f>
        <x:v>0.92</x:v>
      </x:c>
      <x:c r="J1097" s="47" t="n">
        <x:f>IF(D1097&lt;E1097,0,MIN(F1097*G1097*H1097*I1097,IF('Paths'!$T$18&gt;0,MAX(0,'Paths'!$T$18-K1096),1000000000)))</x:f>
        <x:v>20240</x:v>
      </x:c>
      <x:c r="K1097" s="47" t="n">
        <x:f>K1096+J1097</x:f>
        <x:v>1658944</x:v>
      </x:c>
      <x:c r="L1097" s="46" t="n">
        <x:f>IF(C1097="P0",1,IF(D1097&lt;=3,0.8,IF(D1097&lt;=14,0.65,IF(D1097&lt;=45,0.5,0.3))))</x:f>
        <x:v>0.3</x:v>
      </x:c>
      <x:c r="M1097" s="47" t="n">
        <x:f>J1097*L1097</x:f>
        <x:v>6072</x:v>
      </x:c>
      <x:c r="N1097" s="47" t="n">
        <x:f>N1096+M1097</x:f>
        <x:v>691747.9999999999</x:v>
      </x:c>
      <x:c r="O1097" s="46" t="n">
        <x:f>IF(C1097="P0",0,IF(D1097&lt;=3,0.15,IF(D1097&lt;=14,0.25,IF(D1097&lt;=45,0.35,0.5))))</x:f>
        <x:v>0.5</x:v>
      </x:c>
      <x:c r="P1097" s="47" t="n">
        <x:f>J1097*O1097</x:f>
        <x:v>10120</x:v>
      </x:c>
      <x:c r="Q1097" s="46" t="n">
        <x:f>IF(C1097="P0",0,IF(D1097&lt;=3,0.05,IF(D1097&lt;=14,0.1,IF(D1097&lt;=45,0.15,0.2))))</x:f>
        <x:v>0.2</x:v>
      </x:c>
      <x:c r="R1097" s="47" t="n">
        <x:f>J1097*Q1097</x:f>
        <x:v>4048</x:v>
      </x:c>
      <x:c r="S1097" s="20" t="str">
        <x:f>IF(D1097&lt;E1097,"closed",IF(D1097&lt;'Paths'!$N$18,"initial","expanded"))</x:f>
        <x:v>expanded</x:v>
      </x:c>
      <x:c r="T1097" s="72"/>
    </x:row>
    <x:row r="1098">
      <x:c r="C1098" s="20" t="str">
        <x:v>P11</x:v>
      </x:c>
      <x:c r="D1098" s="20" t="n">
        <x:v>90</x:v>
      </x:c>
      <x:c r="E1098" s="45" t="n">
        <x:f>IF('Controls'!$D$7="Reference",'Paths'!$J$18,'Paths'!$K$18)</x:f>
        <x:v>2</x:v>
      </x:c>
      <x:c r="F1098" s="47" t="n">
        <x:f>IF(D1098&lt;'Paths'!$N$18,IF('Controls'!$D$7="Reference",'Paths'!$L$18,'Paths'!$M$18),IF('Controls'!$D$7="Reference",'Paths'!$O$18,'Paths'!$P$18))</x:f>
        <x:v>22000</x:v>
      </x:c>
      <x:c r="G1098" s="46" t="n">
        <x:f>IF('Controls'!$D$7="Reference",1,IF(OR(D1098=6,D1098=7,D1098=21,D1098=46),'Paths'!$U$18,1))</x:f>
        <x:v>1</x:v>
      </x:c>
      <x:c r="H1098" s="46" t="n">
        <x:f>IF('Controls'!$D$7="Reference",1,IF(OR(AND(D1098&gt;=14,D1098&lt;=16),AND(D1098&gt;=34,D1098&lt;=35),AND(D1098&gt;=61,D1098&lt;=63)),'Paths'!$V$18,1))</x:f>
        <x:v>1</x:v>
      </x:c>
      <x:c r="I1098" s="46" t="n">
        <x:f>'Paths'!$W$18</x:f>
        <x:v>0.92</x:v>
      </x:c>
      <x:c r="J1098" s="47" t="n">
        <x:f>IF(D1098&lt;E1098,0,MIN(F1098*G1098*H1098*I1098,IF('Paths'!$T$18&gt;0,MAX(0,'Paths'!$T$18-K1097),1000000000)))</x:f>
        <x:v>20240</x:v>
      </x:c>
      <x:c r="K1098" s="47" t="n">
        <x:f>K1097+J1098</x:f>
        <x:v>1679184</x:v>
      </x:c>
      <x:c r="L1098" s="46" t="n">
        <x:f>IF(C1098="P0",1,IF(D1098&lt;=3,0.8,IF(D1098&lt;=14,0.65,IF(D1098&lt;=45,0.5,0.3))))</x:f>
        <x:v>0.3</x:v>
      </x:c>
      <x:c r="M1098" s="47" t="n">
        <x:f>J1098*L1098</x:f>
        <x:v>6072</x:v>
      </x:c>
      <x:c r="N1098" s="47" t="n">
        <x:f>N1097+M1098</x:f>
        <x:v>697819.9999999999</x:v>
      </x:c>
      <x:c r="O1098" s="46" t="n">
        <x:f>IF(C1098="P0",0,IF(D1098&lt;=3,0.15,IF(D1098&lt;=14,0.25,IF(D1098&lt;=45,0.35,0.5))))</x:f>
        <x:v>0.5</x:v>
      </x:c>
      <x:c r="P1098" s="47" t="n">
        <x:f>J1098*O1098</x:f>
        <x:v>10120</x:v>
      </x:c>
      <x:c r="Q1098" s="46" t="n">
        <x:f>IF(C1098="P0",0,IF(D1098&lt;=3,0.05,IF(D1098&lt;=14,0.1,IF(D1098&lt;=45,0.15,0.2))))</x:f>
        <x:v>0.2</x:v>
      </x:c>
      <x:c r="R1098" s="47" t="n">
        <x:f>J1098*Q1098</x:f>
        <x:v>4048</x:v>
      </x:c>
      <x:c r="S1098" s="20" t="str">
        <x:f>IF(D1098&lt;E1098,"closed",IF(D1098&lt;'Paths'!$N$18,"initial","expanded"))</x:f>
        <x:v>expanded</x:v>
      </x:c>
      <x:c r="T1098" s="72"/>
    </x:row>
  </x:sheetData>
  <x:mergeCells>
    <x:mergeCell ref="C2:T2"/>
    <x:mergeCell ref="C3:T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8" hidden="0" customWidth="1"/>
    <x:col min="5" max="5" width="9" hidden="0" customWidth="1"/>
    <x:col min="6" max="6" width="26" hidden="0" customWidth="1"/>
    <x:col min="7" max="7" width="42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22" hidden="0" customWidth="1"/>
    <x:col min="13" max="13" width="12" hidden="0" customWidth="1"/>
    <x:col min="14" max="14" width="13" hidden="0" customWidth="1"/>
    <x:col min="15" max="15" width="14" hidden="0" customWidth="1"/>
    <x:col min="16" max="16" width="14" hidden="0" customWidth="1"/>
    <x:col min="17" max="17" width="15" hidden="0" customWidth="1"/>
    <x:col min="18" max="18" width="12" hidden="0" customWidth="1"/>
    <x:col min="19" max="19" width="12" hidden="0" customWidth="1"/>
    <x:col min="20" max="20" width="18" hidden="0" customWidth="1"/>
    <x:col min="21" max="21" width="19" hidden="0" customWidth="1"/>
    <x:col min="22" max="22" width="11" hidden="0" customWidth="1"/>
    <x:col min="23" max="23" width="10" hidden="0" customWidth="1"/>
    <x:col min="24" max="24" width="10" hidden="0" customWidth="1"/>
    <x:col min="25" max="25" width="28" hidden="0" customWidth="1"/>
    <x:col min="26" max="26" width="15" hidden="0" customWidth="1"/>
    <x:col min="27" max="27" width="24" hidden="0" customWidth="1"/>
    <x:col min="28" max="28" width="14" hidden="0" customWidth="1"/>
    <x:col min="29" max="29" width="10" hidden="0" customWidth="1"/>
    <x:col min="30" max="30" width="22" hidden="0" customWidth="1"/>
    <x:col min="31" max="31" width="52" hidden="0" customWidth="1"/>
  </x:cols>
  <x:sheetData>
    <x:row r="2" ht="24" customHeight="1">
      <x:c r="C2" s="69" t="str">
        <x:v>Formation Load Records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  <x:c r="AA2" s="70"/>
      <x:c r="AB2" s="70"/>
      <x:c r="AC2" s="70"/>
      <x:c r="AD2" s="70"/>
      <x:c r="AE2" s="70"/>
    </x:row>
    <x:row r="3" ht="30" customHeight="1">
      <x:c r="C3" s="71" t="str">
        <x:v>Sixty-four mission-package lots reconcile exactly to the Pass 24 Cascadia formation mass. Total mass, volume, TEU and handling-equivalent load are formula-driven.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  <x:c r="AA3" s="71"/>
      <x:c r="AB3" s="71"/>
      <x:c r="AC3" s="71"/>
      <x:c r="AD3" s="71"/>
      <x:c r="AE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  <x:c r="AA4" s="72"/>
      <x:c r="AB4" s="72"/>
      <x:c r="AC4" s="72"/>
      <x:c r="AD4" s="72"/>
      <x:c r="AE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  <x:c r="AA5" s="72"/>
      <x:c r="AB5" s="72"/>
      <x:c r="AC5" s="72"/>
      <x:c r="AD5" s="72"/>
      <x:c r="AE5" s="72"/>
    </x:row>
    <x:row r="6">
      <x:c r="C6" s="16" t="str">
        <x:v>Load ID</x:v>
      </x:c>
      <x:c r="D6" s="17" t="str">
        <x:v>Band</x:v>
      </x:c>
      <x:c r="E6" s="17" t="str">
        <x:v>Priority</x:v>
      </x:c>
      <x:c r="F6" s="17" t="str">
        <x:v>Service module</x:v>
      </x:c>
      <x:c r="G6" s="17" t="str">
        <x:v>Cargo lot</x:v>
      </x:c>
      <x:c r="H6" s="17" t="str">
        <x:v>Target zone</x:v>
      </x:c>
      <x:c r="I6" s="17" t="str">
        <x:v>Origin hub</x:v>
      </x:c>
      <x:c r="J6" s="17" t="str">
        <x:v>Assigned path</x:v>
      </x:c>
      <x:c r="K6" s="17" t="str">
        <x:v>Alternate path</x:v>
      </x:c>
      <x:c r="L6" s="17" t="str">
        <x:v>Allowed modes</x:v>
      </x:c>
      <x:c r="M6" s="17" t="str">
        <x:v>Package units</x:v>
      </x:c>
      <x:c r="N6" s="17" t="str">
        <x:v>Unit mass t</x:v>
      </x:c>
      <x:c r="O6" s="17" t="str">
        <x:v>Total mass t</x:v>
      </x:c>
      <x:c r="P6" s="17" t="str">
        <x:v>Unit volume m3</x:v>
      </x:c>
      <x:c r="Q6" s="17" t="str">
        <x:v>Total volume m3</x:v>
      </x:c>
      <x:c r="R6" s="17" t="str">
        <x:v>TEU eq</x:v>
      </x:c>
      <x:c r="S6" s="17" t="str">
        <x:v>Handling factor</x:v>
      </x:c>
      <x:c r="T6" s="17" t="str">
        <x:v>Handling-equivalent t</x:v>
      </x:c>
      <x:c r="U6" s="17" t="str">
        <x:v>Handling class</x:v>
      </x:c>
      <x:c r="V6" s="17" t="str">
        <x:v>Cold chain</x:v>
      </x:c>
      <x:c r="W6" s="17" t="str">
        <x:v>Hazmat</x:v>
      </x:c>
      <x:c r="X6" s="17" t="str">
        <x:v>Outsized</x:v>
      </x:c>
      <x:c r="Y6" s="17" t="str">
        <x:v>Effect service</x:v>
      </x:c>
      <x:c r="Z6" s="17" t="str">
        <x:v>Effect capacity</x:v>
      </x:c>
      <x:c r="AA6" s="17" t="str">
        <x:v>Effect unit</x:v>
      </x:c>
      <x:c r="AB6" s="17" t="str">
        <x:v>Latest arrival d</x:v>
      </x:c>
      <x:c r="AC6" s="17" t="str">
        <x:v>Ready d</x:v>
      </x:c>
      <x:c r="AD6" s="17" t="str">
        <x:v>Evidence class</x:v>
      </x:c>
      <x:c r="AE6" s="18" t="str">
        <x:v>Notes</x:v>
      </x:c>
    </x:row>
    <x:row r="7">
      <x:c r="C7" s="26" t="str">
        <x:v>C3-001</x:v>
      </x:c>
      <x:c r="D7" s="26" t="str">
        <x:v>R1</x:v>
      </x:c>
      <x:c r="E7" s="26" t="n">
        <x:v>1</x:v>
      </x:c>
      <x:c r="F7" s="26" t="str">
        <x:v>Joint civil command</x:v>
      </x:c>
      <x:c r="G7" s="26" t="str">
        <x:v>nine-zone command and legal interface</x:v>
      </x:c>
      <x:c r="H7" s="26" t="str">
        <x:v>Z1–Z9</x:v>
      </x:c>
      <x:c r="I7" s="26" t="str">
        <x:v>H1/H3</x:v>
      </x:c>
      <x:c r="J7" s="26" t="str">
        <x:v>P0</x:v>
      </x:c>
      <x:c r="K7" s="26" t="str">
        <x:v>P1</x:v>
      </x:c>
      <x:c r="L7" s="26" t="str">
        <x:v>Cached/Air</x:v>
      </x:c>
      <x:c r="M7" s="26" t="n">
        <x:v>20</x:v>
      </x:c>
      <x:c r="N7" s="51" t="n">
        <x:v>110</x:v>
      </x:c>
      <x:c r="O7" s="52" t="n">
        <x:f>M7*N7</x:f>
        <x:v>2200</x:v>
      </x:c>
      <x:c r="P7" s="51" t="n">
        <x:v>275</x:v>
      </x:c>
      <x:c r="Q7" s="52" t="n">
        <x:f>M7*P7</x:f>
        <x:v>5500</x:v>
      </x:c>
      <x:c r="R7" s="52" t="n">
        <x:f>Q7/33</x:f>
        <x:v>166.66666666666666</x:v>
      </x:c>
      <x:c r="S7" s="51" t="n">
        <x:v>1.05</x:v>
      </x:c>
      <x:c r="T7" s="52" t="n">
        <x:f>MAX(O7,Q7/4,R7*10)*S7</x:f>
        <x:v>2310</x:v>
      </x:c>
      <x:c r="U7" s="26" t="str">
        <x:v>general</x:v>
      </x:c>
      <x:c r="V7" s="26" t="str">
        <x:v>No</x:v>
      </x:c>
      <x:c r="W7" s="26" t="str">
        <x:v>No</x:v>
      </x:c>
      <x:c r="X7" s="26" t="str">
        <x:v>No</x:v>
      </x:c>
      <x:c r="Y7" s="26" t="str">
        <x:v>Civil command coverage</x:v>
      </x:c>
      <x:c r="Z7" s="51" t="n">
        <x:v>9</x:v>
      </x:c>
      <x:c r="AA7" s="26" t="str">
        <x:v>service islands</x:v>
      </x:c>
      <x:c r="AB7" s="26" t="n">
        <x:v>3</x:v>
      </x:c>
      <x:c r="AC7" s="26" t="n">
        <x:v>0</x:v>
      </x:c>
      <x:c r="AD7" s="26" t="str">
        <x:v>institutional hypothesis</x:v>
      </x:c>
      <x:c r="AE7" s="26" t="str"/>
    </x:row>
    <x:row r="8">
      <x:c r="C8" s="26" t="str">
        <x:v>C3-002</x:v>
      </x:c>
      <x:c r="D8" s="26" t="str">
        <x:v>R1</x:v>
      </x:c>
      <x:c r="E8" s="26" t="n">
        <x:v>2</x:v>
      </x:c>
      <x:c r="F8" s="26" t="str">
        <x:v>Degraded data spine</x:v>
      </x:c>
      <x:c r="G8" s="26" t="str">
        <x:v>offline communications and public information core</x:v>
      </x:c>
      <x:c r="H8" s="26" t="str">
        <x:v>Z1–Z9</x:v>
      </x:c>
      <x:c r="I8" s="26" t="str">
        <x:v>H1/H3</x:v>
      </x:c>
      <x:c r="J8" s="26" t="str">
        <x:v>P0</x:v>
      </x:c>
      <x:c r="K8" s="26" t="str">
        <x:v>P3</x:v>
      </x:c>
      <x:c r="L8" s="26" t="str">
        <x:v>Cached/Vertical lift</x:v>
      </x:c>
      <x:c r="M8" s="26" t="n">
        <x:v>24</x:v>
      </x:c>
      <x:c r="N8" s="51" t="n">
        <x:v>150</x:v>
      </x:c>
      <x:c r="O8" s="52" t="n">
        <x:f>M8*N8</x:f>
        <x:v>3600</x:v>
      </x:c>
      <x:c r="P8" s="51" t="n">
        <x:v>525</x:v>
      </x:c>
      <x:c r="Q8" s="52" t="n">
        <x:f>M8*P8</x:f>
        <x:v>12600</x:v>
      </x:c>
      <x:c r="R8" s="52" t="n">
        <x:f>Q8/33</x:f>
        <x:v>381.8181818181818</x:v>
      </x:c>
      <x:c r="S8" s="51" t="n">
        <x:v>1.1</x:v>
      </x:c>
      <x:c r="T8" s="52" t="n">
        <x:f>MAX(O8,Q8/4,R8*10)*S8</x:f>
        <x:v>4200</x:v>
      </x:c>
      <x:c r="U8" s="26" t="str">
        <x:v>communications</x:v>
      </x:c>
      <x:c r="V8" s="26" t="str">
        <x:v>No</x:v>
      </x:c>
      <x:c r="W8" s="26" t="str">
        <x:v>No</x:v>
      </x:c>
      <x:c r="X8" s="26" t="str">
        <x:v>No</x:v>
      </x:c>
      <x:c r="Y8" s="26" t="str">
        <x:v>Priority communications</x:v>
      </x:c>
      <x:c r="Z8" s="51" t="n">
        <x:v>2800000</x:v>
      </x:c>
      <x:c r="AA8" s="26" t="str">
        <x:v>users</x:v>
      </x:c>
      <x:c r="AB8" s="26" t="n">
        <x:v>3</x:v>
      </x:c>
      <x:c r="AC8" s="26" t="n">
        <x:v>0</x:v>
      </x:c>
      <x:c r="AD8" s="26" t="str">
        <x:v>technology hypothesis</x:v>
      </x:c>
      <x:c r="AE8" s="26" t="str"/>
    </x:row>
    <x:row r="9">
      <x:c r="C9" s="26" t="str">
        <x:v>C3-003</x:v>
      </x:c>
      <x:c r="D9" s="26" t="str">
        <x:v>R1</x:v>
      </x:c>
      <x:c r="E9" s="26" t="n">
        <x:v>3</x:v>
      </x:c>
      <x:c r="F9" s="26" t="str">
        <x:v>Regional reconnaissance</x:v>
      </x:c>
      <x:c r="G9" s="26" t="str">
        <x:v>air, ground and structural reconnaissance cells</x:v>
      </x:c>
      <x:c r="H9" s="26" t="str">
        <x:v>Z1–Z9</x:v>
      </x:c>
      <x:c r="I9" s="26" t="str">
        <x:v>H1/H2/H3/H4</x:v>
      </x:c>
      <x:c r="J9" s="26" t="str">
        <x:v>P3</x:v>
      </x:c>
      <x:c r="K9" s="26" t="str">
        <x:v>P0</x:v>
      </x:c>
      <x:c r="L9" s="26" t="str">
        <x:v>Vertical lift/Cached</x:v>
      </x:c>
      <x:c r="M9" s="26" t="n">
        <x:v>24</x:v>
      </x:c>
      <x:c r="N9" s="51" t="n">
        <x:v>100</x:v>
      </x:c>
      <x:c r="O9" s="52" t="n">
        <x:f>M9*N9</x:f>
        <x:v>2400</x:v>
      </x:c>
      <x:c r="P9" s="51" t="n">
        <x:v>400</x:v>
      </x:c>
      <x:c r="Q9" s="52" t="n">
        <x:f>M9*P9</x:f>
        <x:v>9600</x:v>
      </x:c>
      <x:c r="R9" s="52" t="n">
        <x:f>Q9/33</x:f>
        <x:v>290.90909090909093</x:v>
      </x:c>
      <x:c r="S9" s="51" t="n">
        <x:v>1.1</x:v>
      </x:c>
      <x:c r="T9" s="52" t="n">
        <x:f>MAX(O9,Q9/4,R9*10)*S9</x:f>
        <x:v>3200.0000000000005</x:v>
      </x:c>
      <x:c r="U9" s="26" t="str">
        <x:v>urgent</x:v>
      </x:c>
      <x:c r="V9" s="26" t="str">
        <x:v>No</x:v>
      </x:c>
      <x:c r="W9" s="26" t="str">
        <x:v>No</x:v>
      </x:c>
      <x:c r="X9" s="26" t="str">
        <x:v>No</x:v>
      </x:c>
      <x:c r="Y9" s="26" t="str">
        <x:v>End-to-end access</x:v>
      </x:c>
      <x:c r="Z9" s="51" t="n">
        <x:v>5000</x:v>
      </x:c>
      <x:c r="AA9" s="26" t="str">
        <x:v>tonnes/day enabled</x:v>
      </x:c>
      <x:c r="AB9" s="26" t="n">
        <x:v>3</x:v>
      </x:c>
      <x:c r="AC9" s="26" t="n">
        <x:v>0</x:v>
      </x:c>
      <x:c r="AD9" s="26" t="str">
        <x:v>engineering hypothesis</x:v>
      </x:c>
      <x:c r="AE9" s="26" t="str"/>
    </x:row>
    <x:row r="10">
      <x:c r="C10" s="26" t="str">
        <x:v>C3-004</x:v>
      </x:c>
      <x:c r="D10" s="26" t="str">
        <x:v>R1</x:v>
      </x:c>
      <x:c r="E10" s="26" t="n">
        <x:v>4</x:v>
      </x:c>
      <x:c r="F10" s="26" t="str">
        <x:v>Medical stabilization</x:v>
      </x:c>
      <x:c r="G10" s="26" t="str">
        <x:v>triage, surgery, oxygen and regulating starter</x:v>
      </x:c>
      <x:c r="H10" s="26" t="str">
        <x:v>Z2/Z3/Z8</x:v>
      </x:c>
      <x:c r="I10" s="26" t="str">
        <x:v>H1</x:v>
      </x:c>
      <x:c r="J10" s="26" t="str">
        <x:v>P1</x:v>
      </x:c>
      <x:c r="K10" s="26" t="str">
        <x:v>P2</x:v>
      </x:c>
      <x:c r="L10" s="26" t="str">
        <x:v>Air</x:v>
      </x:c>
      <x:c r="M10" s="26" t="n">
        <x:v>18</x:v>
      </x:c>
      <x:c r="N10" s="51" t="n">
        <x:v>300</x:v>
      </x:c>
      <x:c r="O10" s="52" t="n">
        <x:f>M10*N10</x:f>
        <x:v>5400</x:v>
      </x:c>
      <x:c r="P10" s="51" t="n">
        <x:v>1500</x:v>
      </x:c>
      <x:c r="Q10" s="52" t="n">
        <x:f>M10*P10</x:f>
        <x:v>27000</x:v>
      </x:c>
      <x:c r="R10" s="52" t="n">
        <x:f>Q10/33</x:f>
        <x:v>818.1818181818181</x:v>
      </x:c>
      <x:c r="S10" s="51" t="n">
        <x:v>1.2</x:v>
      </x:c>
      <x:c r="T10" s="52" t="n">
        <x:f>MAX(O10,Q10/4,R10*10)*S10</x:f>
        <x:v>9818.181818181816</x:v>
      </x:c>
      <x:c r="U10" s="26" t="str">
        <x:v>cold/clinical</x:v>
      </x:c>
      <x:c r="V10" s="26" t="str">
        <x:v>Yes</x:v>
      </x:c>
      <x:c r="W10" s="26" t="str">
        <x:v>Yes</x:v>
      </x:c>
      <x:c r="X10" s="26" t="str">
        <x:v>No</x:v>
      </x:c>
      <x:c r="Y10" s="26" t="str">
        <x:v>Staffed health capacity</x:v>
      </x:c>
      <x:c r="Z10" s="51" t="n">
        <x:v>600</x:v>
      </x:c>
      <x:c r="AA10" s="26" t="str">
        <x:v>staffed beds</x:v>
      </x:c>
      <x:c r="AB10" s="26" t="n">
        <x:v>3</x:v>
      </x:c>
      <x:c r="AC10" s="26" t="n">
        <x:v>0</x:v>
      </x:c>
      <x:c r="AD10" s="26" t="str">
        <x:v>engineering hypothesis</x:v>
      </x:c>
      <x:c r="AE10" s="26" t="str"/>
    </x:row>
    <x:row r="11">
      <x:c r="C11" s="26" t="str">
        <x:v>C3-005</x:v>
      </x:c>
      <x:c r="D11" s="26" t="str">
        <x:v>R1</x:v>
      </x:c>
      <x:c r="E11" s="26" t="n">
        <x:v>5</x:v>
      </x:c>
      <x:c r="F11" s="26" t="str">
        <x:v>Urban search and rescue</x:v>
      </x:c>
      <x:c r="G11" s="26" t="str">
        <x:v>distributed rescue and technical search groups</x:v>
      </x:c>
      <x:c r="H11" s="26" t="str">
        <x:v>Z1–Z8</x:v>
      </x:c>
      <x:c r="I11" s="26" t="str">
        <x:v>H1/H3</x:v>
      </x:c>
      <x:c r="J11" s="26" t="str">
        <x:v>P0</x:v>
      </x:c>
      <x:c r="K11" s="26" t="str">
        <x:v>P3</x:v>
      </x:c>
      <x:c r="L11" s="26" t="str">
        <x:v>Cached/Vertical lift</x:v>
      </x:c>
      <x:c r="M11" s="26" t="n">
        <x:v>41</x:v>
      </x:c>
      <x:c r="N11" s="51" t="n">
        <x:v>200</x:v>
      </x:c>
      <x:c r="O11" s="52" t="n">
        <x:f>M11*N11</x:f>
        <x:v>8200</x:v>
      </x:c>
      <x:c r="P11" s="51" t="n">
        <x:v>800</x:v>
      </x:c>
      <x:c r="Q11" s="52" t="n">
        <x:f>M11*P11</x:f>
        <x:v>32800</x:v>
      </x:c>
      <x:c r="R11" s="52" t="n">
        <x:f>Q11/33</x:f>
        <x:v>993.939393939394</x:v>
      </x:c>
      <x:c r="S11" s="51" t="n">
        <x:v>1.1</x:v>
      </x:c>
      <x:c r="T11" s="52" t="n">
        <x:f>MAX(O11,Q11/4,R11*10)*S11</x:f>
        <x:v>10933.333333333334</x:v>
      </x:c>
      <x:c r="U11" s="26" t="str">
        <x:v>urgent</x:v>
      </x:c>
      <x:c r="V11" s="26" t="str">
        <x:v>No</x:v>
      </x:c>
      <x:c r="W11" s="26" t="str">
        <x:v>Yes</x:v>
      </x:c>
      <x:c r="X11" s="26" t="str">
        <x:v>Yes</x:v>
      </x:c>
      <x:c r="Y11" s="26" t="str">
        <x:v>Hazard-control works</x:v>
      </x:c>
      <x:c r="Z11" s="51" t="n">
        <x:v>120</x:v>
      </x:c>
      <x:c r="AA11" s="26" t="str">
        <x:v>route-equivalent km/day</x:v>
      </x:c>
      <x:c r="AB11" s="26" t="n">
        <x:v>3</x:v>
      </x:c>
      <x:c r="AC11" s="26" t="n">
        <x:v>0</x:v>
      </x:c>
      <x:c r="AD11" s="26" t="str">
        <x:v>engineering hypothesis</x:v>
      </x:c>
      <x:c r="AE11" s="26" t="str"/>
    </x:row>
    <x:row r="12">
      <x:c r="C12" s="26" t="str">
        <x:v>C3-006</x:v>
      </x:c>
      <x:c r="D12" s="26" t="str">
        <x:v>R1</x:v>
      </x:c>
      <x:c r="E12" s="26" t="n">
        <x:v>6</x:v>
      </x:c>
      <x:c r="F12" s="26" t="str">
        <x:v>Air entry opening</x:v>
      </x:c>
      <x:c r="G12" s="26" t="str">
        <x:v>runway survey, repair, lighting and movement core</x:v>
      </x:c>
      <x:c r="H12" s="26" t="str">
        <x:v>Z1/Z3/Z8</x:v>
      </x:c>
      <x:c r="I12" s="26" t="str">
        <x:v>H1/H3</x:v>
      </x:c>
      <x:c r="J12" s="26" t="str">
        <x:v>P3</x:v>
      </x:c>
      <x:c r="K12" s="26" t="str">
        <x:v>P1</x:v>
      </x:c>
      <x:c r="L12" s="26" t="str">
        <x:v>Vertical lift/Air</x:v>
      </x:c>
      <x:c r="M12" s="26" t="n">
        <x:v>34</x:v>
      </x:c>
      <x:c r="N12" s="51" t="n">
        <x:v>200</x:v>
      </x:c>
      <x:c r="O12" s="52" t="n">
        <x:f>M12*N12</x:f>
        <x:v>6800</x:v>
      </x:c>
      <x:c r="P12" s="51" t="n">
        <x:v>1200</x:v>
      </x:c>
      <x:c r="Q12" s="52" t="n">
        <x:f>M12*P12</x:f>
        <x:v>40800</x:v>
      </x:c>
      <x:c r="R12" s="52" t="n">
        <x:f>Q12/33</x:f>
        <x:v>1236.3636363636363</x:v>
      </x:c>
      <x:c r="S12" s="51" t="n">
        <x:v>1.25</x:v>
      </x:c>
      <x:c r="T12" s="52" t="n">
        <x:f>MAX(O12,Q12/4,R12*10)*S12</x:f>
        <x:v>15454.545454545452</x:v>
      </x:c>
      <x:c r="U12" s="26" t="str">
        <x:v>outsized</x:v>
      </x:c>
      <x:c r="V12" s="26" t="str">
        <x:v>No</x:v>
      </x:c>
      <x:c r="W12" s="26" t="str">
        <x:v>Yes</x:v>
      </x:c>
      <x:c r="X12" s="26" t="str">
        <x:v>Yes</x:v>
      </x:c>
      <x:c r="Y12" s="26" t="str">
        <x:v>End-to-end access</x:v>
      </x:c>
      <x:c r="Z12" s="51" t="n">
        <x:v>8000</x:v>
      </x:c>
      <x:c r="AA12" s="26" t="str">
        <x:v>tonnes/day enabled</x:v>
      </x:c>
      <x:c r="AB12" s="26" t="n">
        <x:v>3</x:v>
      </x:c>
      <x:c r="AC12" s="26" t="n">
        <x:v>0</x:v>
      </x:c>
      <x:c r="AD12" s="26" t="str">
        <x:v>engineering hypothesis</x:v>
      </x:c>
      <x:c r="AE12" s="26" t="str"/>
    </x:row>
    <x:row r="13">
      <x:c r="C13" s="26" t="str">
        <x:v>C3-007</x:v>
      </x:c>
      <x:c r="D13" s="26" t="str">
        <x:v>R1</x:v>
      </x:c>
      <x:c r="E13" s="26" t="n">
        <x:v>7</x:v>
      </x:c>
      <x:c r="F13" s="26" t="str">
        <x:v>Port reconnaissance</x:v>
      </x:c>
      <x:c r="G13" s="26" t="str">
        <x:v>hydrography, debris, diving and release core</x:v>
      </x:c>
      <x:c r="H13" s="26" t="str">
        <x:v>Z1/Z3/Z8</x:v>
      </x:c>
      <x:c r="I13" s="26" t="str">
        <x:v>H7</x:v>
      </x:c>
      <x:c r="J13" s="26" t="str">
        <x:v>P0</x:v>
      </x:c>
      <x:c r="K13" s="26" t="str">
        <x:v>P4</x:v>
      </x:c>
      <x:c r="L13" s="26" t="str">
        <x:v>Cached/Littoral</x:v>
      </x:c>
      <x:c r="M13" s="26" t="n">
        <x:v>30</x:v>
      </x:c>
      <x:c r="N13" s="51" t="n">
        <x:v>250</x:v>
      </x:c>
      <x:c r="O13" s="52" t="n">
        <x:f>M13*N13</x:f>
        <x:v>7500</x:v>
      </x:c>
      <x:c r="P13" s="51" t="n">
        <x:v>1250</x:v>
      </x:c>
      <x:c r="Q13" s="52" t="n">
        <x:f>M13*P13</x:f>
        <x:v>37500</x:v>
      </x:c>
      <x:c r="R13" s="52" t="n">
        <x:f>Q13/33</x:f>
        <x:v>1136.3636363636363</x:v>
      </x:c>
      <x:c r="S13" s="51" t="n">
        <x:v>1.2</x:v>
      </x:c>
      <x:c r="T13" s="52" t="n">
        <x:f>MAX(O13,Q13/4,R13*10)*S13</x:f>
        <x:v>13636.363636363634</x:v>
      </x:c>
      <x:c r="U13" s="26" t="str">
        <x:v>marine</x:v>
      </x:c>
      <x:c r="V13" s="26" t="str">
        <x:v>No</x:v>
      </x:c>
      <x:c r="W13" s="26" t="str">
        <x:v>Yes</x:v>
      </x:c>
      <x:c r="X13" s="26" t="str">
        <x:v>Yes</x:v>
      </x:c>
      <x:c r="Y13" s="26" t="str">
        <x:v>End-to-end access</x:v>
      </x:c>
      <x:c r="Z13" s="51" t="n">
        <x:v>5000</x:v>
      </x:c>
      <x:c r="AA13" s="26" t="str">
        <x:v>tonnes/day enabled</x:v>
      </x:c>
      <x:c r="AB13" s="26" t="n">
        <x:v>3</x:v>
      </x:c>
      <x:c r="AC13" s="26" t="n">
        <x:v>0</x:v>
      </x:c>
      <x:c r="AD13" s="26" t="str">
        <x:v>engineering hypothesis</x:v>
      </x:c>
      <x:c r="AE13" s="26" t="str"/>
    </x:row>
    <x:row r="14">
      <x:c r="C14" s="26" t="str">
        <x:v>C3-008</x:v>
      </x:c>
      <x:c r="D14" s="26" t="str">
        <x:v>R1</x:v>
      </x:c>
      <x:c r="E14" s="26" t="n">
        <x:v>8</x:v>
      </x:c>
      <x:c r="F14" s="26" t="str">
        <x:v>Littoral opening</x:v>
      </x:c>
      <x:c r="G14" s="26" t="str">
        <x:v>causeway, lighter and traffic-control starter</x:v>
      </x:c>
      <x:c r="H14" s="26" t="str">
        <x:v>Z1/Z3/Z5/Z6</x:v>
      </x:c>
      <x:c r="I14" s="26" t="str">
        <x:v>H7/H8</x:v>
      </x:c>
      <x:c r="J14" s="26" t="str">
        <x:v>P0</x:v>
      </x:c>
      <x:c r="K14" s="26" t="str">
        <x:v>P4</x:v>
      </x:c>
      <x:c r="L14" s="26" t="str">
        <x:v>Cached/Littoral</x:v>
      </x:c>
      <x:c r="M14" s="26" t="n">
        <x:v>32</x:v>
      </x:c>
      <x:c r="N14" s="51" t="n">
        <x:v>250</x:v>
      </x:c>
      <x:c r="O14" s="52" t="n">
        <x:f>M14*N14</x:f>
        <x:v>8000</x:v>
      </x:c>
      <x:c r="P14" s="51" t="n">
        <x:v>1750</x:v>
      </x:c>
      <x:c r="Q14" s="52" t="n">
        <x:f>M14*P14</x:f>
        <x:v>56000</x:v>
      </x:c>
      <x:c r="R14" s="52" t="n">
        <x:f>Q14/33</x:f>
        <x:v>1696.969696969697</x:v>
      </x:c>
      <x:c r="S14" s="51" t="n">
        <x:v>1.3</x:v>
      </x:c>
      <x:c r="T14" s="52" t="n">
        <x:f>MAX(O14,Q14/4,R14*10)*S14</x:f>
        <x:v>22060.60606060606</x:v>
      </x:c>
      <x:c r="U14" s="26" t="str">
        <x:v>marine/outsized</x:v>
      </x:c>
      <x:c r="V14" s="26" t="str">
        <x:v>No</x:v>
      </x:c>
      <x:c r="W14" s="26" t="str">
        <x:v>Yes</x:v>
      </x:c>
      <x:c r="X14" s="26" t="str">
        <x:v>Yes</x:v>
      </x:c>
      <x:c r="Y14" s="26" t="str">
        <x:v>End-to-end access</x:v>
      </x:c>
      <x:c r="Z14" s="51" t="n">
        <x:v>7000</x:v>
      </x:c>
      <x:c r="AA14" s="26" t="str">
        <x:v>tonnes/day enabled</x:v>
      </x:c>
      <x:c r="AB14" s="26" t="n">
        <x:v>3</x:v>
      </x:c>
      <x:c r="AC14" s="26" t="n">
        <x:v>0</x:v>
      </x:c>
      <x:c r="AD14" s="26" t="str">
        <x:v>engineering hypothesis</x:v>
      </x:c>
      <x:c r="AE14" s="26" t="str"/>
    </x:row>
    <x:row r="15">
      <x:c r="C15" s="26" t="str">
        <x:v>C3-009</x:v>
      </x:c>
      <x:c r="D15" s="26" t="str">
        <x:v>R1</x:v>
      </x:c>
      <x:c r="E15" s="26" t="n">
        <x:v>9</x:v>
      </x:c>
      <x:c r="F15" s="26" t="str">
        <x:v>Route and bridge release</x:v>
      </x:c>
      <x:c r="G15" s="26" t="str">
        <x:v>inspection, geotech and emergency clearance core</x:v>
      </x:c>
      <x:c r="H15" s="26" t="str">
        <x:v>Z1–Z8</x:v>
      </x:c>
      <x:c r="I15" s="26" t="str">
        <x:v>H1/H3</x:v>
      </x:c>
      <x:c r="J15" s="26" t="str">
        <x:v>P0</x:v>
      </x:c>
      <x:c r="K15" s="26" t="str">
        <x:v>P3</x:v>
      </x:c>
      <x:c r="L15" s="26" t="str">
        <x:v>Cached/Vertical lift</x:v>
      </x:c>
      <x:c r="M15" s="26" t="n">
        <x:v>42</x:v>
      </x:c>
      <x:c r="N15" s="51" t="n">
        <x:v>150</x:v>
      </x:c>
      <x:c r="O15" s="52" t="n">
        <x:f>M15*N15</x:f>
        <x:v>6300</x:v>
      </x:c>
      <x:c r="P15" s="51" t="n">
        <x:v>600</x:v>
      </x:c>
      <x:c r="Q15" s="52" t="n">
        <x:f>M15*P15</x:f>
        <x:v>25200</x:v>
      </x:c>
      <x:c r="R15" s="52" t="n">
        <x:f>Q15/33</x:f>
        <x:v>763.6363636363636</x:v>
      </x:c>
      <x:c r="S15" s="51" t="n">
        <x:v>1.15</x:v>
      </x:c>
      <x:c r="T15" s="52" t="n">
        <x:f>MAX(O15,Q15/4,R15*10)*S15</x:f>
        <x:v>8781.81818181818</x:v>
      </x:c>
      <x:c r="U15" s="26" t="str">
        <x:v>engineering</x:v>
      </x:c>
      <x:c r="V15" s="26" t="str">
        <x:v>No</x:v>
      </x:c>
      <x:c r="W15" s="26" t="str">
        <x:v>Yes</x:v>
      </x:c>
      <x:c r="X15" s="26" t="str">
        <x:v>Yes</x:v>
      </x:c>
      <x:c r="Y15" s="26" t="str">
        <x:v>End-to-end access</x:v>
      </x:c>
      <x:c r="Z15" s="51" t="n">
        <x:v>5000</x:v>
      </x:c>
      <x:c r="AA15" s="26" t="str">
        <x:v>tonnes/day enabled</x:v>
      </x:c>
      <x:c r="AB15" s="26" t="n">
        <x:v>3</x:v>
      </x:c>
      <x:c r="AC15" s="26" t="n">
        <x:v>0</x:v>
      </x:c>
      <x:c r="AD15" s="26" t="str">
        <x:v>engineering hypothesis</x:v>
      </x:c>
      <x:c r="AE15" s="26" t="str"/>
    </x:row>
    <x:row r="16">
      <x:c r="C16" s="26" t="str">
        <x:v>C3-010</x:v>
      </x:c>
      <x:c r="D16" s="26" t="str">
        <x:v>R1</x:v>
      </x:c>
      <x:c r="E16" s="26" t="n">
        <x:v>10</x:v>
      </x:c>
      <x:c r="F16" s="26" t="str">
        <x:v>Responder-base starter</x:v>
      </x:c>
      <x:c r="G16" s="26" t="str">
        <x:v>water, power, sanitation, food and lodging modules</x:v>
      </x:c>
      <x:c r="H16" s="26" t="str">
        <x:v>Z9 / afloat</x:v>
      </x:c>
      <x:c r="I16" s="26" t="str">
        <x:v>H1/H3/H7/H8</x:v>
      </x:c>
      <x:c r="J16" s="26" t="str">
        <x:v>P0</x:v>
      </x:c>
      <x:c r="K16" s="26" t="str">
        <x:v>P11</x:v>
      </x:c>
      <x:c r="L16" s="26" t="str">
        <x:v>Cached/Ocean support</x:v>
      </x:c>
      <x:c r="M16" s="26" t="n">
        <x:v>45</x:v>
      </x:c>
      <x:c r="N16" s="51" t="n">
        <x:v>200</x:v>
      </x:c>
      <x:c r="O16" s="52" t="n">
        <x:f>M16*N16</x:f>
        <x:v>9000</x:v>
      </x:c>
      <x:c r="P16" s="51" t="n">
        <x:v>1200</x:v>
      </x:c>
      <x:c r="Q16" s="52" t="n">
        <x:f>M16*P16</x:f>
        <x:v>54000</x:v>
      </x:c>
      <x:c r="R16" s="52" t="n">
        <x:f>Q16/33</x:f>
        <x:v>1636.3636363636363</x:v>
      </x:c>
      <x:c r="S16" s="51" t="n">
        <x:v>1.2</x:v>
      </x:c>
      <x:c r="T16" s="52" t="n">
        <x:f>MAX(O16,Q16/4,R16*10)*S16</x:f>
        <x:v>19636.363636363632</x:v>
      </x:c>
      <x:c r="U16" s="26" t="str">
        <x:v>base</x:v>
      </x:c>
      <x:c r="V16" s="26" t="str">
        <x:v>Yes</x:v>
      </x:c>
      <x:c r="W16" s="26" t="str">
        <x:v>Yes</x:v>
      </x:c>
      <x:c r="X16" s="26" t="str">
        <x:v>Yes</x:v>
      </x:c>
      <x:c r="Y16" s="26" t="str">
        <x:v>Responder basing</x:v>
      </x:c>
      <x:c r="Z16" s="51" t="n">
        <x:v>30000</x:v>
      </x:c>
      <x:c r="AA16" s="26" t="str">
        <x:v>people supported</x:v>
      </x:c>
      <x:c r="AB16" s="26" t="n">
        <x:v>3</x:v>
      </x:c>
      <x:c r="AC16" s="26" t="n">
        <x:v>0</x:v>
      </x:c>
      <x:c r="AD16" s="26" t="str">
        <x:v>engineering hypothesis</x:v>
      </x:c>
      <x:c r="AE16" s="26" t="str"/>
    </x:row>
    <x:row r="17">
      <x:c r="C17" s="26" t="str">
        <x:v>C3-011</x:v>
      </x:c>
      <x:c r="D17" s="26" t="str">
        <x:v>R1</x:v>
      </x:c>
      <x:c r="E17" s="26" t="n">
        <x:v>11</x:v>
      </x:c>
      <x:c r="F17" s="26" t="str">
        <x:v>Water starter</x:v>
      </x:c>
      <x:c r="G17" s="26" t="str">
        <x:v>source-neutral treatment, storage and distribution core</x:v>
      </x:c>
      <x:c r="H17" s="26" t="str">
        <x:v>Z1–Z8</x:v>
      </x:c>
      <x:c r="I17" s="26" t="str">
        <x:v>H1/H3</x:v>
      </x:c>
      <x:c r="J17" s="26" t="str">
        <x:v>P0</x:v>
      </x:c>
      <x:c r="K17" s="26" t="str">
        <x:v>P2</x:v>
      </x:c>
      <x:c r="L17" s="26" t="str">
        <x:v>Cached/Air</x:v>
      </x:c>
      <x:c r="M17" s="26" t="n">
        <x:v>26</x:v>
      </x:c>
      <x:c r="N17" s="51" t="n">
        <x:v>250</x:v>
      </x:c>
      <x:c r="O17" s="52" t="n">
        <x:f>M17*N17</x:f>
        <x:v>6500</x:v>
      </x:c>
      <x:c r="P17" s="51" t="n">
        <x:v>1250</x:v>
      </x:c>
      <x:c r="Q17" s="52" t="n">
        <x:f>M17*P17</x:f>
        <x:v>32500</x:v>
      </x:c>
      <x:c r="R17" s="52" t="n">
        <x:f>Q17/33</x:f>
        <x:v>984.8484848484849</x:v>
      </x:c>
      <x:c r="S17" s="51" t="n">
        <x:v>1.15</x:v>
      </x:c>
      <x:c r="T17" s="52" t="n">
        <x:f>MAX(O17,Q17/4,R17*10)*S17</x:f>
        <x:v>11325.757575757574</x:v>
      </x:c>
      <x:c r="U17" s="26" t="str">
        <x:v>process</x:v>
      </x:c>
      <x:c r="V17" s="26" t="str">
        <x:v>No</x:v>
      </x:c>
      <x:c r="W17" s="26" t="str">
        <x:v>Yes</x:v>
      </x:c>
      <x:c r="X17" s="26" t="str">
        <x:v>Yes</x:v>
      </x:c>
      <x:c r="Y17" s="26" t="str">
        <x:v>Potable and essential water</x:v>
      </x:c>
      <x:c r="Z17" s="51" t="n">
        <x:v>20000</x:v>
      </x:c>
      <x:c r="AA17" s="26" t="str">
        <x:v>m3/day delivered</x:v>
      </x:c>
      <x:c r="AB17" s="26" t="n">
        <x:v>3</x:v>
      </x:c>
      <x:c r="AC17" s="26" t="n">
        <x:v>0</x:v>
      </x:c>
      <x:c r="AD17" s="26" t="str">
        <x:v>engineering hypothesis</x:v>
      </x:c>
      <x:c r="AE17" s="26" t="str"/>
    </x:row>
    <x:row r="18">
      <x:c r="C18" s="26" t="str">
        <x:v>C3-012</x:v>
      </x:c>
      <x:c r="D18" s="26" t="str">
        <x:v>R1</x:v>
      </x:c>
      <x:c r="E18" s="26" t="n">
        <x:v>12</x:v>
      </x:c>
      <x:c r="F18" s="26" t="str">
        <x:v>Critical power starter</x:v>
      </x:c>
      <x:c r="G18" s="26" t="str">
        <x:v>grid-forming generation and mobile distribution core</x:v>
      </x:c>
      <x:c r="H18" s="26" t="str">
        <x:v>Z1–Z8</x:v>
      </x:c>
      <x:c r="I18" s="26" t="str">
        <x:v>H3</x:v>
      </x:c>
      <x:c r="J18" s="26" t="str">
        <x:v>P2</x:v>
      </x:c>
      <x:c r="K18" s="26" t="str">
        <x:v>P0</x:v>
      </x:c>
      <x:c r="L18" s="26" t="str">
        <x:v>Air/Cached</x:v>
      </x:c>
      <x:c r="M18" s="26" t="n">
        <x:v>28</x:v>
      </x:c>
      <x:c r="N18" s="51" t="n">
        <x:v>250</x:v>
      </x:c>
      <x:c r="O18" s="52" t="n">
        <x:f>M18*N18</x:f>
        <x:v>7000</x:v>
      </x:c>
      <x:c r="P18" s="51" t="n">
        <x:v>1250</x:v>
      </x:c>
      <x:c r="Q18" s="52" t="n">
        <x:f>M18*P18</x:f>
        <x:v>35000</x:v>
      </x:c>
      <x:c r="R18" s="52" t="n">
        <x:f>Q18/33</x:f>
        <x:v>1060.6060606060605</x:v>
      </x:c>
      <x:c r="S18" s="51" t="n">
        <x:v>1.3</x:v>
      </x:c>
      <x:c r="T18" s="52" t="n">
        <x:f>MAX(O18,Q18/4,R18*10)*S18</x:f>
        <x:v>13787.878787878786</x:v>
      </x:c>
      <x:c r="U18" s="26" t="str">
        <x:v>electrical/outsized</x:v>
      </x:c>
      <x:c r="V18" s="26" t="str">
        <x:v>No</x:v>
      </x:c>
      <x:c r="W18" s="26" t="str">
        <x:v>Yes</x:v>
      </x:c>
      <x:c r="X18" s="26" t="str">
        <x:v>Yes</x:v>
      </x:c>
      <x:c r="Y18" s="26" t="str">
        <x:v>Critical-load power</x:v>
      </x:c>
      <x:c r="Z18" s="51" t="n">
        <x:v>650</x:v>
      </x:c>
      <x:c r="AA18" s="26" t="str">
        <x:v>MW net</x:v>
      </x:c>
      <x:c r="AB18" s="26" t="n">
        <x:v>3</x:v>
      </x:c>
      <x:c r="AC18" s="26" t="n">
        <x:v>0</x:v>
      </x:c>
      <x:c r="AD18" s="26" t="str">
        <x:v>engineering hypothesis</x:v>
      </x:c>
      <x:c r="AE18" s="26" t="str"/>
    </x:row>
    <x:row r="19">
      <x:c r="C19" s="26" t="str">
        <x:v>C3-013</x:v>
      </x:c>
      <x:c r="D19" s="26" t="str">
        <x:v>R1</x:v>
      </x:c>
      <x:c r="E19" s="26" t="n">
        <x:v>13</x:v>
      </x:c>
      <x:c r="F19" s="26" t="str">
        <x:v>Sanitation starter</x:v>
      </x:c>
      <x:c r="G19" s="26" t="str">
        <x:v>toilet, hygiene, waste and laboratory core</x:v>
      </x:c>
      <x:c r="H19" s="26" t="str">
        <x:v>Z1–Z8</x:v>
      </x:c>
      <x:c r="I19" s="26" t="str">
        <x:v>H1/H3</x:v>
      </x:c>
      <x:c r="J19" s="26" t="str">
        <x:v>P0</x:v>
      </x:c>
      <x:c r="K19" s="26" t="str">
        <x:v>P3</x:v>
      </x:c>
      <x:c r="L19" s="26" t="str">
        <x:v>Cached/Vertical lift</x:v>
      </x:c>
      <x:c r="M19" s="26" t="n">
        <x:v>32</x:v>
      </x:c>
      <x:c r="N19" s="51" t="n">
        <x:v>150</x:v>
      </x:c>
      <x:c r="O19" s="52" t="n">
        <x:f>M19*N19</x:f>
        <x:v>4800</x:v>
      </x:c>
      <x:c r="P19" s="51" t="n">
        <x:v>750</x:v>
      </x:c>
      <x:c r="Q19" s="52" t="n">
        <x:f>M19*P19</x:f>
        <x:v>24000</x:v>
      </x:c>
      <x:c r="R19" s="52" t="n">
        <x:f>Q19/33</x:f>
        <x:v>727.2727272727273</x:v>
      </x:c>
      <x:c r="S19" s="51" t="n">
        <x:v>1.15</x:v>
      </x:c>
      <x:c r="T19" s="52" t="n">
        <x:f>MAX(O19,Q19/4,R19*10)*S19</x:f>
        <x:v>8363.636363636362</x:v>
      </x:c>
      <x:c r="U19" s="26" t="str">
        <x:v>sanitation</x:v>
      </x:c>
      <x:c r="V19" s="26" t="str">
        <x:v>No</x:v>
      </x:c>
      <x:c r="W19" s="26" t="str">
        <x:v>Yes</x:v>
      </x:c>
      <x:c r="X19" s="26" t="str">
        <x:v>No</x:v>
      </x:c>
      <x:c r="Y19" s="26" t="str">
        <x:v>Sanitation</x:v>
      </x:c>
      <x:c r="Z19" s="51" t="n">
        <x:v>500000</x:v>
      </x:c>
      <x:c r="AA19" s="26" t="str">
        <x:v>users</x:v>
      </x:c>
      <x:c r="AB19" s="26" t="n">
        <x:v>3</x:v>
      </x:c>
      <x:c r="AC19" s="26" t="n">
        <x:v>0</x:v>
      </x:c>
      <x:c r="AD19" s="26" t="str">
        <x:v>engineering hypothesis</x:v>
      </x:c>
      <x:c r="AE19" s="26" t="str"/>
    </x:row>
    <x:row r="20">
      <x:c r="C20" s="26" t="str">
        <x:v>C3-014</x:v>
      </x:c>
      <x:c r="D20" s="26" t="str">
        <x:v>R1</x:v>
      </x:c>
      <x:c r="E20" s="26" t="n">
        <x:v>14</x:v>
      </x:c>
      <x:c r="F20" s="26" t="str">
        <x:v>Food distribution starter</x:v>
      </x:c>
      <x:c r="G20" s="26" t="str">
        <x:v>temperature-controlled handling and public delivery core</x:v>
      </x:c>
      <x:c r="H20" s="26" t="str">
        <x:v>Z1–Z8</x:v>
      </x:c>
      <x:c r="I20" s="26" t="str">
        <x:v>H1/H3</x:v>
      </x:c>
      <x:c r="J20" s="26" t="str">
        <x:v>P3</x:v>
      </x:c>
      <x:c r="K20" s="26" t="str">
        <x:v>P0</x:v>
      </x:c>
      <x:c r="L20" s="26" t="str">
        <x:v>Vertical lift/Cached</x:v>
      </x:c>
      <x:c r="M20" s="26" t="n">
        <x:v>26</x:v>
      </x:c>
      <x:c r="N20" s="51" t="n">
        <x:v>200</x:v>
      </x:c>
      <x:c r="O20" s="52" t="n">
        <x:f>M20*N20</x:f>
        <x:v>5200</x:v>
      </x:c>
      <x:c r="P20" s="51" t="n">
        <x:v>1200</x:v>
      </x:c>
      <x:c r="Q20" s="52" t="n">
        <x:f>M20*P20</x:f>
        <x:v>31200</x:v>
      </x:c>
      <x:c r="R20" s="52" t="n">
        <x:f>Q20/33</x:f>
        <x:v>945.4545454545455</x:v>
      </x:c>
      <x:c r="S20" s="51" t="n">
        <x:v>1.15</x:v>
      </x:c>
      <x:c r="T20" s="52" t="n">
        <x:f>MAX(O20,Q20/4,R20*10)*S20</x:f>
        <x:v>10872.727272727274</x:v>
      </x:c>
      <x:c r="U20" s="26" t="str">
        <x:v>cold</x:v>
      </x:c>
      <x:c r="V20" s="26" t="str">
        <x:v>Yes</x:v>
      </x:c>
      <x:c r="W20" s="26" t="str">
        <x:v>No</x:v>
      </x:c>
      <x:c r="X20" s="26" t="str">
        <x:v>No</x:v>
      </x:c>
      <x:c r="Y20" s="26" t="str">
        <x:v>Food and nutrition</x:v>
      </x:c>
      <x:c r="Z20" s="51" t="n">
        <x:v>2600000</x:v>
      </x:c>
      <x:c r="AA20" s="26" t="str">
        <x:v>people/day</x:v>
      </x:c>
      <x:c r="AB20" s="26" t="n">
        <x:v>3</x:v>
      </x:c>
      <x:c r="AC20" s="26" t="n">
        <x:v>0</x:v>
      </x:c>
      <x:c r="AD20" s="26" t="str">
        <x:v>engineering hypothesis</x:v>
      </x:c>
      <x:c r="AE20" s="26" t="str"/>
    </x:row>
    <x:row r="21">
      <x:c r="C21" s="26" t="str">
        <x:v>C3-015</x:v>
      </x:c>
      <x:c r="D21" s="26" t="str">
        <x:v>R1</x:v>
      </x:c>
      <x:c r="E21" s="26" t="n">
        <x:v>15</x:v>
      </x:c>
      <x:c r="F21" s="26" t="str">
        <x:v>Shelter starter</x:v>
      </x:c>
      <x:c r="G21" s="26" t="str">
        <x:v>structural screening and accessible refuge support</x:v>
      </x:c>
      <x:c r="H21" s="26" t="str">
        <x:v>Z1–Z8</x:v>
      </x:c>
      <x:c r="I21" s="26" t="str">
        <x:v>H1/H3</x:v>
      </x:c>
      <x:c r="J21" s="26" t="str">
        <x:v>P0</x:v>
      </x:c>
      <x:c r="K21" s="26" t="str">
        <x:v>P3</x:v>
      </x:c>
      <x:c r="L21" s="26" t="str">
        <x:v>Cached/Vertical lift</x:v>
      </x:c>
      <x:c r="M21" s="26" t="n">
        <x:v>20</x:v>
      </x:c>
      <x:c r="N21" s="51" t="n">
        <x:v>150</x:v>
      </x:c>
      <x:c r="O21" s="52" t="n">
        <x:f>M21*N21</x:f>
        <x:v>3000</x:v>
      </x:c>
      <x:c r="P21" s="51" t="n">
        <x:v>1200</x:v>
      </x:c>
      <x:c r="Q21" s="52" t="n">
        <x:f>M21*P21</x:f>
        <x:v>24000</x:v>
      </x:c>
      <x:c r="R21" s="52" t="n">
        <x:f>Q21/33</x:f>
        <x:v>727.2727272727273</x:v>
      </x:c>
      <x:c r="S21" s="51" t="n">
        <x:v>1.2</x:v>
      </x:c>
      <x:c r="T21" s="52" t="n">
        <x:f>MAX(O21,Q21/4,R21*10)*S21</x:f>
        <x:v>8727.272727272726</x:v>
      </x:c>
      <x:c r="U21" s="26" t="str">
        <x:v>shelter</x:v>
      </x:c>
      <x:c r="V21" s="26" t="str">
        <x:v>No</x:v>
      </x:c>
      <x:c r="W21" s="26" t="str">
        <x:v>No</x:v>
      </x:c>
      <x:c r="X21" s="26" t="str">
        <x:v>No</x:v>
      </x:c>
      <x:c r="Y21" s="26" t="str">
        <x:v>Emergency shelter</x:v>
      </x:c>
      <x:c r="Z21" s="51" t="n">
        <x:v>500000</x:v>
      </x:c>
      <x:c r="AA21" s="26" t="str">
        <x:v>people</x:v>
      </x:c>
      <x:c r="AB21" s="26" t="n">
        <x:v>3</x:v>
      </x:c>
      <x:c r="AC21" s="26" t="n">
        <x:v>0</x:v>
      </x:c>
      <x:c r="AD21" s="26" t="str">
        <x:v>engineering hypothesis</x:v>
      </x:c>
      <x:c r="AE21" s="26" t="str"/>
    </x:row>
    <x:row r="22">
      <x:c r="C22" s="26" t="str">
        <x:v>C3-016</x:v>
      </x:c>
      <x:c r="D22" s="26" t="str">
        <x:v>R1</x:v>
      </x:c>
      <x:c r="E22" s="26" t="n">
        <x:v>16</x:v>
      </x:c>
      <x:c r="F22" s="26" t="str">
        <x:v>Fuel starter</x:v>
      </x:c>
      <x:c r="G22" s="26" t="str">
        <x:v>metered fuel, spill control and mobile dispensing</x:v>
      </x:c>
      <x:c r="H22" s="26" t="str">
        <x:v>Z1–Z8</x:v>
      </x:c>
      <x:c r="I22" s="26" t="str">
        <x:v>H3</x:v>
      </x:c>
      <x:c r="J22" s="26" t="str">
        <x:v>P0</x:v>
      </x:c>
      <x:c r="K22" s="26" t="str">
        <x:v>P2</x:v>
      </x:c>
      <x:c r="L22" s="26" t="str">
        <x:v>Cached/Air</x:v>
      </x:c>
      <x:c r="M22" s="26" t="n">
        <x:v>10</x:v>
      </x:c>
      <x:c r="N22" s="51" t="n">
        <x:v>223</x:v>
      </x:c>
      <x:c r="O22" s="52" t="n">
        <x:f>M22*N22</x:f>
        <x:v>2230</x:v>
      </x:c>
      <x:c r="P22" s="51" t="n">
        <x:v>446</x:v>
      </x:c>
      <x:c r="Q22" s="52" t="n">
        <x:f>M22*P22</x:f>
        <x:v>4460</x:v>
      </x:c>
      <x:c r="R22" s="52" t="n">
        <x:f>Q22/33</x:f>
        <x:v>135.15151515151516</x:v>
      </x:c>
      <x:c r="S22" s="51" t="n">
        <x:v>1.2</x:v>
      </x:c>
      <x:c r="T22" s="52" t="n">
        <x:f>MAX(O22,Q22/4,R22*10)*S22</x:f>
        <x:v>2676</x:v>
      </x:c>
      <x:c r="U22" s="26" t="str">
        <x:v>hazmat</x:v>
      </x:c>
      <x:c r="V22" s="26" t="str">
        <x:v>No</x:v>
      </x:c>
      <x:c r="W22" s="26" t="str">
        <x:v>Yes</x:v>
      </x:c>
      <x:c r="X22" s="26" t="str">
        <x:v>No</x:v>
      </x:c>
      <x:c r="Y22" s="26" t="str">
        <x:v>Enabling / reserve</x:v>
      </x:c>
      <x:c r="Z22" s="51" t="n">
        <x:v>0</x:v>
      </x:c>
      <x:c r="AA22" s="26" t="str">
        <x:v>n/a</x:v>
      </x:c>
      <x:c r="AB22" s="26" t="n">
        <x:v>3</x:v>
      </x:c>
      <x:c r="AC22" s="26" t="n">
        <x:v>0</x:v>
      </x:c>
      <x:c r="AD22" s="26" t="str">
        <x:v>engineering hypothesis</x:v>
      </x:c>
      <x:c r="AE22" s="26" t="str"/>
    </x:row>
    <x:row r="23">
      <x:c r="C23" s="26" t="str">
        <x:v>C3-017</x:v>
      </x:c>
      <x:c r="D23" s="26" t="str">
        <x:v>R2</x:v>
      </x:c>
      <x:c r="E23" s="26" t="n">
        <x:v>17</x:v>
      </x:c>
      <x:c r="F23" s="26" t="str">
        <x:v>Airfield regeneration</x:v>
      </x:c>
      <x:c r="G23" s="26" t="str">
        <x:v>rapid pavement, lighting, fuel and cargo-handling trains</x:v>
      </x:c>
      <x:c r="H23" s="26" t="str">
        <x:v>Z1/Z3/Z8</x:v>
      </x:c>
      <x:c r="I23" s="26" t="str">
        <x:v>H1/H3</x:v>
      </x:c>
      <x:c r="J23" s="26" t="str">
        <x:v>P1</x:v>
      </x:c>
      <x:c r="K23" s="26" t="str">
        <x:v>P3</x:v>
      </x:c>
      <x:c r="L23" s="26" t="str">
        <x:v>Air/Vertical lift</x:v>
      </x:c>
      <x:c r="M23" s="26" t="n">
        <x:v>36</x:v>
      </x:c>
      <x:c r="N23" s="51" t="n">
        <x:v>500</x:v>
      </x:c>
      <x:c r="O23" s="52" t="n">
        <x:f>M23*N23</x:f>
        <x:v>18000</x:v>
      </x:c>
      <x:c r="P23" s="51" t="n">
        <x:v>2000</x:v>
      </x:c>
      <x:c r="Q23" s="52" t="n">
        <x:f>M23*P23</x:f>
        <x:v>72000</x:v>
      </x:c>
      <x:c r="R23" s="52" t="n">
        <x:f>Q23/33</x:f>
        <x:v>2181.818181818182</x:v>
      </x:c>
      <x:c r="S23" s="51" t="n">
        <x:v>1.25</x:v>
      </x:c>
      <x:c r="T23" s="52" t="n">
        <x:f>MAX(O23,Q23/4,R23*10)*S23</x:f>
        <x:v>27272.727272727276</x:v>
      </x:c>
      <x:c r="U23" s="26" t="str">
        <x:v>outsized</x:v>
      </x:c>
      <x:c r="V23" s="26" t="str">
        <x:v>No</x:v>
      </x:c>
      <x:c r="W23" s="26" t="str">
        <x:v>Yes</x:v>
      </x:c>
      <x:c r="X23" s="26" t="str">
        <x:v>Yes</x:v>
      </x:c>
      <x:c r="Y23" s="26" t="str">
        <x:v>End-to-end access</x:v>
      </x:c>
      <x:c r="Z23" s="51" t="n">
        <x:v>18000</x:v>
      </x:c>
      <x:c r="AA23" s="26" t="str">
        <x:v>tonnes/day enabled</x:v>
      </x:c>
      <x:c r="AB23" s="26" t="n">
        <x:v>14</x:v>
      </x:c>
      <x:c r="AC23" s="26" t="n">
        <x:v>0</x:v>
      </x:c>
      <x:c r="AD23" s="26" t="str">
        <x:v>technology hypothesis</x:v>
      </x:c>
      <x:c r="AE23" s="26" t="str"/>
    </x:row>
    <x:row r="24">
      <x:c r="C24" s="26" t="str">
        <x:v>C3-018</x:v>
      </x:c>
      <x:c r="D24" s="26" t="str">
        <x:v>R2</x:v>
      </x:c>
      <x:c r="E24" s="26" t="n">
        <x:v>18</x:v>
      </x:c>
      <x:c r="F24" s="26" t="str">
        <x:v>Port opening group</x:v>
      </x:c>
      <x:c r="G24" s="26" t="str">
        <x:v>salvage, dredging, mobile cranes and terminal control</x:v>
      </x:c>
      <x:c r="H24" s="26" t="str">
        <x:v>Z1/Z3</x:v>
      </x:c>
      <x:c r="I24" s="26" t="str">
        <x:v>H7</x:v>
      </x:c>
      <x:c r="J24" s="26" t="str">
        <x:v>P4</x:v>
      </x:c>
      <x:c r="K24" s="26" t="str">
        <x:v>P6</x:v>
      </x:c>
      <x:c r="L24" s="26" t="str">
        <x:v>Littoral/Ocean</x:v>
      </x:c>
      <x:c r="M24" s="26" t="n">
        <x:v>24</x:v>
      </x:c>
      <x:c r="N24" s="51" t="n">
        <x:v>1000</x:v>
      </x:c>
      <x:c r="O24" s="52" t="n">
        <x:f>M24*N24</x:f>
        <x:v>24000</x:v>
      </x:c>
      <x:c r="P24" s="51" t="n">
        <x:v>4000</x:v>
      </x:c>
      <x:c r="Q24" s="52" t="n">
        <x:f>M24*P24</x:f>
        <x:v>96000</x:v>
      </x:c>
      <x:c r="R24" s="52" t="n">
        <x:f>Q24/33</x:f>
        <x:v>2909.090909090909</x:v>
      </x:c>
      <x:c r="S24" s="51" t="n">
        <x:v>1.35</x:v>
      </x:c>
      <x:c r="T24" s="52" t="n">
        <x:f>MAX(O24,Q24/4,R24*10)*S24</x:f>
        <x:v>39272.72727272727</x:v>
      </x:c>
      <x:c r="U24" s="26" t="str">
        <x:v>marine/outsized</x:v>
      </x:c>
      <x:c r="V24" s="26" t="str">
        <x:v>No</x:v>
      </x:c>
      <x:c r="W24" s="26" t="str">
        <x:v>Yes</x:v>
      </x:c>
      <x:c r="X24" s="26" t="str">
        <x:v>Yes</x:v>
      </x:c>
      <x:c r="Y24" s="26" t="str">
        <x:v>End-to-end access</x:v>
      </x:c>
      <x:c r="Z24" s="51" t="n">
        <x:v>22000</x:v>
      </x:c>
      <x:c r="AA24" s="26" t="str">
        <x:v>tonnes/day enabled</x:v>
      </x:c>
      <x:c r="AB24" s="26" t="n">
        <x:v>14</x:v>
      </x:c>
      <x:c r="AC24" s="26" t="n">
        <x:v>0</x:v>
      </x:c>
      <x:c r="AD24" s="26" t="str">
        <x:v>engineering hypothesis</x:v>
      </x:c>
      <x:c r="AE24" s="26" t="str"/>
    </x:row>
    <x:row r="25">
      <x:c r="C25" s="26" t="str">
        <x:v>C3-019</x:v>
      </x:c>
      <x:c r="D25" s="26" t="str">
        <x:v>R2</x:v>
      </x:c>
      <x:c r="E25" s="26" t="n">
        <x:v>19</x:v>
      </x:c>
      <x:c r="F25" s="26" t="str">
        <x:v>Coastal littoral group</x:v>
      </x:c>
      <x:c r="G25" s="26" t="str">
        <x:v>no-pier cargo and shallow-water distribution</x:v>
      </x:c>
      <x:c r="H25" s="26" t="str">
        <x:v>Z5/Z6/Z7</x:v>
      </x:c>
      <x:c r="I25" s="26" t="str">
        <x:v>H8</x:v>
      </x:c>
      <x:c r="J25" s="26" t="str">
        <x:v>P5</x:v>
      </x:c>
      <x:c r="K25" s="26" t="str">
        <x:v>P2</x:v>
      </x:c>
      <x:c r="L25" s="26" t="str">
        <x:v>Littoral/Air</x:v>
      </x:c>
      <x:c r="M25" s="26" t="n">
        <x:v>20</x:v>
      </x:c>
      <x:c r="N25" s="51" t="n">
        <x:v>1000</x:v>
      </x:c>
      <x:c r="O25" s="52" t="n">
        <x:f>M25*N25</x:f>
        <x:v>20000</x:v>
      </x:c>
      <x:c r="P25" s="51" t="n">
        <x:v>5000</x:v>
      </x:c>
      <x:c r="Q25" s="52" t="n">
        <x:f>M25*P25</x:f>
        <x:v>100000</x:v>
      </x:c>
      <x:c r="R25" s="52" t="n">
        <x:f>Q25/33</x:f>
        <x:v>3030.3030303030305</x:v>
      </x:c>
      <x:c r="S25" s="51" t="n">
        <x:v>1.3</x:v>
      </x:c>
      <x:c r="T25" s="52" t="n">
        <x:f>MAX(O25,Q25/4,R25*10)*S25</x:f>
        <x:v>39393.9393939394</x:v>
      </x:c>
      <x:c r="U25" s="26" t="str">
        <x:v>marine/outsized</x:v>
      </x:c>
      <x:c r="V25" s="26" t="str">
        <x:v>No</x:v>
      </x:c>
      <x:c r="W25" s="26" t="str">
        <x:v>Yes</x:v>
      </x:c>
      <x:c r="X25" s="26" t="str">
        <x:v>Yes</x:v>
      </x:c>
      <x:c r="Y25" s="26" t="str">
        <x:v>End-to-end access</x:v>
      </x:c>
      <x:c r="Z25" s="51" t="n">
        <x:v>18000</x:v>
      </x:c>
      <x:c r="AA25" s="26" t="str">
        <x:v>tonnes/day enabled</x:v>
      </x:c>
      <x:c r="AB25" s="26" t="n">
        <x:v>14</x:v>
      </x:c>
      <x:c r="AC25" s="26" t="n">
        <x:v>0</x:v>
      </x:c>
      <x:c r="AD25" s="26" t="str">
        <x:v>engineering hypothesis</x:v>
      </x:c>
      <x:c r="AE25" s="26" t="str"/>
    </x:row>
    <x:row r="26">
      <x:c r="C26" s="26" t="str">
        <x:v>C3-020</x:v>
      </x:c>
      <x:c r="D26" s="26" t="str">
        <x:v>R2</x:v>
      </x:c>
      <x:c r="E26" s="26" t="n">
        <x:v>20</x:v>
      </x:c>
      <x:c r="F26" s="26" t="str">
        <x:v>Washington route opening</x:v>
      </x:c>
      <x:c r="G26" s="26" t="str">
        <x:v>debris, slope, pavement and traffic-control package</x:v>
      </x:c>
      <x:c r="H26" s="26" t="str">
        <x:v>Z1–Z4</x:v>
      </x:c>
      <x:c r="I26" s="26" t="str">
        <x:v>H1/H2</x:v>
      </x:c>
      <x:c r="J26" s="26" t="str">
        <x:v>P8</x:v>
      </x:c>
      <x:c r="K26" s="26" t="str">
        <x:v>P1</x:v>
      </x:c>
      <x:c r="L26" s="26" t="str">
        <x:v>Road/Air</x:v>
      </x:c>
      <x:c r="M26" s="26" t="n">
        <x:v>50</x:v>
      </x:c>
      <x:c r="N26" s="51" t="n">
        <x:v>500</x:v>
      </x:c>
      <x:c r="O26" s="52" t="n">
        <x:f>M26*N26</x:f>
        <x:v>25000</x:v>
      </x:c>
      <x:c r="P26" s="51" t="n">
        <x:v>1500</x:v>
      </x:c>
      <x:c r="Q26" s="52" t="n">
        <x:f>M26*P26</x:f>
        <x:v>75000</x:v>
      </x:c>
      <x:c r="R26" s="52" t="n">
        <x:f>Q26/33</x:f>
        <x:v>2272.7272727272725</x:v>
      </x:c>
      <x:c r="S26" s="51" t="n">
        <x:v>1.15</x:v>
      </x:c>
      <x:c r="T26" s="52" t="n">
        <x:f>MAX(O26,Q26/4,R26*10)*S26</x:f>
        <x:v>28749.999999999996</x:v>
      </x:c>
      <x:c r="U26" s="26" t="str">
        <x:v>heavy engineering</x:v>
      </x:c>
      <x:c r="V26" s="26" t="str">
        <x:v>No</x:v>
      </x:c>
      <x:c r="W26" s="26" t="str">
        <x:v>Yes</x:v>
      </x:c>
      <x:c r="X26" s="26" t="str">
        <x:v>Yes</x:v>
      </x:c>
      <x:c r="Y26" s="26" t="str">
        <x:v>Hazard-control works</x:v>
      </x:c>
      <x:c r="Z26" s="51" t="n">
        <x:v>400</x:v>
      </x:c>
      <x:c r="AA26" s="26" t="str">
        <x:v>route-equivalent km/day</x:v>
      </x:c>
      <x:c r="AB26" s="26" t="n">
        <x:v>14</x:v>
      </x:c>
      <x:c r="AC26" s="26" t="n">
        <x:v>0</x:v>
      </x:c>
      <x:c r="AD26" s="26" t="str">
        <x:v>engineering hypothesis</x:v>
      </x:c>
      <x:c r="AE26" s="26" t="str"/>
    </x:row>
    <x:row r="27">
      <x:c r="C27" s="26" t="str">
        <x:v>C3-021</x:v>
      </x:c>
      <x:c r="D27" s="26" t="str">
        <x:v>R2</x:v>
      </x:c>
      <x:c r="E27" s="26" t="n">
        <x:v>21</x:v>
      </x:c>
      <x:c r="F27" s="26" t="str">
        <x:v>Oregon bridge package</x:v>
      </x:c>
      <x:c r="G27" s="26" t="str">
        <x:v>temporary spans, abutment and inspection system</x:v>
      </x:c>
      <x:c r="H27" s="26" t="str">
        <x:v>Z5–Z8</x:v>
      </x:c>
      <x:c r="I27" s="26" t="str">
        <x:v>H3/H4</x:v>
      </x:c>
      <x:c r="J27" s="26" t="str">
        <x:v>P9</x:v>
      </x:c>
      <x:c r="K27" s="26" t="str">
        <x:v>P2</x:v>
      </x:c>
      <x:c r="L27" s="26" t="str">
        <x:v>Road/Air</x:v>
      </x:c>
      <x:c r="M27" s="26" t="n">
        <x:v>20</x:v>
      </x:c>
      <x:c r="N27" s="51" t="n">
        <x:v>1000</x:v>
      </x:c>
      <x:c r="O27" s="52" t="n">
        <x:f>M27*N27</x:f>
        <x:v>20000</x:v>
      </x:c>
      <x:c r="P27" s="51" t="n">
        <x:v>3000</x:v>
      </x:c>
      <x:c r="Q27" s="52" t="n">
        <x:f>M27*P27</x:f>
        <x:v>60000</x:v>
      </x:c>
      <x:c r="R27" s="52" t="n">
        <x:f>Q27/33</x:f>
        <x:v>1818.1818181818182</x:v>
      </x:c>
      <x:c r="S27" s="51" t="n">
        <x:v>1.25</x:v>
      </x:c>
      <x:c r="T27" s="52" t="n">
        <x:f>MAX(O27,Q27/4,R27*10)*S27</x:f>
        <x:v>25000</x:v>
      </x:c>
      <x:c r="U27" s="26" t="str">
        <x:v>bridge/outsized</x:v>
      </x:c>
      <x:c r="V27" s="26" t="str">
        <x:v>No</x:v>
      </x:c>
      <x:c r="W27" s="26" t="str">
        <x:v>Yes</x:v>
      </x:c>
      <x:c r="X27" s="26" t="str">
        <x:v>Yes</x:v>
      </x:c>
      <x:c r="Y27" s="26" t="str">
        <x:v>End-to-end access</x:v>
      </x:c>
      <x:c r="Z27" s="51" t="n">
        <x:v>12000</x:v>
      </x:c>
      <x:c r="AA27" s="26" t="str">
        <x:v>tonnes/day enabled</x:v>
      </x:c>
      <x:c r="AB27" s="26" t="n">
        <x:v>14</x:v>
      </x:c>
      <x:c r="AC27" s="26" t="n">
        <x:v>0</x:v>
      </x:c>
      <x:c r="AD27" s="26" t="str">
        <x:v>technology hypothesis</x:v>
      </x:c>
      <x:c r="AE27" s="26" t="str"/>
    </x:row>
    <x:row r="28">
      <x:c r="C28" s="26" t="str">
        <x:v>C3-022</x:v>
      </x:c>
      <x:c r="D28" s="26" t="str">
        <x:v>R2</x:v>
      </x:c>
      <x:c r="E28" s="26" t="n">
        <x:v>22</x:v>
      </x:c>
      <x:c r="F28" s="26" t="str">
        <x:v>Acute care IOC</x:v>
      </x:c>
      <x:c r="G28" s="26" t="str">
        <x:v>surgical, critical, dialysis, obstetric and laboratory package</x:v>
      </x:c>
      <x:c r="H28" s="26" t="str">
        <x:v>Z2/Z3/Z8</x:v>
      </x:c>
      <x:c r="I28" s="26" t="str">
        <x:v>H3</x:v>
      </x:c>
      <x:c r="J28" s="26" t="str">
        <x:v>P2</x:v>
      </x:c>
      <x:c r="K28" s="26" t="str">
        <x:v>P11</x:v>
      </x:c>
      <x:c r="L28" s="26" t="str">
        <x:v>Air/Ocean support</x:v>
      </x:c>
      <x:c r="M28" s="26" t="n">
        <x:v>28</x:v>
      </x:c>
      <x:c r="N28" s="51" t="n">
        <x:v>1000</x:v>
      </x:c>
      <x:c r="O28" s="52" t="n">
        <x:f>M28*N28</x:f>
        <x:v>28000</x:v>
      </x:c>
      <x:c r="P28" s="51" t="n">
        <x:v>5000</x:v>
      </x:c>
      <x:c r="Q28" s="52" t="n">
        <x:f>M28*P28</x:f>
        <x:v>140000</x:v>
      </x:c>
      <x:c r="R28" s="52" t="n">
        <x:f>Q28/33</x:f>
        <x:v>4242.424242424242</x:v>
      </x:c>
      <x:c r="S28" s="51" t="n">
        <x:v>1.25</x:v>
      </x:c>
      <x:c r="T28" s="52" t="n">
        <x:f>MAX(O28,Q28/4,R28*10)*S28</x:f>
        <x:v>53030.303030303025</x:v>
      </x:c>
      <x:c r="U28" s="26" t="str">
        <x:v>clinical/cold</x:v>
      </x:c>
      <x:c r="V28" s="26" t="str">
        <x:v>Yes</x:v>
      </x:c>
      <x:c r="W28" s="26" t="str">
        <x:v>Yes</x:v>
      </x:c>
      <x:c r="X28" s="26" t="str">
        <x:v>Yes</x:v>
      </x:c>
      <x:c r="Y28" s="26" t="str">
        <x:v>Staffed health capacity</x:v>
      </x:c>
      <x:c r="Z28" s="51" t="n">
        <x:v>2300</x:v>
      </x:c>
      <x:c r="AA28" s="26" t="str">
        <x:v>staffed beds</x:v>
      </x:c>
      <x:c r="AB28" s="26" t="n">
        <x:v>14</x:v>
      </x:c>
      <x:c r="AC28" s="26" t="n">
        <x:v>0</x:v>
      </x:c>
      <x:c r="AD28" s="26" t="str">
        <x:v>engineering hypothesis</x:v>
      </x:c>
      <x:c r="AE28" s="26" t="str"/>
    </x:row>
    <x:row r="29">
      <x:c r="C29" s="26" t="str">
        <x:v>C3-023</x:v>
      </x:c>
      <x:c r="D29" s="26" t="str">
        <x:v>R2</x:v>
      </x:c>
      <x:c r="E29" s="26" t="n">
        <x:v>23</x:v>
      </x:c>
      <x:c r="F29" s="26" t="str">
        <x:v>Regional water IOC</x:v>
      </x:c>
      <x:c r="G29" s="26" t="str">
        <x:v>treatment, storage, pumping and neighborhood delivery</x:v>
      </x:c>
      <x:c r="H29" s="26" t="str">
        <x:v>Z1–Z8</x:v>
      </x:c>
      <x:c r="I29" s="26" t="str">
        <x:v>H2</x:v>
      </x:c>
      <x:c r="J29" s="26" t="str">
        <x:v>P7</x:v>
      </x:c>
      <x:c r="K29" s="26" t="str">
        <x:v>P9</x:v>
      </x:c>
      <x:c r="L29" s="26" t="str">
        <x:v>Inland water/Road</x:v>
      </x:c>
      <x:c r="M29" s="26" t="n">
        <x:v>44</x:v>
      </x:c>
      <x:c r="N29" s="51" t="n">
        <x:v>500</x:v>
      </x:c>
      <x:c r="O29" s="52" t="n">
        <x:f>M29*N29</x:f>
        <x:v>22000</x:v>
      </x:c>
      <x:c r="P29" s="51" t="n">
        <x:v>2000</x:v>
      </x:c>
      <x:c r="Q29" s="52" t="n">
        <x:f>M29*P29</x:f>
        <x:v>88000</x:v>
      </x:c>
      <x:c r="R29" s="52" t="n">
        <x:f>Q29/33</x:f>
        <x:v>2666.6666666666665</x:v>
      </x:c>
      <x:c r="S29" s="51" t="n">
        <x:v>1.2</x:v>
      </x:c>
      <x:c r="T29" s="52" t="n">
        <x:f>MAX(O29,Q29/4,R29*10)*S29</x:f>
        <x:v>31999.999999999996</x:v>
      </x:c>
      <x:c r="U29" s="26" t="str">
        <x:v>process</x:v>
      </x:c>
      <x:c r="V29" s="26" t="str">
        <x:v>No</x:v>
      </x:c>
      <x:c r="W29" s="26" t="str">
        <x:v>Yes</x:v>
      </x:c>
      <x:c r="X29" s="26" t="str">
        <x:v>Yes</x:v>
      </x:c>
      <x:c r="Y29" s="26" t="str">
        <x:v>Potable and essential water</x:v>
      </x:c>
      <x:c r="Z29" s="51" t="n">
        <x:v>22000</x:v>
      </x:c>
      <x:c r="AA29" s="26" t="str">
        <x:v>m3/day delivered</x:v>
      </x:c>
      <x:c r="AB29" s="26" t="n">
        <x:v>14</x:v>
      </x:c>
      <x:c r="AC29" s="26" t="n">
        <x:v>0</x:v>
      </x:c>
      <x:c r="AD29" s="26" t="str">
        <x:v>engineering hypothesis</x:v>
      </x:c>
      <x:c r="AE29" s="26" t="str"/>
    </x:row>
    <x:row r="30">
      <x:c r="C30" s="26" t="str">
        <x:v>C3-024</x:v>
      </x:c>
      <x:c r="D30" s="26" t="str">
        <x:v>R2</x:v>
      </x:c>
      <x:c r="E30" s="26" t="n">
        <x:v>24</x:v>
      </x:c>
      <x:c r="F30" s="26" t="str">
        <x:v>Critical-load islands</x:v>
      </x:c>
      <x:c r="G30" s="26" t="str">
        <x:v>grid-forming generation, switchgear and mobile feeders</x:v>
      </x:c>
      <x:c r="H30" s="26" t="str">
        <x:v>Z1–Z8</x:v>
      </x:c>
      <x:c r="I30" s="26" t="str">
        <x:v>H7/H8</x:v>
      </x:c>
      <x:c r="J30" s="26" t="str">
        <x:v>P11</x:v>
      </x:c>
      <x:c r="K30" s="26" t="str">
        <x:v>P2</x:v>
      </x:c>
      <x:c r="L30" s="26" t="str">
        <x:v>Ocean support/Air</x:v>
      </x:c>
      <x:c r="M30" s="26" t="n">
        <x:v>24</x:v>
      </x:c>
      <x:c r="N30" s="51" t="n">
        <x:v>1000</x:v>
      </x:c>
      <x:c r="O30" s="52" t="n">
        <x:f>M30*N30</x:f>
        <x:v>24000</x:v>
      </x:c>
      <x:c r="P30" s="51" t="n">
        <x:v>4000</x:v>
      </x:c>
      <x:c r="Q30" s="52" t="n">
        <x:f>M30*P30</x:f>
        <x:v>96000</x:v>
      </x:c>
      <x:c r="R30" s="52" t="n">
        <x:f>Q30/33</x:f>
        <x:v>2909.090909090909</x:v>
      </x:c>
      <x:c r="S30" s="51" t="n">
        <x:v>1.3</x:v>
      </x:c>
      <x:c r="T30" s="52" t="n">
        <x:f>MAX(O30,Q30/4,R30*10)*S30</x:f>
        <x:v>37818.181818181816</x:v>
      </x:c>
      <x:c r="U30" s="26" t="str">
        <x:v>electrical/outsized</x:v>
      </x:c>
      <x:c r="V30" s="26" t="str">
        <x:v>No</x:v>
      </x:c>
      <x:c r="W30" s="26" t="str">
        <x:v>Yes</x:v>
      </x:c>
      <x:c r="X30" s="26" t="str">
        <x:v>Yes</x:v>
      </x:c>
      <x:c r="Y30" s="26" t="str">
        <x:v>Critical-load power</x:v>
      </x:c>
      <x:c r="Z30" s="51" t="n">
        <x:v>2400</x:v>
      </x:c>
      <x:c r="AA30" s="26" t="str">
        <x:v>MW net</x:v>
      </x:c>
      <x:c r="AB30" s="26" t="n">
        <x:v>14</x:v>
      </x:c>
      <x:c r="AC30" s="26" t="n">
        <x:v>0</x:v>
      </x:c>
      <x:c r="AD30" s="26" t="str">
        <x:v>technology hypothesis</x:v>
      </x:c>
      <x:c r="AE30" s="26" t="str"/>
    </x:row>
    <x:row r="31">
      <x:c r="C31" s="26" t="str">
        <x:v>C3-025</x:v>
      </x:c>
      <x:c r="D31" s="26" t="str">
        <x:v>R2</x:v>
      </x:c>
      <x:c r="E31" s="26" t="n">
        <x:v>25</x:v>
      </x:c>
      <x:c r="F31" s="26" t="str">
        <x:v>Public communications IOC</x:v>
      </x:c>
      <x:c r="G31" s="26" t="str">
        <x:v>local access, resilient backhaul and benefits terminals</x:v>
      </x:c>
      <x:c r="H31" s="26" t="str">
        <x:v>Z1–Z8</x:v>
      </x:c>
      <x:c r="I31" s="26" t="str">
        <x:v>H1/H3</x:v>
      </x:c>
      <x:c r="J31" s="26" t="str">
        <x:v>P3</x:v>
      </x:c>
      <x:c r="K31" s="26" t="str">
        <x:v>P1</x:v>
      </x:c>
      <x:c r="L31" s="26" t="str">
        <x:v>Vertical lift/Air</x:v>
      </x:c>
      <x:c r="M31" s="26" t="n">
        <x:v>45</x:v>
      </x:c>
      <x:c r="N31" s="51" t="n">
        <x:v>200</x:v>
      </x:c>
      <x:c r="O31" s="52" t="n">
        <x:f>M31*N31</x:f>
        <x:v>9000</x:v>
      </x:c>
      <x:c r="P31" s="51" t="n">
        <x:v>1000</x:v>
      </x:c>
      <x:c r="Q31" s="52" t="n">
        <x:f>M31*P31</x:f>
        <x:v>45000</x:v>
      </x:c>
      <x:c r="R31" s="52" t="n">
        <x:f>Q31/33</x:f>
        <x:v>1363.6363636363637</x:v>
      </x:c>
      <x:c r="S31" s="51" t="n">
        <x:v>1.1</x:v>
      </x:c>
      <x:c r="T31" s="52" t="n">
        <x:f>MAX(O31,Q31/4,R31*10)*S31</x:f>
        <x:v>15000.000000000004</x:v>
      </x:c>
      <x:c r="U31" s="26" t="str">
        <x:v>communications</x:v>
      </x:c>
      <x:c r="V31" s="26" t="str">
        <x:v>No</x:v>
      </x:c>
      <x:c r="W31" s="26" t="str">
        <x:v>No</x:v>
      </x:c>
      <x:c r="X31" s="26" t="str">
        <x:v>No</x:v>
      </x:c>
      <x:c r="Y31" s="26" t="str">
        <x:v>Priority communications</x:v>
      </x:c>
      <x:c r="Z31" s="51" t="n">
        <x:v>2600000</x:v>
      </x:c>
      <x:c r="AA31" s="26" t="str">
        <x:v>users</x:v>
      </x:c>
      <x:c r="AB31" s="26" t="n">
        <x:v>14</x:v>
      </x:c>
      <x:c r="AC31" s="26" t="n">
        <x:v>0</x:v>
      </x:c>
      <x:c r="AD31" s="26" t="str">
        <x:v>technology hypothesis</x:v>
      </x:c>
      <x:c r="AE31" s="26" t="str"/>
    </x:row>
    <x:row r="32">
      <x:c r="C32" s="26" t="str">
        <x:v>C3-026</x:v>
      </x:c>
      <x:c r="D32" s="26" t="str">
        <x:v>R2</x:v>
      </x:c>
      <x:c r="E32" s="26" t="n">
        <x:v>26</x:v>
      </x:c>
      <x:c r="F32" s="26" t="str">
        <x:v>Emergency shelter IOC</x:v>
      </x:c>
      <x:c r="G32" s="26" t="str">
        <x:v>accessible shelter and inspected-building support</x:v>
      </x:c>
      <x:c r="H32" s="26" t="str">
        <x:v>Z1–Z8</x:v>
      </x:c>
      <x:c r="I32" s="26" t="str">
        <x:v>H8</x:v>
      </x:c>
      <x:c r="J32" s="26" t="str">
        <x:v>P5</x:v>
      </x:c>
      <x:c r="K32" s="26" t="str">
        <x:v>P2</x:v>
      </x:c>
      <x:c r="L32" s="26" t="str">
        <x:v>Littoral/Air</x:v>
      </x:c>
      <x:c r="M32" s="26" t="n">
        <x:v>40</x:v>
      </x:c>
      <x:c r="N32" s="51" t="n">
        <x:v>500</x:v>
      </x:c>
      <x:c r="O32" s="52" t="n">
        <x:f>M32*N32</x:f>
        <x:v>20000</x:v>
      </x:c>
      <x:c r="P32" s="51" t="n">
        <x:v>3500</x:v>
      </x:c>
      <x:c r="Q32" s="52" t="n">
        <x:f>M32*P32</x:f>
        <x:v>140000</x:v>
      </x:c>
      <x:c r="R32" s="52" t="n">
        <x:f>Q32/33</x:f>
        <x:v>4242.424242424242</x:v>
      </x:c>
      <x:c r="S32" s="51" t="n">
        <x:v>1.2</x:v>
      </x:c>
      <x:c r="T32" s="52" t="n">
        <x:f>MAX(O32,Q32/4,R32*10)*S32</x:f>
        <x:v>50909.0909090909</x:v>
      </x:c>
      <x:c r="U32" s="26" t="str">
        <x:v>shelter</x:v>
      </x:c>
      <x:c r="V32" s="26" t="str">
        <x:v>No</x:v>
      </x:c>
      <x:c r="W32" s="26" t="str">
        <x:v>No</x:v>
      </x:c>
      <x:c r="X32" s="26" t="str">
        <x:v>No</x:v>
      </x:c>
      <x:c r="Y32" s="26" t="str">
        <x:v>Emergency shelter</x:v>
      </x:c>
      <x:c r="Z32" s="51" t="n">
        <x:v>550000</x:v>
      </x:c>
      <x:c r="AA32" s="26" t="str">
        <x:v>people</x:v>
      </x:c>
      <x:c r="AB32" s="26" t="n">
        <x:v>14</x:v>
      </x:c>
      <x:c r="AC32" s="26" t="n">
        <x:v>0</x:v>
      </x:c>
      <x:c r="AD32" s="26" t="str">
        <x:v>engineering hypothesis</x:v>
      </x:c>
      <x:c r="AE32" s="26" t="str"/>
    </x:row>
    <x:row r="33">
      <x:c r="C33" s="26" t="str">
        <x:v>C3-027</x:v>
      </x:c>
      <x:c r="D33" s="26" t="str">
        <x:v>R2</x:v>
      </x:c>
      <x:c r="E33" s="26" t="n">
        <x:v>27</x:v>
      </x:c>
      <x:c r="F33" s="26" t="str">
        <x:v>Feeding and cold chain</x:v>
      </x:c>
      <x:c r="G33" s="26" t="str">
        <x:v>regional receiving, cold storage and public distribution</x:v>
      </x:c>
      <x:c r="H33" s="26" t="str">
        <x:v>Z1–Z8</x:v>
      </x:c>
      <x:c r="I33" s="26" t="str">
        <x:v>H7</x:v>
      </x:c>
      <x:c r="J33" s="26" t="str">
        <x:v>P4</x:v>
      </x:c>
      <x:c r="K33" s="26" t="str">
        <x:v>P7</x:v>
      </x:c>
      <x:c r="L33" s="26" t="str">
        <x:v>Littoral/Inland water</x:v>
      </x:c>
      <x:c r="M33" s="26" t="n">
        <x:v>36</x:v>
      </x:c>
      <x:c r="N33" s="51" t="n">
        <x:v>500</x:v>
      </x:c>
      <x:c r="O33" s="52" t="n">
        <x:f>M33*N33</x:f>
        <x:v>18000</x:v>
      </x:c>
      <x:c r="P33" s="51" t="n">
        <x:v>2000</x:v>
      </x:c>
      <x:c r="Q33" s="52" t="n">
        <x:f>M33*P33</x:f>
        <x:v>72000</x:v>
      </x:c>
      <x:c r="R33" s="52" t="n">
        <x:f>Q33/33</x:f>
        <x:v>2181.818181818182</x:v>
      </x:c>
      <x:c r="S33" s="51" t="n">
        <x:v>1.15</x:v>
      </x:c>
      <x:c r="T33" s="52" t="n">
        <x:f>MAX(O33,Q33/4,R33*10)*S33</x:f>
        <x:v>25090.909090909092</x:v>
      </x:c>
      <x:c r="U33" s="26" t="str">
        <x:v>cold</x:v>
      </x:c>
      <x:c r="V33" s="26" t="str">
        <x:v>Yes</x:v>
      </x:c>
      <x:c r="W33" s="26" t="str">
        <x:v>No</x:v>
      </x:c>
      <x:c r="X33" s="26" t="str">
        <x:v>No</x:v>
      </x:c>
      <x:c r="Y33" s="26" t="str">
        <x:v>Food and nutrition</x:v>
      </x:c>
      <x:c r="Z33" s="51" t="n">
        <x:v>600000</x:v>
      </x:c>
      <x:c r="AA33" s="26" t="str">
        <x:v>people/day</x:v>
      </x:c>
      <x:c r="AB33" s="26" t="n">
        <x:v>14</x:v>
      </x:c>
      <x:c r="AC33" s="26" t="n">
        <x:v>0</x:v>
      </x:c>
      <x:c r="AD33" s="26" t="str">
        <x:v>engineering hypothesis</x:v>
      </x:c>
      <x:c r="AE33" s="26" t="str"/>
    </x:row>
    <x:row r="34">
      <x:c r="C34" s="26" t="str">
        <x:v>C3-028</x:v>
      </x:c>
      <x:c r="D34" s="26" t="str">
        <x:v>R2</x:v>
      </x:c>
      <x:c r="E34" s="26" t="n">
        <x:v>28</x:v>
      </x:c>
      <x:c r="F34" s="26" t="str">
        <x:v>Sanitation IOC</x:v>
      </x:c>
      <x:c r="G34" s="26" t="str">
        <x:v>mobile wastewater, hygiene and residual management</x:v>
      </x:c>
      <x:c r="H34" s="26" t="str">
        <x:v>Z1–Z8</x:v>
      </x:c>
      <x:c r="I34" s="26" t="str">
        <x:v>H2</x:v>
      </x:c>
      <x:c r="J34" s="26" t="str">
        <x:v>P7</x:v>
      </x:c>
      <x:c r="K34" s="26" t="str">
        <x:v>P9</x:v>
      </x:c>
      <x:c r="L34" s="26" t="str">
        <x:v>Inland water/Road</x:v>
      </x:c>
      <x:c r="M34" s="26" t="n">
        <x:v>30</x:v>
      </x:c>
      <x:c r="N34" s="51" t="n">
        <x:v>500</x:v>
      </x:c>
      <x:c r="O34" s="52" t="n">
        <x:f>M34*N34</x:f>
        <x:v>15000</x:v>
      </x:c>
      <x:c r="P34" s="51" t="n">
        <x:v>2000</x:v>
      </x:c>
      <x:c r="Q34" s="52" t="n">
        <x:f>M34*P34</x:f>
        <x:v>60000</x:v>
      </x:c>
      <x:c r="R34" s="52" t="n">
        <x:f>Q34/33</x:f>
        <x:v>1818.1818181818182</x:v>
      </x:c>
      <x:c r="S34" s="51" t="n">
        <x:v>1.15</x:v>
      </x:c>
      <x:c r="T34" s="52" t="n">
        <x:f>MAX(O34,Q34/4,R34*10)*S34</x:f>
        <x:v>20909.090909090908</x:v>
      </x:c>
      <x:c r="U34" s="26" t="str">
        <x:v>sanitation</x:v>
      </x:c>
      <x:c r="V34" s="26" t="str">
        <x:v>No</x:v>
      </x:c>
      <x:c r="W34" s="26" t="str">
        <x:v>Yes</x:v>
      </x:c>
      <x:c r="X34" s="26" t="str">
        <x:v>Yes</x:v>
      </x:c>
      <x:c r="Y34" s="26" t="str">
        <x:v>Sanitation</x:v>
      </x:c>
      <x:c r="Z34" s="51" t="n">
        <x:v>500000</x:v>
      </x:c>
      <x:c r="AA34" s="26" t="str">
        <x:v>users</x:v>
      </x:c>
      <x:c r="AB34" s="26" t="n">
        <x:v>14</x:v>
      </x:c>
      <x:c r="AC34" s="26" t="n">
        <x:v>0</x:v>
      </x:c>
      <x:c r="AD34" s="26" t="str">
        <x:v>engineering hypothesis</x:v>
      </x:c>
      <x:c r="AE34" s="26" t="str"/>
    </x:row>
    <x:row r="35">
      <x:c r="C35" s="26" t="str">
        <x:v>C3-029</x:v>
      </x:c>
      <x:c r="D35" s="26" t="str">
        <x:v>R2</x:v>
      </x:c>
      <x:c r="E35" s="26" t="n">
        <x:v>29</x:v>
      </x:c>
      <x:c r="F35" s="26" t="str">
        <x:v>Fuel distribution IOC</x:v>
      </x:c>
      <x:c r="G35" s="26" t="str">
        <x:v>bulk receipt, storage, quality and spill-control package</x:v>
      </x:c>
      <x:c r="H35" s="26" t="str">
        <x:v>Z1–Z8</x:v>
      </x:c>
      <x:c r="I35" s="26" t="str">
        <x:v>H7</x:v>
      </x:c>
      <x:c r="J35" s="26" t="str">
        <x:v>P6</x:v>
      </x:c>
      <x:c r="K35" s="26" t="str">
        <x:v>P7</x:v>
      </x:c>
      <x:c r="L35" s="26" t="str">
        <x:v>Ocean/Inland water</x:v>
      </x:c>
      <x:c r="M35" s="26" t="n">
        <x:v>18</x:v>
      </x:c>
      <x:c r="N35" s="51" t="n">
        <x:v>1000</x:v>
      </x:c>
      <x:c r="O35" s="52" t="n">
        <x:f>M35*N35</x:f>
        <x:v>18000</x:v>
      </x:c>
      <x:c r="P35" s="51" t="n">
        <x:v>2000</x:v>
      </x:c>
      <x:c r="Q35" s="52" t="n">
        <x:f>M35*P35</x:f>
        <x:v>36000</x:v>
      </x:c>
      <x:c r="R35" s="52" t="n">
        <x:f>Q35/33</x:f>
        <x:v>1090.909090909091</x:v>
      </x:c>
      <x:c r="S35" s="51" t="n">
        <x:v>1.2</x:v>
      </x:c>
      <x:c r="T35" s="52" t="n">
        <x:f>MAX(O35,Q35/4,R35*10)*S35</x:f>
        <x:v>21600</x:v>
      </x:c>
      <x:c r="U35" s="26" t="str">
        <x:v>hazmat</x:v>
      </x:c>
      <x:c r="V35" s="26" t="str">
        <x:v>No</x:v>
      </x:c>
      <x:c r="W35" s="26" t="str">
        <x:v>Yes</x:v>
      </x:c>
      <x:c r="X35" s="26" t="str">
        <x:v>Yes</x:v>
      </x:c>
      <x:c r="Y35" s="26" t="str">
        <x:v>Enabling / reserve</x:v>
      </x:c>
      <x:c r="Z35" s="51" t="n">
        <x:v>0</x:v>
      </x:c>
      <x:c r="AA35" s="26" t="str">
        <x:v>n/a</x:v>
      </x:c>
      <x:c r="AB35" s="26" t="n">
        <x:v>14</x:v>
      </x:c>
      <x:c r="AC35" s="26" t="n">
        <x:v>0</x:v>
      </x:c>
      <x:c r="AD35" s="26" t="str">
        <x:v>engineering hypothesis</x:v>
      </x:c>
      <x:c r="AE35" s="26" t="str"/>
    </x:row>
    <x:row r="36">
      <x:c r="C36" s="26" t="str">
        <x:v>C3-030</x:v>
      </x:c>
      <x:c r="D36" s="26" t="str">
        <x:v>R2</x:v>
      </x:c>
      <x:c r="E36" s="26" t="n">
        <x:v>30</x:v>
      </x:c>
      <x:c r="F36" s="26" t="str">
        <x:v>Responder-base IOC</x:v>
      </x:c>
      <x:c r="G36" s="26" t="str">
        <x:v>safe-zone and afloat living systems</x:v>
      </x:c>
      <x:c r="H36" s="26" t="str">
        <x:v>Z9 / afloat</x:v>
      </x:c>
      <x:c r="I36" s="26" t="str">
        <x:v>H7/H8</x:v>
      </x:c>
      <x:c r="J36" s="26" t="str">
        <x:v>P11</x:v>
      </x:c>
      <x:c r="K36" s="26" t="str">
        <x:v>P5</x:v>
      </x:c>
      <x:c r="L36" s="26" t="str">
        <x:v>Ocean support/Littoral</x:v>
      </x:c>
      <x:c r="M36" s="26" t="n">
        <x:v>24</x:v>
      </x:c>
      <x:c r="N36" s="51" t="n">
        <x:v>1000</x:v>
      </x:c>
      <x:c r="O36" s="52" t="n">
        <x:f>M36*N36</x:f>
        <x:v>24000</x:v>
      </x:c>
      <x:c r="P36" s="51" t="n">
        <x:v>6000</x:v>
      </x:c>
      <x:c r="Q36" s="52" t="n">
        <x:f>M36*P36</x:f>
        <x:v>144000</x:v>
      </x:c>
      <x:c r="R36" s="52" t="n">
        <x:f>Q36/33</x:f>
        <x:v>4363.636363636364</x:v>
      </x:c>
      <x:c r="S36" s="51" t="n">
        <x:v>1.25</x:v>
      </x:c>
      <x:c r="T36" s="52" t="n">
        <x:f>MAX(O36,Q36/4,R36*10)*S36</x:f>
        <x:v>54545.45454545455</x:v>
      </x:c>
      <x:c r="U36" s="26" t="str">
        <x:v>base</x:v>
      </x:c>
      <x:c r="V36" s="26" t="str">
        <x:v>Yes</x:v>
      </x:c>
      <x:c r="W36" s="26" t="str">
        <x:v>Yes</x:v>
      </x:c>
      <x:c r="X36" s="26" t="str">
        <x:v>Yes</x:v>
      </x:c>
      <x:c r="Y36" s="26" t="str">
        <x:v>Responder basing</x:v>
      </x:c>
      <x:c r="Z36" s="51" t="n">
        <x:v>65000</x:v>
      </x:c>
      <x:c r="AA36" s="26" t="str">
        <x:v>people supported</x:v>
      </x:c>
      <x:c r="AB36" s="26" t="n">
        <x:v>14</x:v>
      </x:c>
      <x:c r="AC36" s="26" t="n">
        <x:v>0</x:v>
      </x:c>
      <x:c r="AD36" s="26" t="str">
        <x:v>engineering hypothesis</x:v>
      </x:c>
      <x:c r="AE36" s="26" t="str"/>
    </x:row>
    <x:row r="37">
      <x:c r="C37" s="26" t="str">
        <x:v>C3-031</x:v>
      </x:c>
      <x:c r="D37" s="26" t="str">
        <x:v>R2</x:v>
      </x:c>
      <x:c r="E37" s="26" t="n">
        <x:v>31</x:v>
      </x:c>
      <x:c r="F37" s="26" t="str">
        <x:v>Vertical distribution IOC</x:v>
      </x:c>
      <x:c r="G37" s="26" t="str">
        <x:v>medium-lift cargo and patient-transfer system</x:v>
      </x:c>
      <x:c r="H37" s="26" t="str">
        <x:v>Z1–Z8</x:v>
      </x:c>
      <x:c r="I37" s="26" t="str">
        <x:v>H1/H3</x:v>
      </x:c>
      <x:c r="J37" s="26" t="str">
        <x:v>P3</x:v>
      </x:c>
      <x:c r="K37" s="26" t="str">
        <x:v>P1</x:v>
      </x:c>
      <x:c r="L37" s="26" t="str">
        <x:v>Vertical lift/Air</x:v>
      </x:c>
      <x:c r="M37" s="26" t="n">
        <x:v>30</x:v>
      </x:c>
      <x:c r="N37" s="51" t="n">
        <x:v>500</x:v>
      </x:c>
      <x:c r="O37" s="52" t="n">
        <x:f>M37*N37</x:f>
        <x:v>15000</x:v>
      </x:c>
      <x:c r="P37" s="51" t="n">
        <x:v>2000</x:v>
      </x:c>
      <x:c r="Q37" s="52" t="n">
        <x:f>M37*P37</x:f>
        <x:v>60000</x:v>
      </x:c>
      <x:c r="R37" s="52" t="n">
        <x:f>Q37/33</x:f>
        <x:v>1818.1818181818182</x:v>
      </x:c>
      <x:c r="S37" s="51" t="n">
        <x:v>1.2</x:v>
      </x:c>
      <x:c r="T37" s="52" t="n">
        <x:f>MAX(O37,Q37/4,R37*10)*S37</x:f>
        <x:v>21818.18181818182</x:v>
      </x:c>
      <x:c r="U37" s="26" t="str">
        <x:v>aviation</x:v>
      </x:c>
      <x:c r="V37" s="26" t="str">
        <x:v>No</x:v>
      </x:c>
      <x:c r="W37" s="26" t="str">
        <x:v>Yes</x:v>
      </x:c>
      <x:c r="X37" s="26" t="str">
        <x:v>Yes</x:v>
      </x:c>
      <x:c r="Y37" s="26" t="str">
        <x:v>End-to-end access</x:v>
      </x:c>
      <x:c r="Z37" s="51" t="n">
        <x:v>12000</x:v>
      </x:c>
      <x:c r="AA37" s="26" t="str">
        <x:v>tonnes/day enabled</x:v>
      </x:c>
      <x:c r="AB37" s="26" t="n">
        <x:v>14</x:v>
      </x:c>
      <x:c r="AC37" s="26" t="n">
        <x:v>0</x:v>
      </x:c>
      <x:c r="AD37" s="26" t="str">
        <x:v>technology hypothesis</x:v>
      </x:c>
      <x:c r="AE37" s="26" t="str"/>
    </x:row>
    <x:row r="38">
      <x:c r="C38" s="26" t="str">
        <x:v>C3-032</x:v>
      </x:c>
      <x:c r="D38" s="26" t="str">
        <x:v>R2</x:v>
      </x:c>
      <x:c r="E38" s="26" t="n">
        <x:v>32</x:v>
      </x:c>
      <x:c r="F38" s="26" t="str">
        <x:v>Movement control and maintenance</x:v>
      </x:c>
      <x:c r="G38" s="26" t="str">
        <x:v>distributed maintenance, metrology and load choreography</x:v>
      </x:c>
      <x:c r="H38" s="26" t="str">
        <x:v>Z1–Z9</x:v>
      </x:c>
      <x:c r="I38" s="26" t="str">
        <x:v>H1/H3</x:v>
      </x:c>
      <x:c r="J38" s="26" t="str">
        <x:v>P8</x:v>
      </x:c>
      <x:c r="K38" s="26" t="str">
        <x:v>P10</x:v>
      </x:c>
      <x:c r="L38" s="26" t="str">
        <x:v>Road/Rail</x:v>
      </x:c>
      <x:c r="M38" s="26" t="n">
        <x:v>36</x:v>
      </x:c>
      <x:c r="N38" s="51" t="n">
        <x:v>479.6666666666667</x:v>
      </x:c>
      <x:c r="O38" s="52" t="n">
        <x:f>M38*N38</x:f>
        <x:v>17268</x:v>
      </x:c>
      <x:c r="P38" s="51" t="n">
        <x:v>1918.6666666666667</x:v>
      </x:c>
      <x:c r="Q38" s="52" t="n">
        <x:f>M38*P38</x:f>
        <x:v>69072</x:v>
      </x:c>
      <x:c r="R38" s="52" t="n">
        <x:f>Q38/33</x:f>
        <x:v>2093.090909090909</x:v>
      </x:c>
      <x:c r="S38" s="51" t="n">
        <x:v>1.1</x:v>
      </x:c>
      <x:c r="T38" s="52" t="n">
        <x:f>MAX(O38,Q38/4,R38*10)*S38</x:f>
        <x:v>23024</x:v>
      </x:c>
      <x:c r="U38" s="26" t="str">
        <x:v>support</x:v>
      </x:c>
      <x:c r="V38" s="26" t="str">
        <x:v>No</x:v>
      </x:c>
      <x:c r="W38" s="26" t="str">
        <x:v>Yes</x:v>
      </x:c>
      <x:c r="X38" s="26" t="str">
        <x:v>Yes</x:v>
      </x:c>
      <x:c r="Y38" s="26" t="str">
        <x:v>Civil command coverage</x:v>
      </x:c>
      <x:c r="Z38" s="51" t="n">
        <x:v>2</x:v>
      </x:c>
      <x:c r="AA38" s="26" t="str">
        <x:v>service islands</x:v>
      </x:c>
      <x:c r="AB38" s="26" t="n">
        <x:v>14</x:v>
      </x:c>
      <x:c r="AC38" s="26" t="n">
        <x:v>0</x:v>
      </x:c>
      <x:c r="AD38" s="26" t="str">
        <x:v>technology hypothesis</x:v>
      </x:c>
      <x:c r="AE38" s="26" t="str"/>
    </x:row>
    <x:row r="39">
      <x:c r="C39" s="26" t="str">
        <x:v>C3-033</x:v>
      </x:c>
      <x:c r="D39" s="26" t="str">
        <x:v>R3</x:v>
      </x:c>
      <x:c r="E39" s="26" t="n">
        <x:v>33</x:v>
      </x:c>
      <x:c r="F39" s="26" t="str">
        <x:v>Heavy route restoration</x:v>
      </x:c>
      <x:c r="G39" s="26" t="str">
        <x:v>full-depth repair, slopes, drainage and civil traffic</x:v>
      </x:c>
      <x:c r="H39" s="26" t="str">
        <x:v>Z1–Z4</x:v>
      </x:c>
      <x:c r="I39" s="26" t="str">
        <x:v>H1/H2</x:v>
      </x:c>
      <x:c r="J39" s="26" t="str">
        <x:v>P8</x:v>
      </x:c>
      <x:c r="K39" s="26" t="str">
        <x:v>P10</x:v>
      </x:c>
      <x:c r="L39" s="26" t="str">
        <x:v>Road/Rail</x:v>
      </x:c>
      <x:c r="M39" s="26" t="n">
        <x:v>75</x:v>
      </x:c>
      <x:c r="N39" s="51" t="n">
        <x:v>1000</x:v>
      </x:c>
      <x:c r="O39" s="52" t="n">
        <x:f>M39*N39</x:f>
        <x:v>75000</x:v>
      </x:c>
      <x:c r="P39" s="51" t="n">
        <x:v>3000</x:v>
      </x:c>
      <x:c r="Q39" s="52" t="n">
        <x:f>M39*P39</x:f>
        <x:v>225000</x:v>
      </x:c>
      <x:c r="R39" s="52" t="n">
        <x:f>Q39/33</x:f>
        <x:v>6818.181818181818</x:v>
      </x:c>
      <x:c r="S39" s="51" t="n">
        <x:v>1.15</x:v>
      </x:c>
      <x:c r="T39" s="52" t="n">
        <x:f>MAX(O39,Q39/4,R39*10)*S39</x:f>
        <x:v>86250</x:v>
      </x:c>
      <x:c r="U39" s="26" t="str">
        <x:v>heavy engineering</x:v>
      </x:c>
      <x:c r="V39" s="26" t="str">
        <x:v>No</x:v>
      </x:c>
      <x:c r="W39" s="26" t="str">
        <x:v>Yes</x:v>
      </x:c>
      <x:c r="X39" s="26" t="str">
        <x:v>Yes</x:v>
      </x:c>
      <x:c r="Y39" s="26" t="str">
        <x:v>End-to-end access</x:v>
      </x:c>
      <x:c r="Z39" s="51" t="n">
        <x:v>32000</x:v>
      </x:c>
      <x:c r="AA39" s="26" t="str">
        <x:v>tonnes/day enabled</x:v>
      </x:c>
      <x:c r="AB39" s="26" t="n">
        <x:v>45</x:v>
      </x:c>
      <x:c r="AC39" s="26" t="n">
        <x:v>0</x:v>
      </x:c>
      <x:c r="AD39" s="26" t="str">
        <x:v>engineering hypothesis</x:v>
      </x:c>
      <x:c r="AE39" s="26" t="str"/>
    </x:row>
    <x:row r="40">
      <x:c r="C40" s="26" t="str">
        <x:v>C3-034</x:v>
      </x:c>
      <x:c r="D40" s="26" t="str">
        <x:v>R3</x:v>
      </x:c>
      <x:c r="E40" s="26" t="n">
        <x:v>34</x:v>
      </x:c>
      <x:c r="F40" s="26" t="str">
        <x:v>Bridge and trestle system</x:v>
      </x:c>
      <x:c r="G40" s="26" t="str">
        <x:v>long-span temporary crossings and foundation works</x:v>
      </x:c>
      <x:c r="H40" s="26" t="str">
        <x:v>Z1–Z8</x:v>
      </x:c>
      <x:c r="I40" s="26" t="str">
        <x:v>H3/H4</x:v>
      </x:c>
      <x:c r="J40" s="26" t="str">
        <x:v>P9</x:v>
      </x:c>
      <x:c r="K40" s="26" t="str">
        <x:v>P8</x:v>
      </x:c>
      <x:c r="L40" s="26" t="str">
        <x:v>Road/Rail</x:v>
      </x:c>
      <x:c r="M40" s="26" t="n">
        <x:v>55</x:v>
      </x:c>
      <x:c r="N40" s="51" t="n">
        <x:v>1000</x:v>
      </x:c>
      <x:c r="O40" s="52" t="n">
        <x:f>M40*N40</x:f>
        <x:v>55000</x:v>
      </x:c>
      <x:c r="P40" s="51" t="n">
        <x:v>3000</x:v>
      </x:c>
      <x:c r="Q40" s="52" t="n">
        <x:f>M40*P40</x:f>
        <x:v>165000</x:v>
      </x:c>
      <x:c r="R40" s="52" t="n">
        <x:f>Q40/33</x:f>
        <x:v>5000</x:v>
      </x:c>
      <x:c r="S40" s="51" t="n">
        <x:v>1.3</x:v>
      </x:c>
      <x:c r="T40" s="52" t="n">
        <x:f>MAX(O40,Q40/4,R40*10)*S40</x:f>
        <x:v>71500</x:v>
      </x:c>
      <x:c r="U40" s="26" t="str">
        <x:v>bridge/outsized</x:v>
      </x:c>
      <x:c r="V40" s="26" t="str">
        <x:v>No</x:v>
      </x:c>
      <x:c r="W40" s="26" t="str">
        <x:v>Yes</x:v>
      </x:c>
      <x:c r="X40" s="26" t="str">
        <x:v>Yes</x:v>
      </x:c>
      <x:c r="Y40" s="26" t="str">
        <x:v>End-to-end access</x:v>
      </x:c>
      <x:c r="Z40" s="51" t="n">
        <x:v>28000</x:v>
      </x:c>
      <x:c r="AA40" s="26" t="str">
        <x:v>tonnes/day enabled</x:v>
      </x:c>
      <x:c r="AB40" s="26" t="n">
        <x:v>45</x:v>
      </x:c>
      <x:c r="AC40" s="26" t="n">
        <x:v>0</x:v>
      </x:c>
      <x:c r="AD40" s="26" t="str">
        <x:v>technology hypothesis</x:v>
      </x:c>
      <x:c r="AE40" s="26" t="str"/>
    </x:row>
    <x:row r="41">
      <x:c r="C41" s="26" t="str">
        <x:v>C3-035</x:v>
      </x:c>
      <x:c r="D41" s="26" t="str">
        <x:v>R3</x:v>
      </x:c>
      <x:c r="E41" s="26" t="n">
        <x:v>35</x:v>
      </x:c>
      <x:c r="F41" s="26" t="str">
        <x:v>Port salvage and dredging</x:v>
      </x:c>
      <x:c r="G41" s="26" t="str">
        <x:v>heavy lift, obstruction removal, survey and dredging</x:v>
      </x:c>
      <x:c r="H41" s="26" t="str">
        <x:v>Z1/Z3/Z8</x:v>
      </x:c>
      <x:c r="I41" s="26" t="str">
        <x:v>H7</x:v>
      </x:c>
      <x:c r="J41" s="26" t="str">
        <x:v>P6</x:v>
      </x:c>
      <x:c r="K41" s="26" t="str">
        <x:v>P4</x:v>
      </x:c>
      <x:c r="L41" s="26" t="str">
        <x:v>Ocean/Littoral</x:v>
      </x:c>
      <x:c r="M41" s="26" t="n">
        <x:v>60</x:v>
      </x:c>
      <x:c r="N41" s="51" t="n">
        <x:v>1000</x:v>
      </x:c>
      <x:c r="O41" s="52" t="n">
        <x:f>M41*N41</x:f>
        <x:v>60000</x:v>
      </x:c>
      <x:c r="P41" s="51" t="n">
        <x:v>3000</x:v>
      </x:c>
      <x:c r="Q41" s="52" t="n">
        <x:f>M41*P41</x:f>
        <x:v>180000</x:v>
      </x:c>
      <x:c r="R41" s="52" t="n">
        <x:f>Q41/33</x:f>
        <x:v>5454.545454545455</x:v>
      </x:c>
      <x:c r="S41" s="51" t="n">
        <x:v>1.35</x:v>
      </x:c>
      <x:c r="T41" s="52" t="n">
        <x:f>MAX(O41,Q41/4,R41*10)*S41</x:f>
        <x:v>81000</x:v>
      </x:c>
      <x:c r="U41" s="26" t="str">
        <x:v>marine/outsized</x:v>
      </x:c>
      <x:c r="V41" s="26" t="str">
        <x:v>No</x:v>
      </x:c>
      <x:c r="W41" s="26" t="str">
        <x:v>Yes</x:v>
      </x:c>
      <x:c r="X41" s="26" t="str">
        <x:v>Yes</x:v>
      </x:c>
      <x:c r="Y41" s="26" t="str">
        <x:v>End-to-end access</x:v>
      </x:c>
      <x:c r="Z41" s="51" t="n">
        <x:v>38000</x:v>
      </x:c>
      <x:c r="AA41" s="26" t="str">
        <x:v>tonnes/day enabled</x:v>
      </x:c>
      <x:c r="AB41" s="26" t="n">
        <x:v>45</x:v>
      </x:c>
      <x:c r="AC41" s="26" t="n">
        <x:v>0</x:v>
      </x:c>
      <x:c r="AD41" s="26" t="str">
        <x:v>technology hypothesis</x:v>
      </x:c>
      <x:c r="AE41" s="26" t="str"/>
    </x:row>
    <x:row r="42">
      <x:c r="C42" s="26" t="str">
        <x:v>C3-036</x:v>
      </x:c>
      <x:c r="D42" s="26" t="str">
        <x:v>R3</x:v>
      </x:c>
      <x:c r="E42" s="26" t="n">
        <x:v>36</x:v>
      </x:c>
      <x:c r="F42" s="26" t="str">
        <x:v>Littoral cargo flotillas</x:v>
      </x:c>
      <x:c r="G42" s="26" t="str">
        <x:v>persistent coastwise and ferry-terminal distribution</x:v>
      </x:c>
      <x:c r="H42" s="26" t="str">
        <x:v>Z1–Z7</x:v>
      </x:c>
      <x:c r="I42" s="26" t="str">
        <x:v>H8</x:v>
      </x:c>
      <x:c r="J42" s="26" t="str">
        <x:v>P5</x:v>
      </x:c>
      <x:c r="K42" s="26" t="str">
        <x:v>P4</x:v>
      </x:c>
      <x:c r="L42" s="26" t="str">
        <x:v>Littoral</x:v>
      </x:c>
      <x:c r="M42" s="26" t="n">
        <x:v>43</x:v>
      </x:c>
      <x:c r="N42" s="51" t="n">
        <x:v>1000</x:v>
      </x:c>
      <x:c r="O42" s="52" t="n">
        <x:f>M42*N42</x:f>
        <x:v>43000</x:v>
      </x:c>
      <x:c r="P42" s="51" t="n">
        <x:v>5000</x:v>
      </x:c>
      <x:c r="Q42" s="52" t="n">
        <x:f>M42*P42</x:f>
        <x:v>215000</x:v>
      </x:c>
      <x:c r="R42" s="52" t="n">
        <x:f>Q42/33</x:f>
        <x:v>6515.151515151515</x:v>
      </x:c>
      <x:c r="S42" s="51" t="n">
        <x:v>1.3</x:v>
      </x:c>
      <x:c r="T42" s="52" t="n">
        <x:f>MAX(O42,Q42/4,R42*10)*S42</x:f>
        <x:v>84696.9696969697</x:v>
      </x:c>
      <x:c r="U42" s="26" t="str">
        <x:v>marine/outsized</x:v>
      </x:c>
      <x:c r="V42" s="26" t="str">
        <x:v>No</x:v>
      </x:c>
      <x:c r="W42" s="26" t="str">
        <x:v>Yes</x:v>
      </x:c>
      <x:c r="X42" s="26" t="str">
        <x:v>Yes</x:v>
      </x:c>
      <x:c r="Y42" s="26" t="str">
        <x:v>End-to-end access</x:v>
      </x:c>
      <x:c r="Z42" s="51" t="n">
        <x:v>28000</x:v>
      </x:c>
      <x:c r="AA42" s="26" t="str">
        <x:v>tonnes/day enabled</x:v>
      </x:c>
      <x:c r="AB42" s="26" t="n">
        <x:v>45</x:v>
      </x:c>
      <x:c r="AC42" s="26" t="n">
        <x:v>0</x:v>
      </x:c>
      <x:c r="AD42" s="26" t="str">
        <x:v>technology hypothesis</x:v>
      </x:c>
      <x:c r="AE42" s="26" t="str"/>
    </x:row>
    <x:row r="43">
      <x:c r="C43" s="26" t="str">
        <x:v>C3-037</x:v>
      </x:c>
      <x:c r="D43" s="26" t="str">
        <x:v>R3</x:v>
      </x:c>
      <x:c r="E43" s="26" t="n">
        <x:v>37</x:v>
      </x:c>
      <x:c r="F43" s="26" t="str">
        <x:v>Rail restoration</x:v>
      </x:c>
      <x:c r="G43" s="26" t="str">
        <x:v>yard, bridge, signal, terminal and rolling-stock repair</x:v>
      </x:c>
      <x:c r="H43" s="26" t="str">
        <x:v>Z2/Z3/Z4/Z8</x:v>
      </x:c>
      <x:c r="I43" s="26" t="str">
        <x:v>H1/H4</x:v>
      </x:c>
      <x:c r="J43" s="26" t="str">
        <x:v>P10</x:v>
      </x:c>
      <x:c r="K43" s="26" t="str">
        <x:v>P8</x:v>
      </x:c>
      <x:c r="L43" s="26" t="str">
        <x:v>Rail/Road</x:v>
      </x:c>
      <x:c r="M43" s="26" t="n">
        <x:v>47</x:v>
      </x:c>
      <x:c r="N43" s="51" t="n">
        <x:v>1000</x:v>
      </x:c>
      <x:c r="O43" s="52" t="n">
        <x:f>M43*N43</x:f>
        <x:v>47000</x:v>
      </x:c>
      <x:c r="P43" s="51" t="n">
        <x:v>4000</x:v>
      </x:c>
      <x:c r="Q43" s="52" t="n">
        <x:f>M43*P43</x:f>
        <x:v>188000</x:v>
      </x:c>
      <x:c r="R43" s="52" t="n">
        <x:f>Q43/33</x:f>
        <x:v>5696.969696969697</x:v>
      </x:c>
      <x:c r="S43" s="51" t="n">
        <x:v>1.25</x:v>
      </x:c>
      <x:c r="T43" s="52" t="n">
        <x:f>MAX(O43,Q43/4,R43*10)*S43</x:f>
        <x:v>71212.12121212122</x:v>
      </x:c>
      <x:c r="U43" s="26" t="str">
        <x:v>rail/outsized</x:v>
      </x:c>
      <x:c r="V43" s="26" t="str">
        <x:v>No</x:v>
      </x:c>
      <x:c r="W43" s="26" t="str">
        <x:v>Yes</x:v>
      </x:c>
      <x:c r="X43" s="26" t="str">
        <x:v>Yes</x:v>
      </x:c>
      <x:c r="Y43" s="26" t="str">
        <x:v>End-to-end access</x:v>
      </x:c>
      <x:c r="Z43" s="51" t="n">
        <x:v>45000</x:v>
      </x:c>
      <x:c r="AA43" s="26" t="str">
        <x:v>tonnes/day enabled</x:v>
      </x:c>
      <x:c r="AB43" s="26" t="n">
        <x:v>45</x:v>
      </x:c>
      <x:c r="AC43" s="26" t="n">
        <x:v>0</x:v>
      </x:c>
      <x:c r="AD43" s="26" t="str">
        <x:v>engineering hypothesis</x:v>
      </x:c>
      <x:c r="AE43" s="26" t="str"/>
    </x:row>
    <x:row r="44">
      <x:c r="C44" s="26" t="str">
        <x:v>C3-038</x:v>
      </x:c>
      <x:c r="D44" s="26" t="str">
        <x:v>R3</x:v>
      </x:c>
      <x:c r="E44" s="26" t="n">
        <x:v>38</x:v>
      </x:c>
      <x:c r="F44" s="26" t="str">
        <x:v>Regional health system</x:v>
      </x:c>
      <x:c r="G44" s="26" t="str">
        <x:v>acute, step-down, rehabilitation and public health</x:v>
      </x:c>
      <x:c r="H44" s="26" t="str">
        <x:v>Z1–Z8</x:v>
      </x:c>
      <x:c r="I44" s="26" t="str">
        <x:v>H6/H7</x:v>
      </x:c>
      <x:c r="J44" s="26" t="str">
        <x:v>P6</x:v>
      </x:c>
      <x:c r="K44" s="26" t="str">
        <x:v>P2</x:v>
      </x:c>
      <x:c r="L44" s="26" t="str">
        <x:v>Ocean/Air</x:v>
      </x:c>
      <x:c r="M44" s="26" t="n">
        <x:v>52</x:v>
      </x:c>
      <x:c r="N44" s="51" t="n">
        <x:v>1000</x:v>
      </x:c>
      <x:c r="O44" s="52" t="n">
        <x:f>M44*N44</x:f>
        <x:v>52000</x:v>
      </x:c>
      <x:c r="P44" s="51" t="n">
        <x:v>5000</x:v>
      </x:c>
      <x:c r="Q44" s="52" t="n">
        <x:f>M44*P44</x:f>
        <x:v>260000</x:v>
      </x:c>
      <x:c r="R44" s="52" t="n">
        <x:f>Q44/33</x:f>
        <x:v>7878.787878787879</x:v>
      </x:c>
      <x:c r="S44" s="51" t="n">
        <x:v>1.25</x:v>
      </x:c>
      <x:c r="T44" s="52" t="n">
        <x:f>MAX(O44,Q44/4,R44*10)*S44</x:f>
        <x:v>98484.84848484848</x:v>
      </x:c>
      <x:c r="U44" s="26" t="str">
        <x:v>clinical/cold</x:v>
      </x:c>
      <x:c r="V44" s="26" t="str">
        <x:v>Yes</x:v>
      </x:c>
      <x:c r="W44" s="26" t="str">
        <x:v>Yes</x:v>
      </x:c>
      <x:c r="X44" s="26" t="str">
        <x:v>Yes</x:v>
      </x:c>
      <x:c r="Y44" s="26" t="str">
        <x:v>Staffed health capacity</x:v>
      </x:c>
      <x:c r="Z44" s="51" t="n">
        <x:v>13500</x:v>
      </x:c>
      <x:c r="AA44" s="26" t="str">
        <x:v>staffed beds</x:v>
      </x:c>
      <x:c r="AB44" s="26" t="n">
        <x:v>45</x:v>
      </x:c>
      <x:c r="AC44" s="26" t="n">
        <x:v>0</x:v>
      </x:c>
      <x:c r="AD44" s="26" t="str">
        <x:v>engineering hypothesis</x:v>
      </x:c>
      <x:c r="AE44" s="26" t="str"/>
    </x:row>
    <x:row r="45">
      <x:c r="C45" s="26" t="str">
        <x:v>C3-039</x:v>
      </x:c>
      <x:c r="D45" s="26" t="str">
        <x:v>R3</x:v>
      </x:c>
      <x:c r="E45" s="26" t="n">
        <x:v>39</x:v>
      </x:c>
      <x:c r="F45" s="26" t="str">
        <x:v>Regional water system</x:v>
      </x:c>
      <x:c r="G45" s="26" t="str">
        <x:v>source-neutral treatment and temporary distribution corridors</x:v>
      </x:c>
      <x:c r="H45" s="26" t="str">
        <x:v>Z1–Z8</x:v>
      </x:c>
      <x:c r="I45" s="26" t="str">
        <x:v>H6/H8</x:v>
      </x:c>
      <x:c r="J45" s="26" t="str">
        <x:v>P7</x:v>
      </x:c>
      <x:c r="K45" s="26" t="str">
        <x:v>P5</x:v>
      </x:c>
      <x:c r="L45" s="26" t="str">
        <x:v>Inland water/Littoral</x:v>
      </x:c>
      <x:c r="M45" s="26" t="n">
        <x:v>60</x:v>
      </x:c>
      <x:c r="N45" s="51" t="n">
        <x:v>1000</x:v>
      </x:c>
      <x:c r="O45" s="52" t="n">
        <x:f>M45*N45</x:f>
        <x:v>60000</x:v>
      </x:c>
      <x:c r="P45" s="51" t="n">
        <x:v>4000</x:v>
      </x:c>
      <x:c r="Q45" s="52" t="n">
        <x:f>M45*P45</x:f>
        <x:v>240000</x:v>
      </x:c>
      <x:c r="R45" s="52" t="n">
        <x:f>Q45/33</x:f>
        <x:v>7272.727272727273</x:v>
      </x:c>
      <x:c r="S45" s="51" t="n">
        <x:v>1.25</x:v>
      </x:c>
      <x:c r="T45" s="52" t="n">
        <x:f>MAX(O45,Q45/4,R45*10)*S45</x:f>
        <x:v>90909.09090909091</x:v>
      </x:c>
      <x:c r="U45" s="26" t="str">
        <x:v>process</x:v>
      </x:c>
      <x:c r="V45" s="26" t="str">
        <x:v>No</x:v>
      </x:c>
      <x:c r="W45" s="26" t="str">
        <x:v>Yes</x:v>
      </x:c>
      <x:c r="X45" s="26" t="str">
        <x:v>Yes</x:v>
      </x:c>
      <x:c r="Y45" s="26" t="str">
        <x:v>Potable and essential water</x:v>
      </x:c>
      <x:c r="Z45" s="51" t="n">
        <x:v>12000</x:v>
      </x:c>
      <x:c r="AA45" s="26" t="str">
        <x:v>m3/day delivered</x:v>
      </x:c>
      <x:c r="AB45" s="26" t="n">
        <x:v>45</x:v>
      </x:c>
      <x:c r="AC45" s="26" t="n">
        <x:v>0</x:v>
      </x:c>
      <x:c r="AD45" s="26" t="str">
        <x:v>technology hypothesis</x:v>
      </x:c>
      <x:c r="AE45" s="26" t="str"/>
    </x:row>
    <x:row r="46">
      <x:c r="C46" s="26" t="str">
        <x:v>C3-040</x:v>
      </x:c>
      <x:c r="D46" s="26" t="str">
        <x:v>R3</x:v>
      </x:c>
      <x:c r="E46" s="26" t="n">
        <x:v>40</x:v>
      </x:c>
      <x:c r="F46" s="26" t="str">
        <x:v>Power and thermal corridors</x:v>
      </x:c>
      <x:c r="G46" s="26" t="str">
        <x:v>grid-forming generation, substations and rapid feeders</x:v>
      </x:c>
      <x:c r="H46" s="26" t="str">
        <x:v>Z1–Z8</x:v>
      </x:c>
      <x:c r="I46" s="26" t="str">
        <x:v>H6/H7</x:v>
      </x:c>
      <x:c r="J46" s="26" t="str">
        <x:v>P6</x:v>
      </x:c>
      <x:c r="K46" s="26" t="str">
        <x:v>P10</x:v>
      </x:c>
      <x:c r="L46" s="26" t="str">
        <x:v>Ocean/Rail</x:v>
      </x:c>
      <x:c r="M46" s="26" t="n">
        <x:v>65</x:v>
      </x:c>
      <x:c r="N46" s="51" t="n">
        <x:v>1000</x:v>
      </x:c>
      <x:c r="O46" s="52" t="n">
        <x:f>M46*N46</x:f>
        <x:v>65000</x:v>
      </x:c>
      <x:c r="P46" s="51" t="n">
        <x:v>4000</x:v>
      </x:c>
      <x:c r="Q46" s="52" t="n">
        <x:f>M46*P46</x:f>
        <x:v>260000</x:v>
      </x:c>
      <x:c r="R46" s="52" t="n">
        <x:f>Q46/33</x:f>
        <x:v>7878.787878787879</x:v>
      </x:c>
      <x:c r="S46" s="51" t="n">
        <x:v>1.3</x:v>
      </x:c>
      <x:c r="T46" s="52" t="n">
        <x:f>MAX(O46,Q46/4,R46*10)*S46</x:f>
        <x:v>102424.24242424242</x:v>
      </x:c>
      <x:c r="U46" s="26" t="str">
        <x:v>electrical/outsized</x:v>
      </x:c>
      <x:c r="V46" s="26" t="str">
        <x:v>No</x:v>
      </x:c>
      <x:c r="W46" s="26" t="str">
        <x:v>Yes</x:v>
      </x:c>
      <x:c r="X46" s="26" t="str">
        <x:v>Yes</x:v>
      </x:c>
      <x:c r="Y46" s="26" t="str">
        <x:v>Critical-load power</x:v>
      </x:c>
      <x:c r="Z46" s="51" t="n">
        <x:v>3600</x:v>
      </x:c>
      <x:c r="AA46" s="26" t="str">
        <x:v>MW net</x:v>
      </x:c>
      <x:c r="AB46" s="26" t="n">
        <x:v>45</x:v>
      </x:c>
      <x:c r="AC46" s="26" t="n">
        <x:v>0</x:v>
      </x:c>
      <x:c r="AD46" s="26" t="str">
        <x:v>technology hypothesis</x:v>
      </x:c>
      <x:c r="AE46" s="26" t="str"/>
    </x:row>
    <x:row r="47">
      <x:c r="C47" s="26" t="str">
        <x:v>C3-041</x:v>
      </x:c>
      <x:c r="D47" s="26" t="str">
        <x:v>R3</x:v>
      </x:c>
      <x:c r="E47" s="26" t="n">
        <x:v>41</x:v>
      </x:c>
      <x:c r="F47" s="26" t="str">
        <x:v>Wastewater and residual system</x:v>
      </x:c>
      <x:c r="G47" s="26" t="str">
        <x:v>collection, treatment, sludge and medical waste</x:v>
      </x:c>
      <x:c r="H47" s="26" t="str">
        <x:v>Z1–Z8</x:v>
      </x:c>
      <x:c r="I47" s="26" t="str">
        <x:v>H2/H6</x:v>
      </x:c>
      <x:c r="J47" s="26" t="str">
        <x:v>P7</x:v>
      </x:c>
      <x:c r="K47" s="26" t="str">
        <x:v>P9</x:v>
      </x:c>
      <x:c r="L47" s="26" t="str">
        <x:v>Inland water/Road</x:v>
      </x:c>
      <x:c r="M47" s="26" t="n">
        <x:v>42</x:v>
      </x:c>
      <x:c r="N47" s="51" t="n">
        <x:v>1000</x:v>
      </x:c>
      <x:c r="O47" s="52" t="n">
        <x:f>M47*N47</x:f>
        <x:v>42000</x:v>
      </x:c>
      <x:c r="P47" s="51" t="n">
        <x:v>4000</x:v>
      </x:c>
      <x:c r="Q47" s="52" t="n">
        <x:f>M47*P47</x:f>
        <x:v>168000</x:v>
      </x:c>
      <x:c r="R47" s="52" t="n">
        <x:f>Q47/33</x:f>
        <x:v>5090.909090909091</x:v>
      </x:c>
      <x:c r="S47" s="51" t="n">
        <x:v>1.2</x:v>
      </x:c>
      <x:c r="T47" s="52" t="n">
        <x:f>MAX(O47,Q47/4,R47*10)*S47</x:f>
        <x:v>61090.90909090909</x:v>
      </x:c>
      <x:c r="U47" s="26" t="str">
        <x:v>sanitation/hazmat</x:v>
      </x:c>
      <x:c r="V47" s="26" t="str">
        <x:v>No</x:v>
      </x:c>
      <x:c r="W47" s="26" t="str">
        <x:v>Yes</x:v>
      </x:c>
      <x:c r="X47" s="26" t="str">
        <x:v>Yes</x:v>
      </x:c>
      <x:c r="Y47" s="26" t="str">
        <x:v>Sanitation</x:v>
      </x:c>
      <x:c r="Z47" s="51" t="n">
        <x:v>350000</x:v>
      </x:c>
      <x:c r="AA47" s="26" t="str">
        <x:v>users</x:v>
      </x:c>
      <x:c r="AB47" s="26" t="n">
        <x:v>45</x:v>
      </x:c>
      <x:c r="AC47" s="26" t="n">
        <x:v>0</x:v>
      </x:c>
      <x:c r="AD47" s="26" t="str">
        <x:v>technology hypothesis</x:v>
      </x:c>
      <x:c r="AE47" s="26" t="str"/>
    </x:row>
    <x:row r="48">
      <x:c r="C48" s="26" t="str">
        <x:v>C3-042</x:v>
      </x:c>
      <x:c r="D48" s="26" t="str">
        <x:v>R3</x:v>
      </x:c>
      <x:c r="E48" s="26" t="n">
        <x:v>42</x:v>
      </x:c>
      <x:c r="F48" s="26" t="str">
        <x:v>Shelter and interim housing</x:v>
      </x:c>
      <x:c r="G48" s="26" t="str">
        <x:v>non-congregate lodging, utilities and community services</x:v>
      </x:c>
      <x:c r="H48" s="26" t="str">
        <x:v>Z1–Z8</x:v>
      </x:c>
      <x:c r="I48" s="26" t="str">
        <x:v>H6/H8</x:v>
      </x:c>
      <x:c r="J48" s="26" t="str">
        <x:v>P5</x:v>
      </x:c>
      <x:c r="K48" s="26" t="str">
        <x:v>P7</x:v>
      </x:c>
      <x:c r="L48" s="26" t="str">
        <x:v>Littoral/Inland water</x:v>
      </x:c>
      <x:c r="M48" s="26" t="n">
        <x:v>55</x:v>
      </x:c>
      <x:c r="N48" s="51" t="n">
        <x:v>1000</x:v>
      </x:c>
      <x:c r="O48" s="52" t="n">
        <x:f>M48*N48</x:f>
        <x:v>55000</x:v>
      </x:c>
      <x:c r="P48" s="51" t="n">
        <x:v>8000</x:v>
      </x:c>
      <x:c r="Q48" s="52" t="n">
        <x:f>M48*P48</x:f>
        <x:v>440000</x:v>
      </x:c>
      <x:c r="R48" s="52" t="n">
        <x:f>Q48/33</x:f>
        <x:v>13333.333333333334</x:v>
      </x:c>
      <x:c r="S48" s="51" t="n">
        <x:v>1.25</x:v>
      </x:c>
      <x:c r="T48" s="52" t="n">
        <x:f>MAX(O48,Q48/4,R48*10)*S48</x:f>
        <x:v>166666.6666666667</x:v>
      </x:c>
      <x:c r="U48" s="26" t="str">
        <x:v>housing/volume</x:v>
      </x:c>
      <x:c r="V48" s="26" t="str">
        <x:v>No</x:v>
      </x:c>
      <x:c r="W48" s="26" t="str">
        <x:v>No</x:v>
      </x:c>
      <x:c r="X48" s="26" t="str">
        <x:v>Yes</x:v>
      </x:c>
      <x:c r="Y48" s="26" t="str">
        <x:v>Emergency shelter</x:v>
      </x:c>
      <x:c r="Z48" s="51" t="n">
        <x:v>250000</x:v>
      </x:c>
      <x:c r="AA48" s="26" t="str">
        <x:v>people</x:v>
      </x:c>
      <x:c r="AB48" s="26" t="n">
        <x:v>45</x:v>
      </x:c>
      <x:c r="AC48" s="26" t="n">
        <x:v>0</x:v>
      </x:c>
      <x:c r="AD48" s="26" t="str">
        <x:v>engineering hypothesis</x:v>
      </x:c>
      <x:c r="AE48" s="26" t="str"/>
    </x:row>
    <x:row r="49">
      <x:c r="C49" s="26" t="str">
        <x:v>C3-043</x:v>
      </x:c>
      <x:c r="D49" s="26" t="str">
        <x:v>R3</x:v>
      </x:c>
      <x:c r="E49" s="26" t="n">
        <x:v>43</x:v>
      </x:c>
      <x:c r="F49" s="26" t="str">
        <x:v>Food system restoration</x:v>
      </x:c>
      <x:c r="G49" s="26" t="str">
        <x:v>warehousing, refrigeration, kitchens and market support</x:v>
      </x:c>
      <x:c r="H49" s="26" t="str">
        <x:v>Z1–Z8</x:v>
      </x:c>
      <x:c r="I49" s="26" t="str">
        <x:v>H6/H7</x:v>
      </x:c>
      <x:c r="J49" s="26" t="str">
        <x:v>P6</x:v>
      </x:c>
      <x:c r="K49" s="26" t="str">
        <x:v>P10</x:v>
      </x:c>
      <x:c r="L49" s="26" t="str">
        <x:v>Ocean/Rail</x:v>
      </x:c>
      <x:c r="M49" s="26" t="n">
        <x:v>50</x:v>
      </x:c>
      <x:c r="N49" s="51" t="n">
        <x:v>1000</x:v>
      </x:c>
      <x:c r="O49" s="52" t="n">
        <x:f>M49*N49</x:f>
        <x:v>50000</x:v>
      </x:c>
      <x:c r="P49" s="51" t="n">
        <x:v>4000</x:v>
      </x:c>
      <x:c r="Q49" s="52" t="n">
        <x:f>M49*P49</x:f>
        <x:v>200000</x:v>
      </x:c>
      <x:c r="R49" s="52" t="n">
        <x:f>Q49/33</x:f>
        <x:v>6060.606060606061</x:v>
      </x:c>
      <x:c r="S49" s="51" t="n">
        <x:v>1.15</x:v>
      </x:c>
      <x:c r="T49" s="52" t="n">
        <x:f>MAX(O49,Q49/4,R49*10)*S49</x:f>
        <x:v>69696.9696969697</x:v>
      </x:c>
      <x:c r="U49" s="26" t="str">
        <x:v>cold</x:v>
      </x:c>
      <x:c r="V49" s="26" t="str">
        <x:v>Yes</x:v>
      </x:c>
      <x:c r="W49" s="26" t="str">
        <x:v>No</x:v>
      </x:c>
      <x:c r="X49" s="26" t="str">
        <x:v>No</x:v>
      </x:c>
      <x:c r="Y49" s="26" t="str">
        <x:v>Food and nutrition</x:v>
      </x:c>
      <x:c r="Z49" s="51" t="n">
        <x:v>500000</x:v>
      </x:c>
      <x:c r="AA49" s="26" t="str">
        <x:v>people/day</x:v>
      </x:c>
      <x:c r="AB49" s="26" t="n">
        <x:v>45</x:v>
      </x:c>
      <x:c r="AC49" s="26" t="n">
        <x:v>0</x:v>
      </x:c>
      <x:c r="AD49" s="26" t="str">
        <x:v>engineering hypothesis</x:v>
      </x:c>
      <x:c r="AE49" s="26" t="str"/>
    </x:row>
    <x:row r="50">
      <x:c r="C50" s="26" t="str">
        <x:v>C3-044</x:v>
      </x:c>
      <x:c r="D50" s="26" t="str">
        <x:v>R3</x:v>
      </x:c>
      <x:c r="E50" s="26" t="n">
        <x:v>44</x:v>
      </x:c>
      <x:c r="F50" s="26" t="str">
        <x:v>Bulk fuel system</x:v>
      </x:c>
      <x:c r="G50" s="26" t="str">
        <x:v>distributed terminals, pipeline bypass and quality laboratories</x:v>
      </x:c>
      <x:c r="H50" s="26" t="str">
        <x:v>Z1–Z8</x:v>
      </x:c>
      <x:c r="I50" s="26" t="str">
        <x:v>H6/H7</x:v>
      </x:c>
      <x:c r="J50" s="26" t="str">
        <x:v>P6</x:v>
      </x:c>
      <x:c r="K50" s="26" t="str">
        <x:v>P7</x:v>
      </x:c>
      <x:c r="L50" s="26" t="str">
        <x:v>Ocean/Inland water</x:v>
      </x:c>
      <x:c r="M50" s="26" t="n">
        <x:v>45</x:v>
      </x:c>
      <x:c r="N50" s="51" t="n">
        <x:v>1000</x:v>
      </x:c>
      <x:c r="O50" s="52" t="n">
        <x:f>M50*N50</x:f>
        <x:v>45000</x:v>
      </x:c>
      <x:c r="P50" s="51" t="n">
        <x:v>2000</x:v>
      </x:c>
      <x:c r="Q50" s="52" t="n">
        <x:f>M50*P50</x:f>
        <x:v>90000</x:v>
      </x:c>
      <x:c r="R50" s="52" t="n">
        <x:f>Q50/33</x:f>
        <x:v>2727.2727272727275</x:v>
      </x:c>
      <x:c r="S50" s="51" t="n">
        <x:v>1.2</x:v>
      </x:c>
      <x:c r="T50" s="52" t="n">
        <x:f>MAX(O50,Q50/4,R50*10)*S50</x:f>
        <x:v>54000</x:v>
      </x:c>
      <x:c r="U50" s="26" t="str">
        <x:v>hazmat</x:v>
      </x:c>
      <x:c r="V50" s="26" t="str">
        <x:v>No</x:v>
      </x:c>
      <x:c r="W50" s="26" t="str">
        <x:v>Yes</x:v>
      </x:c>
      <x:c r="X50" s="26" t="str">
        <x:v>Yes</x:v>
      </x:c>
      <x:c r="Y50" s="26" t="str">
        <x:v>Enabling / reserve</x:v>
      </x:c>
      <x:c r="Z50" s="51" t="n">
        <x:v>0</x:v>
      </x:c>
      <x:c r="AA50" s="26" t="str">
        <x:v>n/a</x:v>
      </x:c>
      <x:c r="AB50" s="26" t="n">
        <x:v>45</x:v>
      </x:c>
      <x:c r="AC50" s="26" t="n">
        <x:v>0</x:v>
      </x:c>
      <x:c r="AD50" s="26" t="str">
        <x:v>engineering hypothesis</x:v>
      </x:c>
      <x:c r="AE50" s="26" t="str"/>
    </x:row>
    <x:row r="51">
      <x:c r="C51" s="26" t="str">
        <x:v>C3-045</x:v>
      </x:c>
      <x:c r="D51" s="26" t="str">
        <x:v>R3</x:v>
      </x:c>
      <x:c r="E51" s="26" t="n">
        <x:v>45</x:v>
      </x:c>
      <x:c r="F51" s="26" t="str">
        <x:v>Full responder-base system</x:v>
      </x:c>
      <x:c r="G51" s="26" t="str">
        <x:v>safe-zone, afloat and upland base capacity</x:v>
      </x:c>
      <x:c r="H51" s="26" t="str">
        <x:v>Z1–Z9</x:v>
      </x:c>
      <x:c r="I51" s="26" t="str">
        <x:v>H1/H3/H7/H8</x:v>
      </x:c>
      <x:c r="J51" s="26" t="str">
        <x:v>P11</x:v>
      </x:c>
      <x:c r="K51" s="26" t="str">
        <x:v>P10</x:v>
      </x:c>
      <x:c r="L51" s="26" t="str">
        <x:v>Ocean support/Rail</x:v>
      </x:c>
      <x:c r="M51" s="26" t="n">
        <x:v>55</x:v>
      </x:c>
      <x:c r="N51" s="51" t="n">
        <x:v>1000</x:v>
      </x:c>
      <x:c r="O51" s="52" t="n">
        <x:f>M51*N51</x:f>
        <x:v>55000</x:v>
      </x:c>
      <x:c r="P51" s="51" t="n">
        <x:v>6000</x:v>
      </x:c>
      <x:c r="Q51" s="52" t="n">
        <x:f>M51*P51</x:f>
        <x:v>330000</x:v>
      </x:c>
      <x:c r="R51" s="52" t="n">
        <x:f>Q51/33</x:f>
        <x:v>10000</x:v>
      </x:c>
      <x:c r="S51" s="51" t="n">
        <x:v>1.25</x:v>
      </x:c>
      <x:c r="T51" s="52" t="n">
        <x:f>MAX(O51,Q51/4,R51*10)*S51</x:f>
        <x:v>125000</x:v>
      </x:c>
      <x:c r="U51" s="26" t="str">
        <x:v>base</x:v>
      </x:c>
      <x:c r="V51" s="26" t="str">
        <x:v>Yes</x:v>
      </x:c>
      <x:c r="W51" s="26" t="str">
        <x:v>Yes</x:v>
      </x:c>
      <x:c r="X51" s="26" t="str">
        <x:v>Yes</x:v>
      </x:c>
      <x:c r="Y51" s="26" t="str">
        <x:v>Responder basing</x:v>
      </x:c>
      <x:c r="Z51" s="51" t="n">
        <x:v>45000</x:v>
      </x:c>
      <x:c r="AA51" s="26" t="str">
        <x:v>people supported</x:v>
      </x:c>
      <x:c r="AB51" s="26" t="n">
        <x:v>45</x:v>
      </x:c>
      <x:c r="AC51" s="26" t="n">
        <x:v>0</x:v>
      </x:c>
      <x:c r="AD51" s="26" t="str">
        <x:v>engineering hypothesis</x:v>
      </x:c>
      <x:c r="AE51" s="26" t="str"/>
    </x:row>
    <x:row r="52">
      <x:c r="C52" s="26" t="str">
        <x:v>C3-046</x:v>
      </x:c>
      <x:c r="D52" s="26" t="str">
        <x:v>R3</x:v>
      </x:c>
      <x:c r="E52" s="26" t="n">
        <x:v>46</x:v>
      </x:c>
      <x:c r="F52" s="26" t="str">
        <x:v>Earthworks and debris system</x:v>
      </x:c>
      <x:c r="G52" s="26" t="str">
        <x:v>excavation, haul, segregation, processing and disposal</x:v>
      </x:c>
      <x:c r="H52" s="26" t="str">
        <x:v>Z1–Z8</x:v>
      </x:c>
      <x:c r="I52" s="26" t="str">
        <x:v>H1/H3</x:v>
      </x:c>
      <x:c r="J52" s="26" t="str">
        <x:v>P8</x:v>
      </x:c>
      <x:c r="K52" s="26" t="str">
        <x:v>P9</x:v>
      </x:c>
      <x:c r="L52" s="26" t="str">
        <x:v>Road/Rail</x:v>
      </x:c>
      <x:c r="M52" s="26" t="n">
        <x:v>58</x:v>
      </x:c>
      <x:c r="N52" s="51" t="n">
        <x:v>1000</x:v>
      </x:c>
      <x:c r="O52" s="52" t="n">
        <x:f>M52*N52</x:f>
        <x:v>58000</x:v>
      </x:c>
      <x:c r="P52" s="51" t="n">
        <x:v>3000</x:v>
      </x:c>
      <x:c r="Q52" s="52" t="n">
        <x:f>M52*P52</x:f>
        <x:v>174000</x:v>
      </x:c>
      <x:c r="R52" s="52" t="n">
        <x:f>Q52/33</x:f>
        <x:v>5272.727272727273</x:v>
      </x:c>
      <x:c r="S52" s="51" t="n">
        <x:v>1.2</x:v>
      </x:c>
      <x:c r="T52" s="52" t="n">
        <x:f>MAX(O52,Q52/4,R52*10)*S52</x:f>
        <x:v>69600</x:v>
      </x:c>
      <x:c r="U52" s="26" t="str">
        <x:v>heavy/hazmat</x:v>
      </x:c>
      <x:c r="V52" s="26" t="str">
        <x:v>No</x:v>
      </x:c>
      <x:c r="W52" s="26" t="str">
        <x:v>Yes</x:v>
      </x:c>
      <x:c r="X52" s="26" t="str">
        <x:v>Yes</x:v>
      </x:c>
      <x:c r="Y52" s="26" t="str">
        <x:v>Hazard-control works</x:v>
      </x:c>
      <x:c r="Z52" s="51" t="n">
        <x:v>1200</x:v>
      </x:c>
      <x:c r="AA52" s="26" t="str">
        <x:v>route-equivalent km/day</x:v>
      </x:c>
      <x:c r="AB52" s="26" t="n">
        <x:v>45</x:v>
      </x:c>
      <x:c r="AC52" s="26" t="n">
        <x:v>0</x:v>
      </x:c>
      <x:c r="AD52" s="26" t="str">
        <x:v>engineering hypothesis</x:v>
      </x:c>
      <x:c r="AE52" s="26" t="str"/>
    </x:row>
    <x:row r="53">
      <x:c r="C53" s="26" t="str">
        <x:v>C3-047</x:v>
      </x:c>
      <x:c r="D53" s="26" t="str">
        <x:v>R3</x:v>
      </x:c>
      <x:c r="E53" s="26" t="n">
        <x:v>47</x:v>
      </x:c>
      <x:c r="F53" s="26" t="str">
        <x:v>Community stabilization</x:v>
      </x:c>
      <x:c r="G53" s="26" t="str">
        <x:v>benefits, administration, schools, family unity and protection</x:v>
      </x:c>
      <x:c r="H53" s="26" t="str">
        <x:v>Z1–Z8</x:v>
      </x:c>
      <x:c r="I53" s="26" t="str">
        <x:v>H1/H3</x:v>
      </x:c>
      <x:c r="J53" s="26" t="str">
        <x:v>P10</x:v>
      </x:c>
      <x:c r="K53" s="26" t="str">
        <x:v>P1</x:v>
      </x:c>
      <x:c r="L53" s="26" t="str">
        <x:v>Rail/Air</x:v>
      </x:c>
      <x:c r="M53" s="26" t="n">
        <x:v>64</x:v>
      </x:c>
      <x:c r="N53" s="51" t="n">
        <x:v>500</x:v>
      </x:c>
      <x:c r="O53" s="52" t="n">
        <x:f>M53*N53</x:f>
        <x:v>32000</x:v>
      </x:c>
      <x:c r="P53" s="51" t="n">
        <x:v>2500</x:v>
      </x:c>
      <x:c r="Q53" s="52" t="n">
        <x:f>M53*P53</x:f>
        <x:v>160000</x:v>
      </x:c>
      <x:c r="R53" s="52" t="n">
        <x:f>Q53/33</x:f>
        <x:v>4848.484848484848</x:v>
      </x:c>
      <x:c r="S53" s="51" t="n">
        <x:v>1.1</x:v>
      </x:c>
      <x:c r="T53" s="52" t="n">
        <x:f>MAX(O53,Q53/4,R53*10)*S53</x:f>
        <x:v>53333.333333333336</x:v>
      </x:c>
      <x:c r="U53" s="26" t="str">
        <x:v>community</x:v>
      </x:c>
      <x:c r="V53" s="26" t="str">
        <x:v>No</x:v>
      </x:c>
      <x:c r="W53" s="26" t="str">
        <x:v>No</x:v>
      </x:c>
      <x:c r="X53" s="26" t="str">
        <x:v>No</x:v>
      </x:c>
      <x:c r="Y53" s="26" t="str">
        <x:v>Priority communications</x:v>
      </x:c>
      <x:c r="Z53" s="51" t="n">
        <x:v>2200000</x:v>
      </x:c>
      <x:c r="AA53" s="26" t="str">
        <x:v>users</x:v>
      </x:c>
      <x:c r="AB53" s="26" t="n">
        <x:v>45</x:v>
      </x:c>
      <x:c r="AC53" s="26" t="n">
        <x:v>0</x:v>
      </x:c>
      <x:c r="AD53" s="26" t="str">
        <x:v>institutional hypothesis</x:v>
      </x:c>
      <x:c r="AE53" s="26" t="str"/>
    </x:row>
    <x:row r="54">
      <x:c r="C54" s="26" t="str">
        <x:v>C3-048</x:v>
      </x:c>
      <x:c r="D54" s="26" t="str">
        <x:v>R3</x:v>
      </x:c>
      <x:c r="E54" s="26" t="n">
        <x:v>48</x:v>
      </x:c>
      <x:c r="F54" s="26" t="str">
        <x:v>Maintenance and industrial support</x:v>
      </x:c>
      <x:c r="G54" s="26" t="str">
        <x:v>depots, fabrication, spares, calibration and software</x:v>
      </x:c>
      <x:c r="H54" s="26" t="str">
        <x:v>Z1–Z9</x:v>
      </x:c>
      <x:c r="I54" s="26" t="str">
        <x:v>H5/H6</x:v>
      </x:c>
      <x:c r="J54" s="26" t="str">
        <x:v>P10</x:v>
      </x:c>
      <x:c r="K54" s="26" t="str">
        <x:v>P6</x:v>
      </x:c>
      <x:c r="L54" s="26" t="str">
        <x:v>Rail/Ocean</x:v>
      </x:c>
      <x:c r="M54" s="26" t="n">
        <x:v>36</x:v>
      </x:c>
      <x:c r="N54" s="51" t="n">
        <x:v>956.1666666666666</x:v>
      </x:c>
      <x:c r="O54" s="52" t="n">
        <x:f>M54*N54</x:f>
        <x:v>34422</x:v>
      </x:c>
      <x:c r="P54" s="51" t="n">
        <x:v>3824.6666666666665</x:v>
      </x:c>
      <x:c r="Q54" s="52" t="n">
        <x:f>M54*P54</x:f>
        <x:v>137688</x:v>
      </x:c>
      <x:c r="R54" s="52" t="n">
        <x:f>Q54/33</x:f>
        <x:v>4172.363636363636</x:v>
      </x:c>
      <x:c r="S54" s="51" t="n">
        <x:v>1.15</x:v>
      </x:c>
      <x:c r="T54" s="52" t="n">
        <x:f>MAX(O54,Q54/4,R54*10)*S54</x:f>
        <x:v>47982.18181818181</x:v>
      </x:c>
      <x:c r="U54" s="26" t="str">
        <x:v>industrial</x:v>
      </x:c>
      <x:c r="V54" s="26" t="str">
        <x:v>No</x:v>
      </x:c>
      <x:c r="W54" s="26" t="str">
        <x:v>Yes</x:v>
      </x:c>
      <x:c r="X54" s="26" t="str">
        <x:v>Yes</x:v>
      </x:c>
      <x:c r="Y54" s="26" t="str">
        <x:v>Civil command coverage</x:v>
      </x:c>
      <x:c r="Z54" s="51" t="n">
        <x:v>1</x:v>
      </x:c>
      <x:c r="AA54" s="26" t="str">
        <x:v>service islands</x:v>
      </x:c>
      <x:c r="AB54" s="26" t="n">
        <x:v>45</x:v>
      </x:c>
      <x:c r="AC54" s="26" t="n">
        <x:v>0</x:v>
      </x:c>
      <x:c r="AD54" s="26" t="str">
        <x:v>industrial hypothesis</x:v>
      </x:c>
      <x:c r="AE54" s="26" t="str"/>
    </x:row>
    <x:row r="55">
      <x:c r="C55" s="26" t="str">
        <x:v>C3-049</x:v>
      </x:c>
      <x:c r="D55" s="26" t="str">
        <x:v>R4</x:v>
      </x:c>
      <x:c r="E55" s="26" t="n">
        <x:v>49</x:v>
      </x:c>
      <x:c r="F55" s="26" t="str">
        <x:v>Route replacement stock</x:v>
      </x:c>
      <x:c r="G55" s="26" t="str">
        <x:v>pavement, culvert, slope and traffic-system replacements</x:v>
      </x:c>
      <x:c r="H55" s="26" t="str">
        <x:v>Z1–Z8</x:v>
      </x:c>
      <x:c r="I55" s="26" t="str">
        <x:v>H5</x:v>
      </x:c>
      <x:c r="J55" s="26" t="str">
        <x:v>P10</x:v>
      </x:c>
      <x:c r="K55" s="26" t="str">
        <x:v>P8</x:v>
      </x:c>
      <x:c r="L55" s="26" t="str">
        <x:v>Rail/Road</x:v>
      </x:c>
      <x:c r="M55" s="26" t="n">
        <x:v>45</x:v>
      </x:c>
      <x:c r="N55" s="51" t="n">
        <x:v>1000</x:v>
      </x:c>
      <x:c r="O55" s="52" t="n">
        <x:f>M55*N55</x:f>
        <x:v>45000</x:v>
      </x:c>
      <x:c r="P55" s="51" t="n">
        <x:v>3000</x:v>
      </x:c>
      <x:c r="Q55" s="52" t="n">
        <x:f>M55*P55</x:f>
        <x:v>135000</x:v>
      </x:c>
      <x:c r="R55" s="52" t="n">
        <x:f>Q55/33</x:f>
        <x:v>4090.909090909091</x:v>
      </x:c>
      <x:c r="S55" s="51" t="n">
        <x:v>1.15</x:v>
      </x:c>
      <x:c r="T55" s="52" t="n">
        <x:f>MAX(O55,Q55/4,R55*10)*S55</x:f>
        <x:v>51749.99999999999</x:v>
      </x:c>
      <x:c r="U55" s="26" t="str">
        <x:v>heavy</x:v>
      </x:c>
      <x:c r="V55" s="26" t="str">
        <x:v>No</x:v>
      </x:c>
      <x:c r="W55" s="26" t="str">
        <x:v>Yes</x:v>
      </x:c>
      <x:c r="X55" s="26" t="str">
        <x:v>Yes</x:v>
      </x:c>
      <x:c r="Y55" s="26" t="str">
        <x:v>End-to-end access</x:v>
      </x:c>
      <x:c r="Z55" s="51" t="n">
        <x:v>12000</x:v>
      </x:c>
      <x:c r="AA55" s="26" t="str">
        <x:v>tonnes/day enabled</x:v>
      </x:c>
      <x:c r="AB55" s="26" t="n">
        <x:v>90</x:v>
      </x:c>
      <x:c r="AC55" s="26" t="n">
        <x:v>0</x:v>
      </x:c>
      <x:c r="AD55" s="26" t="str">
        <x:v>engineering hypothesis</x:v>
      </x:c>
      <x:c r="AE55" s="26" t="str"/>
    </x:row>
    <x:row r="56">
      <x:c r="C56" s="26" t="str">
        <x:v>C3-050</x:v>
      </x:c>
      <x:c r="D56" s="26" t="str">
        <x:v>R4</x:v>
      </x:c>
      <x:c r="E56" s="26" t="n">
        <x:v>50</x:v>
      </x:c>
      <x:c r="F56" s="26" t="str">
        <x:v>Bridge reserve</x:v>
      </x:c>
      <x:c r="G56" s="26" t="str">
        <x:v>second spans, foundations and inspection instruments</x:v>
      </x:c>
      <x:c r="H56" s="26" t="str">
        <x:v>Z1–Z8</x:v>
      </x:c>
      <x:c r="I56" s="26" t="str">
        <x:v>H5</x:v>
      </x:c>
      <x:c r="J56" s="26" t="str">
        <x:v>P10</x:v>
      </x:c>
      <x:c r="K56" s="26" t="str">
        <x:v>P9</x:v>
      </x:c>
      <x:c r="L56" s="26" t="str">
        <x:v>Rail/Road</x:v>
      </x:c>
      <x:c r="M56" s="26" t="n">
        <x:v>30</x:v>
      </x:c>
      <x:c r="N56" s="51" t="n">
        <x:v>1000</x:v>
      </x:c>
      <x:c r="O56" s="52" t="n">
        <x:f>M56*N56</x:f>
        <x:v>30000</x:v>
      </x:c>
      <x:c r="P56" s="51" t="n">
        <x:v>3000</x:v>
      </x:c>
      <x:c r="Q56" s="52" t="n">
        <x:f>M56*P56</x:f>
        <x:v>90000</x:v>
      </x:c>
      <x:c r="R56" s="52" t="n">
        <x:f>Q56/33</x:f>
        <x:v>2727.2727272727275</x:v>
      </x:c>
      <x:c r="S56" s="51" t="n">
        <x:v>1.25</x:v>
      </x:c>
      <x:c r="T56" s="52" t="n">
        <x:f>MAX(O56,Q56/4,R56*10)*S56</x:f>
        <x:v>37500</x:v>
      </x:c>
      <x:c r="U56" s="26" t="str">
        <x:v>bridge/outsized</x:v>
      </x:c>
      <x:c r="V56" s="26" t="str">
        <x:v>No</x:v>
      </x:c>
      <x:c r="W56" s="26" t="str">
        <x:v>Yes</x:v>
      </x:c>
      <x:c r="X56" s="26" t="str">
        <x:v>Yes</x:v>
      </x:c>
      <x:c r="Y56" s="26" t="str">
        <x:v>Hazard-control works</x:v>
      </x:c>
      <x:c r="Z56" s="51" t="n">
        <x:v>250</x:v>
      </x:c>
      <x:c r="AA56" s="26" t="str">
        <x:v>route-equivalent km/day</x:v>
      </x:c>
      <x:c r="AB56" s="26" t="n">
        <x:v>90</x:v>
      </x:c>
      <x:c r="AC56" s="26" t="n">
        <x:v>0</x:v>
      </x:c>
      <x:c r="AD56" s="26" t="str">
        <x:v>technology hypothesis</x:v>
      </x:c>
      <x:c r="AE56" s="26" t="str"/>
    </x:row>
    <x:row r="57">
      <x:c r="C57" s="26" t="str">
        <x:v>C3-051</x:v>
      </x:c>
      <x:c r="D57" s="26" t="str">
        <x:v>R4</x:v>
      </x:c>
      <x:c r="E57" s="26" t="n">
        <x:v>51</x:v>
      </x:c>
      <x:c r="F57" s="26" t="str">
        <x:v>Port reserve</x:v>
      </x:c>
      <x:c r="G57" s="26" t="str">
        <x:v>replacement cranes, dredge wear, salvage and navigation aids</x:v>
      </x:c>
      <x:c r="H57" s="26" t="str">
        <x:v>Z1/Z3/Z8</x:v>
      </x:c>
      <x:c r="I57" s="26" t="str">
        <x:v>H6</x:v>
      </x:c>
      <x:c r="J57" s="26" t="str">
        <x:v>P6</x:v>
      </x:c>
      <x:c r="K57" s="26" t="str">
        <x:v>P4</x:v>
      </x:c>
      <x:c r="L57" s="26" t="str">
        <x:v>Ocean/Littoral</x:v>
      </x:c>
      <x:c r="M57" s="26" t="n">
        <x:v>35</x:v>
      </x:c>
      <x:c r="N57" s="51" t="n">
        <x:v>1000</x:v>
      </x:c>
      <x:c r="O57" s="52" t="n">
        <x:f>M57*N57</x:f>
        <x:v>35000</x:v>
      </x:c>
      <x:c r="P57" s="51" t="n">
        <x:v>3000</x:v>
      </x:c>
      <x:c r="Q57" s="52" t="n">
        <x:f>M57*P57</x:f>
        <x:v>105000</x:v>
      </x:c>
      <x:c r="R57" s="52" t="n">
        <x:f>Q57/33</x:f>
        <x:v>3181.818181818182</x:v>
      </x:c>
      <x:c r="S57" s="51" t="n">
        <x:v>1.3</x:v>
      </x:c>
      <x:c r="T57" s="52" t="n">
        <x:f>MAX(O57,Q57/4,R57*10)*S57</x:f>
        <x:v>45500</x:v>
      </x:c>
      <x:c r="U57" s="26" t="str">
        <x:v>marine/outsized</x:v>
      </x:c>
      <x:c r="V57" s="26" t="str">
        <x:v>No</x:v>
      </x:c>
      <x:c r="W57" s="26" t="str">
        <x:v>Yes</x:v>
      </x:c>
      <x:c r="X57" s="26" t="str">
        <x:v>Yes</x:v>
      </x:c>
      <x:c r="Y57" s="26" t="str">
        <x:v>End-to-end access</x:v>
      </x:c>
      <x:c r="Z57" s="51" t="n">
        <x:v>8000</x:v>
      </x:c>
      <x:c r="AA57" s="26" t="str">
        <x:v>tonnes/day enabled</x:v>
      </x:c>
      <x:c r="AB57" s="26" t="n">
        <x:v>90</x:v>
      </x:c>
      <x:c r="AC57" s="26" t="n">
        <x:v>0</x:v>
      </x:c>
      <x:c r="AD57" s="26" t="str">
        <x:v>technology hypothesis</x:v>
      </x:c>
      <x:c r="AE57" s="26" t="str"/>
    </x:row>
    <x:row r="58">
      <x:c r="C58" s="26" t="str">
        <x:v>C3-052</x:v>
      </x:c>
      <x:c r="D58" s="26" t="str">
        <x:v>R4</x:v>
      </x:c>
      <x:c r="E58" s="26" t="n">
        <x:v>52</x:v>
      </x:c>
      <x:c r="F58" s="26" t="str">
        <x:v>Second-route materials</x:v>
      </x:c>
      <x:c r="G58" s="26" t="str">
        <x:v>alternate corridor surfacing, bypass and terminal kits</x:v>
      </x:c>
      <x:c r="H58" s="26" t="str">
        <x:v>Z1–Z8</x:v>
      </x:c>
      <x:c r="I58" s="26" t="str">
        <x:v>H5</x:v>
      </x:c>
      <x:c r="J58" s="26" t="str">
        <x:v>P10</x:v>
      </x:c>
      <x:c r="K58" s="26" t="str">
        <x:v>P8</x:v>
      </x:c>
      <x:c r="L58" s="26" t="str">
        <x:v>Rail/Road</x:v>
      </x:c>
      <x:c r="M58" s="26" t="n">
        <x:v>40</x:v>
      </x:c>
      <x:c r="N58" s="51" t="n">
        <x:v>1000</x:v>
      </x:c>
      <x:c r="O58" s="52" t="n">
        <x:f>M58*N58</x:f>
        <x:v>40000</x:v>
      </x:c>
      <x:c r="P58" s="51" t="n">
        <x:v>3000</x:v>
      </x:c>
      <x:c r="Q58" s="52" t="n">
        <x:f>M58*P58</x:f>
        <x:v>120000</x:v>
      </x:c>
      <x:c r="R58" s="52" t="n">
        <x:f>Q58/33</x:f>
        <x:v>3636.3636363636365</x:v>
      </x:c>
      <x:c r="S58" s="51" t="n">
        <x:v>1.15</x:v>
      </x:c>
      <x:c r="T58" s="52" t="n">
        <x:f>MAX(O58,Q58/4,R58*10)*S58</x:f>
        <x:v>46000</x:v>
      </x:c>
      <x:c r="U58" s="26" t="str">
        <x:v>heavy</x:v>
      </x:c>
      <x:c r="V58" s="26" t="str">
        <x:v>No</x:v>
      </x:c>
      <x:c r="W58" s="26" t="str">
        <x:v>Yes</x:v>
      </x:c>
      <x:c r="X58" s="26" t="str">
        <x:v>Yes</x:v>
      </x:c>
      <x:c r="Y58" s="26" t="str">
        <x:v>End-to-end access</x:v>
      </x:c>
      <x:c r="Z58" s="51" t="n">
        <x:v>10000</x:v>
      </x:c>
      <x:c r="AA58" s="26" t="str">
        <x:v>tonnes/day enabled</x:v>
      </x:c>
      <x:c r="AB58" s="26" t="n">
        <x:v>90</x:v>
      </x:c>
      <x:c r="AC58" s="26" t="n">
        <x:v>0</x:v>
      </x:c>
      <x:c r="AD58" s="26" t="str">
        <x:v>engineering hypothesis</x:v>
      </x:c>
      <x:c r="AE58" s="26" t="str"/>
    </x:row>
    <x:row r="59">
      <x:c r="C59" s="26" t="str">
        <x:v>C3-053</x:v>
      </x:c>
      <x:c r="D59" s="26" t="str">
        <x:v>R4</x:v>
      </x:c>
      <x:c r="E59" s="26" t="n">
        <x:v>53</x:v>
      </x:c>
      <x:c r="F59" s="26" t="str">
        <x:v>Depot replacement pool</x:v>
      </x:c>
      <x:c r="G59" s="26" t="str">
        <x:v>major assemblies, fabrication and calibrated spares</x:v>
      </x:c>
      <x:c r="H59" s="26" t="str">
        <x:v>Z1–Z9</x:v>
      </x:c>
      <x:c r="I59" s="26" t="str">
        <x:v>H5</x:v>
      </x:c>
      <x:c r="J59" s="26" t="str">
        <x:v>P10</x:v>
      </x:c>
      <x:c r="K59" s="26" t="str">
        <x:v>P6</x:v>
      </x:c>
      <x:c r="L59" s="26" t="str">
        <x:v>Rail/Ocean</x:v>
      </x:c>
      <x:c r="M59" s="26" t="n">
        <x:v>35</x:v>
      </x:c>
      <x:c r="N59" s="51" t="n">
        <x:v>1000</x:v>
      </x:c>
      <x:c r="O59" s="52" t="n">
        <x:f>M59*N59</x:f>
        <x:v>35000</x:v>
      </x:c>
      <x:c r="P59" s="51" t="n">
        <x:v>4000</x:v>
      </x:c>
      <x:c r="Q59" s="52" t="n">
        <x:f>M59*P59</x:f>
        <x:v>140000</x:v>
      </x:c>
      <x:c r="R59" s="52" t="n">
        <x:f>Q59/33</x:f>
        <x:v>4242.424242424242</x:v>
      </x:c>
      <x:c r="S59" s="51" t="n">
        <x:v>1.15</x:v>
      </x:c>
      <x:c r="T59" s="52" t="n">
        <x:f>MAX(O59,Q59/4,R59*10)*S59</x:f>
        <x:v>48787.87878787878</x:v>
      </x:c>
      <x:c r="U59" s="26" t="str">
        <x:v>industrial</x:v>
      </x:c>
      <x:c r="V59" s="26" t="str">
        <x:v>No</x:v>
      </x:c>
      <x:c r="W59" s="26" t="str">
        <x:v>Yes</x:v>
      </x:c>
      <x:c r="X59" s="26" t="str">
        <x:v>Yes</x:v>
      </x:c>
      <x:c r="Y59" s="26" t="str">
        <x:v>Enabling / reserve</x:v>
      </x:c>
      <x:c r="Z59" s="51" t="n">
        <x:v>0</x:v>
      </x:c>
      <x:c r="AA59" s="26" t="str">
        <x:v>n/a</x:v>
      </x:c>
      <x:c r="AB59" s="26" t="n">
        <x:v>90</x:v>
      </x:c>
      <x:c r="AC59" s="26" t="n">
        <x:v>0</x:v>
      </x:c>
      <x:c r="AD59" s="26" t="str">
        <x:v>industrial hypothesis</x:v>
      </x:c>
      <x:c r="AE59" s="26" t="str"/>
    </x:row>
    <x:row r="60">
      <x:c r="C60" s="26" t="str">
        <x:v>C3-054</x:v>
      </x:c>
      <x:c r="D60" s="26" t="str">
        <x:v>R4</x:v>
      </x:c>
      <x:c r="E60" s="26" t="n">
        <x:v>54</x:v>
      </x:c>
      <x:c r="F60" s="26" t="str">
        <x:v>Medical replacement pool</x:v>
      </x:c>
      <x:c r="G60" s="26" t="str">
        <x:v>staff rotation kits, pharmaceuticals, oxygen and sterile supply</x:v>
      </x:c>
      <x:c r="H60" s="26" t="str">
        <x:v>Z1–Z8</x:v>
      </x:c>
      <x:c r="I60" s="26" t="str">
        <x:v>H6</x:v>
      </x:c>
      <x:c r="J60" s="26" t="str">
        <x:v>P2</x:v>
      </x:c>
      <x:c r="K60" s="26" t="str">
        <x:v>P6</x:v>
      </x:c>
      <x:c r="L60" s="26" t="str">
        <x:v>Air/Ocean</x:v>
      </x:c>
      <x:c r="M60" s="26" t="n">
        <x:v>30</x:v>
      </x:c>
      <x:c r="N60" s="51" t="n">
        <x:v>1000</x:v>
      </x:c>
      <x:c r="O60" s="52" t="n">
        <x:f>M60*N60</x:f>
        <x:v>30000</x:v>
      </x:c>
      <x:c r="P60" s="51" t="n">
        <x:v>4000</x:v>
      </x:c>
      <x:c r="Q60" s="52" t="n">
        <x:f>M60*P60</x:f>
        <x:v>120000</x:v>
      </x:c>
      <x:c r="R60" s="52" t="n">
        <x:f>Q60/33</x:f>
        <x:v>3636.3636363636365</x:v>
      </x:c>
      <x:c r="S60" s="51" t="n">
        <x:v>1.2</x:v>
      </x:c>
      <x:c r="T60" s="52" t="n">
        <x:f>MAX(O60,Q60/4,R60*10)*S60</x:f>
        <x:v>43636.36363636364</x:v>
      </x:c>
      <x:c r="U60" s="26" t="str">
        <x:v>clinical/cold</x:v>
      </x:c>
      <x:c r="V60" s="26" t="str">
        <x:v>Yes</x:v>
      </x:c>
      <x:c r="W60" s="26" t="str">
        <x:v>Yes</x:v>
      </x:c>
      <x:c r="X60" s="26" t="str">
        <x:v>No</x:v>
      </x:c>
      <x:c r="Y60" s="26" t="str">
        <x:v>Staffed health capacity</x:v>
      </x:c>
      <x:c r="Z60" s="51" t="n">
        <x:v>3000</x:v>
      </x:c>
      <x:c r="AA60" s="26" t="str">
        <x:v>staffed beds</x:v>
      </x:c>
      <x:c r="AB60" s="26" t="n">
        <x:v>90</x:v>
      </x:c>
      <x:c r="AC60" s="26" t="n">
        <x:v>0</x:v>
      </x:c>
      <x:c r="AD60" s="26" t="str">
        <x:v>engineering hypothesis</x:v>
      </x:c>
      <x:c r="AE60" s="26" t="str"/>
    </x:row>
    <x:row r="61">
      <x:c r="C61" s="26" t="str">
        <x:v>C3-055</x:v>
      </x:c>
      <x:c r="D61" s="26" t="str">
        <x:v>R4</x:v>
      </x:c>
      <x:c r="E61" s="26" t="n">
        <x:v>55</x:v>
      </x:c>
      <x:c r="F61" s="26" t="str">
        <x:v>Water reserve</x:v>
      </x:c>
      <x:c r="G61" s="26" t="str">
        <x:v>membranes, pumps, pipe, storage and laboratory replacements</x:v>
      </x:c>
      <x:c r="H61" s="26" t="str">
        <x:v>Z1–Z8</x:v>
      </x:c>
      <x:c r="I61" s="26" t="str">
        <x:v>H6</x:v>
      </x:c>
      <x:c r="J61" s="26" t="str">
        <x:v>P7</x:v>
      </x:c>
      <x:c r="K61" s="26" t="str">
        <x:v>P5</x:v>
      </x:c>
      <x:c r="L61" s="26" t="str">
        <x:v>Inland water/Littoral</x:v>
      </x:c>
      <x:c r="M61" s="26" t="n">
        <x:v>35</x:v>
      </x:c>
      <x:c r="N61" s="51" t="n">
        <x:v>1000</x:v>
      </x:c>
      <x:c r="O61" s="52" t="n">
        <x:f>M61*N61</x:f>
        <x:v>35000</x:v>
      </x:c>
      <x:c r="P61" s="51" t="n">
        <x:v>4000</x:v>
      </x:c>
      <x:c r="Q61" s="52" t="n">
        <x:f>M61*P61</x:f>
        <x:v>140000</x:v>
      </x:c>
      <x:c r="R61" s="52" t="n">
        <x:f>Q61/33</x:f>
        <x:v>4242.424242424242</x:v>
      </x:c>
      <x:c r="S61" s="51" t="n">
        <x:v>1.2</x:v>
      </x:c>
      <x:c r="T61" s="52" t="n">
        <x:f>MAX(O61,Q61/4,R61*10)*S61</x:f>
        <x:v>50909.0909090909</x:v>
      </x:c>
      <x:c r="U61" s="26" t="str">
        <x:v>process</x:v>
      </x:c>
      <x:c r="V61" s="26" t="str">
        <x:v>No</x:v>
      </x:c>
      <x:c r="W61" s="26" t="str">
        <x:v>Yes</x:v>
      </x:c>
      <x:c r="X61" s="26" t="str">
        <x:v>Yes</x:v>
      </x:c>
      <x:c r="Y61" s="26" t="str">
        <x:v>Potable and essential water</x:v>
      </x:c>
      <x:c r="Z61" s="51" t="n">
        <x:v>4000</x:v>
      </x:c>
      <x:c r="AA61" s="26" t="str">
        <x:v>m3/day delivered</x:v>
      </x:c>
      <x:c r="AB61" s="26" t="n">
        <x:v>90</x:v>
      </x:c>
      <x:c r="AC61" s="26" t="n">
        <x:v>0</x:v>
      </x:c>
      <x:c r="AD61" s="26" t="str">
        <x:v>technology hypothesis</x:v>
      </x:c>
      <x:c r="AE61" s="26" t="str"/>
    </x:row>
    <x:row r="62">
      <x:c r="C62" s="26" t="str">
        <x:v>C3-056</x:v>
      </x:c>
      <x:c r="D62" s="26" t="str">
        <x:v>R4</x:v>
      </x:c>
      <x:c r="E62" s="26" t="n">
        <x:v>56</x:v>
      </x:c>
      <x:c r="F62" s="26" t="str">
        <x:v>Power reserve</x:v>
      </x:c>
      <x:c r="G62" s="26" t="str">
        <x:v>generation, transformer, switchgear and feeder replacements</x:v>
      </x:c>
      <x:c r="H62" s="26" t="str">
        <x:v>Z1–Z8</x:v>
      </x:c>
      <x:c r="I62" s="26" t="str">
        <x:v>H6</x:v>
      </x:c>
      <x:c r="J62" s="26" t="str">
        <x:v>P6</x:v>
      </x:c>
      <x:c r="K62" s="26" t="str">
        <x:v>P10</x:v>
      </x:c>
      <x:c r="L62" s="26" t="str">
        <x:v>Ocean/Rail</x:v>
      </x:c>
      <x:c r="M62" s="26" t="n">
        <x:v>45</x:v>
      </x:c>
      <x:c r="N62" s="51" t="n">
        <x:v>1000</x:v>
      </x:c>
      <x:c r="O62" s="52" t="n">
        <x:f>M62*N62</x:f>
        <x:v>45000</x:v>
      </x:c>
      <x:c r="P62" s="51" t="n">
        <x:v>4000</x:v>
      </x:c>
      <x:c r="Q62" s="52" t="n">
        <x:f>M62*P62</x:f>
        <x:v>180000</x:v>
      </x:c>
      <x:c r="R62" s="52" t="n">
        <x:f>Q62/33</x:f>
        <x:v>5454.545454545455</x:v>
      </x:c>
      <x:c r="S62" s="51" t="n">
        <x:v>1.3</x:v>
      </x:c>
      <x:c r="T62" s="52" t="n">
        <x:f>MAX(O62,Q62/4,R62*10)*S62</x:f>
        <x:v>70909.09090909093</x:v>
      </x:c>
      <x:c r="U62" s="26" t="str">
        <x:v>electrical/outsized</x:v>
      </x:c>
      <x:c r="V62" s="26" t="str">
        <x:v>No</x:v>
      </x:c>
      <x:c r="W62" s="26" t="str">
        <x:v>Yes</x:v>
      </x:c>
      <x:c r="X62" s="26" t="str">
        <x:v>Yes</x:v>
      </x:c>
      <x:c r="Y62" s="26" t="str">
        <x:v>Critical-load power</x:v>
      </x:c>
      <x:c r="Z62" s="51" t="n">
        <x:v>2200</x:v>
      </x:c>
      <x:c r="AA62" s="26" t="str">
        <x:v>MW net</x:v>
      </x:c>
      <x:c r="AB62" s="26" t="n">
        <x:v>90</x:v>
      </x:c>
      <x:c r="AC62" s="26" t="n">
        <x:v>0</x:v>
      </x:c>
      <x:c r="AD62" s="26" t="str">
        <x:v>technology hypothesis</x:v>
      </x:c>
      <x:c r="AE62" s="26" t="str"/>
    </x:row>
    <x:row r="63">
      <x:c r="C63" s="26" t="str">
        <x:v>C3-057</x:v>
      </x:c>
      <x:c r="D63" s="26" t="str">
        <x:v>R4</x:v>
      </x:c>
      <x:c r="E63" s="26" t="n">
        <x:v>57</x:v>
      </x:c>
      <x:c r="F63" s="26" t="str">
        <x:v>Sanitation reserve</x:v>
      </x:c>
      <x:c r="G63" s="26" t="str">
        <x:v>treatment, collection, hygiene and residual replacements</x:v>
      </x:c>
      <x:c r="H63" s="26" t="str">
        <x:v>Z1–Z8</x:v>
      </x:c>
      <x:c r="I63" s="26" t="str">
        <x:v>H6</x:v>
      </x:c>
      <x:c r="J63" s="26" t="str">
        <x:v>P7</x:v>
      </x:c>
      <x:c r="K63" s="26" t="str">
        <x:v>P9</x:v>
      </x:c>
      <x:c r="L63" s="26" t="str">
        <x:v>Inland water/Road</x:v>
      </x:c>
      <x:c r="M63" s="26" t="n">
        <x:v>25</x:v>
      </x:c>
      <x:c r="N63" s="51" t="n">
        <x:v>1000</x:v>
      </x:c>
      <x:c r="O63" s="52" t="n">
        <x:f>M63*N63</x:f>
        <x:v>25000</x:v>
      </x:c>
      <x:c r="P63" s="51" t="n">
        <x:v>4000</x:v>
      </x:c>
      <x:c r="Q63" s="52" t="n">
        <x:f>M63*P63</x:f>
        <x:v>100000</x:v>
      </x:c>
      <x:c r="R63" s="52" t="n">
        <x:f>Q63/33</x:f>
        <x:v>3030.3030303030305</x:v>
      </x:c>
      <x:c r="S63" s="51" t="n">
        <x:v>1.2</x:v>
      </x:c>
      <x:c r="T63" s="52" t="n">
        <x:f>MAX(O63,Q63/4,R63*10)*S63</x:f>
        <x:v>36363.63636363636</x:v>
      </x:c>
      <x:c r="U63" s="26" t="str">
        <x:v>sanitation/hazmat</x:v>
      </x:c>
      <x:c r="V63" s="26" t="str">
        <x:v>No</x:v>
      </x:c>
      <x:c r="W63" s="26" t="str">
        <x:v>Yes</x:v>
      </x:c>
      <x:c r="X63" s="26" t="str">
        <x:v>Yes</x:v>
      </x:c>
      <x:c r="Y63" s="26" t="str">
        <x:v>Sanitation</x:v>
      </x:c>
      <x:c r="Z63" s="51" t="n">
        <x:v>350000</x:v>
      </x:c>
      <x:c r="AA63" s="26" t="str">
        <x:v>users</x:v>
      </x:c>
      <x:c r="AB63" s="26" t="n">
        <x:v>90</x:v>
      </x:c>
      <x:c r="AC63" s="26" t="n">
        <x:v>0</x:v>
      </x:c>
      <x:c r="AD63" s="26" t="str">
        <x:v>technology hypothesis</x:v>
      </x:c>
      <x:c r="AE63" s="26" t="str"/>
    </x:row>
    <x:row r="64">
      <x:c r="C64" s="26" t="str">
        <x:v>C3-058</x:v>
      </x:c>
      <x:c r="D64" s="26" t="str">
        <x:v>R4</x:v>
      </x:c>
      <x:c r="E64" s="26" t="n">
        <x:v>58</x:v>
      </x:c>
      <x:c r="F64" s="26" t="str">
        <x:v>Housing replacement</x:v>
      </x:c>
      <x:c r="G64" s="26" t="str">
        <x:v>weatherized accessible units and utility interfaces</x:v>
      </x:c>
      <x:c r="H64" s="26" t="str">
        <x:v>Z1–Z8</x:v>
      </x:c>
      <x:c r="I64" s="26" t="str">
        <x:v>H6</x:v>
      </x:c>
      <x:c r="J64" s="26" t="str">
        <x:v>P5</x:v>
      </x:c>
      <x:c r="K64" s="26" t="str">
        <x:v>P7</x:v>
      </x:c>
      <x:c r="L64" s="26" t="str">
        <x:v>Littoral/Inland water</x:v>
      </x:c>
      <x:c r="M64" s="26" t="n">
        <x:v>35</x:v>
      </x:c>
      <x:c r="N64" s="51" t="n">
        <x:v>1000</x:v>
      </x:c>
      <x:c r="O64" s="52" t="n">
        <x:f>M64*N64</x:f>
        <x:v>35000</x:v>
      </x:c>
      <x:c r="P64" s="51" t="n">
        <x:v>8000</x:v>
      </x:c>
      <x:c r="Q64" s="52" t="n">
        <x:f>M64*P64</x:f>
        <x:v>280000</x:v>
      </x:c>
      <x:c r="R64" s="52" t="n">
        <x:f>Q64/33</x:f>
        <x:v>8484.848484848484</x:v>
      </x:c>
      <x:c r="S64" s="51" t="n">
        <x:v>1.25</x:v>
      </x:c>
      <x:c r="T64" s="52" t="n">
        <x:f>MAX(O64,Q64/4,R64*10)*S64</x:f>
        <x:v>106060.60606060605</x:v>
      </x:c>
      <x:c r="U64" s="26" t="str">
        <x:v>housing/volume</x:v>
      </x:c>
      <x:c r="V64" s="26" t="str">
        <x:v>No</x:v>
      </x:c>
      <x:c r="W64" s="26" t="str">
        <x:v>No</x:v>
      </x:c>
      <x:c r="X64" s="26" t="str">
        <x:v>Yes</x:v>
      </x:c>
      <x:c r="Y64" s="26" t="str">
        <x:v>Emergency shelter</x:v>
      </x:c>
      <x:c r="Z64" s="51" t="n">
        <x:v>200000</x:v>
      </x:c>
      <x:c r="AA64" s="26" t="str">
        <x:v>people</x:v>
      </x:c>
      <x:c r="AB64" s="26" t="n">
        <x:v>90</x:v>
      </x:c>
      <x:c r="AC64" s="26" t="n">
        <x:v>0</x:v>
      </x:c>
      <x:c r="AD64" s="26" t="str">
        <x:v>engineering hypothesis</x:v>
      </x:c>
      <x:c r="AE64" s="26" t="str"/>
    </x:row>
    <x:row r="65">
      <x:c r="C65" s="26" t="str">
        <x:v>C3-059</x:v>
      </x:c>
      <x:c r="D65" s="26" t="str">
        <x:v>R4</x:v>
      </x:c>
      <x:c r="E65" s="26" t="n">
        <x:v>59</x:v>
      </x:c>
      <x:c r="F65" s="26" t="str">
        <x:v>Food reserve</x:v>
      </x:c>
      <x:c r="G65" s="26" t="str">
        <x:v>nutrition, cold-chain and packaging replacement stock</x:v>
      </x:c>
      <x:c r="H65" s="26" t="str">
        <x:v>Z1–Z8</x:v>
      </x:c>
      <x:c r="I65" s="26" t="str">
        <x:v>H6</x:v>
      </x:c>
      <x:c r="J65" s="26" t="str">
        <x:v>P6</x:v>
      </x:c>
      <x:c r="K65" s="26" t="str">
        <x:v>P10</x:v>
      </x:c>
      <x:c r="L65" s="26" t="str">
        <x:v>Ocean/Rail</x:v>
      </x:c>
      <x:c r="M65" s="26" t="n">
        <x:v>28</x:v>
      </x:c>
      <x:c r="N65" s="51" t="n">
        <x:v>1000</x:v>
      </x:c>
      <x:c r="O65" s="52" t="n">
        <x:f>M65*N65</x:f>
        <x:v>28000</x:v>
      </x:c>
      <x:c r="P65" s="51" t="n">
        <x:v>4000</x:v>
      </x:c>
      <x:c r="Q65" s="52" t="n">
        <x:f>M65*P65</x:f>
        <x:v>112000</x:v>
      </x:c>
      <x:c r="R65" s="52" t="n">
        <x:f>Q65/33</x:f>
        <x:v>3393.939393939394</x:v>
      </x:c>
      <x:c r="S65" s="51" t="n">
        <x:v>1.15</x:v>
      </x:c>
      <x:c r="T65" s="52" t="n">
        <x:f>MAX(O65,Q65/4,R65*10)*S65</x:f>
        <x:v>39030.303030303025</x:v>
      </x:c>
      <x:c r="U65" s="26" t="str">
        <x:v>cold</x:v>
      </x:c>
      <x:c r="V65" s="26" t="str">
        <x:v>Yes</x:v>
      </x:c>
      <x:c r="W65" s="26" t="str">
        <x:v>No</x:v>
      </x:c>
      <x:c r="X65" s="26" t="str">
        <x:v>No</x:v>
      </x:c>
      <x:c r="Y65" s="26" t="str">
        <x:v>Food and nutrition</x:v>
      </x:c>
      <x:c r="Z65" s="51" t="n">
        <x:v>300000</x:v>
      </x:c>
      <x:c r="AA65" s="26" t="str">
        <x:v>people/day</x:v>
      </x:c>
      <x:c r="AB65" s="26" t="n">
        <x:v>90</x:v>
      </x:c>
      <x:c r="AC65" s="26" t="n">
        <x:v>0</x:v>
      </x:c>
      <x:c r="AD65" s="26" t="str">
        <x:v>engineering hypothesis</x:v>
      </x:c>
      <x:c r="AE65" s="26" t="str"/>
    </x:row>
    <x:row r="66">
      <x:c r="C66" s="26" t="str">
        <x:v>C3-060</x:v>
      </x:c>
      <x:c r="D66" s="26" t="str">
        <x:v>R4</x:v>
      </x:c>
      <x:c r="E66" s="26" t="n">
        <x:v>60</x:v>
      </x:c>
      <x:c r="F66" s="26" t="str">
        <x:v>Fuel reserve</x:v>
      </x:c>
      <x:c r="G66" s="26" t="str">
        <x:v>bulk fuel, spill response and metered distribution stock</x:v>
      </x:c>
      <x:c r="H66" s="26" t="str">
        <x:v>Z1–Z8</x:v>
      </x:c>
      <x:c r="I66" s="26" t="str">
        <x:v>H6</x:v>
      </x:c>
      <x:c r="J66" s="26" t="str">
        <x:v>P6</x:v>
      </x:c>
      <x:c r="K66" s="26" t="str">
        <x:v>P7</x:v>
      </x:c>
      <x:c r="L66" s="26" t="str">
        <x:v>Ocean/Inland water</x:v>
      </x:c>
      <x:c r="M66" s="26" t="n">
        <x:v>35</x:v>
      </x:c>
      <x:c r="N66" s="51" t="n">
        <x:v>1000</x:v>
      </x:c>
      <x:c r="O66" s="52" t="n">
        <x:f>M66*N66</x:f>
        <x:v>35000</x:v>
      </x:c>
      <x:c r="P66" s="51" t="n">
        <x:v>2000</x:v>
      </x:c>
      <x:c r="Q66" s="52" t="n">
        <x:f>M66*P66</x:f>
        <x:v>70000</x:v>
      </x:c>
      <x:c r="R66" s="52" t="n">
        <x:f>Q66/33</x:f>
        <x:v>2121.212121212121</x:v>
      </x:c>
      <x:c r="S66" s="51" t="n">
        <x:v>1.2</x:v>
      </x:c>
      <x:c r="T66" s="52" t="n">
        <x:f>MAX(O66,Q66/4,R66*10)*S66</x:f>
        <x:v>42000</x:v>
      </x:c>
      <x:c r="U66" s="26" t="str">
        <x:v>hazmat</x:v>
      </x:c>
      <x:c r="V66" s="26" t="str">
        <x:v>No</x:v>
      </x:c>
      <x:c r="W66" s="26" t="str">
        <x:v>Yes</x:v>
      </x:c>
      <x:c r="X66" s="26" t="str">
        <x:v>Yes</x:v>
      </x:c>
      <x:c r="Y66" s="26" t="str">
        <x:v>Enabling / reserve</x:v>
      </x:c>
      <x:c r="Z66" s="51" t="n">
        <x:v>0</x:v>
      </x:c>
      <x:c r="AA66" s="26" t="str">
        <x:v>n/a</x:v>
      </x:c>
      <x:c r="AB66" s="26" t="n">
        <x:v>90</x:v>
      </x:c>
      <x:c r="AC66" s="26" t="n">
        <x:v>0</x:v>
      </x:c>
      <x:c r="AD66" s="26" t="str">
        <x:v>engineering hypothesis</x:v>
      </x:c>
      <x:c r="AE66" s="26" t="str"/>
    </x:row>
    <x:row r="67">
      <x:c r="C67" s="26" t="str">
        <x:v>C3-061</x:v>
      </x:c>
      <x:c r="D67" s="26" t="str">
        <x:v>R4</x:v>
      </x:c>
      <x:c r="E67" s="26" t="n">
        <x:v>61</x:v>
      </x:c>
      <x:c r="F67" s="26" t="str">
        <x:v>Base rotation reserve</x:v>
      </x:c>
      <x:c r="G67" s="26" t="str">
        <x:v>replacement kitchens, sanitation, lodging and crew support</x:v>
      </x:c>
      <x:c r="H67" s="26" t="str">
        <x:v>Z1–Z9</x:v>
      </x:c>
      <x:c r="I67" s="26" t="str">
        <x:v>H5/H6</x:v>
      </x:c>
      <x:c r="J67" s="26" t="str">
        <x:v>P11</x:v>
      </x:c>
      <x:c r="K67" s="26" t="str">
        <x:v>P10</x:v>
      </x:c>
      <x:c r="L67" s="26" t="str">
        <x:v>Ocean support/Rail</x:v>
      </x:c>
      <x:c r="M67" s="26" t="n">
        <x:v>30</x:v>
      </x:c>
      <x:c r="N67" s="51" t="n">
        <x:v>1000</x:v>
      </x:c>
      <x:c r="O67" s="52" t="n">
        <x:f>M67*N67</x:f>
        <x:v>30000</x:v>
      </x:c>
      <x:c r="P67" s="51" t="n">
        <x:v>6000</x:v>
      </x:c>
      <x:c r="Q67" s="52" t="n">
        <x:f>M67*P67</x:f>
        <x:v>180000</x:v>
      </x:c>
      <x:c r="R67" s="52" t="n">
        <x:f>Q67/33</x:f>
        <x:v>5454.545454545455</x:v>
      </x:c>
      <x:c r="S67" s="51" t="n">
        <x:v>1.25</x:v>
      </x:c>
      <x:c r="T67" s="52" t="n">
        <x:f>MAX(O67,Q67/4,R67*10)*S67</x:f>
        <x:v>68181.81818181819</x:v>
      </x:c>
      <x:c r="U67" s="26" t="str">
        <x:v>base</x:v>
      </x:c>
      <x:c r="V67" s="26" t="str">
        <x:v>Yes</x:v>
      </x:c>
      <x:c r="W67" s="26" t="str">
        <x:v>Yes</x:v>
      </x:c>
      <x:c r="X67" s="26" t="str">
        <x:v>Yes</x:v>
      </x:c>
      <x:c r="Y67" s="26" t="str">
        <x:v>Responder basing</x:v>
      </x:c>
      <x:c r="Z67" s="51" t="n">
        <x:v>25000</x:v>
      </x:c>
      <x:c r="AA67" s="26" t="str">
        <x:v>people supported</x:v>
      </x:c>
      <x:c r="AB67" s="26" t="n">
        <x:v>90</x:v>
      </x:c>
      <x:c r="AC67" s="26" t="n">
        <x:v>0</x:v>
      </x:c>
      <x:c r="AD67" s="26" t="str">
        <x:v>engineering hypothesis</x:v>
      </x:c>
      <x:c r="AE67" s="26" t="str"/>
    </x:row>
    <x:row r="68">
      <x:c r="C68" s="26" t="str">
        <x:v>C3-062</x:v>
      </x:c>
      <x:c r="D68" s="26" t="str">
        <x:v>R4</x:v>
      </x:c>
      <x:c r="E68" s="26" t="n">
        <x:v>62</x:v>
      </x:c>
      <x:c r="F68" s="26" t="str">
        <x:v>Debris processing reserve</x:v>
      </x:c>
      <x:c r="G68" s="26" t="str">
        <x:v>wear parts, containers, treatment and disposal interfaces</x:v>
      </x:c>
      <x:c r="H68" s="26" t="str">
        <x:v>Z1–Z8</x:v>
      </x:c>
      <x:c r="I68" s="26" t="str">
        <x:v>H5</x:v>
      </x:c>
      <x:c r="J68" s="26" t="str">
        <x:v>P10</x:v>
      </x:c>
      <x:c r="K68" s="26" t="str">
        <x:v>P8</x:v>
      </x:c>
      <x:c r="L68" s="26" t="str">
        <x:v>Rail/Road</x:v>
      </x:c>
      <x:c r="M68" s="26" t="n">
        <x:v>33</x:v>
      </x:c>
      <x:c r="N68" s="51" t="n">
        <x:v>1000</x:v>
      </x:c>
      <x:c r="O68" s="52" t="n">
        <x:f>M68*N68</x:f>
        <x:v>33000</x:v>
      </x:c>
      <x:c r="P68" s="51" t="n">
        <x:v>3000</x:v>
      </x:c>
      <x:c r="Q68" s="52" t="n">
        <x:f>M68*P68</x:f>
        <x:v>99000</x:v>
      </x:c>
      <x:c r="R68" s="52" t="n">
        <x:f>Q68/33</x:f>
        <x:v>3000</x:v>
      </x:c>
      <x:c r="S68" s="51" t="n">
        <x:v>1.2</x:v>
      </x:c>
      <x:c r="T68" s="52" t="n">
        <x:f>MAX(O68,Q68/4,R68*10)*S68</x:f>
        <x:v>39600</x:v>
      </x:c>
      <x:c r="U68" s="26" t="str">
        <x:v>heavy/hazmat</x:v>
      </x:c>
      <x:c r="V68" s="26" t="str">
        <x:v>No</x:v>
      </x:c>
      <x:c r="W68" s="26" t="str">
        <x:v>Yes</x:v>
      </x:c>
      <x:c r="X68" s="26" t="str">
        <x:v>Yes</x:v>
      </x:c>
      <x:c r="Y68" s="26" t="str">
        <x:v>Hazard-control works</x:v>
      </x:c>
      <x:c r="Z68" s="51" t="n">
        <x:v>350</x:v>
      </x:c>
      <x:c r="AA68" s="26" t="str">
        <x:v>route-equivalent km/day</x:v>
      </x:c>
      <x:c r="AB68" s="26" t="n">
        <x:v>90</x:v>
      </x:c>
      <x:c r="AC68" s="26" t="n">
        <x:v>0</x:v>
      </x:c>
      <x:c r="AD68" s="26" t="str">
        <x:v>engineering hypothesis</x:v>
      </x:c>
      <x:c r="AE68" s="26" t="str"/>
    </x:row>
    <x:row r="69">
      <x:c r="C69" s="26" t="str">
        <x:v>C3-063</x:v>
      </x:c>
      <x:c r="D69" s="26" t="str">
        <x:v>R4</x:v>
      </x:c>
      <x:c r="E69" s="26" t="n">
        <x:v>63</x:v>
      </x:c>
      <x:c r="F69" s="26" t="str">
        <x:v>Community recovery reserve</x:v>
      </x:c>
      <x:c r="G69" s="26" t="str">
        <x:v>public-service access, records and local procurement systems</x:v>
      </x:c>
      <x:c r="H69" s="26" t="str">
        <x:v>Z1–Z8</x:v>
      </x:c>
      <x:c r="I69" s="26" t="str">
        <x:v>H5</x:v>
      </x:c>
      <x:c r="J69" s="26" t="str">
        <x:v>P10</x:v>
      </x:c>
      <x:c r="K69" s="26" t="str">
        <x:v>P1</x:v>
      </x:c>
      <x:c r="L69" s="26" t="str">
        <x:v>Rail/Air</x:v>
      </x:c>
      <x:c r="M69" s="26" t="n">
        <x:v>50</x:v>
      </x:c>
      <x:c r="N69" s="51" t="n">
        <x:v>500</x:v>
      </x:c>
      <x:c r="O69" s="52" t="n">
        <x:f>M69*N69</x:f>
        <x:v>25000</x:v>
      </x:c>
      <x:c r="P69" s="51" t="n">
        <x:v>2500</x:v>
      </x:c>
      <x:c r="Q69" s="52" t="n">
        <x:f>M69*P69</x:f>
        <x:v>125000</x:v>
      </x:c>
      <x:c r="R69" s="52" t="n">
        <x:f>Q69/33</x:f>
        <x:v>3787.878787878788</x:v>
      </x:c>
      <x:c r="S69" s="51" t="n">
        <x:v>1.1</x:v>
      </x:c>
      <x:c r="T69" s="52" t="n">
        <x:f>MAX(O69,Q69/4,R69*10)*S69</x:f>
        <x:v>41666.66666666667</x:v>
      </x:c>
      <x:c r="U69" s="26" t="str">
        <x:v>community</x:v>
      </x:c>
      <x:c r="V69" s="26" t="str">
        <x:v>No</x:v>
      </x:c>
      <x:c r="W69" s="26" t="str">
        <x:v>No</x:v>
      </x:c>
      <x:c r="X69" s="26" t="str">
        <x:v>No</x:v>
      </x:c>
      <x:c r="Y69" s="26" t="str">
        <x:v>Priority communications</x:v>
      </x:c>
      <x:c r="Z69" s="51" t="n">
        <x:v>1200000</x:v>
      </x:c>
      <x:c r="AA69" s="26" t="str">
        <x:v>users</x:v>
      </x:c>
      <x:c r="AB69" s="26" t="n">
        <x:v>90</x:v>
      </x:c>
      <x:c r="AC69" s="26" t="n">
        <x:v>0</x:v>
      </x:c>
      <x:c r="AD69" s="26" t="str">
        <x:v>institutional hypothesis</x:v>
      </x:c>
      <x:c r="AE69" s="26" t="str"/>
    </x:row>
    <x:row r="70">
      <x:c r="C70" s="26" t="str">
        <x:v>C3-064</x:v>
      </x:c>
      <x:c r="D70" s="26" t="str">
        <x:v>R4</x:v>
      </x:c>
      <x:c r="E70" s="26" t="n">
        <x:v>64</x:v>
      </x:c>
      <x:c r="F70" s="26" t="str">
        <x:v>Reconstitution support</x:v>
      </x:c>
      <x:c r="G70" s="26" t="str">
        <x:v>return handling, decontamination and depot induction kits</x:v>
      </x:c>
      <x:c r="H70" s="26" t="str">
        <x:v>Z1–Z9</x:v>
      </x:c>
      <x:c r="I70" s="26" t="str">
        <x:v>H5</x:v>
      </x:c>
      <x:c r="J70" s="26" t="str">
        <x:v>P10</x:v>
      </x:c>
      <x:c r="K70" s="26" t="str">
        <x:v>P6</x:v>
      </x:c>
      <x:c r="L70" s="26" t="str">
        <x:v>Rail/Ocean</x:v>
      </x:c>
      <x:c r="M70" s="26" t="n">
        <x:v>46</x:v>
      </x:c>
      <x:c r="N70" s="51" t="n">
        <x:v>495.2173913043478</x:v>
      </x:c>
      <x:c r="O70" s="52" t="n">
        <x:f>M70*N70</x:f>
        <x:v>22780</x:v>
      </x:c>
      <x:c r="P70" s="51" t="n">
        <x:v>1980.8695652173913</x:v>
      </x:c>
      <x:c r="Q70" s="52" t="n">
        <x:f>M70*P70</x:f>
        <x:v>91120</x:v>
      </x:c>
      <x:c r="R70" s="52" t="n">
        <x:f>Q70/33</x:f>
        <x:v>2761.212121212121</x:v>
      </x:c>
      <x:c r="S70" s="51" t="n">
        <x:v>1.15</x:v>
      </x:c>
      <x:c r="T70" s="52" t="n">
        <x:f>MAX(O70,Q70/4,R70*10)*S70</x:f>
        <x:v>31753.93939393939</x:v>
      </x:c>
      <x:c r="U70" s="26" t="str">
        <x:v>industrial/hazmat</x:v>
      </x:c>
      <x:c r="V70" s="26" t="str">
        <x:v>No</x:v>
      </x:c>
      <x:c r="W70" s="26" t="str">
        <x:v>Yes</x:v>
      </x:c>
      <x:c r="X70" s="26" t="str">
        <x:v>Yes</x:v>
      </x:c>
      <x:c r="Y70" s="26" t="str">
        <x:v>Civil command coverage</x:v>
      </x:c>
      <x:c r="Z70" s="51" t="n">
        <x:v>1</x:v>
      </x:c>
      <x:c r="AA70" s="26" t="str">
        <x:v>service islands</x:v>
      </x:c>
      <x:c r="AB70" s="26" t="n">
        <x:v>90</x:v>
      </x:c>
      <x:c r="AC70" s="26" t="n">
        <x:v>0</x:v>
      </x:c>
      <x:c r="AD70" s="26" t="str">
        <x:v>industrial hypothesis</x:v>
      </x:c>
      <x:c r="AE70" s="26" t="str"/>
    </x:row>
  </x:sheetData>
  <x:mergeCells>
    <x:mergeCell ref="C2:AE2"/>
    <x:mergeCell ref="C3:A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8" hidden="0" customWidth="1"/>
    <x:col min="5" max="5" width="12" hidden="0" customWidth="1"/>
    <x:col min="6" max="6" width="15" hidden="0" customWidth="1"/>
    <x:col min="7" max="7" width="16" hidden="0" customWidth="1"/>
    <x:col min="8" max="8" width="14" hidden="0" customWidth="1"/>
    <x:col min="9" max="9" width="18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8" hidden="0" customWidth="1"/>
    <x:col min="18" max="18" width="26" hidden="0" customWidth="1"/>
    <x:col min="19" max="19" width="28" hidden="0" customWidth="1"/>
    <x:col min="20" max="20" width="15" hidden="0" customWidth="1"/>
  </x:cols>
  <x:sheetData>
    <x:row r="2" ht="24" customHeight="1">
      <x:c r="C2" s="69" t="str">
        <x:v>Cargo Clearance and Deadline Test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</x:row>
    <x:row r="3" ht="30" customHeight="1">
      <x:c r="C3" s="71" t="str">
        <x:v>Each load clears when cumulative path deployment capacity reaches its cumulative handling-equivalent requirement. Arrival includes transit, transload and last-mile time.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</x:row>
    <x:row r="6">
      <x:c r="C6" s="16" t="str">
        <x:v>Load ID</x:v>
      </x:c>
      <x:c r="D6" s="17" t="str">
        <x:v>Band</x:v>
      </x:c>
      <x:c r="E6" s="17" t="str">
        <x:v>Assigned path</x:v>
      </x:c>
      <x:c r="F6" s="17" t="str">
        <x:v>Path mode</x:v>
      </x:c>
      <x:c r="G6" s="17" t="str">
        <x:v>Handling-equiv t</x:v>
      </x:c>
      <x:c r="H6" s="17" t="str">
        <x:v>Mass t</x:v>
      </x:c>
      <x:c r="I6" s="17" t="str">
        <x:v>Cumulative path load</x:v>
      </x:c>
      <x:c r="J6" s="17" t="str">
        <x:v>Dispatch day</x:v>
      </x:c>
      <x:c r="K6" s="17" t="str">
        <x:v>Path delay d</x:v>
      </x:c>
      <x:c r="L6" s="17" t="str">
        <x:v>Delivery day</x:v>
      </x:c>
      <x:c r="M6" s="17" t="str">
        <x:v>Deadline d</x:v>
      </x:c>
      <x:c r="N6" s="17" t="str">
        <x:v>Arrival margin d</x:v>
      </x:c>
      <x:c r="O6" s="17" t="str">
        <x:v>Arrival status</x:v>
      </x:c>
      <x:c r="P6" s="17" t="str">
        <x:v>Mode fit</x:v>
      </x:c>
      <x:c r="Q6" s="17" t="str">
        <x:v>Ready status</x:v>
      </x:c>
      <x:c r="R6" s="17" t="str">
        <x:v>Target zone</x:v>
      </x:c>
      <x:c r="S6" s="17" t="str">
        <x:v>Effect service</x:v>
      </x:c>
      <x:c r="T6" s="18" t="str">
        <x:v>Effect capacity</x:v>
      </x:c>
    </x:row>
    <x:row r="7">
      <x:c r="C7" s="45" t="str">
        <x:f>'Cargo Records'!C7</x:f>
        <x:v>C3-001</x:v>
      </x:c>
      <x:c r="D7" s="45" t="str">
        <x:f>'Cargo Records'!D7</x:f>
        <x:v>R1</x:v>
      </x:c>
      <x:c r="E7" s="45" t="str">
        <x:f>'Cargo Records'!J7</x:f>
        <x:v>P0</x:v>
      </x:c>
      <x:c r="F7" s="45" t="str">
        <x:f>'Paths'!E7</x:f>
        <x:v>Cached</x:v>
      </x:c>
      <x:c r="G7" s="53" t="n">
        <x:f>'Cargo Records'!T7</x:f>
        <x:v>2310</x:v>
      </x:c>
      <x:c r="H7" s="53" t="n">
        <x:f>'Cargo Records'!O7</x:f>
        <x:v>2200</x:v>
      </x:c>
      <x:c r="I7" s="53" t="n">
        <x:f>SUMIFS($G$7:G7,$E$7:E7,E7)</x:f>
        <x:v>2310</x:v>
      </x:c>
      <x:c r="J7" s="53" t="n">
        <x:f>COUNTIFS('Path Daily'!$C$7:$C$1098,E7,'Path Daily'!$N$7:$N$1098,"&lt;"&amp;G7)</x:f>
        <x:v>0</x:v>
      </x:c>
      <x:c r="K7" s="53" t="n">
        <x:f>'Paths'!Q7+'Paths'!R7+'Paths'!S7</x:f>
        <x:v>0.5</x:v>
      </x:c>
      <x:c r="L7" s="53" t="n">
        <x:f>J7+ROUNDUP(K7,0)</x:f>
        <x:v>1</x:v>
      </x:c>
      <x:c r="M7" s="45" t="n">
        <x:f>'Cargo Records'!AB7</x:f>
        <x:v>3</x:v>
      </x:c>
      <x:c r="N7" s="45" t="n">
        <x:f>M7-L7</x:f>
        <x:v>2</x:v>
      </x:c>
      <x:c r="O7" s="45" t="str">
        <x:f>IF(L7&lt;=M7,"CLOSE","LATE")</x:f>
        <x:v>CLOSE</x:v>
      </x:c>
      <x:c r="P7" s="45" t="str">
        <x:f>IF(ISNUMBER(SEARCH(F7,'Cargo Records'!L7)),"PASS","FAIL")</x:f>
        <x:v>PASS</x:v>
      </x:c>
      <x:c r="Q7" s="45" t="str">
        <x:f>IF(J7&gt;='Cargo Records'!AC7,"PASS","FAIL")</x:f>
        <x:v>PASS</x:v>
      </x:c>
      <x:c r="R7" s="45" t="str">
        <x:f>'Cargo Records'!H7</x:f>
        <x:v>Z1–Z9</x:v>
      </x:c>
      <x:c r="S7" s="45" t="str">
        <x:f>'Cargo Records'!Y7</x:f>
        <x:v>Civil command coverage</x:v>
      </x:c>
      <x:c r="T7" s="45" t="n">
        <x:f>'Cargo Records'!Z7</x:f>
        <x:v>9</x:v>
      </x:c>
    </x:row>
    <x:row r="8">
      <x:c r="C8" s="45" t="str">
        <x:f>'Cargo Records'!C8</x:f>
        <x:v>C3-002</x:v>
      </x:c>
      <x:c r="D8" s="45" t="str">
        <x:f>'Cargo Records'!D8</x:f>
        <x:v>R1</x:v>
      </x:c>
      <x:c r="E8" s="45" t="str">
        <x:f>'Cargo Records'!J8</x:f>
        <x:v>P0</x:v>
      </x:c>
      <x:c r="F8" s="45" t="str">
        <x:f>'Paths'!E7</x:f>
        <x:v>Cached</x:v>
      </x:c>
      <x:c r="G8" s="53" t="n">
        <x:f>'Cargo Records'!T8</x:f>
        <x:v>4200</x:v>
      </x:c>
      <x:c r="H8" s="53" t="n">
        <x:f>'Cargo Records'!O8</x:f>
        <x:v>3600</x:v>
      </x:c>
      <x:c r="I8" s="53" t="n">
        <x:f>SUMIFS($G$7:G8,$E$7:E8,E8)</x:f>
        <x:v>6510</x:v>
      </x:c>
      <x:c r="J8" s="53" t="n">
        <x:f>COUNTIFS('Path Daily'!$C$7:$C$1098,E8,'Path Daily'!$N$7:$N$1098,"&lt;"&amp;G8)</x:f>
        <x:v>0</x:v>
      </x:c>
      <x:c r="K8" s="53" t="n">
        <x:f>'Paths'!Q7+'Paths'!R7+'Paths'!S7</x:f>
        <x:v>0.5</x:v>
      </x:c>
      <x:c r="L8" s="53" t="n">
        <x:f>J8+ROUNDUP(K8,0)</x:f>
        <x:v>1</x:v>
      </x:c>
      <x:c r="M8" s="45" t="n">
        <x:f>'Cargo Records'!AB8</x:f>
        <x:v>3</x:v>
      </x:c>
      <x:c r="N8" s="45" t="n">
        <x:f>M8-L8</x:f>
        <x:v>2</x:v>
      </x:c>
      <x:c r="O8" s="45" t="str">
        <x:f>IF(L8&lt;=M8,"CLOSE","LATE")</x:f>
        <x:v>CLOSE</x:v>
      </x:c>
      <x:c r="P8" s="45" t="str">
        <x:f>IF(ISNUMBER(SEARCH(F8,'Cargo Records'!L8)),"PASS","FAIL")</x:f>
        <x:v>PASS</x:v>
      </x:c>
      <x:c r="Q8" s="45" t="str">
        <x:f>IF(J8&gt;='Cargo Records'!AC8,"PASS","FAIL")</x:f>
        <x:v>PASS</x:v>
      </x:c>
      <x:c r="R8" s="45" t="str">
        <x:f>'Cargo Records'!H8</x:f>
        <x:v>Z1–Z9</x:v>
      </x:c>
      <x:c r="S8" s="45" t="str">
        <x:f>'Cargo Records'!Y8</x:f>
        <x:v>Priority communications</x:v>
      </x:c>
      <x:c r="T8" s="45" t="n">
        <x:f>'Cargo Records'!Z8</x:f>
        <x:v>2800000</x:v>
      </x:c>
    </x:row>
    <x:row r="9">
      <x:c r="C9" s="45" t="str">
        <x:f>'Cargo Records'!C9</x:f>
        <x:v>C3-003</x:v>
      </x:c>
      <x:c r="D9" s="45" t="str">
        <x:f>'Cargo Records'!D9</x:f>
        <x:v>R1</x:v>
      </x:c>
      <x:c r="E9" s="45" t="str">
        <x:f>'Cargo Records'!J9</x:f>
        <x:v>P3</x:v>
      </x:c>
      <x:c r="F9" s="45" t="str">
        <x:f>'Paths'!E10</x:f>
        <x:v>Vertical lift</x:v>
      </x:c>
      <x:c r="G9" s="53" t="n">
        <x:f>'Cargo Records'!T9</x:f>
        <x:v>3200.0000000000005</x:v>
      </x:c>
      <x:c r="H9" s="53" t="n">
        <x:f>'Cargo Records'!O9</x:f>
        <x:v>2400</x:v>
      </x:c>
      <x:c r="I9" s="53" t="n">
        <x:f>SUMIFS($G$7:G9,$E$7:E9,E9)</x:f>
        <x:v>3200.0000000000005</x:v>
      </x:c>
      <x:c r="J9" s="53" t="n">
        <x:f>COUNTIFS('Path Daily'!$C$7:$C$1098,E9,'Path Daily'!$N$7:$N$1098,"&lt;"&amp;G9)</x:f>
        <x:v>0</x:v>
      </x:c>
      <x:c r="K9" s="53" t="n">
        <x:f>'Paths'!Q10+'Paths'!R10+'Paths'!S10</x:f>
        <x:v>0.6</x:v>
      </x:c>
      <x:c r="L9" s="53" t="n">
        <x:f>J9+ROUNDUP(K9,0)</x:f>
        <x:v>1</x:v>
      </x:c>
      <x:c r="M9" s="45" t="n">
        <x:f>'Cargo Records'!AB9</x:f>
        <x:v>3</x:v>
      </x:c>
      <x:c r="N9" s="45" t="n">
        <x:f>M9-L9</x:f>
        <x:v>2</x:v>
      </x:c>
      <x:c r="O9" s="45" t="str">
        <x:f>IF(L9&lt;=M9,"CLOSE","LATE")</x:f>
        <x:v>CLOSE</x:v>
      </x:c>
      <x:c r="P9" s="45" t="str">
        <x:f>IF(ISNUMBER(SEARCH(F9,'Cargo Records'!L9)),"PASS","FAIL")</x:f>
        <x:v>PASS</x:v>
      </x:c>
      <x:c r="Q9" s="45" t="str">
        <x:f>IF(J9&gt;='Cargo Records'!AC9,"PASS","FAIL")</x:f>
        <x:v>PASS</x:v>
      </x:c>
      <x:c r="R9" s="45" t="str">
        <x:f>'Cargo Records'!H9</x:f>
        <x:v>Z1–Z9</x:v>
      </x:c>
      <x:c r="S9" s="45" t="str">
        <x:f>'Cargo Records'!Y9</x:f>
        <x:v>End-to-end access</x:v>
      </x:c>
      <x:c r="T9" s="45" t="n">
        <x:f>'Cargo Records'!Z9</x:f>
        <x:v>5000</x:v>
      </x:c>
    </x:row>
    <x:row r="10">
      <x:c r="C10" s="45" t="str">
        <x:f>'Cargo Records'!C10</x:f>
        <x:v>C3-004</x:v>
      </x:c>
      <x:c r="D10" s="45" t="str">
        <x:f>'Cargo Records'!D10</x:f>
        <x:v>R1</x:v>
      </x:c>
      <x:c r="E10" s="45" t="str">
        <x:f>'Cargo Records'!J10</x:f>
        <x:v>P1</x:v>
      </x:c>
      <x:c r="F10" s="45" t="str">
        <x:f>'Paths'!E8</x:f>
        <x:v>Air</x:v>
      </x:c>
      <x:c r="G10" s="53" t="n">
        <x:f>'Cargo Records'!T10</x:f>
        <x:v>9818.181818181816</x:v>
      </x:c>
      <x:c r="H10" s="53" t="n">
        <x:f>'Cargo Records'!O10</x:f>
        <x:v>5400</x:v>
      </x:c>
      <x:c r="I10" s="53" t="n">
        <x:f>SUMIFS($G$7:G10,$E$7:E10,E10)</x:f>
        <x:v>9818.181818181816</x:v>
      </x:c>
      <x:c r="J10" s="53" t="n">
        <x:f>COUNTIFS('Path Daily'!$C$7:$C$1098,E10,'Path Daily'!$N$7:$N$1098,"&lt;"&amp;G10)</x:f>
        <x:v>1</x:v>
      </x:c>
      <x:c r="K10" s="53" t="n">
        <x:f>'Paths'!Q8+'Paths'!R8+'Paths'!S8</x:f>
        <x:v>1.25</x:v>
      </x:c>
      <x:c r="L10" s="53" t="n">
        <x:f>J10+ROUNDUP(K10,0)</x:f>
        <x:v>3</x:v>
      </x:c>
      <x:c r="M10" s="45" t="n">
        <x:f>'Cargo Records'!AB10</x:f>
        <x:v>3</x:v>
      </x:c>
      <x:c r="N10" s="45" t="n">
        <x:f>M10-L10</x:f>
        <x:v>0</x:v>
      </x:c>
      <x:c r="O10" s="45" t="str">
        <x:f>IF(L10&lt;=M10,"CLOSE","LATE")</x:f>
        <x:v>CLOSE</x:v>
      </x:c>
      <x:c r="P10" s="45" t="str">
        <x:f>IF(ISNUMBER(SEARCH(F10,'Cargo Records'!L10)),"PASS","FAIL")</x:f>
        <x:v>PASS</x:v>
      </x:c>
      <x:c r="Q10" s="45" t="str">
        <x:f>IF(J10&gt;='Cargo Records'!AC10,"PASS","FAIL")</x:f>
        <x:v>PASS</x:v>
      </x:c>
      <x:c r="R10" s="45" t="str">
        <x:f>'Cargo Records'!H10</x:f>
        <x:v>Z2/Z3/Z8</x:v>
      </x:c>
      <x:c r="S10" s="45" t="str">
        <x:f>'Cargo Records'!Y10</x:f>
        <x:v>Staffed health capacity</x:v>
      </x:c>
      <x:c r="T10" s="45" t="n">
        <x:f>'Cargo Records'!Z10</x:f>
        <x:v>600</x:v>
      </x:c>
    </x:row>
    <x:row r="11">
      <x:c r="C11" s="45" t="str">
        <x:f>'Cargo Records'!C11</x:f>
        <x:v>C3-005</x:v>
      </x:c>
      <x:c r="D11" s="45" t="str">
        <x:f>'Cargo Records'!D11</x:f>
        <x:v>R1</x:v>
      </x:c>
      <x:c r="E11" s="45" t="str">
        <x:f>'Cargo Records'!J11</x:f>
        <x:v>P0</x:v>
      </x:c>
      <x:c r="F11" s="45" t="str">
        <x:f>'Paths'!E7</x:f>
        <x:v>Cached</x:v>
      </x:c>
      <x:c r="G11" s="53" t="n">
        <x:f>'Cargo Records'!T11</x:f>
        <x:v>10933.333333333334</x:v>
      </x:c>
      <x:c r="H11" s="53" t="n">
        <x:f>'Cargo Records'!O11</x:f>
        <x:v>8200</x:v>
      </x:c>
      <x:c r="I11" s="53" t="n">
        <x:f>SUMIFS($G$7:G11,$E$7:E11,E11)</x:f>
        <x:v>17443.333333333336</x:v>
      </x:c>
      <x:c r="J11" s="53" t="n">
        <x:f>COUNTIFS('Path Daily'!$C$7:$C$1098,E11,'Path Daily'!$N$7:$N$1098,"&lt;"&amp;G11)</x:f>
        <x:v>0</x:v>
      </x:c>
      <x:c r="K11" s="53" t="n">
        <x:f>'Paths'!Q7+'Paths'!R7+'Paths'!S7</x:f>
        <x:v>0.5</x:v>
      </x:c>
      <x:c r="L11" s="53" t="n">
        <x:f>J11+ROUNDUP(K11,0)</x:f>
        <x:v>1</x:v>
      </x:c>
      <x:c r="M11" s="45" t="n">
        <x:f>'Cargo Records'!AB11</x:f>
        <x:v>3</x:v>
      </x:c>
      <x:c r="N11" s="45" t="n">
        <x:f>M11-L11</x:f>
        <x:v>2</x:v>
      </x:c>
      <x:c r="O11" s="45" t="str">
        <x:f>IF(L11&lt;=M11,"CLOSE","LATE")</x:f>
        <x:v>CLOSE</x:v>
      </x:c>
      <x:c r="P11" s="45" t="str">
        <x:f>IF(ISNUMBER(SEARCH(F11,'Cargo Records'!L11)),"PASS","FAIL")</x:f>
        <x:v>PASS</x:v>
      </x:c>
      <x:c r="Q11" s="45" t="str">
        <x:f>IF(J11&gt;='Cargo Records'!AC11,"PASS","FAIL")</x:f>
        <x:v>PASS</x:v>
      </x:c>
      <x:c r="R11" s="45" t="str">
        <x:f>'Cargo Records'!H11</x:f>
        <x:v>Z1–Z8</x:v>
      </x:c>
      <x:c r="S11" s="45" t="str">
        <x:f>'Cargo Records'!Y11</x:f>
        <x:v>Hazard-control works</x:v>
      </x:c>
      <x:c r="T11" s="45" t="n">
        <x:f>'Cargo Records'!Z11</x:f>
        <x:v>120</x:v>
      </x:c>
    </x:row>
    <x:row r="12">
      <x:c r="C12" s="45" t="str">
        <x:f>'Cargo Records'!C12</x:f>
        <x:v>C3-006</x:v>
      </x:c>
      <x:c r="D12" s="45" t="str">
        <x:f>'Cargo Records'!D12</x:f>
        <x:v>R1</x:v>
      </x:c>
      <x:c r="E12" s="45" t="str">
        <x:f>'Cargo Records'!J12</x:f>
        <x:v>P3</x:v>
      </x:c>
      <x:c r="F12" s="45" t="str">
        <x:f>'Paths'!E10</x:f>
        <x:v>Vertical lift</x:v>
      </x:c>
      <x:c r="G12" s="53" t="n">
        <x:f>'Cargo Records'!T12</x:f>
        <x:v>15454.545454545452</x:v>
      </x:c>
      <x:c r="H12" s="53" t="n">
        <x:f>'Cargo Records'!O12</x:f>
        <x:v>6800</x:v>
      </x:c>
      <x:c r="I12" s="53" t="n">
        <x:f>SUMIFS($G$7:G12,$E$7:E12,E12)</x:f>
        <x:v>18654.545454545452</x:v>
      </x:c>
      <x:c r="J12" s="53" t="n">
        <x:f>COUNTIFS('Path Daily'!$C$7:$C$1098,E12,'Path Daily'!$N$7:$N$1098,"&lt;"&amp;G12)</x:f>
        <x:v>1</x:v>
      </x:c>
      <x:c r="K12" s="53" t="n">
        <x:f>'Paths'!Q10+'Paths'!R10+'Paths'!S10</x:f>
        <x:v>0.6</x:v>
      </x:c>
      <x:c r="L12" s="53" t="n">
        <x:f>J12+ROUNDUP(K12,0)</x:f>
        <x:v>2</x:v>
      </x:c>
      <x:c r="M12" s="45" t="n">
        <x:f>'Cargo Records'!AB12</x:f>
        <x:v>3</x:v>
      </x:c>
      <x:c r="N12" s="45" t="n">
        <x:f>M12-L12</x:f>
        <x:v>1</x:v>
      </x:c>
      <x:c r="O12" s="45" t="str">
        <x:f>IF(L12&lt;=M12,"CLOSE","LATE")</x:f>
        <x:v>CLOSE</x:v>
      </x:c>
      <x:c r="P12" s="45" t="str">
        <x:f>IF(ISNUMBER(SEARCH(F12,'Cargo Records'!L12)),"PASS","FAIL")</x:f>
        <x:v>PASS</x:v>
      </x:c>
      <x:c r="Q12" s="45" t="str">
        <x:f>IF(J12&gt;='Cargo Records'!AC12,"PASS","FAIL")</x:f>
        <x:v>PASS</x:v>
      </x:c>
      <x:c r="R12" s="45" t="str">
        <x:f>'Cargo Records'!H12</x:f>
        <x:v>Z1/Z3/Z8</x:v>
      </x:c>
      <x:c r="S12" s="45" t="str">
        <x:f>'Cargo Records'!Y12</x:f>
        <x:v>End-to-end access</x:v>
      </x:c>
      <x:c r="T12" s="45" t="n">
        <x:f>'Cargo Records'!Z12</x:f>
        <x:v>8000</x:v>
      </x:c>
    </x:row>
    <x:row r="13">
      <x:c r="C13" s="45" t="str">
        <x:f>'Cargo Records'!C13</x:f>
        <x:v>C3-007</x:v>
      </x:c>
      <x:c r="D13" s="45" t="str">
        <x:f>'Cargo Records'!D13</x:f>
        <x:v>R1</x:v>
      </x:c>
      <x:c r="E13" s="45" t="str">
        <x:f>'Cargo Records'!J13</x:f>
        <x:v>P0</x:v>
      </x:c>
      <x:c r="F13" s="45" t="str">
        <x:f>'Paths'!E7</x:f>
        <x:v>Cached</x:v>
      </x:c>
      <x:c r="G13" s="53" t="n">
        <x:f>'Cargo Records'!T13</x:f>
        <x:v>13636.363636363634</x:v>
      </x:c>
      <x:c r="H13" s="53" t="n">
        <x:f>'Cargo Records'!O13</x:f>
        <x:v>7500</x:v>
      </x:c>
      <x:c r="I13" s="53" t="n">
        <x:f>SUMIFS($G$7:G13,$E$7:E13,E13)</x:f>
        <x:v>31079.696969696968</x:v>
      </x:c>
      <x:c r="J13" s="53" t="n">
        <x:f>COUNTIFS('Path Daily'!$C$7:$C$1098,E13,'Path Daily'!$N$7:$N$1098,"&lt;"&amp;G13)</x:f>
        <x:v>0</x:v>
      </x:c>
      <x:c r="K13" s="53" t="n">
        <x:f>'Paths'!Q7+'Paths'!R7+'Paths'!S7</x:f>
        <x:v>0.5</x:v>
      </x:c>
      <x:c r="L13" s="53" t="n">
        <x:f>J13+ROUNDUP(K13,0)</x:f>
        <x:v>1</x:v>
      </x:c>
      <x:c r="M13" s="45" t="n">
        <x:f>'Cargo Records'!AB13</x:f>
        <x:v>3</x:v>
      </x:c>
      <x:c r="N13" s="45" t="n">
        <x:f>M13-L13</x:f>
        <x:v>2</x:v>
      </x:c>
      <x:c r="O13" s="45" t="str">
        <x:f>IF(L13&lt;=M13,"CLOSE","LATE")</x:f>
        <x:v>CLOSE</x:v>
      </x:c>
      <x:c r="P13" s="45" t="str">
        <x:f>IF(ISNUMBER(SEARCH(F13,'Cargo Records'!L13)),"PASS","FAIL")</x:f>
        <x:v>PASS</x:v>
      </x:c>
      <x:c r="Q13" s="45" t="str">
        <x:f>IF(J13&gt;='Cargo Records'!AC13,"PASS","FAIL")</x:f>
        <x:v>PASS</x:v>
      </x:c>
      <x:c r="R13" s="45" t="str">
        <x:f>'Cargo Records'!H13</x:f>
        <x:v>Z1/Z3/Z8</x:v>
      </x:c>
      <x:c r="S13" s="45" t="str">
        <x:f>'Cargo Records'!Y13</x:f>
        <x:v>End-to-end access</x:v>
      </x:c>
      <x:c r="T13" s="45" t="n">
        <x:f>'Cargo Records'!Z13</x:f>
        <x:v>5000</x:v>
      </x:c>
    </x:row>
    <x:row r="14">
      <x:c r="C14" s="45" t="str">
        <x:f>'Cargo Records'!C14</x:f>
        <x:v>C3-008</x:v>
      </x:c>
      <x:c r="D14" s="45" t="str">
        <x:f>'Cargo Records'!D14</x:f>
        <x:v>R1</x:v>
      </x:c>
      <x:c r="E14" s="45" t="str">
        <x:f>'Cargo Records'!J14</x:f>
        <x:v>P0</x:v>
      </x:c>
      <x:c r="F14" s="45" t="str">
        <x:f>'Paths'!E7</x:f>
        <x:v>Cached</x:v>
      </x:c>
      <x:c r="G14" s="53" t="n">
        <x:f>'Cargo Records'!T14</x:f>
        <x:v>22060.60606060606</x:v>
      </x:c>
      <x:c r="H14" s="53" t="n">
        <x:f>'Cargo Records'!O14</x:f>
        <x:v>8000</x:v>
      </x:c>
      <x:c r="I14" s="53" t="n">
        <x:f>SUMIFS($G$7:G14,$E$7:E14,E14)</x:f>
        <x:v>53140.303030303025</x:v>
      </x:c>
      <x:c r="J14" s="53" t="n">
        <x:f>COUNTIFS('Path Daily'!$C$7:$C$1098,E14,'Path Daily'!$N$7:$N$1098,"&lt;"&amp;G14)</x:f>
        <x:v>0</x:v>
      </x:c>
      <x:c r="K14" s="53" t="n">
        <x:f>'Paths'!Q7+'Paths'!R7+'Paths'!S7</x:f>
        <x:v>0.5</x:v>
      </x:c>
      <x:c r="L14" s="53" t="n">
        <x:f>J14+ROUNDUP(K14,0)</x:f>
        <x:v>1</x:v>
      </x:c>
      <x:c r="M14" s="45" t="n">
        <x:f>'Cargo Records'!AB14</x:f>
        <x:v>3</x:v>
      </x:c>
      <x:c r="N14" s="45" t="n">
        <x:f>M14-L14</x:f>
        <x:v>2</x:v>
      </x:c>
      <x:c r="O14" s="45" t="str">
        <x:f>IF(L14&lt;=M14,"CLOSE","LATE")</x:f>
        <x:v>CLOSE</x:v>
      </x:c>
      <x:c r="P14" s="45" t="str">
        <x:f>IF(ISNUMBER(SEARCH(F14,'Cargo Records'!L14)),"PASS","FAIL")</x:f>
        <x:v>PASS</x:v>
      </x:c>
      <x:c r="Q14" s="45" t="str">
        <x:f>IF(J14&gt;='Cargo Records'!AC14,"PASS","FAIL")</x:f>
        <x:v>PASS</x:v>
      </x:c>
      <x:c r="R14" s="45" t="str">
        <x:f>'Cargo Records'!H14</x:f>
        <x:v>Z1/Z3/Z5/Z6</x:v>
      </x:c>
      <x:c r="S14" s="45" t="str">
        <x:f>'Cargo Records'!Y14</x:f>
        <x:v>End-to-end access</x:v>
      </x:c>
      <x:c r="T14" s="45" t="n">
        <x:f>'Cargo Records'!Z14</x:f>
        <x:v>7000</x:v>
      </x:c>
    </x:row>
    <x:row r="15">
      <x:c r="C15" s="45" t="str">
        <x:f>'Cargo Records'!C15</x:f>
        <x:v>C3-009</x:v>
      </x:c>
      <x:c r="D15" s="45" t="str">
        <x:f>'Cargo Records'!D15</x:f>
        <x:v>R1</x:v>
      </x:c>
      <x:c r="E15" s="45" t="str">
        <x:f>'Cargo Records'!J15</x:f>
        <x:v>P0</x:v>
      </x:c>
      <x:c r="F15" s="45" t="str">
        <x:f>'Paths'!E7</x:f>
        <x:v>Cached</x:v>
      </x:c>
      <x:c r="G15" s="53" t="n">
        <x:f>'Cargo Records'!T15</x:f>
        <x:v>8781.81818181818</x:v>
      </x:c>
      <x:c r="H15" s="53" t="n">
        <x:f>'Cargo Records'!O15</x:f>
        <x:v>6300</x:v>
      </x:c>
      <x:c r="I15" s="53" t="n">
        <x:f>SUMIFS($G$7:G15,$E$7:E15,E15)</x:f>
        <x:v>61922.1212121212</x:v>
      </x:c>
      <x:c r="J15" s="53" t="n">
        <x:f>COUNTIFS('Path Daily'!$C$7:$C$1098,E15,'Path Daily'!$N$7:$N$1098,"&lt;"&amp;G15)</x:f>
        <x:v>0</x:v>
      </x:c>
      <x:c r="K15" s="53" t="n">
        <x:f>'Paths'!Q7+'Paths'!R7+'Paths'!S7</x:f>
        <x:v>0.5</x:v>
      </x:c>
      <x:c r="L15" s="53" t="n">
        <x:f>J15+ROUNDUP(K15,0)</x:f>
        <x:v>1</x:v>
      </x:c>
      <x:c r="M15" s="45" t="n">
        <x:f>'Cargo Records'!AB15</x:f>
        <x:v>3</x:v>
      </x:c>
      <x:c r="N15" s="45" t="n">
        <x:f>M15-L15</x:f>
        <x:v>2</x:v>
      </x:c>
      <x:c r="O15" s="45" t="str">
        <x:f>IF(L15&lt;=M15,"CLOSE","LATE")</x:f>
        <x:v>CLOSE</x:v>
      </x:c>
      <x:c r="P15" s="45" t="str">
        <x:f>IF(ISNUMBER(SEARCH(F15,'Cargo Records'!L15)),"PASS","FAIL")</x:f>
        <x:v>PASS</x:v>
      </x:c>
      <x:c r="Q15" s="45" t="str">
        <x:f>IF(J15&gt;='Cargo Records'!AC15,"PASS","FAIL")</x:f>
        <x:v>PASS</x:v>
      </x:c>
      <x:c r="R15" s="45" t="str">
        <x:f>'Cargo Records'!H15</x:f>
        <x:v>Z1–Z8</x:v>
      </x:c>
      <x:c r="S15" s="45" t="str">
        <x:f>'Cargo Records'!Y15</x:f>
        <x:v>End-to-end access</x:v>
      </x:c>
      <x:c r="T15" s="45" t="n">
        <x:f>'Cargo Records'!Z15</x:f>
        <x:v>5000</x:v>
      </x:c>
    </x:row>
    <x:row r="16">
      <x:c r="C16" s="45" t="str">
        <x:f>'Cargo Records'!C16</x:f>
        <x:v>C3-010</x:v>
      </x:c>
      <x:c r="D16" s="45" t="str">
        <x:f>'Cargo Records'!D16</x:f>
        <x:v>R1</x:v>
      </x:c>
      <x:c r="E16" s="45" t="str">
        <x:f>'Cargo Records'!J16</x:f>
        <x:v>P0</x:v>
      </x:c>
      <x:c r="F16" s="45" t="str">
        <x:f>'Paths'!E7</x:f>
        <x:v>Cached</x:v>
      </x:c>
      <x:c r="G16" s="53" t="n">
        <x:f>'Cargo Records'!T16</x:f>
        <x:v>19636.363636363632</x:v>
      </x:c>
      <x:c r="H16" s="53" t="n">
        <x:f>'Cargo Records'!O16</x:f>
        <x:v>9000</x:v>
      </x:c>
      <x:c r="I16" s="53" t="n">
        <x:f>SUMIFS($G$7:G16,$E$7:E16,E16)</x:f>
        <x:v>81558.48484848483</x:v>
      </x:c>
      <x:c r="J16" s="53" t="n">
        <x:f>COUNTIFS('Path Daily'!$C$7:$C$1098,E16,'Path Daily'!$N$7:$N$1098,"&lt;"&amp;G16)</x:f>
        <x:v>0</x:v>
      </x:c>
      <x:c r="K16" s="53" t="n">
        <x:f>'Paths'!Q7+'Paths'!R7+'Paths'!S7</x:f>
        <x:v>0.5</x:v>
      </x:c>
      <x:c r="L16" s="53" t="n">
        <x:f>J16+ROUNDUP(K16,0)</x:f>
        <x:v>1</x:v>
      </x:c>
      <x:c r="M16" s="45" t="n">
        <x:f>'Cargo Records'!AB16</x:f>
        <x:v>3</x:v>
      </x:c>
      <x:c r="N16" s="45" t="n">
        <x:f>M16-L16</x:f>
        <x:v>2</x:v>
      </x:c>
      <x:c r="O16" s="45" t="str">
        <x:f>IF(L16&lt;=M16,"CLOSE","LATE")</x:f>
        <x:v>CLOSE</x:v>
      </x:c>
      <x:c r="P16" s="45" t="str">
        <x:f>IF(ISNUMBER(SEARCH(F16,'Cargo Records'!L16)),"PASS","FAIL")</x:f>
        <x:v>PASS</x:v>
      </x:c>
      <x:c r="Q16" s="45" t="str">
        <x:f>IF(J16&gt;='Cargo Records'!AC16,"PASS","FAIL")</x:f>
        <x:v>PASS</x:v>
      </x:c>
      <x:c r="R16" s="45" t="str">
        <x:f>'Cargo Records'!H16</x:f>
        <x:v>Z9 / afloat</x:v>
      </x:c>
      <x:c r="S16" s="45" t="str">
        <x:f>'Cargo Records'!Y16</x:f>
        <x:v>Responder basing</x:v>
      </x:c>
      <x:c r="T16" s="45" t="n">
        <x:f>'Cargo Records'!Z16</x:f>
        <x:v>30000</x:v>
      </x:c>
    </x:row>
    <x:row r="17">
      <x:c r="C17" s="45" t="str">
        <x:f>'Cargo Records'!C17</x:f>
        <x:v>C3-011</x:v>
      </x:c>
      <x:c r="D17" s="45" t="str">
        <x:f>'Cargo Records'!D17</x:f>
        <x:v>R1</x:v>
      </x:c>
      <x:c r="E17" s="45" t="str">
        <x:f>'Cargo Records'!J17</x:f>
        <x:v>P0</x:v>
      </x:c>
      <x:c r="F17" s="45" t="str">
        <x:f>'Paths'!E7</x:f>
        <x:v>Cached</x:v>
      </x:c>
      <x:c r="G17" s="53" t="n">
        <x:f>'Cargo Records'!T17</x:f>
        <x:v>11325.757575757574</x:v>
      </x:c>
      <x:c r="H17" s="53" t="n">
        <x:f>'Cargo Records'!O17</x:f>
        <x:v>6500</x:v>
      </x:c>
      <x:c r="I17" s="53" t="n">
        <x:f>SUMIFS($G$7:G17,$E$7:E17,E17)</x:f>
        <x:v>92884.2424242424</x:v>
      </x:c>
      <x:c r="J17" s="53" t="n">
        <x:f>COUNTIFS('Path Daily'!$C$7:$C$1098,E17,'Path Daily'!$N$7:$N$1098,"&lt;"&amp;G17)</x:f>
        <x:v>0</x:v>
      </x:c>
      <x:c r="K17" s="53" t="n">
        <x:f>'Paths'!Q7+'Paths'!R7+'Paths'!S7</x:f>
        <x:v>0.5</x:v>
      </x:c>
      <x:c r="L17" s="53" t="n">
        <x:f>J17+ROUNDUP(K17,0)</x:f>
        <x:v>1</x:v>
      </x:c>
      <x:c r="M17" s="45" t="n">
        <x:f>'Cargo Records'!AB17</x:f>
        <x:v>3</x:v>
      </x:c>
      <x:c r="N17" s="45" t="n">
        <x:f>M17-L17</x:f>
        <x:v>2</x:v>
      </x:c>
      <x:c r="O17" s="45" t="str">
        <x:f>IF(L17&lt;=M17,"CLOSE","LATE")</x:f>
        <x:v>CLOSE</x:v>
      </x:c>
      <x:c r="P17" s="45" t="str">
        <x:f>IF(ISNUMBER(SEARCH(F17,'Cargo Records'!L17)),"PASS","FAIL")</x:f>
        <x:v>PASS</x:v>
      </x:c>
      <x:c r="Q17" s="45" t="str">
        <x:f>IF(J17&gt;='Cargo Records'!AC17,"PASS","FAIL")</x:f>
        <x:v>PASS</x:v>
      </x:c>
      <x:c r="R17" s="45" t="str">
        <x:f>'Cargo Records'!H17</x:f>
        <x:v>Z1–Z8</x:v>
      </x:c>
      <x:c r="S17" s="45" t="str">
        <x:f>'Cargo Records'!Y17</x:f>
        <x:v>Potable and essential water</x:v>
      </x:c>
      <x:c r="T17" s="45" t="n">
        <x:f>'Cargo Records'!Z17</x:f>
        <x:v>20000</x:v>
      </x:c>
    </x:row>
    <x:row r="18">
      <x:c r="C18" s="45" t="str">
        <x:f>'Cargo Records'!C18</x:f>
        <x:v>C3-012</x:v>
      </x:c>
      <x:c r="D18" s="45" t="str">
        <x:f>'Cargo Records'!D18</x:f>
        <x:v>R1</x:v>
      </x:c>
      <x:c r="E18" s="45" t="str">
        <x:f>'Cargo Records'!J18</x:f>
        <x:v>P2</x:v>
      </x:c>
      <x:c r="F18" s="45" t="str">
        <x:f>'Paths'!E9</x:f>
        <x:v>Air</x:v>
      </x:c>
      <x:c r="G18" s="53" t="n">
        <x:f>'Cargo Records'!T18</x:f>
        <x:v>13787.878787878786</x:v>
      </x:c>
      <x:c r="H18" s="53" t="n">
        <x:f>'Cargo Records'!O18</x:f>
        <x:v>7000</x:v>
      </x:c>
      <x:c r="I18" s="53" t="n">
        <x:f>SUMIFS($G$7:G18,$E$7:E18,E18)</x:f>
        <x:v>13787.878787878786</x:v>
      </x:c>
      <x:c r="J18" s="53" t="n">
        <x:f>COUNTIFS('Path Daily'!$C$7:$C$1098,E18,'Path Daily'!$N$7:$N$1098,"&lt;"&amp;G18)</x:f>
        <x:v>1</x:v>
      </x:c>
      <x:c r="K18" s="53" t="n">
        <x:f>'Paths'!Q9+'Paths'!R9+'Paths'!S9</x:f>
        <x:v>1.25</x:v>
      </x:c>
      <x:c r="L18" s="53" t="n">
        <x:f>J18+ROUNDUP(K18,0)</x:f>
        <x:v>3</x:v>
      </x:c>
      <x:c r="M18" s="45" t="n">
        <x:f>'Cargo Records'!AB18</x:f>
        <x:v>3</x:v>
      </x:c>
      <x:c r="N18" s="45" t="n">
        <x:f>M18-L18</x:f>
        <x:v>0</x:v>
      </x:c>
      <x:c r="O18" s="45" t="str">
        <x:f>IF(L18&lt;=M18,"CLOSE","LATE")</x:f>
        <x:v>CLOSE</x:v>
      </x:c>
      <x:c r="P18" s="45" t="str">
        <x:f>IF(ISNUMBER(SEARCH(F18,'Cargo Records'!L18)),"PASS","FAIL")</x:f>
        <x:v>PASS</x:v>
      </x:c>
      <x:c r="Q18" s="45" t="str">
        <x:f>IF(J18&gt;='Cargo Records'!AC18,"PASS","FAIL")</x:f>
        <x:v>PASS</x:v>
      </x:c>
      <x:c r="R18" s="45" t="str">
        <x:f>'Cargo Records'!H18</x:f>
        <x:v>Z1–Z8</x:v>
      </x:c>
      <x:c r="S18" s="45" t="str">
        <x:f>'Cargo Records'!Y18</x:f>
        <x:v>Critical-load power</x:v>
      </x:c>
      <x:c r="T18" s="45" t="n">
        <x:f>'Cargo Records'!Z18</x:f>
        <x:v>650</x:v>
      </x:c>
    </x:row>
    <x:row r="19">
      <x:c r="C19" s="45" t="str">
        <x:f>'Cargo Records'!C19</x:f>
        <x:v>C3-013</x:v>
      </x:c>
      <x:c r="D19" s="45" t="str">
        <x:f>'Cargo Records'!D19</x:f>
        <x:v>R1</x:v>
      </x:c>
      <x:c r="E19" s="45" t="str">
        <x:f>'Cargo Records'!J19</x:f>
        <x:v>P0</x:v>
      </x:c>
      <x:c r="F19" s="45" t="str">
        <x:f>'Paths'!E7</x:f>
        <x:v>Cached</x:v>
      </x:c>
      <x:c r="G19" s="53" t="n">
        <x:f>'Cargo Records'!T19</x:f>
        <x:v>8363.636363636362</x:v>
      </x:c>
      <x:c r="H19" s="53" t="n">
        <x:f>'Cargo Records'!O19</x:f>
        <x:v>4800</x:v>
      </x:c>
      <x:c r="I19" s="53" t="n">
        <x:f>SUMIFS($G$7:G19,$E$7:E19,E19)</x:f>
        <x:v>101247.87878787877</x:v>
      </x:c>
      <x:c r="J19" s="53" t="n">
        <x:f>COUNTIFS('Path Daily'!$C$7:$C$1098,E19,'Path Daily'!$N$7:$N$1098,"&lt;"&amp;G19)</x:f>
        <x:v>0</x:v>
      </x:c>
      <x:c r="K19" s="53" t="n">
        <x:f>'Paths'!Q7+'Paths'!R7+'Paths'!S7</x:f>
        <x:v>0.5</x:v>
      </x:c>
      <x:c r="L19" s="53" t="n">
        <x:f>J19+ROUNDUP(K19,0)</x:f>
        <x:v>1</x:v>
      </x:c>
      <x:c r="M19" s="45" t="n">
        <x:f>'Cargo Records'!AB19</x:f>
        <x:v>3</x:v>
      </x:c>
      <x:c r="N19" s="45" t="n">
        <x:f>M19-L19</x:f>
        <x:v>2</x:v>
      </x:c>
      <x:c r="O19" s="45" t="str">
        <x:f>IF(L19&lt;=M19,"CLOSE","LATE")</x:f>
        <x:v>CLOSE</x:v>
      </x:c>
      <x:c r="P19" s="45" t="str">
        <x:f>IF(ISNUMBER(SEARCH(F19,'Cargo Records'!L19)),"PASS","FAIL")</x:f>
        <x:v>PASS</x:v>
      </x:c>
      <x:c r="Q19" s="45" t="str">
        <x:f>IF(J19&gt;='Cargo Records'!AC19,"PASS","FAIL")</x:f>
        <x:v>PASS</x:v>
      </x:c>
      <x:c r="R19" s="45" t="str">
        <x:f>'Cargo Records'!H19</x:f>
        <x:v>Z1–Z8</x:v>
      </x:c>
      <x:c r="S19" s="45" t="str">
        <x:f>'Cargo Records'!Y19</x:f>
        <x:v>Sanitation</x:v>
      </x:c>
      <x:c r="T19" s="45" t="n">
        <x:f>'Cargo Records'!Z19</x:f>
        <x:v>500000</x:v>
      </x:c>
    </x:row>
    <x:row r="20">
      <x:c r="C20" s="45" t="str">
        <x:f>'Cargo Records'!C20</x:f>
        <x:v>C3-014</x:v>
      </x:c>
      <x:c r="D20" s="45" t="str">
        <x:f>'Cargo Records'!D20</x:f>
        <x:v>R1</x:v>
      </x:c>
      <x:c r="E20" s="45" t="str">
        <x:f>'Cargo Records'!J20</x:f>
        <x:v>P3</x:v>
      </x:c>
      <x:c r="F20" s="45" t="str">
        <x:f>'Paths'!E10</x:f>
        <x:v>Vertical lift</x:v>
      </x:c>
      <x:c r="G20" s="53" t="n">
        <x:f>'Cargo Records'!T20</x:f>
        <x:v>10872.727272727274</x:v>
      </x:c>
      <x:c r="H20" s="53" t="n">
        <x:f>'Cargo Records'!O20</x:f>
        <x:v>5200</x:v>
      </x:c>
      <x:c r="I20" s="53" t="n">
        <x:f>SUMIFS($G$7:G20,$E$7:E20,E20)</x:f>
        <x:v>29527.272727272728</x:v>
      </x:c>
      <x:c r="J20" s="53" t="n">
        <x:f>COUNTIFS('Path Daily'!$C$7:$C$1098,E20,'Path Daily'!$N$7:$N$1098,"&lt;"&amp;G20)</x:f>
        <x:v>1</x:v>
      </x:c>
      <x:c r="K20" s="53" t="n">
        <x:f>'Paths'!Q10+'Paths'!R10+'Paths'!S10</x:f>
        <x:v>0.6</x:v>
      </x:c>
      <x:c r="L20" s="53" t="n">
        <x:f>J20+ROUNDUP(K20,0)</x:f>
        <x:v>2</x:v>
      </x:c>
      <x:c r="M20" s="45" t="n">
        <x:f>'Cargo Records'!AB20</x:f>
        <x:v>3</x:v>
      </x:c>
      <x:c r="N20" s="45" t="n">
        <x:f>M20-L20</x:f>
        <x:v>1</x:v>
      </x:c>
      <x:c r="O20" s="45" t="str">
        <x:f>IF(L20&lt;=M20,"CLOSE","LATE")</x:f>
        <x:v>CLOSE</x:v>
      </x:c>
      <x:c r="P20" s="45" t="str">
        <x:f>IF(ISNUMBER(SEARCH(F20,'Cargo Records'!L20)),"PASS","FAIL")</x:f>
        <x:v>PASS</x:v>
      </x:c>
      <x:c r="Q20" s="45" t="str">
        <x:f>IF(J20&gt;='Cargo Records'!AC20,"PASS","FAIL")</x:f>
        <x:v>PASS</x:v>
      </x:c>
      <x:c r="R20" s="45" t="str">
        <x:f>'Cargo Records'!H20</x:f>
        <x:v>Z1–Z8</x:v>
      </x:c>
      <x:c r="S20" s="45" t="str">
        <x:f>'Cargo Records'!Y20</x:f>
        <x:v>Food and nutrition</x:v>
      </x:c>
      <x:c r="T20" s="45" t="n">
        <x:f>'Cargo Records'!Z20</x:f>
        <x:v>2600000</x:v>
      </x:c>
    </x:row>
    <x:row r="21">
      <x:c r="C21" s="45" t="str">
        <x:f>'Cargo Records'!C21</x:f>
        <x:v>C3-015</x:v>
      </x:c>
      <x:c r="D21" s="45" t="str">
        <x:f>'Cargo Records'!D21</x:f>
        <x:v>R1</x:v>
      </x:c>
      <x:c r="E21" s="45" t="str">
        <x:f>'Cargo Records'!J21</x:f>
        <x:v>P0</x:v>
      </x:c>
      <x:c r="F21" s="45" t="str">
        <x:f>'Paths'!E7</x:f>
        <x:v>Cached</x:v>
      </x:c>
      <x:c r="G21" s="53" t="n">
        <x:f>'Cargo Records'!T21</x:f>
        <x:v>8727.272727272726</x:v>
      </x:c>
      <x:c r="H21" s="53" t="n">
        <x:f>'Cargo Records'!O21</x:f>
        <x:v>3000</x:v>
      </x:c>
      <x:c r="I21" s="53" t="n">
        <x:f>SUMIFS($G$7:G21,$E$7:E21,E21)</x:f>
        <x:v>109975.15151515149</x:v>
      </x:c>
      <x:c r="J21" s="53" t="n">
        <x:f>COUNTIFS('Path Daily'!$C$7:$C$1098,E21,'Path Daily'!$N$7:$N$1098,"&lt;"&amp;G21)</x:f>
        <x:v>0</x:v>
      </x:c>
      <x:c r="K21" s="53" t="n">
        <x:f>'Paths'!Q7+'Paths'!R7+'Paths'!S7</x:f>
        <x:v>0.5</x:v>
      </x:c>
      <x:c r="L21" s="53" t="n">
        <x:f>J21+ROUNDUP(K21,0)</x:f>
        <x:v>1</x:v>
      </x:c>
      <x:c r="M21" s="45" t="n">
        <x:f>'Cargo Records'!AB21</x:f>
        <x:v>3</x:v>
      </x:c>
      <x:c r="N21" s="45" t="n">
        <x:f>M21-L21</x:f>
        <x:v>2</x:v>
      </x:c>
      <x:c r="O21" s="45" t="str">
        <x:f>IF(L21&lt;=M21,"CLOSE","LATE")</x:f>
        <x:v>CLOSE</x:v>
      </x:c>
      <x:c r="P21" s="45" t="str">
        <x:f>IF(ISNUMBER(SEARCH(F21,'Cargo Records'!L21)),"PASS","FAIL")</x:f>
        <x:v>PASS</x:v>
      </x:c>
      <x:c r="Q21" s="45" t="str">
        <x:f>IF(J21&gt;='Cargo Records'!AC21,"PASS","FAIL")</x:f>
        <x:v>PASS</x:v>
      </x:c>
      <x:c r="R21" s="45" t="str">
        <x:f>'Cargo Records'!H21</x:f>
        <x:v>Z1–Z8</x:v>
      </x:c>
      <x:c r="S21" s="45" t="str">
        <x:f>'Cargo Records'!Y21</x:f>
        <x:v>Emergency shelter</x:v>
      </x:c>
      <x:c r="T21" s="45" t="n">
        <x:f>'Cargo Records'!Z21</x:f>
        <x:v>500000</x:v>
      </x:c>
    </x:row>
    <x:row r="22">
      <x:c r="C22" s="45" t="str">
        <x:f>'Cargo Records'!C22</x:f>
        <x:v>C3-016</x:v>
      </x:c>
      <x:c r="D22" s="45" t="str">
        <x:f>'Cargo Records'!D22</x:f>
        <x:v>R1</x:v>
      </x:c>
      <x:c r="E22" s="45" t="str">
        <x:f>'Cargo Records'!J22</x:f>
        <x:v>P0</x:v>
      </x:c>
      <x:c r="F22" s="45" t="str">
        <x:f>'Paths'!E7</x:f>
        <x:v>Cached</x:v>
      </x:c>
      <x:c r="G22" s="53" t="n">
        <x:f>'Cargo Records'!T22</x:f>
        <x:v>2676</x:v>
      </x:c>
      <x:c r="H22" s="53" t="n">
        <x:f>'Cargo Records'!O22</x:f>
        <x:v>2230</x:v>
      </x:c>
      <x:c r="I22" s="53" t="n">
        <x:f>SUMIFS($G$7:G22,$E$7:E22,E22)</x:f>
        <x:v>112651.15151515149</x:v>
      </x:c>
      <x:c r="J22" s="53" t="n">
        <x:f>COUNTIFS('Path Daily'!$C$7:$C$1098,E22,'Path Daily'!$N$7:$N$1098,"&lt;"&amp;G22)</x:f>
        <x:v>0</x:v>
      </x:c>
      <x:c r="K22" s="53" t="n">
        <x:f>'Paths'!Q7+'Paths'!R7+'Paths'!S7</x:f>
        <x:v>0.5</x:v>
      </x:c>
      <x:c r="L22" s="53" t="n">
        <x:f>J22+ROUNDUP(K22,0)</x:f>
        <x:v>1</x:v>
      </x:c>
      <x:c r="M22" s="45" t="n">
        <x:f>'Cargo Records'!AB22</x:f>
        <x:v>3</x:v>
      </x:c>
      <x:c r="N22" s="45" t="n">
        <x:f>M22-L22</x:f>
        <x:v>2</x:v>
      </x:c>
      <x:c r="O22" s="45" t="str">
        <x:f>IF(L22&lt;=M22,"CLOSE","LATE")</x:f>
        <x:v>CLOSE</x:v>
      </x:c>
      <x:c r="P22" s="45" t="str">
        <x:f>IF(ISNUMBER(SEARCH(F22,'Cargo Records'!L22)),"PASS","FAIL")</x:f>
        <x:v>PASS</x:v>
      </x:c>
      <x:c r="Q22" s="45" t="str">
        <x:f>IF(J22&gt;='Cargo Records'!AC22,"PASS","FAIL")</x:f>
        <x:v>PASS</x:v>
      </x:c>
      <x:c r="R22" s="45" t="str">
        <x:f>'Cargo Records'!H22</x:f>
        <x:v>Z1–Z8</x:v>
      </x:c>
      <x:c r="S22" s="45" t="str">
        <x:f>'Cargo Records'!Y22</x:f>
        <x:v>Enabling / reserve</x:v>
      </x:c>
      <x:c r="T22" s="45" t="n">
        <x:f>'Cargo Records'!Z22</x:f>
        <x:v>0</x:v>
      </x:c>
    </x:row>
    <x:row r="23">
      <x:c r="C23" s="45" t="str">
        <x:f>'Cargo Records'!C23</x:f>
        <x:v>C3-017</x:v>
      </x:c>
      <x:c r="D23" s="45" t="str">
        <x:f>'Cargo Records'!D23</x:f>
        <x:v>R2</x:v>
      </x:c>
      <x:c r="E23" s="45" t="str">
        <x:f>'Cargo Records'!J23</x:f>
        <x:v>P1</x:v>
      </x:c>
      <x:c r="F23" s="45" t="str">
        <x:f>'Paths'!E8</x:f>
        <x:v>Air</x:v>
      </x:c>
      <x:c r="G23" s="53" t="n">
        <x:f>'Cargo Records'!T23</x:f>
        <x:v>27272.727272727276</x:v>
      </x:c>
      <x:c r="H23" s="53" t="n">
        <x:f>'Cargo Records'!O23</x:f>
        <x:v>18000</x:v>
      </x:c>
      <x:c r="I23" s="53" t="n">
        <x:f>SUMIFS($G$7:G23,$E$7:E23,E23)</x:f>
        <x:v>37090.90909090909</x:v>
      </x:c>
      <x:c r="J23" s="53" t="n">
        <x:f>COUNTIFS('Path Daily'!$C$7:$C$1098,E23,'Path Daily'!$N$7:$N$1098,"&lt;"&amp;G23)</x:f>
        <x:v>3</x:v>
      </x:c>
      <x:c r="K23" s="53" t="n">
        <x:f>'Paths'!Q8+'Paths'!R8+'Paths'!S8</x:f>
        <x:v>1.25</x:v>
      </x:c>
      <x:c r="L23" s="53" t="n">
        <x:f>J23+ROUNDUP(K23,0)</x:f>
        <x:v>5</x:v>
      </x:c>
      <x:c r="M23" s="45" t="n">
        <x:f>'Cargo Records'!AB23</x:f>
        <x:v>14</x:v>
      </x:c>
      <x:c r="N23" s="45" t="n">
        <x:f>M23-L23</x:f>
        <x:v>9</x:v>
      </x:c>
      <x:c r="O23" s="45" t="str">
        <x:f>IF(L23&lt;=M23,"CLOSE","LATE")</x:f>
        <x:v>CLOSE</x:v>
      </x:c>
      <x:c r="P23" s="45" t="str">
        <x:f>IF(ISNUMBER(SEARCH(F23,'Cargo Records'!L23)),"PASS","FAIL")</x:f>
        <x:v>PASS</x:v>
      </x:c>
      <x:c r="Q23" s="45" t="str">
        <x:f>IF(J23&gt;='Cargo Records'!AC23,"PASS","FAIL")</x:f>
        <x:v>PASS</x:v>
      </x:c>
      <x:c r="R23" s="45" t="str">
        <x:f>'Cargo Records'!H23</x:f>
        <x:v>Z1/Z3/Z8</x:v>
      </x:c>
      <x:c r="S23" s="45" t="str">
        <x:f>'Cargo Records'!Y23</x:f>
        <x:v>End-to-end access</x:v>
      </x:c>
      <x:c r="T23" s="45" t="n">
        <x:f>'Cargo Records'!Z23</x:f>
        <x:v>18000</x:v>
      </x:c>
    </x:row>
    <x:row r="24">
      <x:c r="C24" s="45" t="str">
        <x:f>'Cargo Records'!C24</x:f>
        <x:v>C3-018</x:v>
      </x:c>
      <x:c r="D24" s="45" t="str">
        <x:f>'Cargo Records'!D24</x:f>
        <x:v>R2</x:v>
      </x:c>
      <x:c r="E24" s="45" t="str">
        <x:f>'Cargo Records'!J24</x:f>
        <x:v>P4</x:v>
      </x:c>
      <x:c r="F24" s="45" t="str">
        <x:f>'Paths'!E11</x:f>
        <x:v>Littoral</x:v>
      </x:c>
      <x:c r="G24" s="53" t="n">
        <x:f>'Cargo Records'!T24</x:f>
        <x:v>39272.72727272727</x:v>
      </x:c>
      <x:c r="H24" s="53" t="n">
        <x:f>'Cargo Records'!O24</x:f>
        <x:v>24000</x:v>
      </x:c>
      <x:c r="I24" s="53" t="n">
        <x:f>SUMIFS($G$7:G24,$E$7:E24,E24)</x:f>
        <x:v>39272.72727272727</x:v>
      </x:c>
      <x:c r="J24" s="53" t="n">
        <x:f>COUNTIFS('Path Daily'!$C$7:$C$1098,E24,'Path Daily'!$N$7:$N$1098,"&lt;"&amp;G24)</x:f>
        <x:v>7</x:v>
      </x:c>
      <x:c r="K24" s="53" t="n">
        <x:f>'Paths'!Q11+'Paths'!R11+'Paths'!S11</x:f>
        <x:v>2</x:v>
      </x:c>
      <x:c r="L24" s="53" t="n">
        <x:f>J24+ROUNDUP(K24,0)</x:f>
        <x:v>9</x:v>
      </x:c>
      <x:c r="M24" s="45" t="n">
        <x:f>'Cargo Records'!AB24</x:f>
        <x:v>14</x:v>
      </x:c>
      <x:c r="N24" s="45" t="n">
        <x:f>M24-L24</x:f>
        <x:v>5</x:v>
      </x:c>
      <x:c r="O24" s="45" t="str">
        <x:f>IF(L24&lt;=M24,"CLOSE","LATE")</x:f>
        <x:v>CLOSE</x:v>
      </x:c>
      <x:c r="P24" s="45" t="str">
        <x:f>IF(ISNUMBER(SEARCH(F24,'Cargo Records'!L24)),"PASS","FAIL")</x:f>
        <x:v>PASS</x:v>
      </x:c>
      <x:c r="Q24" s="45" t="str">
        <x:f>IF(J24&gt;='Cargo Records'!AC24,"PASS","FAIL")</x:f>
        <x:v>PASS</x:v>
      </x:c>
      <x:c r="R24" s="45" t="str">
        <x:f>'Cargo Records'!H24</x:f>
        <x:v>Z1/Z3</x:v>
      </x:c>
      <x:c r="S24" s="45" t="str">
        <x:f>'Cargo Records'!Y24</x:f>
        <x:v>End-to-end access</x:v>
      </x:c>
      <x:c r="T24" s="45" t="n">
        <x:f>'Cargo Records'!Z24</x:f>
        <x:v>22000</x:v>
      </x:c>
    </x:row>
    <x:row r="25">
      <x:c r="C25" s="45" t="str">
        <x:f>'Cargo Records'!C25</x:f>
        <x:v>C3-019</x:v>
      </x:c>
      <x:c r="D25" s="45" t="str">
        <x:f>'Cargo Records'!D25</x:f>
        <x:v>R2</x:v>
      </x:c>
      <x:c r="E25" s="45" t="str">
        <x:f>'Cargo Records'!J25</x:f>
        <x:v>P5</x:v>
      </x:c>
      <x:c r="F25" s="45" t="str">
        <x:f>'Paths'!E12</x:f>
        <x:v>Littoral</x:v>
      </x:c>
      <x:c r="G25" s="53" t="n">
        <x:f>'Cargo Records'!T25</x:f>
        <x:v>39393.9393939394</x:v>
      </x:c>
      <x:c r="H25" s="53" t="n">
        <x:f>'Cargo Records'!O25</x:f>
        <x:v>20000</x:v>
      </x:c>
      <x:c r="I25" s="53" t="n">
        <x:f>SUMIFS($G$7:G25,$E$7:E25,E25)</x:f>
        <x:v>39393.9393939394</x:v>
      </x:c>
      <x:c r="J25" s="53" t="n">
        <x:f>COUNTIFS('Path Daily'!$C$7:$C$1098,E25,'Path Daily'!$N$7:$N$1098,"&lt;"&amp;G25)</x:f>
        <x:v>5</x:v>
      </x:c>
      <x:c r="K25" s="53" t="n">
        <x:f>'Paths'!Q12+'Paths'!R12+'Paths'!S12</x:f>
        <x:v>2</x:v>
      </x:c>
      <x:c r="L25" s="53" t="n">
        <x:f>J25+ROUNDUP(K25,0)</x:f>
        <x:v>7</x:v>
      </x:c>
      <x:c r="M25" s="45" t="n">
        <x:f>'Cargo Records'!AB25</x:f>
        <x:v>14</x:v>
      </x:c>
      <x:c r="N25" s="45" t="n">
        <x:f>M25-L25</x:f>
        <x:v>7</x:v>
      </x:c>
      <x:c r="O25" s="45" t="str">
        <x:f>IF(L25&lt;=M25,"CLOSE","LATE")</x:f>
        <x:v>CLOSE</x:v>
      </x:c>
      <x:c r="P25" s="45" t="str">
        <x:f>IF(ISNUMBER(SEARCH(F25,'Cargo Records'!L25)),"PASS","FAIL")</x:f>
        <x:v>PASS</x:v>
      </x:c>
      <x:c r="Q25" s="45" t="str">
        <x:f>IF(J25&gt;='Cargo Records'!AC25,"PASS","FAIL")</x:f>
        <x:v>PASS</x:v>
      </x:c>
      <x:c r="R25" s="45" t="str">
        <x:f>'Cargo Records'!H25</x:f>
        <x:v>Z5/Z6/Z7</x:v>
      </x:c>
      <x:c r="S25" s="45" t="str">
        <x:f>'Cargo Records'!Y25</x:f>
        <x:v>End-to-end access</x:v>
      </x:c>
      <x:c r="T25" s="45" t="n">
        <x:f>'Cargo Records'!Z25</x:f>
        <x:v>18000</x:v>
      </x:c>
    </x:row>
    <x:row r="26">
      <x:c r="C26" s="45" t="str">
        <x:f>'Cargo Records'!C26</x:f>
        <x:v>C3-020</x:v>
      </x:c>
      <x:c r="D26" s="45" t="str">
        <x:f>'Cargo Records'!D26</x:f>
        <x:v>R2</x:v>
      </x:c>
      <x:c r="E26" s="45" t="str">
        <x:f>'Cargo Records'!J26</x:f>
        <x:v>P8</x:v>
      </x:c>
      <x:c r="F26" s="45" t="str">
        <x:f>'Paths'!E15</x:f>
        <x:v>Road</x:v>
      </x:c>
      <x:c r="G26" s="53" t="n">
        <x:f>'Cargo Records'!T26</x:f>
        <x:v>28749.999999999996</x:v>
      </x:c>
      <x:c r="H26" s="53" t="n">
        <x:f>'Cargo Records'!O26</x:f>
        <x:v>25000</x:v>
      </x:c>
      <x:c r="I26" s="53" t="n">
        <x:f>SUMIFS($G$7:G26,$E$7:E26,E26)</x:f>
        <x:v>28749.999999999996</x:v>
      </x:c>
      <x:c r="J26" s="53" t="n">
        <x:f>COUNTIFS('Path Daily'!$C$7:$C$1098,E26,'Path Daily'!$N$7:$N$1098,"&lt;"&amp;G26)</x:f>
        <x:v>10</x:v>
      </x:c>
      <x:c r="K26" s="53" t="n">
        <x:f>'Paths'!Q15+'Paths'!R15+'Paths'!S15</x:f>
        <x:v>1</x:v>
      </x:c>
      <x:c r="L26" s="53" t="n">
        <x:f>J26+ROUNDUP(K26,0)</x:f>
        <x:v>11</x:v>
      </x:c>
      <x:c r="M26" s="45" t="n">
        <x:f>'Cargo Records'!AB26</x:f>
        <x:v>14</x:v>
      </x:c>
      <x:c r="N26" s="45" t="n">
        <x:f>M26-L26</x:f>
        <x:v>3</x:v>
      </x:c>
      <x:c r="O26" s="45" t="str">
        <x:f>IF(L26&lt;=M26,"CLOSE","LATE")</x:f>
        <x:v>CLOSE</x:v>
      </x:c>
      <x:c r="P26" s="45" t="str">
        <x:f>IF(ISNUMBER(SEARCH(F26,'Cargo Records'!L26)),"PASS","FAIL")</x:f>
        <x:v>PASS</x:v>
      </x:c>
      <x:c r="Q26" s="45" t="str">
        <x:f>IF(J26&gt;='Cargo Records'!AC26,"PASS","FAIL")</x:f>
        <x:v>PASS</x:v>
      </x:c>
      <x:c r="R26" s="45" t="str">
        <x:f>'Cargo Records'!H26</x:f>
        <x:v>Z1–Z4</x:v>
      </x:c>
      <x:c r="S26" s="45" t="str">
        <x:f>'Cargo Records'!Y26</x:f>
        <x:v>Hazard-control works</x:v>
      </x:c>
      <x:c r="T26" s="45" t="n">
        <x:f>'Cargo Records'!Z26</x:f>
        <x:v>400</x:v>
      </x:c>
    </x:row>
    <x:row r="27">
      <x:c r="C27" s="45" t="str">
        <x:f>'Cargo Records'!C27</x:f>
        <x:v>C3-021</x:v>
      </x:c>
      <x:c r="D27" s="45" t="str">
        <x:f>'Cargo Records'!D27</x:f>
        <x:v>R2</x:v>
      </x:c>
      <x:c r="E27" s="45" t="str">
        <x:f>'Cargo Records'!J27</x:f>
        <x:v>P9</x:v>
      </x:c>
      <x:c r="F27" s="45" t="str">
        <x:f>'Paths'!E16</x:f>
        <x:v>Road</x:v>
      </x:c>
      <x:c r="G27" s="53" t="n">
        <x:f>'Cargo Records'!T27</x:f>
        <x:v>25000</x:v>
      </x:c>
      <x:c r="H27" s="53" t="n">
        <x:f>'Cargo Records'!O27</x:f>
        <x:v>20000</x:v>
      </x:c>
      <x:c r="I27" s="53" t="n">
        <x:f>SUMIFS($G$7:G27,$E$7:E27,E27)</x:f>
        <x:v>25000</x:v>
      </x:c>
      <x:c r="J27" s="53" t="n">
        <x:f>COUNTIFS('Path Daily'!$C$7:$C$1098,E27,'Path Daily'!$N$7:$N$1098,"&lt;"&amp;G27)</x:f>
        <x:v>10</x:v>
      </x:c>
      <x:c r="K27" s="53" t="n">
        <x:f>'Paths'!Q16+'Paths'!R16+'Paths'!S16</x:f>
        <x:v>1</x:v>
      </x:c>
      <x:c r="L27" s="53" t="n">
        <x:f>J27+ROUNDUP(K27,0)</x:f>
        <x:v>11</x:v>
      </x:c>
      <x:c r="M27" s="45" t="n">
        <x:f>'Cargo Records'!AB27</x:f>
        <x:v>14</x:v>
      </x:c>
      <x:c r="N27" s="45" t="n">
        <x:f>M27-L27</x:f>
        <x:v>3</x:v>
      </x:c>
      <x:c r="O27" s="45" t="str">
        <x:f>IF(L27&lt;=M27,"CLOSE","LATE")</x:f>
        <x:v>CLOSE</x:v>
      </x:c>
      <x:c r="P27" s="45" t="str">
        <x:f>IF(ISNUMBER(SEARCH(F27,'Cargo Records'!L27)),"PASS","FAIL")</x:f>
        <x:v>PASS</x:v>
      </x:c>
      <x:c r="Q27" s="45" t="str">
        <x:f>IF(J27&gt;='Cargo Records'!AC27,"PASS","FAIL")</x:f>
        <x:v>PASS</x:v>
      </x:c>
      <x:c r="R27" s="45" t="str">
        <x:f>'Cargo Records'!H27</x:f>
        <x:v>Z5–Z8</x:v>
      </x:c>
      <x:c r="S27" s="45" t="str">
        <x:f>'Cargo Records'!Y27</x:f>
        <x:v>End-to-end access</x:v>
      </x:c>
      <x:c r="T27" s="45" t="n">
        <x:f>'Cargo Records'!Z27</x:f>
        <x:v>12000</x:v>
      </x:c>
    </x:row>
    <x:row r="28">
      <x:c r="C28" s="45" t="str">
        <x:f>'Cargo Records'!C28</x:f>
        <x:v>C3-022</x:v>
      </x:c>
      <x:c r="D28" s="45" t="str">
        <x:f>'Cargo Records'!D28</x:f>
        <x:v>R2</x:v>
      </x:c>
      <x:c r="E28" s="45" t="str">
        <x:f>'Cargo Records'!J28</x:f>
        <x:v>P2</x:v>
      </x:c>
      <x:c r="F28" s="45" t="str">
        <x:f>'Paths'!E9</x:f>
        <x:v>Air</x:v>
      </x:c>
      <x:c r="G28" s="53" t="n">
        <x:f>'Cargo Records'!T28</x:f>
        <x:v>53030.303030303025</x:v>
      </x:c>
      <x:c r="H28" s="53" t="n">
        <x:f>'Cargo Records'!O28</x:f>
        <x:v>28000</x:v>
      </x:c>
      <x:c r="I28" s="53" t="n">
        <x:f>SUMIFS($G$7:G28,$E$7:E28,E28)</x:f>
        <x:v>66818.18181818181</x:v>
      </x:c>
      <x:c r="J28" s="53" t="n">
        <x:f>COUNTIFS('Path Daily'!$C$7:$C$1098,E28,'Path Daily'!$N$7:$N$1098,"&lt;"&amp;G28)</x:f>
        <x:v>4</x:v>
      </x:c>
      <x:c r="K28" s="53" t="n">
        <x:f>'Paths'!Q9+'Paths'!R9+'Paths'!S9</x:f>
        <x:v>1.25</x:v>
      </x:c>
      <x:c r="L28" s="53" t="n">
        <x:f>J28+ROUNDUP(K28,0)</x:f>
        <x:v>6</x:v>
      </x:c>
      <x:c r="M28" s="45" t="n">
        <x:f>'Cargo Records'!AB28</x:f>
        <x:v>14</x:v>
      </x:c>
      <x:c r="N28" s="45" t="n">
        <x:f>M28-L28</x:f>
        <x:v>8</x:v>
      </x:c>
      <x:c r="O28" s="45" t="str">
        <x:f>IF(L28&lt;=M28,"CLOSE","LATE")</x:f>
        <x:v>CLOSE</x:v>
      </x:c>
      <x:c r="P28" s="45" t="str">
        <x:f>IF(ISNUMBER(SEARCH(F28,'Cargo Records'!L28)),"PASS","FAIL")</x:f>
        <x:v>PASS</x:v>
      </x:c>
      <x:c r="Q28" s="45" t="str">
        <x:f>IF(J28&gt;='Cargo Records'!AC28,"PASS","FAIL")</x:f>
        <x:v>PASS</x:v>
      </x:c>
      <x:c r="R28" s="45" t="str">
        <x:f>'Cargo Records'!H28</x:f>
        <x:v>Z2/Z3/Z8</x:v>
      </x:c>
      <x:c r="S28" s="45" t="str">
        <x:f>'Cargo Records'!Y28</x:f>
        <x:v>Staffed health capacity</x:v>
      </x:c>
      <x:c r="T28" s="45" t="n">
        <x:f>'Cargo Records'!Z28</x:f>
        <x:v>2300</x:v>
      </x:c>
    </x:row>
    <x:row r="29">
      <x:c r="C29" s="45" t="str">
        <x:f>'Cargo Records'!C29</x:f>
        <x:v>C3-023</x:v>
      </x:c>
      <x:c r="D29" s="45" t="str">
        <x:f>'Cargo Records'!D29</x:f>
        <x:v>R2</x:v>
      </x:c>
      <x:c r="E29" s="45" t="str">
        <x:f>'Cargo Records'!J29</x:f>
        <x:v>P7</x:v>
      </x:c>
      <x:c r="F29" s="45" t="str">
        <x:f>'Paths'!E14</x:f>
        <x:v>Inland water</x:v>
      </x:c>
      <x:c r="G29" s="53" t="n">
        <x:f>'Cargo Records'!T29</x:f>
        <x:v>31999.999999999996</x:v>
      </x:c>
      <x:c r="H29" s="53" t="n">
        <x:f>'Cargo Records'!O29</x:f>
        <x:v>22000</x:v>
      </x:c>
      <x:c r="I29" s="53" t="n">
        <x:f>SUMIFS($G$7:G29,$E$7:E29,E29)</x:f>
        <x:v>31999.999999999996</x:v>
      </x:c>
      <x:c r="J29" s="53" t="n">
        <x:f>COUNTIFS('Path Daily'!$C$7:$C$1098,E29,'Path Daily'!$N$7:$N$1098,"&lt;"&amp;G29)</x:f>
        <x:v>10</x:v>
      </x:c>
      <x:c r="K29" s="53" t="n">
        <x:f>'Paths'!Q14+'Paths'!R14+'Paths'!S14</x:f>
        <x:v>2</x:v>
      </x:c>
      <x:c r="L29" s="53" t="n">
        <x:f>J29+ROUNDUP(K29,0)</x:f>
        <x:v>12</x:v>
      </x:c>
      <x:c r="M29" s="45" t="n">
        <x:f>'Cargo Records'!AB29</x:f>
        <x:v>14</x:v>
      </x:c>
      <x:c r="N29" s="45" t="n">
        <x:f>M29-L29</x:f>
        <x:v>2</x:v>
      </x:c>
      <x:c r="O29" s="45" t="str">
        <x:f>IF(L29&lt;=M29,"CLOSE","LATE")</x:f>
        <x:v>CLOSE</x:v>
      </x:c>
      <x:c r="P29" s="45" t="str">
        <x:f>IF(ISNUMBER(SEARCH(F29,'Cargo Records'!L29)),"PASS","FAIL")</x:f>
        <x:v>PASS</x:v>
      </x:c>
      <x:c r="Q29" s="45" t="str">
        <x:f>IF(J29&gt;='Cargo Records'!AC29,"PASS","FAIL")</x:f>
        <x:v>PASS</x:v>
      </x:c>
      <x:c r="R29" s="45" t="str">
        <x:f>'Cargo Records'!H29</x:f>
        <x:v>Z1–Z8</x:v>
      </x:c>
      <x:c r="S29" s="45" t="str">
        <x:f>'Cargo Records'!Y29</x:f>
        <x:v>Potable and essential water</x:v>
      </x:c>
      <x:c r="T29" s="45" t="n">
        <x:f>'Cargo Records'!Z29</x:f>
        <x:v>22000</x:v>
      </x:c>
    </x:row>
    <x:row r="30">
      <x:c r="C30" s="45" t="str">
        <x:f>'Cargo Records'!C30</x:f>
        <x:v>C3-024</x:v>
      </x:c>
      <x:c r="D30" s="45" t="str">
        <x:f>'Cargo Records'!D30</x:f>
        <x:v>R2</x:v>
      </x:c>
      <x:c r="E30" s="45" t="str">
        <x:f>'Cargo Records'!J30</x:f>
        <x:v>P11</x:v>
      </x:c>
      <x:c r="F30" s="45" t="str">
        <x:f>'Paths'!E18</x:f>
        <x:v>Ocean support</x:v>
      </x:c>
      <x:c r="G30" s="53" t="n">
        <x:f>'Cargo Records'!T30</x:f>
        <x:v>37818.181818181816</x:v>
      </x:c>
      <x:c r="H30" s="53" t="n">
        <x:f>'Cargo Records'!O30</x:f>
        <x:v>24000</x:v>
      </x:c>
      <x:c r="I30" s="53" t="n">
        <x:f>SUMIFS($G$7:G30,$E$7:E30,E30)</x:f>
        <x:v>37818.181818181816</x:v>
      </x:c>
      <x:c r="J30" s="53" t="n">
        <x:f>COUNTIFS('Path Daily'!$C$7:$C$1098,E30,'Path Daily'!$N$7:$N$1098,"&lt;"&amp;G30)</x:f>
        <x:v>6</x:v>
      </x:c>
      <x:c r="K30" s="53" t="n">
        <x:f>'Paths'!Q18+'Paths'!R18+'Paths'!S18</x:f>
        <x:v>2</x:v>
      </x:c>
      <x:c r="L30" s="53" t="n">
        <x:f>J30+ROUNDUP(K30,0)</x:f>
        <x:v>8</x:v>
      </x:c>
      <x:c r="M30" s="45" t="n">
        <x:f>'Cargo Records'!AB30</x:f>
        <x:v>14</x:v>
      </x:c>
      <x:c r="N30" s="45" t="n">
        <x:f>M30-L30</x:f>
        <x:v>6</x:v>
      </x:c>
      <x:c r="O30" s="45" t="str">
        <x:f>IF(L30&lt;=M30,"CLOSE","LATE")</x:f>
        <x:v>CLOSE</x:v>
      </x:c>
      <x:c r="P30" s="45" t="str">
        <x:f>IF(ISNUMBER(SEARCH(F30,'Cargo Records'!L30)),"PASS","FAIL")</x:f>
        <x:v>PASS</x:v>
      </x:c>
      <x:c r="Q30" s="45" t="str">
        <x:f>IF(J30&gt;='Cargo Records'!AC30,"PASS","FAIL")</x:f>
        <x:v>PASS</x:v>
      </x:c>
      <x:c r="R30" s="45" t="str">
        <x:f>'Cargo Records'!H30</x:f>
        <x:v>Z1–Z8</x:v>
      </x:c>
      <x:c r="S30" s="45" t="str">
        <x:f>'Cargo Records'!Y30</x:f>
        <x:v>Critical-load power</x:v>
      </x:c>
      <x:c r="T30" s="45" t="n">
        <x:f>'Cargo Records'!Z30</x:f>
        <x:v>2400</x:v>
      </x:c>
    </x:row>
    <x:row r="31">
      <x:c r="C31" s="45" t="str">
        <x:f>'Cargo Records'!C31</x:f>
        <x:v>C3-025</x:v>
      </x:c>
      <x:c r="D31" s="45" t="str">
        <x:f>'Cargo Records'!D31</x:f>
        <x:v>R2</x:v>
      </x:c>
      <x:c r="E31" s="45" t="str">
        <x:f>'Cargo Records'!J31</x:f>
        <x:v>P3</x:v>
      </x:c>
      <x:c r="F31" s="45" t="str">
        <x:f>'Paths'!E10</x:f>
        <x:v>Vertical lift</x:v>
      </x:c>
      <x:c r="G31" s="53" t="n">
        <x:f>'Cargo Records'!T31</x:f>
        <x:v>15000.000000000004</x:v>
      </x:c>
      <x:c r="H31" s="53" t="n">
        <x:f>'Cargo Records'!O31</x:f>
        <x:v>9000</x:v>
      </x:c>
      <x:c r="I31" s="53" t="n">
        <x:f>SUMIFS($G$7:G31,$E$7:E31,E31)</x:f>
        <x:v>44527.272727272735</x:v>
      </x:c>
      <x:c r="J31" s="53" t="n">
        <x:f>COUNTIFS('Path Daily'!$C$7:$C$1098,E31,'Path Daily'!$N$7:$N$1098,"&lt;"&amp;G31)</x:f>
        <x:v>1</x:v>
      </x:c>
      <x:c r="K31" s="53" t="n">
        <x:f>'Paths'!Q10+'Paths'!R10+'Paths'!S10</x:f>
        <x:v>0.6</x:v>
      </x:c>
      <x:c r="L31" s="53" t="n">
        <x:f>J31+ROUNDUP(K31,0)</x:f>
        <x:v>2</x:v>
      </x:c>
      <x:c r="M31" s="45" t="n">
        <x:f>'Cargo Records'!AB31</x:f>
        <x:v>14</x:v>
      </x:c>
      <x:c r="N31" s="45" t="n">
        <x:f>M31-L31</x:f>
        <x:v>12</x:v>
      </x:c>
      <x:c r="O31" s="45" t="str">
        <x:f>IF(L31&lt;=M31,"CLOSE","LATE")</x:f>
        <x:v>CLOSE</x:v>
      </x:c>
      <x:c r="P31" s="45" t="str">
        <x:f>IF(ISNUMBER(SEARCH(F31,'Cargo Records'!L31)),"PASS","FAIL")</x:f>
        <x:v>PASS</x:v>
      </x:c>
      <x:c r="Q31" s="45" t="str">
        <x:f>IF(J31&gt;='Cargo Records'!AC31,"PASS","FAIL")</x:f>
        <x:v>PASS</x:v>
      </x:c>
      <x:c r="R31" s="45" t="str">
        <x:f>'Cargo Records'!H31</x:f>
        <x:v>Z1–Z8</x:v>
      </x:c>
      <x:c r="S31" s="45" t="str">
        <x:f>'Cargo Records'!Y31</x:f>
        <x:v>Priority communications</x:v>
      </x:c>
      <x:c r="T31" s="45" t="n">
        <x:f>'Cargo Records'!Z31</x:f>
        <x:v>2600000</x:v>
      </x:c>
    </x:row>
    <x:row r="32">
      <x:c r="C32" s="45" t="str">
        <x:f>'Cargo Records'!C32</x:f>
        <x:v>C3-026</x:v>
      </x:c>
      <x:c r="D32" s="45" t="str">
        <x:f>'Cargo Records'!D32</x:f>
        <x:v>R2</x:v>
      </x:c>
      <x:c r="E32" s="45" t="str">
        <x:f>'Cargo Records'!J32</x:f>
        <x:v>P5</x:v>
      </x:c>
      <x:c r="F32" s="45" t="str">
        <x:f>'Paths'!E12</x:f>
        <x:v>Littoral</x:v>
      </x:c>
      <x:c r="G32" s="53" t="n">
        <x:f>'Cargo Records'!T32</x:f>
        <x:v>50909.0909090909</x:v>
      </x:c>
      <x:c r="H32" s="53" t="n">
        <x:f>'Cargo Records'!O32</x:f>
        <x:v>20000</x:v>
      </x:c>
      <x:c r="I32" s="53" t="n">
        <x:f>SUMIFS($G$7:G32,$E$7:E32,E32)</x:f>
        <x:v>90303.0303030303</x:v>
      </x:c>
      <x:c r="J32" s="53" t="n">
        <x:f>COUNTIFS('Path Daily'!$C$7:$C$1098,E32,'Path Daily'!$N$7:$N$1098,"&lt;"&amp;G32)</x:f>
        <x:v>7</x:v>
      </x:c>
      <x:c r="K32" s="53" t="n">
        <x:f>'Paths'!Q12+'Paths'!R12+'Paths'!S12</x:f>
        <x:v>2</x:v>
      </x:c>
      <x:c r="L32" s="53" t="n">
        <x:f>J32+ROUNDUP(K32,0)</x:f>
        <x:v>9</x:v>
      </x:c>
      <x:c r="M32" s="45" t="n">
        <x:f>'Cargo Records'!AB32</x:f>
        <x:v>14</x:v>
      </x:c>
      <x:c r="N32" s="45" t="n">
        <x:f>M32-L32</x:f>
        <x:v>5</x:v>
      </x:c>
      <x:c r="O32" s="45" t="str">
        <x:f>IF(L32&lt;=M32,"CLOSE","LATE")</x:f>
        <x:v>CLOSE</x:v>
      </x:c>
      <x:c r="P32" s="45" t="str">
        <x:f>IF(ISNUMBER(SEARCH(F32,'Cargo Records'!L32)),"PASS","FAIL")</x:f>
        <x:v>PASS</x:v>
      </x:c>
      <x:c r="Q32" s="45" t="str">
        <x:f>IF(J32&gt;='Cargo Records'!AC32,"PASS","FAIL")</x:f>
        <x:v>PASS</x:v>
      </x:c>
      <x:c r="R32" s="45" t="str">
        <x:f>'Cargo Records'!H32</x:f>
        <x:v>Z1–Z8</x:v>
      </x:c>
      <x:c r="S32" s="45" t="str">
        <x:f>'Cargo Records'!Y32</x:f>
        <x:v>Emergency shelter</x:v>
      </x:c>
      <x:c r="T32" s="45" t="n">
        <x:f>'Cargo Records'!Z32</x:f>
        <x:v>550000</x:v>
      </x:c>
    </x:row>
    <x:row r="33">
      <x:c r="C33" s="45" t="str">
        <x:f>'Cargo Records'!C33</x:f>
        <x:v>C3-027</x:v>
      </x:c>
      <x:c r="D33" s="45" t="str">
        <x:f>'Cargo Records'!D33</x:f>
        <x:v>R2</x:v>
      </x:c>
      <x:c r="E33" s="45" t="str">
        <x:f>'Cargo Records'!J33</x:f>
        <x:v>P4</x:v>
      </x:c>
      <x:c r="F33" s="45" t="str">
        <x:f>'Paths'!E11</x:f>
        <x:v>Littoral</x:v>
      </x:c>
      <x:c r="G33" s="53" t="n">
        <x:f>'Cargo Records'!T33</x:f>
        <x:v>25090.909090909092</x:v>
      </x:c>
      <x:c r="H33" s="53" t="n">
        <x:f>'Cargo Records'!O33</x:f>
        <x:v>18000</x:v>
      </x:c>
      <x:c r="I33" s="53" t="n">
        <x:f>SUMIFS($G$7:G33,$E$7:E33,E33)</x:f>
        <x:v>64363.63636363637</x:v>
      </x:c>
      <x:c r="J33" s="53" t="n">
        <x:f>COUNTIFS('Path Daily'!$C$7:$C$1098,E33,'Path Daily'!$N$7:$N$1098,"&lt;"&amp;G33)</x:f>
        <x:v>5</x:v>
      </x:c>
      <x:c r="K33" s="53" t="n">
        <x:f>'Paths'!Q11+'Paths'!R11+'Paths'!S11</x:f>
        <x:v>2</x:v>
      </x:c>
      <x:c r="L33" s="53" t="n">
        <x:f>J33+ROUNDUP(K33,0)</x:f>
        <x:v>7</x:v>
      </x:c>
      <x:c r="M33" s="45" t="n">
        <x:f>'Cargo Records'!AB33</x:f>
        <x:v>14</x:v>
      </x:c>
      <x:c r="N33" s="45" t="n">
        <x:f>M33-L33</x:f>
        <x:v>7</x:v>
      </x:c>
      <x:c r="O33" s="45" t="str">
        <x:f>IF(L33&lt;=M33,"CLOSE","LATE")</x:f>
        <x:v>CLOSE</x:v>
      </x:c>
      <x:c r="P33" s="45" t="str">
        <x:f>IF(ISNUMBER(SEARCH(F33,'Cargo Records'!L33)),"PASS","FAIL")</x:f>
        <x:v>PASS</x:v>
      </x:c>
      <x:c r="Q33" s="45" t="str">
        <x:f>IF(J33&gt;='Cargo Records'!AC33,"PASS","FAIL")</x:f>
        <x:v>PASS</x:v>
      </x:c>
      <x:c r="R33" s="45" t="str">
        <x:f>'Cargo Records'!H33</x:f>
        <x:v>Z1–Z8</x:v>
      </x:c>
      <x:c r="S33" s="45" t="str">
        <x:f>'Cargo Records'!Y33</x:f>
        <x:v>Food and nutrition</x:v>
      </x:c>
      <x:c r="T33" s="45" t="n">
        <x:f>'Cargo Records'!Z33</x:f>
        <x:v>600000</x:v>
      </x:c>
    </x:row>
    <x:row r="34">
      <x:c r="C34" s="45" t="str">
        <x:f>'Cargo Records'!C34</x:f>
        <x:v>C3-028</x:v>
      </x:c>
      <x:c r="D34" s="45" t="str">
        <x:f>'Cargo Records'!D34</x:f>
        <x:v>R2</x:v>
      </x:c>
      <x:c r="E34" s="45" t="str">
        <x:f>'Cargo Records'!J34</x:f>
        <x:v>P7</x:v>
      </x:c>
      <x:c r="F34" s="45" t="str">
        <x:f>'Paths'!E14</x:f>
        <x:v>Inland water</x:v>
      </x:c>
      <x:c r="G34" s="53" t="n">
        <x:f>'Cargo Records'!T34</x:f>
        <x:v>20909.090909090908</x:v>
      </x:c>
      <x:c r="H34" s="53" t="n">
        <x:f>'Cargo Records'!O34</x:f>
        <x:v>15000</x:v>
      </x:c>
      <x:c r="I34" s="53" t="n">
        <x:f>SUMIFS($G$7:G34,$E$7:E34,E34)</x:f>
        <x:v>52909.090909090904</x:v>
      </x:c>
      <x:c r="J34" s="53" t="n">
        <x:f>COUNTIFS('Path Daily'!$C$7:$C$1098,E34,'Path Daily'!$N$7:$N$1098,"&lt;"&amp;G34)</x:f>
        <x:v>8</x:v>
      </x:c>
      <x:c r="K34" s="53" t="n">
        <x:f>'Paths'!Q14+'Paths'!R14+'Paths'!S14</x:f>
        <x:v>2</x:v>
      </x:c>
      <x:c r="L34" s="53" t="n">
        <x:f>J34+ROUNDUP(K34,0)</x:f>
        <x:v>10</x:v>
      </x:c>
      <x:c r="M34" s="45" t="n">
        <x:f>'Cargo Records'!AB34</x:f>
        <x:v>14</x:v>
      </x:c>
      <x:c r="N34" s="45" t="n">
        <x:f>M34-L34</x:f>
        <x:v>4</x:v>
      </x:c>
      <x:c r="O34" s="45" t="str">
        <x:f>IF(L34&lt;=M34,"CLOSE","LATE")</x:f>
        <x:v>CLOSE</x:v>
      </x:c>
      <x:c r="P34" s="45" t="str">
        <x:f>IF(ISNUMBER(SEARCH(F34,'Cargo Records'!L34)),"PASS","FAIL")</x:f>
        <x:v>PASS</x:v>
      </x:c>
      <x:c r="Q34" s="45" t="str">
        <x:f>IF(J34&gt;='Cargo Records'!AC34,"PASS","FAIL")</x:f>
        <x:v>PASS</x:v>
      </x:c>
      <x:c r="R34" s="45" t="str">
        <x:f>'Cargo Records'!H34</x:f>
        <x:v>Z1–Z8</x:v>
      </x:c>
      <x:c r="S34" s="45" t="str">
        <x:f>'Cargo Records'!Y34</x:f>
        <x:v>Sanitation</x:v>
      </x:c>
      <x:c r="T34" s="45" t="n">
        <x:f>'Cargo Records'!Z34</x:f>
        <x:v>500000</x:v>
      </x:c>
    </x:row>
    <x:row r="35">
      <x:c r="C35" s="45" t="str">
        <x:f>'Cargo Records'!C35</x:f>
        <x:v>C3-029</x:v>
      </x:c>
      <x:c r="D35" s="45" t="str">
        <x:f>'Cargo Records'!D35</x:f>
        <x:v>R2</x:v>
      </x:c>
      <x:c r="E35" s="45" t="str">
        <x:f>'Cargo Records'!J35</x:f>
        <x:v>P6</x:v>
      </x:c>
      <x:c r="F35" s="45" t="str">
        <x:f>'Paths'!E13</x:f>
        <x:v>Ocean</x:v>
      </x:c>
      <x:c r="G35" s="53" t="n">
        <x:f>'Cargo Records'!T35</x:f>
        <x:v>21600</x:v>
      </x:c>
      <x:c r="H35" s="53" t="n">
        <x:f>'Cargo Records'!O35</x:f>
        <x:v>18000</x:v>
      </x:c>
      <x:c r="I35" s="53" t="n">
        <x:f>SUMIFS($G$7:G35,$E$7:E35,E35)</x:f>
        <x:v>21600</x:v>
      </x:c>
      <x:c r="J35" s="53" t="n">
        <x:f>COUNTIFS('Path Daily'!$C$7:$C$1098,E35,'Path Daily'!$N$7:$N$1098,"&lt;"&amp;G35)</x:f>
        <x:v>10</x:v>
      </x:c>
      <x:c r="K35" s="53" t="n">
        <x:f>'Paths'!Q13+'Paths'!R13+'Paths'!S13</x:f>
        <x:v>2.5</x:v>
      </x:c>
      <x:c r="L35" s="53" t="n">
        <x:f>J35+ROUNDUP(K35,0)</x:f>
        <x:v>13</x:v>
      </x:c>
      <x:c r="M35" s="45" t="n">
        <x:f>'Cargo Records'!AB35</x:f>
        <x:v>14</x:v>
      </x:c>
      <x:c r="N35" s="45" t="n">
        <x:f>M35-L35</x:f>
        <x:v>1</x:v>
      </x:c>
      <x:c r="O35" s="45" t="str">
        <x:f>IF(L35&lt;=M35,"CLOSE","LATE")</x:f>
        <x:v>CLOSE</x:v>
      </x:c>
      <x:c r="P35" s="45" t="str">
        <x:f>IF(ISNUMBER(SEARCH(F35,'Cargo Records'!L35)),"PASS","FAIL")</x:f>
        <x:v>PASS</x:v>
      </x:c>
      <x:c r="Q35" s="45" t="str">
        <x:f>IF(J35&gt;='Cargo Records'!AC35,"PASS","FAIL")</x:f>
        <x:v>PASS</x:v>
      </x:c>
      <x:c r="R35" s="45" t="str">
        <x:f>'Cargo Records'!H35</x:f>
        <x:v>Z1–Z8</x:v>
      </x:c>
      <x:c r="S35" s="45" t="str">
        <x:f>'Cargo Records'!Y35</x:f>
        <x:v>Enabling / reserve</x:v>
      </x:c>
      <x:c r="T35" s="45" t="n">
        <x:f>'Cargo Records'!Z35</x:f>
        <x:v>0</x:v>
      </x:c>
    </x:row>
    <x:row r="36">
      <x:c r="C36" s="45" t="str">
        <x:f>'Cargo Records'!C36</x:f>
        <x:v>C3-030</x:v>
      </x:c>
      <x:c r="D36" s="45" t="str">
        <x:f>'Cargo Records'!D36</x:f>
        <x:v>R2</x:v>
      </x:c>
      <x:c r="E36" s="45" t="str">
        <x:f>'Cargo Records'!J36</x:f>
        <x:v>P11</x:v>
      </x:c>
      <x:c r="F36" s="45" t="str">
        <x:f>'Paths'!E18</x:f>
        <x:v>Ocean support</x:v>
      </x:c>
      <x:c r="G36" s="53" t="n">
        <x:f>'Cargo Records'!T36</x:f>
        <x:v>54545.45454545455</x:v>
      </x:c>
      <x:c r="H36" s="53" t="n">
        <x:f>'Cargo Records'!O36</x:f>
        <x:v>24000</x:v>
      </x:c>
      <x:c r="I36" s="53" t="n">
        <x:f>SUMIFS($G$7:G36,$E$7:E36,E36)</x:f>
        <x:v>92363.63636363637</x:v>
      </x:c>
      <x:c r="J36" s="53" t="n">
        <x:f>COUNTIFS('Path Daily'!$C$7:$C$1098,E36,'Path Daily'!$N$7:$N$1098,"&lt;"&amp;G36)</x:f>
        <x:v>8</x:v>
      </x:c>
      <x:c r="K36" s="53" t="n">
        <x:f>'Paths'!Q18+'Paths'!R18+'Paths'!S18</x:f>
        <x:v>2</x:v>
      </x:c>
      <x:c r="L36" s="53" t="n">
        <x:f>J36+ROUNDUP(K36,0)</x:f>
        <x:v>10</x:v>
      </x:c>
      <x:c r="M36" s="45" t="n">
        <x:f>'Cargo Records'!AB36</x:f>
        <x:v>14</x:v>
      </x:c>
      <x:c r="N36" s="45" t="n">
        <x:f>M36-L36</x:f>
        <x:v>4</x:v>
      </x:c>
      <x:c r="O36" s="45" t="str">
        <x:f>IF(L36&lt;=M36,"CLOSE","LATE")</x:f>
        <x:v>CLOSE</x:v>
      </x:c>
      <x:c r="P36" s="45" t="str">
        <x:f>IF(ISNUMBER(SEARCH(F36,'Cargo Records'!L36)),"PASS","FAIL")</x:f>
        <x:v>PASS</x:v>
      </x:c>
      <x:c r="Q36" s="45" t="str">
        <x:f>IF(J36&gt;='Cargo Records'!AC36,"PASS","FAIL")</x:f>
        <x:v>PASS</x:v>
      </x:c>
      <x:c r="R36" s="45" t="str">
        <x:f>'Cargo Records'!H36</x:f>
        <x:v>Z9 / afloat</x:v>
      </x:c>
      <x:c r="S36" s="45" t="str">
        <x:f>'Cargo Records'!Y36</x:f>
        <x:v>Responder basing</x:v>
      </x:c>
      <x:c r="T36" s="45" t="n">
        <x:f>'Cargo Records'!Z36</x:f>
        <x:v>65000</x:v>
      </x:c>
    </x:row>
    <x:row r="37">
      <x:c r="C37" s="45" t="str">
        <x:f>'Cargo Records'!C37</x:f>
        <x:v>C3-031</x:v>
      </x:c>
      <x:c r="D37" s="45" t="str">
        <x:f>'Cargo Records'!D37</x:f>
        <x:v>R2</x:v>
      </x:c>
      <x:c r="E37" s="45" t="str">
        <x:f>'Cargo Records'!J37</x:f>
        <x:v>P3</x:v>
      </x:c>
      <x:c r="F37" s="45" t="str">
        <x:f>'Paths'!E10</x:f>
        <x:v>Vertical lift</x:v>
      </x:c>
      <x:c r="G37" s="53" t="n">
        <x:f>'Cargo Records'!T37</x:f>
        <x:v>21818.18181818182</x:v>
      </x:c>
      <x:c r="H37" s="53" t="n">
        <x:f>'Cargo Records'!O37</x:f>
        <x:v>15000</x:v>
      </x:c>
      <x:c r="I37" s="53" t="n">
        <x:f>SUMIFS($G$7:G37,$E$7:E37,E37)</x:f>
        <x:v>66345.45454545456</x:v>
      </x:c>
      <x:c r="J37" s="53" t="n">
        <x:f>COUNTIFS('Path Daily'!$C$7:$C$1098,E37,'Path Daily'!$N$7:$N$1098,"&lt;"&amp;G37)</x:f>
        <x:v>2</x:v>
      </x:c>
      <x:c r="K37" s="53" t="n">
        <x:f>'Paths'!Q10+'Paths'!R10+'Paths'!S10</x:f>
        <x:v>0.6</x:v>
      </x:c>
      <x:c r="L37" s="53" t="n">
        <x:f>J37+ROUNDUP(K37,0)</x:f>
        <x:v>3</x:v>
      </x:c>
      <x:c r="M37" s="45" t="n">
        <x:f>'Cargo Records'!AB37</x:f>
        <x:v>14</x:v>
      </x:c>
      <x:c r="N37" s="45" t="n">
        <x:f>M37-L37</x:f>
        <x:v>11</x:v>
      </x:c>
      <x:c r="O37" s="45" t="str">
        <x:f>IF(L37&lt;=M37,"CLOSE","LATE")</x:f>
        <x:v>CLOSE</x:v>
      </x:c>
      <x:c r="P37" s="45" t="str">
        <x:f>IF(ISNUMBER(SEARCH(F37,'Cargo Records'!L37)),"PASS","FAIL")</x:f>
        <x:v>PASS</x:v>
      </x:c>
      <x:c r="Q37" s="45" t="str">
        <x:f>IF(J37&gt;='Cargo Records'!AC37,"PASS","FAIL")</x:f>
        <x:v>PASS</x:v>
      </x:c>
      <x:c r="R37" s="45" t="str">
        <x:f>'Cargo Records'!H37</x:f>
        <x:v>Z1–Z8</x:v>
      </x:c>
      <x:c r="S37" s="45" t="str">
        <x:f>'Cargo Records'!Y37</x:f>
        <x:v>End-to-end access</x:v>
      </x:c>
      <x:c r="T37" s="45" t="n">
        <x:f>'Cargo Records'!Z37</x:f>
        <x:v>12000</x:v>
      </x:c>
    </x:row>
    <x:row r="38">
      <x:c r="C38" s="45" t="str">
        <x:f>'Cargo Records'!C38</x:f>
        <x:v>C3-032</x:v>
      </x:c>
      <x:c r="D38" s="45" t="str">
        <x:f>'Cargo Records'!D38</x:f>
        <x:v>R2</x:v>
      </x:c>
      <x:c r="E38" s="45" t="str">
        <x:f>'Cargo Records'!J38</x:f>
        <x:v>P8</x:v>
      </x:c>
      <x:c r="F38" s="45" t="str">
        <x:f>'Paths'!E15</x:f>
        <x:v>Road</x:v>
      </x:c>
      <x:c r="G38" s="53" t="n">
        <x:f>'Cargo Records'!T38</x:f>
        <x:v>23024</x:v>
      </x:c>
      <x:c r="H38" s="53" t="n">
        <x:f>'Cargo Records'!O38</x:f>
        <x:v>17268</x:v>
      </x:c>
      <x:c r="I38" s="53" t="n">
        <x:f>SUMIFS($G$7:G38,$E$7:E38,E38)</x:f>
        <x:v>51774</x:v>
      </x:c>
      <x:c r="J38" s="53" t="n">
        <x:f>COUNTIFS('Path Daily'!$C$7:$C$1098,E38,'Path Daily'!$N$7:$N$1098,"&lt;"&amp;G38)</x:f>
        <x:v>10</x:v>
      </x:c>
      <x:c r="K38" s="53" t="n">
        <x:f>'Paths'!Q15+'Paths'!R15+'Paths'!S15</x:f>
        <x:v>1</x:v>
      </x:c>
      <x:c r="L38" s="53" t="n">
        <x:f>J38+ROUNDUP(K38,0)</x:f>
        <x:v>11</x:v>
      </x:c>
      <x:c r="M38" s="45" t="n">
        <x:f>'Cargo Records'!AB38</x:f>
        <x:v>14</x:v>
      </x:c>
      <x:c r="N38" s="45" t="n">
        <x:f>M38-L38</x:f>
        <x:v>3</x:v>
      </x:c>
      <x:c r="O38" s="45" t="str">
        <x:f>IF(L38&lt;=M38,"CLOSE","LATE")</x:f>
        <x:v>CLOSE</x:v>
      </x:c>
      <x:c r="P38" s="45" t="str">
        <x:f>IF(ISNUMBER(SEARCH(F38,'Cargo Records'!L38)),"PASS","FAIL")</x:f>
        <x:v>PASS</x:v>
      </x:c>
      <x:c r="Q38" s="45" t="str">
        <x:f>IF(J38&gt;='Cargo Records'!AC38,"PASS","FAIL")</x:f>
        <x:v>PASS</x:v>
      </x:c>
      <x:c r="R38" s="45" t="str">
        <x:f>'Cargo Records'!H38</x:f>
        <x:v>Z1–Z9</x:v>
      </x:c>
      <x:c r="S38" s="45" t="str">
        <x:f>'Cargo Records'!Y38</x:f>
        <x:v>Civil command coverage</x:v>
      </x:c>
      <x:c r="T38" s="45" t="n">
        <x:f>'Cargo Records'!Z38</x:f>
        <x:v>2</x:v>
      </x:c>
    </x:row>
    <x:row r="39">
      <x:c r="C39" s="45" t="str">
        <x:f>'Cargo Records'!C39</x:f>
        <x:v>C3-033</x:v>
      </x:c>
      <x:c r="D39" s="45" t="str">
        <x:f>'Cargo Records'!D39</x:f>
        <x:v>R3</x:v>
      </x:c>
      <x:c r="E39" s="45" t="str">
        <x:f>'Cargo Records'!J39</x:f>
        <x:v>P8</x:v>
      </x:c>
      <x:c r="F39" s="45" t="str">
        <x:f>'Paths'!E15</x:f>
        <x:v>Road</x:v>
      </x:c>
      <x:c r="G39" s="53" t="n">
        <x:f>'Cargo Records'!T39</x:f>
        <x:v>86250</x:v>
      </x:c>
      <x:c r="H39" s="53" t="n">
        <x:f>'Cargo Records'!O39</x:f>
        <x:v>75000</x:v>
      </x:c>
      <x:c r="I39" s="53" t="n">
        <x:f>SUMIFS($G$7:G39,$E$7:E39,E39)</x:f>
        <x:v>138024</x:v>
      </x:c>
      <x:c r="J39" s="53" t="n">
        <x:f>COUNTIFS('Path Daily'!$C$7:$C$1098,E39,'Path Daily'!$N$7:$N$1098,"&lt;"&amp;G39)</x:f>
        <x:v>19</x:v>
      </x:c>
      <x:c r="K39" s="53" t="n">
        <x:f>'Paths'!Q15+'Paths'!R15+'Paths'!S15</x:f>
        <x:v>1</x:v>
      </x:c>
      <x:c r="L39" s="53" t="n">
        <x:f>J39+ROUNDUP(K39,0)</x:f>
        <x:v>20</x:v>
      </x:c>
      <x:c r="M39" s="45" t="n">
        <x:f>'Cargo Records'!AB39</x:f>
        <x:v>45</x:v>
      </x:c>
      <x:c r="N39" s="45" t="n">
        <x:f>M39-L39</x:f>
        <x:v>25</x:v>
      </x:c>
      <x:c r="O39" s="45" t="str">
        <x:f>IF(L39&lt;=M39,"CLOSE","LATE")</x:f>
        <x:v>CLOSE</x:v>
      </x:c>
      <x:c r="P39" s="45" t="str">
        <x:f>IF(ISNUMBER(SEARCH(F39,'Cargo Records'!L39)),"PASS","FAIL")</x:f>
        <x:v>PASS</x:v>
      </x:c>
      <x:c r="Q39" s="45" t="str">
        <x:f>IF(J39&gt;='Cargo Records'!AC39,"PASS","FAIL")</x:f>
        <x:v>PASS</x:v>
      </x:c>
      <x:c r="R39" s="45" t="str">
        <x:f>'Cargo Records'!H39</x:f>
        <x:v>Z1–Z4</x:v>
      </x:c>
      <x:c r="S39" s="45" t="str">
        <x:f>'Cargo Records'!Y39</x:f>
        <x:v>End-to-end access</x:v>
      </x:c>
      <x:c r="T39" s="45" t="n">
        <x:f>'Cargo Records'!Z39</x:f>
        <x:v>32000</x:v>
      </x:c>
    </x:row>
    <x:row r="40">
      <x:c r="C40" s="45" t="str">
        <x:f>'Cargo Records'!C40</x:f>
        <x:v>C3-034</x:v>
      </x:c>
      <x:c r="D40" s="45" t="str">
        <x:f>'Cargo Records'!D40</x:f>
        <x:v>R3</x:v>
      </x:c>
      <x:c r="E40" s="45" t="str">
        <x:f>'Cargo Records'!J40</x:f>
        <x:v>P9</x:v>
      </x:c>
      <x:c r="F40" s="45" t="str">
        <x:f>'Paths'!E16</x:f>
        <x:v>Road</x:v>
      </x:c>
      <x:c r="G40" s="53" t="n">
        <x:f>'Cargo Records'!T40</x:f>
        <x:v>71500</x:v>
      </x:c>
      <x:c r="H40" s="53" t="n">
        <x:f>'Cargo Records'!O40</x:f>
        <x:v>55000</x:v>
      </x:c>
      <x:c r="I40" s="53" t="n">
        <x:f>SUMIFS($G$7:G40,$E$7:E40,E40)</x:f>
        <x:v>96500</x:v>
      </x:c>
      <x:c r="J40" s="53" t="n">
        <x:f>COUNTIFS('Path Daily'!$C$7:$C$1098,E40,'Path Daily'!$N$7:$N$1098,"&lt;"&amp;G40)</x:f>
        <x:v>17</x:v>
      </x:c>
      <x:c r="K40" s="53" t="n">
        <x:f>'Paths'!Q16+'Paths'!R16+'Paths'!S16</x:f>
        <x:v>1</x:v>
      </x:c>
      <x:c r="L40" s="53" t="n">
        <x:f>J40+ROUNDUP(K40,0)</x:f>
        <x:v>18</x:v>
      </x:c>
      <x:c r="M40" s="45" t="n">
        <x:f>'Cargo Records'!AB40</x:f>
        <x:v>45</x:v>
      </x:c>
      <x:c r="N40" s="45" t="n">
        <x:f>M40-L40</x:f>
        <x:v>27</x:v>
      </x:c>
      <x:c r="O40" s="45" t="str">
        <x:f>IF(L40&lt;=M40,"CLOSE","LATE")</x:f>
        <x:v>CLOSE</x:v>
      </x:c>
      <x:c r="P40" s="45" t="str">
        <x:f>IF(ISNUMBER(SEARCH(F40,'Cargo Records'!L40)),"PASS","FAIL")</x:f>
        <x:v>PASS</x:v>
      </x:c>
      <x:c r="Q40" s="45" t="str">
        <x:f>IF(J40&gt;='Cargo Records'!AC40,"PASS","FAIL")</x:f>
        <x:v>PASS</x:v>
      </x:c>
      <x:c r="R40" s="45" t="str">
        <x:f>'Cargo Records'!H40</x:f>
        <x:v>Z1–Z8</x:v>
      </x:c>
      <x:c r="S40" s="45" t="str">
        <x:f>'Cargo Records'!Y40</x:f>
        <x:v>End-to-end access</x:v>
      </x:c>
      <x:c r="T40" s="45" t="n">
        <x:f>'Cargo Records'!Z40</x:f>
        <x:v>28000</x:v>
      </x:c>
    </x:row>
    <x:row r="41">
      <x:c r="C41" s="45" t="str">
        <x:f>'Cargo Records'!C41</x:f>
        <x:v>C3-035</x:v>
      </x:c>
      <x:c r="D41" s="45" t="str">
        <x:f>'Cargo Records'!D41</x:f>
        <x:v>R3</x:v>
      </x:c>
      <x:c r="E41" s="45" t="str">
        <x:f>'Cargo Records'!J41</x:f>
        <x:v>P6</x:v>
      </x:c>
      <x:c r="F41" s="45" t="str">
        <x:f>'Paths'!E13</x:f>
        <x:v>Ocean</x:v>
      </x:c>
      <x:c r="G41" s="53" t="n">
        <x:f>'Cargo Records'!T41</x:f>
        <x:v>81000</x:v>
      </x:c>
      <x:c r="H41" s="53" t="n">
        <x:f>'Cargo Records'!O41</x:f>
        <x:v>60000</x:v>
      </x:c>
      <x:c r="I41" s="53" t="n">
        <x:f>SUMIFS($G$7:G41,$E$7:E41,E41)</x:f>
        <x:v>102600</x:v>
      </x:c>
      <x:c r="J41" s="53" t="n">
        <x:f>COUNTIFS('Path Daily'!$C$7:$C$1098,E41,'Path Daily'!$N$7:$N$1098,"&lt;"&amp;G41)</x:f>
        <x:v>16</x:v>
      </x:c>
      <x:c r="K41" s="53" t="n">
        <x:f>'Paths'!Q13+'Paths'!R13+'Paths'!S13</x:f>
        <x:v>2.5</x:v>
      </x:c>
      <x:c r="L41" s="53" t="n">
        <x:f>J41+ROUNDUP(K41,0)</x:f>
        <x:v>19</x:v>
      </x:c>
      <x:c r="M41" s="45" t="n">
        <x:f>'Cargo Records'!AB41</x:f>
        <x:v>45</x:v>
      </x:c>
      <x:c r="N41" s="45" t="n">
        <x:f>M41-L41</x:f>
        <x:v>26</x:v>
      </x:c>
      <x:c r="O41" s="45" t="str">
        <x:f>IF(L41&lt;=M41,"CLOSE","LATE")</x:f>
        <x:v>CLOSE</x:v>
      </x:c>
      <x:c r="P41" s="45" t="str">
        <x:f>IF(ISNUMBER(SEARCH(F41,'Cargo Records'!L41)),"PASS","FAIL")</x:f>
        <x:v>PASS</x:v>
      </x:c>
      <x:c r="Q41" s="45" t="str">
        <x:f>IF(J41&gt;='Cargo Records'!AC41,"PASS","FAIL")</x:f>
        <x:v>PASS</x:v>
      </x:c>
      <x:c r="R41" s="45" t="str">
        <x:f>'Cargo Records'!H41</x:f>
        <x:v>Z1/Z3/Z8</x:v>
      </x:c>
      <x:c r="S41" s="45" t="str">
        <x:f>'Cargo Records'!Y41</x:f>
        <x:v>End-to-end access</x:v>
      </x:c>
      <x:c r="T41" s="45" t="n">
        <x:f>'Cargo Records'!Z41</x:f>
        <x:v>38000</x:v>
      </x:c>
    </x:row>
    <x:row r="42">
      <x:c r="C42" s="45" t="str">
        <x:f>'Cargo Records'!C42</x:f>
        <x:v>C3-036</x:v>
      </x:c>
      <x:c r="D42" s="45" t="str">
        <x:f>'Cargo Records'!D42</x:f>
        <x:v>R3</x:v>
      </x:c>
      <x:c r="E42" s="45" t="str">
        <x:f>'Cargo Records'!J42</x:f>
        <x:v>P5</x:v>
      </x:c>
      <x:c r="F42" s="45" t="str">
        <x:f>'Paths'!E12</x:f>
        <x:v>Littoral</x:v>
      </x:c>
      <x:c r="G42" s="53" t="n">
        <x:f>'Cargo Records'!T42</x:f>
        <x:v>84696.9696969697</x:v>
      </x:c>
      <x:c r="H42" s="53" t="n">
        <x:f>'Cargo Records'!O42</x:f>
        <x:v>43000</x:v>
      </x:c>
      <x:c r="I42" s="53" t="n">
        <x:f>SUMIFS($G$7:G42,$E$7:E42,E42)</x:f>
        <x:v>175000</x:v>
      </x:c>
      <x:c r="J42" s="53" t="n">
        <x:f>COUNTIFS('Path Daily'!$C$7:$C$1098,E42,'Path Daily'!$N$7:$N$1098,"&lt;"&amp;G42)</x:f>
        <x:v>10</x:v>
      </x:c>
      <x:c r="K42" s="53" t="n">
        <x:f>'Paths'!Q12+'Paths'!R12+'Paths'!S12</x:f>
        <x:v>2</x:v>
      </x:c>
      <x:c r="L42" s="53" t="n">
        <x:f>J42+ROUNDUP(K42,0)</x:f>
        <x:v>12</x:v>
      </x:c>
      <x:c r="M42" s="45" t="n">
        <x:f>'Cargo Records'!AB42</x:f>
        <x:v>45</x:v>
      </x:c>
      <x:c r="N42" s="45" t="n">
        <x:f>M42-L42</x:f>
        <x:v>33</x:v>
      </x:c>
      <x:c r="O42" s="45" t="str">
        <x:f>IF(L42&lt;=M42,"CLOSE","LATE")</x:f>
        <x:v>CLOSE</x:v>
      </x:c>
      <x:c r="P42" s="45" t="str">
        <x:f>IF(ISNUMBER(SEARCH(F42,'Cargo Records'!L42)),"PASS","FAIL")</x:f>
        <x:v>PASS</x:v>
      </x:c>
      <x:c r="Q42" s="45" t="str">
        <x:f>IF(J42&gt;='Cargo Records'!AC42,"PASS","FAIL")</x:f>
        <x:v>PASS</x:v>
      </x:c>
      <x:c r="R42" s="45" t="str">
        <x:f>'Cargo Records'!H42</x:f>
        <x:v>Z1–Z7</x:v>
      </x:c>
      <x:c r="S42" s="45" t="str">
        <x:f>'Cargo Records'!Y42</x:f>
        <x:v>End-to-end access</x:v>
      </x:c>
      <x:c r="T42" s="45" t="n">
        <x:f>'Cargo Records'!Z42</x:f>
        <x:v>28000</x:v>
      </x:c>
    </x:row>
    <x:row r="43">
      <x:c r="C43" s="45" t="str">
        <x:f>'Cargo Records'!C43</x:f>
        <x:v>C3-037</x:v>
      </x:c>
      <x:c r="D43" s="45" t="str">
        <x:f>'Cargo Records'!D43</x:f>
        <x:v>R3</x:v>
      </x:c>
      <x:c r="E43" s="45" t="str">
        <x:f>'Cargo Records'!J43</x:f>
        <x:v>P10</x:v>
      </x:c>
      <x:c r="F43" s="45" t="str">
        <x:f>'Paths'!E17</x:f>
        <x:v>Rail</x:v>
      </x:c>
      <x:c r="G43" s="53" t="n">
        <x:f>'Cargo Records'!T43</x:f>
        <x:v>71212.12121212122</x:v>
      </x:c>
      <x:c r="H43" s="53" t="n">
        <x:f>'Cargo Records'!O43</x:f>
        <x:v>47000</x:v>
      </x:c>
      <x:c r="I43" s="53" t="n">
        <x:f>SUMIFS($G$7:G43,$E$7:E43,E43)</x:f>
        <x:v>71212.12121212122</x:v>
      </x:c>
      <x:c r="J43" s="53" t="n">
        <x:f>COUNTIFS('Path Daily'!$C$7:$C$1098,E43,'Path Daily'!$N$7:$N$1098,"&lt;"&amp;G43)</x:f>
        <x:v>25</x:v>
      </x:c>
      <x:c r="K43" s="53" t="n">
        <x:f>'Paths'!Q17+'Paths'!R17+'Paths'!S17</x:f>
        <x:v>2</x:v>
      </x:c>
      <x:c r="L43" s="53" t="n">
        <x:f>J43+ROUNDUP(K43,0)</x:f>
        <x:v>27</x:v>
      </x:c>
      <x:c r="M43" s="45" t="n">
        <x:f>'Cargo Records'!AB43</x:f>
        <x:v>45</x:v>
      </x:c>
      <x:c r="N43" s="45" t="n">
        <x:f>M43-L43</x:f>
        <x:v>18</x:v>
      </x:c>
      <x:c r="O43" s="45" t="str">
        <x:f>IF(L43&lt;=M43,"CLOSE","LATE")</x:f>
        <x:v>CLOSE</x:v>
      </x:c>
      <x:c r="P43" s="45" t="str">
        <x:f>IF(ISNUMBER(SEARCH(F43,'Cargo Records'!L43)),"PASS","FAIL")</x:f>
        <x:v>PASS</x:v>
      </x:c>
      <x:c r="Q43" s="45" t="str">
        <x:f>IF(J43&gt;='Cargo Records'!AC43,"PASS","FAIL")</x:f>
        <x:v>PASS</x:v>
      </x:c>
      <x:c r="R43" s="45" t="str">
        <x:f>'Cargo Records'!H43</x:f>
        <x:v>Z2/Z3/Z4/Z8</x:v>
      </x:c>
      <x:c r="S43" s="45" t="str">
        <x:f>'Cargo Records'!Y43</x:f>
        <x:v>End-to-end access</x:v>
      </x:c>
      <x:c r="T43" s="45" t="n">
        <x:f>'Cargo Records'!Z43</x:f>
        <x:v>45000</x:v>
      </x:c>
    </x:row>
    <x:row r="44">
      <x:c r="C44" s="45" t="str">
        <x:f>'Cargo Records'!C44</x:f>
        <x:v>C3-038</x:v>
      </x:c>
      <x:c r="D44" s="45" t="str">
        <x:f>'Cargo Records'!D44</x:f>
        <x:v>R3</x:v>
      </x:c>
      <x:c r="E44" s="45" t="str">
        <x:f>'Cargo Records'!J44</x:f>
        <x:v>P6</x:v>
      </x:c>
      <x:c r="F44" s="45" t="str">
        <x:f>'Paths'!E13</x:f>
        <x:v>Ocean</x:v>
      </x:c>
      <x:c r="G44" s="53" t="n">
        <x:f>'Cargo Records'!T44</x:f>
        <x:v>98484.84848484848</x:v>
      </x:c>
      <x:c r="H44" s="53" t="n">
        <x:f>'Cargo Records'!O44</x:f>
        <x:v>52000</x:v>
      </x:c>
      <x:c r="I44" s="53" t="n">
        <x:f>SUMIFS($G$7:G44,$E$7:E44,E44)</x:f>
        <x:v>201084.84848484848</x:v>
      </x:c>
      <x:c r="J44" s="53" t="n">
        <x:f>COUNTIFS('Path Daily'!$C$7:$C$1098,E44,'Path Daily'!$N$7:$N$1098,"&lt;"&amp;G44)</x:f>
        <x:v>19</x:v>
      </x:c>
      <x:c r="K44" s="53" t="n">
        <x:f>'Paths'!Q13+'Paths'!R13+'Paths'!S13</x:f>
        <x:v>2.5</x:v>
      </x:c>
      <x:c r="L44" s="53" t="n">
        <x:f>J44+ROUNDUP(K44,0)</x:f>
        <x:v>22</x:v>
      </x:c>
      <x:c r="M44" s="45" t="n">
        <x:f>'Cargo Records'!AB44</x:f>
        <x:v>45</x:v>
      </x:c>
      <x:c r="N44" s="45" t="n">
        <x:f>M44-L44</x:f>
        <x:v>23</x:v>
      </x:c>
      <x:c r="O44" s="45" t="str">
        <x:f>IF(L44&lt;=M44,"CLOSE","LATE")</x:f>
        <x:v>CLOSE</x:v>
      </x:c>
      <x:c r="P44" s="45" t="str">
        <x:f>IF(ISNUMBER(SEARCH(F44,'Cargo Records'!L44)),"PASS","FAIL")</x:f>
        <x:v>PASS</x:v>
      </x:c>
      <x:c r="Q44" s="45" t="str">
        <x:f>IF(J44&gt;='Cargo Records'!AC44,"PASS","FAIL")</x:f>
        <x:v>PASS</x:v>
      </x:c>
      <x:c r="R44" s="45" t="str">
        <x:f>'Cargo Records'!H44</x:f>
        <x:v>Z1–Z8</x:v>
      </x:c>
      <x:c r="S44" s="45" t="str">
        <x:f>'Cargo Records'!Y44</x:f>
        <x:v>Staffed health capacity</x:v>
      </x:c>
      <x:c r="T44" s="45" t="n">
        <x:f>'Cargo Records'!Z44</x:f>
        <x:v>13500</x:v>
      </x:c>
    </x:row>
    <x:row r="45">
      <x:c r="C45" s="45" t="str">
        <x:f>'Cargo Records'!C45</x:f>
        <x:v>C3-039</x:v>
      </x:c>
      <x:c r="D45" s="45" t="str">
        <x:f>'Cargo Records'!D45</x:f>
        <x:v>R3</x:v>
      </x:c>
      <x:c r="E45" s="45" t="str">
        <x:f>'Cargo Records'!J45</x:f>
        <x:v>P7</x:v>
      </x:c>
      <x:c r="F45" s="45" t="str">
        <x:f>'Paths'!E14</x:f>
        <x:v>Inland water</x:v>
      </x:c>
      <x:c r="G45" s="53" t="n">
        <x:f>'Cargo Records'!T45</x:f>
        <x:v>90909.09090909091</x:v>
      </x:c>
      <x:c r="H45" s="53" t="n">
        <x:f>'Cargo Records'!O45</x:f>
        <x:v>60000</x:v>
      </x:c>
      <x:c r="I45" s="53" t="n">
        <x:f>SUMIFS($G$7:G45,$E$7:E45,E45)</x:f>
        <x:v>143818.18181818182</x:v>
      </x:c>
      <x:c r="J45" s="53" t="n">
        <x:f>COUNTIFS('Path Daily'!$C$7:$C$1098,E45,'Path Daily'!$N$7:$N$1098,"&lt;"&amp;G45)</x:f>
        <x:v>15</x:v>
      </x:c>
      <x:c r="K45" s="53" t="n">
        <x:f>'Paths'!Q14+'Paths'!R14+'Paths'!S14</x:f>
        <x:v>2</x:v>
      </x:c>
      <x:c r="L45" s="53" t="n">
        <x:f>J45+ROUNDUP(K45,0)</x:f>
        <x:v>17</x:v>
      </x:c>
      <x:c r="M45" s="45" t="n">
        <x:f>'Cargo Records'!AB45</x:f>
        <x:v>45</x:v>
      </x:c>
      <x:c r="N45" s="45" t="n">
        <x:f>M45-L45</x:f>
        <x:v>28</x:v>
      </x:c>
      <x:c r="O45" s="45" t="str">
        <x:f>IF(L45&lt;=M45,"CLOSE","LATE")</x:f>
        <x:v>CLOSE</x:v>
      </x:c>
      <x:c r="P45" s="45" t="str">
        <x:f>IF(ISNUMBER(SEARCH(F45,'Cargo Records'!L45)),"PASS","FAIL")</x:f>
        <x:v>PASS</x:v>
      </x:c>
      <x:c r="Q45" s="45" t="str">
        <x:f>IF(J45&gt;='Cargo Records'!AC45,"PASS","FAIL")</x:f>
        <x:v>PASS</x:v>
      </x:c>
      <x:c r="R45" s="45" t="str">
        <x:f>'Cargo Records'!H45</x:f>
        <x:v>Z1–Z8</x:v>
      </x:c>
      <x:c r="S45" s="45" t="str">
        <x:f>'Cargo Records'!Y45</x:f>
        <x:v>Potable and essential water</x:v>
      </x:c>
      <x:c r="T45" s="45" t="n">
        <x:f>'Cargo Records'!Z45</x:f>
        <x:v>12000</x:v>
      </x:c>
    </x:row>
    <x:row r="46">
      <x:c r="C46" s="45" t="str">
        <x:f>'Cargo Records'!C46</x:f>
        <x:v>C3-040</x:v>
      </x:c>
      <x:c r="D46" s="45" t="str">
        <x:f>'Cargo Records'!D46</x:f>
        <x:v>R3</x:v>
      </x:c>
      <x:c r="E46" s="45" t="str">
        <x:f>'Cargo Records'!J46</x:f>
        <x:v>P6</x:v>
      </x:c>
      <x:c r="F46" s="45" t="str">
        <x:f>'Paths'!E13</x:f>
        <x:v>Ocean</x:v>
      </x:c>
      <x:c r="G46" s="53" t="n">
        <x:f>'Cargo Records'!T46</x:f>
        <x:v>102424.24242424242</x:v>
      </x:c>
      <x:c r="H46" s="53" t="n">
        <x:f>'Cargo Records'!O46</x:f>
        <x:v>65000</x:v>
      </x:c>
      <x:c r="I46" s="53" t="n">
        <x:f>SUMIFS($G$7:G46,$E$7:E46,E46)</x:f>
        <x:v>303509.0909090909</x:v>
      </x:c>
      <x:c r="J46" s="53" t="n">
        <x:f>COUNTIFS('Path Daily'!$C$7:$C$1098,E46,'Path Daily'!$N$7:$N$1098,"&lt;"&amp;G46)</x:f>
        <x:v>19</x:v>
      </x:c>
      <x:c r="K46" s="53" t="n">
        <x:f>'Paths'!Q13+'Paths'!R13+'Paths'!S13</x:f>
        <x:v>2.5</x:v>
      </x:c>
      <x:c r="L46" s="53" t="n">
        <x:f>J46+ROUNDUP(K46,0)</x:f>
        <x:v>22</x:v>
      </x:c>
      <x:c r="M46" s="45" t="n">
        <x:f>'Cargo Records'!AB46</x:f>
        <x:v>45</x:v>
      </x:c>
      <x:c r="N46" s="45" t="n">
        <x:f>M46-L46</x:f>
        <x:v>23</x:v>
      </x:c>
      <x:c r="O46" s="45" t="str">
        <x:f>IF(L46&lt;=M46,"CLOSE","LATE")</x:f>
        <x:v>CLOSE</x:v>
      </x:c>
      <x:c r="P46" s="45" t="str">
        <x:f>IF(ISNUMBER(SEARCH(F46,'Cargo Records'!L46)),"PASS","FAIL")</x:f>
        <x:v>PASS</x:v>
      </x:c>
      <x:c r="Q46" s="45" t="str">
        <x:f>IF(J46&gt;='Cargo Records'!AC46,"PASS","FAIL")</x:f>
        <x:v>PASS</x:v>
      </x:c>
      <x:c r="R46" s="45" t="str">
        <x:f>'Cargo Records'!H46</x:f>
        <x:v>Z1–Z8</x:v>
      </x:c>
      <x:c r="S46" s="45" t="str">
        <x:f>'Cargo Records'!Y46</x:f>
        <x:v>Critical-load power</x:v>
      </x:c>
      <x:c r="T46" s="45" t="n">
        <x:f>'Cargo Records'!Z46</x:f>
        <x:v>3600</x:v>
      </x:c>
    </x:row>
    <x:row r="47">
      <x:c r="C47" s="45" t="str">
        <x:f>'Cargo Records'!C47</x:f>
        <x:v>C3-041</x:v>
      </x:c>
      <x:c r="D47" s="45" t="str">
        <x:f>'Cargo Records'!D47</x:f>
        <x:v>R3</x:v>
      </x:c>
      <x:c r="E47" s="45" t="str">
        <x:f>'Cargo Records'!J47</x:f>
        <x:v>P7</x:v>
      </x:c>
      <x:c r="F47" s="45" t="str">
        <x:f>'Paths'!E14</x:f>
        <x:v>Inland water</x:v>
      </x:c>
      <x:c r="G47" s="53" t="n">
        <x:f>'Cargo Records'!T47</x:f>
        <x:v>61090.90909090909</x:v>
      </x:c>
      <x:c r="H47" s="53" t="n">
        <x:f>'Cargo Records'!O47</x:f>
        <x:v>42000</x:v>
      </x:c>
      <x:c r="I47" s="53" t="n">
        <x:f>SUMIFS($G$7:G47,$E$7:E47,E47)</x:f>
        <x:v>204909.0909090909</x:v>
      </x:c>
      <x:c r="J47" s="53" t="n">
        <x:f>COUNTIFS('Path Daily'!$C$7:$C$1098,E47,'Path Daily'!$N$7:$N$1098,"&lt;"&amp;G47)</x:f>
        <x:v>12</x:v>
      </x:c>
      <x:c r="K47" s="53" t="n">
        <x:f>'Paths'!Q14+'Paths'!R14+'Paths'!S14</x:f>
        <x:v>2</x:v>
      </x:c>
      <x:c r="L47" s="53" t="n">
        <x:f>J47+ROUNDUP(K47,0)</x:f>
        <x:v>14</x:v>
      </x:c>
      <x:c r="M47" s="45" t="n">
        <x:f>'Cargo Records'!AB47</x:f>
        <x:v>45</x:v>
      </x:c>
      <x:c r="N47" s="45" t="n">
        <x:f>M47-L47</x:f>
        <x:v>31</x:v>
      </x:c>
      <x:c r="O47" s="45" t="str">
        <x:f>IF(L47&lt;=M47,"CLOSE","LATE")</x:f>
        <x:v>CLOSE</x:v>
      </x:c>
      <x:c r="P47" s="45" t="str">
        <x:f>IF(ISNUMBER(SEARCH(F47,'Cargo Records'!L47)),"PASS","FAIL")</x:f>
        <x:v>PASS</x:v>
      </x:c>
      <x:c r="Q47" s="45" t="str">
        <x:f>IF(J47&gt;='Cargo Records'!AC47,"PASS","FAIL")</x:f>
        <x:v>PASS</x:v>
      </x:c>
      <x:c r="R47" s="45" t="str">
        <x:f>'Cargo Records'!H47</x:f>
        <x:v>Z1–Z8</x:v>
      </x:c>
      <x:c r="S47" s="45" t="str">
        <x:f>'Cargo Records'!Y47</x:f>
        <x:v>Sanitation</x:v>
      </x:c>
      <x:c r="T47" s="45" t="n">
        <x:f>'Cargo Records'!Z47</x:f>
        <x:v>350000</x:v>
      </x:c>
    </x:row>
    <x:row r="48">
      <x:c r="C48" s="45" t="str">
        <x:f>'Cargo Records'!C48</x:f>
        <x:v>C3-042</x:v>
      </x:c>
      <x:c r="D48" s="45" t="str">
        <x:f>'Cargo Records'!D48</x:f>
        <x:v>R3</x:v>
      </x:c>
      <x:c r="E48" s="45" t="str">
        <x:f>'Cargo Records'!J48</x:f>
        <x:v>P5</x:v>
      </x:c>
      <x:c r="F48" s="45" t="str">
        <x:f>'Paths'!E12</x:f>
        <x:v>Littoral</x:v>
      </x:c>
      <x:c r="G48" s="53" t="n">
        <x:f>'Cargo Records'!T48</x:f>
        <x:v>166666.6666666667</x:v>
      </x:c>
      <x:c r="H48" s="53" t="n">
        <x:f>'Cargo Records'!O48</x:f>
        <x:v>55000</x:v>
      </x:c>
      <x:c r="I48" s="53" t="n">
        <x:f>SUMIFS($G$7:G48,$E$7:E48,E48)</x:f>
        <x:v>341666.6666666667</x:v>
      </x:c>
      <x:c r="J48" s="53" t="n">
        <x:f>COUNTIFS('Path Daily'!$C$7:$C$1098,E48,'Path Daily'!$N$7:$N$1098,"&lt;"&amp;G48)</x:f>
        <x:v>15</x:v>
      </x:c>
      <x:c r="K48" s="53" t="n">
        <x:f>'Paths'!Q12+'Paths'!R12+'Paths'!S12</x:f>
        <x:v>2</x:v>
      </x:c>
      <x:c r="L48" s="53" t="n">
        <x:f>J48+ROUNDUP(K48,0)</x:f>
        <x:v>17</x:v>
      </x:c>
      <x:c r="M48" s="45" t="n">
        <x:f>'Cargo Records'!AB48</x:f>
        <x:v>45</x:v>
      </x:c>
      <x:c r="N48" s="45" t="n">
        <x:f>M48-L48</x:f>
        <x:v>28</x:v>
      </x:c>
      <x:c r="O48" s="45" t="str">
        <x:f>IF(L48&lt;=M48,"CLOSE","LATE")</x:f>
        <x:v>CLOSE</x:v>
      </x:c>
      <x:c r="P48" s="45" t="str">
        <x:f>IF(ISNUMBER(SEARCH(F48,'Cargo Records'!L48)),"PASS","FAIL")</x:f>
        <x:v>PASS</x:v>
      </x:c>
      <x:c r="Q48" s="45" t="str">
        <x:f>IF(J48&gt;='Cargo Records'!AC48,"PASS","FAIL")</x:f>
        <x:v>PASS</x:v>
      </x:c>
      <x:c r="R48" s="45" t="str">
        <x:f>'Cargo Records'!H48</x:f>
        <x:v>Z1–Z8</x:v>
      </x:c>
      <x:c r="S48" s="45" t="str">
        <x:f>'Cargo Records'!Y48</x:f>
        <x:v>Emergency shelter</x:v>
      </x:c>
      <x:c r="T48" s="45" t="n">
        <x:f>'Cargo Records'!Z48</x:f>
        <x:v>250000</x:v>
      </x:c>
    </x:row>
    <x:row r="49">
      <x:c r="C49" s="45" t="str">
        <x:f>'Cargo Records'!C49</x:f>
        <x:v>C3-043</x:v>
      </x:c>
      <x:c r="D49" s="45" t="str">
        <x:f>'Cargo Records'!D49</x:f>
        <x:v>R3</x:v>
      </x:c>
      <x:c r="E49" s="45" t="str">
        <x:f>'Cargo Records'!J49</x:f>
        <x:v>P6</x:v>
      </x:c>
      <x:c r="F49" s="45" t="str">
        <x:f>'Paths'!E13</x:f>
        <x:v>Ocean</x:v>
      </x:c>
      <x:c r="G49" s="53" t="n">
        <x:f>'Cargo Records'!T49</x:f>
        <x:v>69696.9696969697</x:v>
      </x:c>
      <x:c r="H49" s="53" t="n">
        <x:f>'Cargo Records'!O49</x:f>
        <x:v>50000</x:v>
      </x:c>
      <x:c r="I49" s="53" t="n">
        <x:f>SUMIFS($G$7:G49,$E$7:E49,E49)</x:f>
        <x:v>373206.06060606055</x:v>
      </x:c>
      <x:c r="J49" s="53" t="n">
        <x:f>COUNTIFS('Path Daily'!$C$7:$C$1098,E49,'Path Daily'!$N$7:$N$1098,"&lt;"&amp;G49)</x:f>
        <x:v>14</x:v>
      </x:c>
      <x:c r="K49" s="53" t="n">
        <x:f>'Paths'!Q13+'Paths'!R13+'Paths'!S13</x:f>
        <x:v>2.5</x:v>
      </x:c>
      <x:c r="L49" s="53" t="n">
        <x:f>J49+ROUNDUP(K49,0)</x:f>
        <x:v>17</x:v>
      </x:c>
      <x:c r="M49" s="45" t="n">
        <x:f>'Cargo Records'!AB49</x:f>
        <x:v>45</x:v>
      </x:c>
      <x:c r="N49" s="45" t="n">
        <x:f>M49-L49</x:f>
        <x:v>28</x:v>
      </x:c>
      <x:c r="O49" s="45" t="str">
        <x:f>IF(L49&lt;=M49,"CLOSE","LATE")</x:f>
        <x:v>CLOSE</x:v>
      </x:c>
      <x:c r="P49" s="45" t="str">
        <x:f>IF(ISNUMBER(SEARCH(F49,'Cargo Records'!L49)),"PASS","FAIL")</x:f>
        <x:v>PASS</x:v>
      </x:c>
      <x:c r="Q49" s="45" t="str">
        <x:f>IF(J49&gt;='Cargo Records'!AC49,"PASS","FAIL")</x:f>
        <x:v>PASS</x:v>
      </x:c>
      <x:c r="R49" s="45" t="str">
        <x:f>'Cargo Records'!H49</x:f>
        <x:v>Z1–Z8</x:v>
      </x:c>
      <x:c r="S49" s="45" t="str">
        <x:f>'Cargo Records'!Y49</x:f>
        <x:v>Food and nutrition</x:v>
      </x:c>
      <x:c r="T49" s="45" t="n">
        <x:f>'Cargo Records'!Z49</x:f>
        <x:v>500000</x:v>
      </x:c>
    </x:row>
    <x:row r="50">
      <x:c r="C50" s="45" t="str">
        <x:f>'Cargo Records'!C50</x:f>
        <x:v>C3-044</x:v>
      </x:c>
      <x:c r="D50" s="45" t="str">
        <x:f>'Cargo Records'!D50</x:f>
        <x:v>R3</x:v>
      </x:c>
      <x:c r="E50" s="45" t="str">
        <x:f>'Cargo Records'!J50</x:f>
        <x:v>P6</x:v>
      </x:c>
      <x:c r="F50" s="45" t="str">
        <x:f>'Paths'!E13</x:f>
        <x:v>Ocean</x:v>
      </x:c>
      <x:c r="G50" s="53" t="n">
        <x:f>'Cargo Records'!T50</x:f>
        <x:v>54000</x:v>
      </x:c>
      <x:c r="H50" s="53" t="n">
        <x:f>'Cargo Records'!O50</x:f>
        <x:v>45000</x:v>
      </x:c>
      <x:c r="I50" s="53" t="n">
        <x:f>SUMIFS($G$7:G50,$E$7:E50,E50)</x:f>
        <x:v>427206.06060606055</x:v>
      </x:c>
      <x:c r="J50" s="53" t="n">
        <x:f>COUNTIFS('Path Daily'!$C$7:$C$1098,E50,'Path Daily'!$N$7:$N$1098,"&lt;"&amp;G50)</x:f>
        <x:v>13</x:v>
      </x:c>
      <x:c r="K50" s="53" t="n">
        <x:f>'Paths'!Q13+'Paths'!R13+'Paths'!S13</x:f>
        <x:v>2.5</x:v>
      </x:c>
      <x:c r="L50" s="53" t="n">
        <x:f>J50+ROUNDUP(K50,0)</x:f>
        <x:v>16</x:v>
      </x:c>
      <x:c r="M50" s="45" t="n">
        <x:f>'Cargo Records'!AB50</x:f>
        <x:v>45</x:v>
      </x:c>
      <x:c r="N50" s="45" t="n">
        <x:f>M50-L50</x:f>
        <x:v>29</x:v>
      </x:c>
      <x:c r="O50" s="45" t="str">
        <x:f>IF(L50&lt;=M50,"CLOSE","LATE")</x:f>
        <x:v>CLOSE</x:v>
      </x:c>
      <x:c r="P50" s="45" t="str">
        <x:f>IF(ISNUMBER(SEARCH(F50,'Cargo Records'!L50)),"PASS","FAIL")</x:f>
        <x:v>PASS</x:v>
      </x:c>
      <x:c r="Q50" s="45" t="str">
        <x:f>IF(J50&gt;='Cargo Records'!AC50,"PASS","FAIL")</x:f>
        <x:v>PASS</x:v>
      </x:c>
      <x:c r="R50" s="45" t="str">
        <x:f>'Cargo Records'!H50</x:f>
        <x:v>Z1–Z8</x:v>
      </x:c>
      <x:c r="S50" s="45" t="str">
        <x:f>'Cargo Records'!Y50</x:f>
        <x:v>Enabling / reserve</x:v>
      </x:c>
      <x:c r="T50" s="45" t="n">
        <x:f>'Cargo Records'!Z50</x:f>
        <x:v>0</x:v>
      </x:c>
    </x:row>
    <x:row r="51">
      <x:c r="C51" s="45" t="str">
        <x:f>'Cargo Records'!C51</x:f>
        <x:v>C3-045</x:v>
      </x:c>
      <x:c r="D51" s="45" t="str">
        <x:f>'Cargo Records'!D51</x:f>
        <x:v>R3</x:v>
      </x:c>
      <x:c r="E51" s="45" t="str">
        <x:f>'Cargo Records'!J51</x:f>
        <x:v>P11</x:v>
      </x:c>
      <x:c r="F51" s="45" t="str">
        <x:f>'Paths'!E18</x:f>
        <x:v>Ocean support</x:v>
      </x:c>
      <x:c r="G51" s="53" t="n">
        <x:f>'Cargo Records'!T51</x:f>
        <x:v>125000</x:v>
      </x:c>
      <x:c r="H51" s="53" t="n">
        <x:f>'Cargo Records'!O51</x:f>
        <x:v>55000</x:v>
      </x:c>
      <x:c r="I51" s="53" t="n">
        <x:f>SUMIFS($G$7:G51,$E$7:E51,E51)</x:f>
        <x:v>217363.63636363635</x:v>
      </x:c>
      <x:c r="J51" s="53" t="n">
        <x:f>COUNTIFS('Path Daily'!$C$7:$C$1098,E51,'Path Daily'!$N$7:$N$1098,"&lt;"&amp;G51)</x:f>
        <x:v>13</x:v>
      </x:c>
      <x:c r="K51" s="53" t="n">
        <x:f>'Paths'!Q18+'Paths'!R18+'Paths'!S18</x:f>
        <x:v>2</x:v>
      </x:c>
      <x:c r="L51" s="53" t="n">
        <x:f>J51+ROUNDUP(K51,0)</x:f>
        <x:v>15</x:v>
      </x:c>
      <x:c r="M51" s="45" t="n">
        <x:f>'Cargo Records'!AB51</x:f>
        <x:v>45</x:v>
      </x:c>
      <x:c r="N51" s="45" t="n">
        <x:f>M51-L51</x:f>
        <x:v>30</x:v>
      </x:c>
      <x:c r="O51" s="45" t="str">
        <x:f>IF(L51&lt;=M51,"CLOSE","LATE")</x:f>
        <x:v>CLOSE</x:v>
      </x:c>
      <x:c r="P51" s="45" t="str">
        <x:f>IF(ISNUMBER(SEARCH(F51,'Cargo Records'!L51)),"PASS","FAIL")</x:f>
        <x:v>PASS</x:v>
      </x:c>
      <x:c r="Q51" s="45" t="str">
        <x:f>IF(J51&gt;='Cargo Records'!AC51,"PASS","FAIL")</x:f>
        <x:v>PASS</x:v>
      </x:c>
      <x:c r="R51" s="45" t="str">
        <x:f>'Cargo Records'!H51</x:f>
        <x:v>Z1–Z9</x:v>
      </x:c>
      <x:c r="S51" s="45" t="str">
        <x:f>'Cargo Records'!Y51</x:f>
        <x:v>Responder basing</x:v>
      </x:c>
      <x:c r="T51" s="45" t="n">
        <x:f>'Cargo Records'!Z51</x:f>
        <x:v>45000</x:v>
      </x:c>
    </x:row>
    <x:row r="52">
      <x:c r="C52" s="45" t="str">
        <x:f>'Cargo Records'!C52</x:f>
        <x:v>C3-046</x:v>
      </x:c>
      <x:c r="D52" s="45" t="str">
        <x:f>'Cargo Records'!D52</x:f>
        <x:v>R3</x:v>
      </x:c>
      <x:c r="E52" s="45" t="str">
        <x:f>'Cargo Records'!J52</x:f>
        <x:v>P8</x:v>
      </x:c>
      <x:c r="F52" s="45" t="str">
        <x:f>'Paths'!E15</x:f>
        <x:v>Road</x:v>
      </x:c>
      <x:c r="G52" s="53" t="n">
        <x:f>'Cargo Records'!T52</x:f>
        <x:v>69600</x:v>
      </x:c>
      <x:c r="H52" s="53" t="n">
        <x:f>'Cargo Records'!O52</x:f>
        <x:v>58000</x:v>
      </x:c>
      <x:c r="I52" s="53" t="n">
        <x:f>SUMIFS($G$7:G52,$E$7:E52,E52)</x:f>
        <x:v>207624</x:v>
      </x:c>
      <x:c r="J52" s="53" t="n">
        <x:f>COUNTIFS('Path Daily'!$C$7:$C$1098,E52,'Path Daily'!$N$7:$N$1098,"&lt;"&amp;G52)</x:f>
        <x:v>17</x:v>
      </x:c>
      <x:c r="K52" s="53" t="n">
        <x:f>'Paths'!Q15+'Paths'!R15+'Paths'!S15</x:f>
        <x:v>1</x:v>
      </x:c>
      <x:c r="L52" s="53" t="n">
        <x:f>J52+ROUNDUP(K52,0)</x:f>
        <x:v>18</x:v>
      </x:c>
      <x:c r="M52" s="45" t="n">
        <x:f>'Cargo Records'!AB52</x:f>
        <x:v>45</x:v>
      </x:c>
      <x:c r="N52" s="45" t="n">
        <x:f>M52-L52</x:f>
        <x:v>27</x:v>
      </x:c>
      <x:c r="O52" s="45" t="str">
        <x:f>IF(L52&lt;=M52,"CLOSE","LATE")</x:f>
        <x:v>CLOSE</x:v>
      </x:c>
      <x:c r="P52" s="45" t="str">
        <x:f>IF(ISNUMBER(SEARCH(F52,'Cargo Records'!L52)),"PASS","FAIL")</x:f>
        <x:v>PASS</x:v>
      </x:c>
      <x:c r="Q52" s="45" t="str">
        <x:f>IF(J52&gt;='Cargo Records'!AC52,"PASS","FAIL")</x:f>
        <x:v>PASS</x:v>
      </x:c>
      <x:c r="R52" s="45" t="str">
        <x:f>'Cargo Records'!H52</x:f>
        <x:v>Z1–Z8</x:v>
      </x:c>
      <x:c r="S52" s="45" t="str">
        <x:f>'Cargo Records'!Y52</x:f>
        <x:v>Hazard-control works</x:v>
      </x:c>
      <x:c r="T52" s="45" t="n">
        <x:f>'Cargo Records'!Z52</x:f>
        <x:v>1200</x:v>
      </x:c>
    </x:row>
    <x:row r="53">
      <x:c r="C53" s="45" t="str">
        <x:f>'Cargo Records'!C53</x:f>
        <x:v>C3-047</x:v>
      </x:c>
      <x:c r="D53" s="45" t="str">
        <x:f>'Cargo Records'!D53</x:f>
        <x:v>R3</x:v>
      </x:c>
      <x:c r="E53" s="45" t="str">
        <x:f>'Cargo Records'!J53</x:f>
        <x:v>P10</x:v>
      </x:c>
      <x:c r="F53" s="45" t="str">
        <x:f>'Paths'!E17</x:f>
        <x:v>Rail</x:v>
      </x:c>
      <x:c r="G53" s="53" t="n">
        <x:f>'Cargo Records'!T53</x:f>
        <x:v>53333.333333333336</x:v>
      </x:c>
      <x:c r="H53" s="53" t="n">
        <x:f>'Cargo Records'!O53</x:f>
        <x:v>32000</x:v>
      </x:c>
      <x:c r="I53" s="53" t="n">
        <x:f>SUMIFS($G$7:G53,$E$7:E53,E53)</x:f>
        <x:v>124545.45454545456</x:v>
      </x:c>
      <x:c r="J53" s="53" t="n">
        <x:f>COUNTIFS('Path Daily'!$C$7:$C$1098,E53,'Path Daily'!$N$7:$N$1098,"&lt;"&amp;G53)</x:f>
        <x:v>24</x:v>
      </x:c>
      <x:c r="K53" s="53" t="n">
        <x:f>'Paths'!Q17+'Paths'!R17+'Paths'!S17</x:f>
        <x:v>2</x:v>
      </x:c>
      <x:c r="L53" s="53" t="n">
        <x:f>J53+ROUNDUP(K53,0)</x:f>
        <x:v>26</x:v>
      </x:c>
      <x:c r="M53" s="45" t="n">
        <x:f>'Cargo Records'!AB53</x:f>
        <x:v>45</x:v>
      </x:c>
      <x:c r="N53" s="45" t="n">
        <x:f>M53-L53</x:f>
        <x:v>19</x:v>
      </x:c>
      <x:c r="O53" s="45" t="str">
        <x:f>IF(L53&lt;=M53,"CLOSE","LATE")</x:f>
        <x:v>CLOSE</x:v>
      </x:c>
      <x:c r="P53" s="45" t="str">
        <x:f>IF(ISNUMBER(SEARCH(F53,'Cargo Records'!L53)),"PASS","FAIL")</x:f>
        <x:v>PASS</x:v>
      </x:c>
      <x:c r="Q53" s="45" t="str">
        <x:f>IF(J53&gt;='Cargo Records'!AC53,"PASS","FAIL")</x:f>
        <x:v>PASS</x:v>
      </x:c>
      <x:c r="R53" s="45" t="str">
        <x:f>'Cargo Records'!H53</x:f>
        <x:v>Z1–Z8</x:v>
      </x:c>
      <x:c r="S53" s="45" t="str">
        <x:f>'Cargo Records'!Y53</x:f>
        <x:v>Priority communications</x:v>
      </x:c>
      <x:c r="T53" s="45" t="n">
        <x:f>'Cargo Records'!Z53</x:f>
        <x:v>2200000</x:v>
      </x:c>
    </x:row>
    <x:row r="54">
      <x:c r="C54" s="45" t="str">
        <x:f>'Cargo Records'!C54</x:f>
        <x:v>C3-048</x:v>
      </x:c>
      <x:c r="D54" s="45" t="str">
        <x:f>'Cargo Records'!D54</x:f>
        <x:v>R3</x:v>
      </x:c>
      <x:c r="E54" s="45" t="str">
        <x:f>'Cargo Records'!J54</x:f>
        <x:v>P10</x:v>
      </x:c>
      <x:c r="F54" s="45" t="str">
        <x:f>'Paths'!E17</x:f>
        <x:v>Rail</x:v>
      </x:c>
      <x:c r="G54" s="53" t="n">
        <x:f>'Cargo Records'!T54</x:f>
        <x:v>47982.18181818181</x:v>
      </x:c>
      <x:c r="H54" s="53" t="n">
        <x:f>'Cargo Records'!O54</x:f>
        <x:v>34422</x:v>
      </x:c>
      <x:c r="I54" s="53" t="n">
        <x:f>SUMIFS($G$7:G54,$E$7:E54,E54)</x:f>
        <x:v>172527.63636363635</x:v>
      </x:c>
      <x:c r="J54" s="53" t="n">
        <x:f>COUNTIFS('Path Daily'!$C$7:$C$1098,E54,'Path Daily'!$N$7:$N$1098,"&lt;"&amp;G54)</x:f>
        <x:v>23</x:v>
      </x:c>
      <x:c r="K54" s="53" t="n">
        <x:f>'Paths'!Q17+'Paths'!R17+'Paths'!S17</x:f>
        <x:v>2</x:v>
      </x:c>
      <x:c r="L54" s="53" t="n">
        <x:f>J54+ROUNDUP(K54,0)</x:f>
        <x:v>25</x:v>
      </x:c>
      <x:c r="M54" s="45" t="n">
        <x:f>'Cargo Records'!AB54</x:f>
        <x:v>45</x:v>
      </x:c>
      <x:c r="N54" s="45" t="n">
        <x:f>M54-L54</x:f>
        <x:v>20</x:v>
      </x:c>
      <x:c r="O54" s="45" t="str">
        <x:f>IF(L54&lt;=M54,"CLOSE","LATE")</x:f>
        <x:v>CLOSE</x:v>
      </x:c>
      <x:c r="P54" s="45" t="str">
        <x:f>IF(ISNUMBER(SEARCH(F54,'Cargo Records'!L54)),"PASS","FAIL")</x:f>
        <x:v>PASS</x:v>
      </x:c>
      <x:c r="Q54" s="45" t="str">
        <x:f>IF(J54&gt;='Cargo Records'!AC54,"PASS","FAIL")</x:f>
        <x:v>PASS</x:v>
      </x:c>
      <x:c r="R54" s="45" t="str">
        <x:f>'Cargo Records'!H54</x:f>
        <x:v>Z1–Z9</x:v>
      </x:c>
      <x:c r="S54" s="45" t="str">
        <x:f>'Cargo Records'!Y54</x:f>
        <x:v>Civil command coverage</x:v>
      </x:c>
      <x:c r="T54" s="45" t="n">
        <x:f>'Cargo Records'!Z54</x:f>
        <x:v>1</x:v>
      </x:c>
    </x:row>
    <x:row r="55">
      <x:c r="C55" s="45" t="str">
        <x:f>'Cargo Records'!C55</x:f>
        <x:v>C3-049</x:v>
      </x:c>
      <x:c r="D55" s="45" t="str">
        <x:f>'Cargo Records'!D55</x:f>
        <x:v>R4</x:v>
      </x:c>
      <x:c r="E55" s="45" t="str">
        <x:f>'Cargo Records'!J55</x:f>
        <x:v>P10</x:v>
      </x:c>
      <x:c r="F55" s="45" t="str">
        <x:f>'Paths'!E17</x:f>
        <x:v>Rail</x:v>
      </x:c>
      <x:c r="G55" s="53" t="n">
        <x:f>'Cargo Records'!T55</x:f>
        <x:v>51749.99999999999</x:v>
      </x:c>
      <x:c r="H55" s="53" t="n">
        <x:f>'Cargo Records'!O55</x:f>
        <x:v>45000</x:v>
      </x:c>
      <x:c r="I55" s="53" t="n">
        <x:f>SUMIFS($G$7:G55,$E$7:E55,E55)</x:f>
        <x:v>224277.63636363635</x:v>
      </x:c>
      <x:c r="J55" s="53" t="n">
        <x:f>COUNTIFS('Path Daily'!$C$7:$C$1098,E55,'Path Daily'!$N$7:$N$1098,"&lt;"&amp;G55)</x:f>
        <x:v>23</x:v>
      </x:c>
      <x:c r="K55" s="53" t="n">
        <x:f>'Paths'!Q17+'Paths'!R17+'Paths'!S17</x:f>
        <x:v>2</x:v>
      </x:c>
      <x:c r="L55" s="53" t="n">
        <x:f>J55+ROUNDUP(K55,0)</x:f>
        <x:v>25</x:v>
      </x:c>
      <x:c r="M55" s="45" t="n">
        <x:f>'Cargo Records'!AB55</x:f>
        <x:v>90</x:v>
      </x:c>
      <x:c r="N55" s="45" t="n">
        <x:f>M55-L55</x:f>
        <x:v>65</x:v>
      </x:c>
      <x:c r="O55" s="45" t="str">
        <x:f>IF(L55&lt;=M55,"CLOSE","LATE")</x:f>
        <x:v>CLOSE</x:v>
      </x:c>
      <x:c r="P55" s="45" t="str">
        <x:f>IF(ISNUMBER(SEARCH(F55,'Cargo Records'!L55)),"PASS","FAIL")</x:f>
        <x:v>PASS</x:v>
      </x:c>
      <x:c r="Q55" s="45" t="str">
        <x:f>IF(J55&gt;='Cargo Records'!AC55,"PASS","FAIL")</x:f>
        <x:v>PASS</x:v>
      </x:c>
      <x:c r="R55" s="45" t="str">
        <x:f>'Cargo Records'!H55</x:f>
        <x:v>Z1–Z8</x:v>
      </x:c>
      <x:c r="S55" s="45" t="str">
        <x:f>'Cargo Records'!Y55</x:f>
        <x:v>End-to-end access</x:v>
      </x:c>
      <x:c r="T55" s="45" t="n">
        <x:f>'Cargo Records'!Z55</x:f>
        <x:v>12000</x:v>
      </x:c>
    </x:row>
    <x:row r="56">
      <x:c r="C56" s="45" t="str">
        <x:f>'Cargo Records'!C56</x:f>
        <x:v>C3-050</x:v>
      </x:c>
      <x:c r="D56" s="45" t="str">
        <x:f>'Cargo Records'!D56</x:f>
        <x:v>R4</x:v>
      </x:c>
      <x:c r="E56" s="45" t="str">
        <x:f>'Cargo Records'!J56</x:f>
        <x:v>P10</x:v>
      </x:c>
      <x:c r="F56" s="45" t="str">
        <x:f>'Paths'!E17</x:f>
        <x:v>Rail</x:v>
      </x:c>
      <x:c r="G56" s="53" t="n">
        <x:f>'Cargo Records'!T56</x:f>
        <x:v>37500</x:v>
      </x:c>
      <x:c r="H56" s="53" t="n">
        <x:f>'Cargo Records'!O56</x:f>
        <x:v>30000</x:v>
      </x:c>
      <x:c r="I56" s="53" t="n">
        <x:f>SUMIFS($G$7:G56,$E$7:E56,E56)</x:f>
        <x:v>261777.63636363635</x:v>
      </x:c>
      <x:c r="J56" s="53" t="n">
        <x:f>COUNTIFS('Path Daily'!$C$7:$C$1098,E56,'Path Daily'!$N$7:$N$1098,"&lt;"&amp;G56)</x:f>
        <x:v>21</x:v>
      </x:c>
      <x:c r="K56" s="53" t="n">
        <x:f>'Paths'!Q17+'Paths'!R17+'Paths'!S17</x:f>
        <x:v>2</x:v>
      </x:c>
      <x:c r="L56" s="53" t="n">
        <x:f>J56+ROUNDUP(K56,0)</x:f>
        <x:v>23</x:v>
      </x:c>
      <x:c r="M56" s="45" t="n">
        <x:f>'Cargo Records'!AB56</x:f>
        <x:v>90</x:v>
      </x:c>
      <x:c r="N56" s="45" t="n">
        <x:f>M56-L56</x:f>
        <x:v>67</x:v>
      </x:c>
      <x:c r="O56" s="45" t="str">
        <x:f>IF(L56&lt;=M56,"CLOSE","LATE")</x:f>
        <x:v>CLOSE</x:v>
      </x:c>
      <x:c r="P56" s="45" t="str">
        <x:f>IF(ISNUMBER(SEARCH(F56,'Cargo Records'!L56)),"PASS","FAIL")</x:f>
        <x:v>PASS</x:v>
      </x:c>
      <x:c r="Q56" s="45" t="str">
        <x:f>IF(J56&gt;='Cargo Records'!AC56,"PASS","FAIL")</x:f>
        <x:v>PASS</x:v>
      </x:c>
      <x:c r="R56" s="45" t="str">
        <x:f>'Cargo Records'!H56</x:f>
        <x:v>Z1–Z8</x:v>
      </x:c>
      <x:c r="S56" s="45" t="str">
        <x:f>'Cargo Records'!Y56</x:f>
        <x:v>Hazard-control works</x:v>
      </x:c>
      <x:c r="T56" s="45" t="n">
        <x:f>'Cargo Records'!Z56</x:f>
        <x:v>250</x:v>
      </x:c>
    </x:row>
    <x:row r="57">
      <x:c r="C57" s="45" t="str">
        <x:f>'Cargo Records'!C57</x:f>
        <x:v>C3-051</x:v>
      </x:c>
      <x:c r="D57" s="45" t="str">
        <x:f>'Cargo Records'!D57</x:f>
        <x:v>R4</x:v>
      </x:c>
      <x:c r="E57" s="45" t="str">
        <x:f>'Cargo Records'!J57</x:f>
        <x:v>P6</x:v>
      </x:c>
      <x:c r="F57" s="45" t="str">
        <x:f>'Paths'!E13</x:f>
        <x:v>Ocean</x:v>
      </x:c>
      <x:c r="G57" s="53" t="n">
        <x:f>'Cargo Records'!T57</x:f>
        <x:v>45500</x:v>
      </x:c>
      <x:c r="H57" s="53" t="n">
        <x:f>'Cargo Records'!O57</x:f>
        <x:v>35000</x:v>
      </x:c>
      <x:c r="I57" s="53" t="n">
        <x:f>SUMIFS($G$7:G57,$E$7:E57,E57)</x:f>
        <x:v>472706.06060606055</x:v>
      </x:c>
      <x:c r="J57" s="53" t="n">
        <x:f>COUNTIFS('Path Daily'!$C$7:$C$1098,E57,'Path Daily'!$N$7:$N$1098,"&lt;"&amp;G57)</x:f>
        <x:v>12</x:v>
      </x:c>
      <x:c r="K57" s="53" t="n">
        <x:f>'Paths'!Q13+'Paths'!R13+'Paths'!S13</x:f>
        <x:v>2.5</x:v>
      </x:c>
      <x:c r="L57" s="53" t="n">
        <x:f>J57+ROUNDUP(K57,0)</x:f>
        <x:v>15</x:v>
      </x:c>
      <x:c r="M57" s="45" t="n">
        <x:f>'Cargo Records'!AB57</x:f>
        <x:v>90</x:v>
      </x:c>
      <x:c r="N57" s="45" t="n">
        <x:f>M57-L57</x:f>
        <x:v>75</x:v>
      </x:c>
      <x:c r="O57" s="45" t="str">
        <x:f>IF(L57&lt;=M57,"CLOSE","LATE")</x:f>
        <x:v>CLOSE</x:v>
      </x:c>
      <x:c r="P57" s="45" t="str">
        <x:f>IF(ISNUMBER(SEARCH(F57,'Cargo Records'!L57)),"PASS","FAIL")</x:f>
        <x:v>PASS</x:v>
      </x:c>
      <x:c r="Q57" s="45" t="str">
        <x:f>IF(J57&gt;='Cargo Records'!AC57,"PASS","FAIL")</x:f>
        <x:v>PASS</x:v>
      </x:c>
      <x:c r="R57" s="45" t="str">
        <x:f>'Cargo Records'!H57</x:f>
        <x:v>Z1/Z3/Z8</x:v>
      </x:c>
      <x:c r="S57" s="45" t="str">
        <x:f>'Cargo Records'!Y57</x:f>
        <x:v>End-to-end access</x:v>
      </x:c>
      <x:c r="T57" s="45" t="n">
        <x:f>'Cargo Records'!Z57</x:f>
        <x:v>8000</x:v>
      </x:c>
    </x:row>
    <x:row r="58">
      <x:c r="C58" s="45" t="str">
        <x:f>'Cargo Records'!C58</x:f>
        <x:v>C3-052</x:v>
      </x:c>
      <x:c r="D58" s="45" t="str">
        <x:f>'Cargo Records'!D58</x:f>
        <x:v>R4</x:v>
      </x:c>
      <x:c r="E58" s="45" t="str">
        <x:f>'Cargo Records'!J58</x:f>
        <x:v>P10</x:v>
      </x:c>
      <x:c r="F58" s="45" t="str">
        <x:f>'Paths'!E17</x:f>
        <x:v>Rail</x:v>
      </x:c>
      <x:c r="G58" s="53" t="n">
        <x:f>'Cargo Records'!T58</x:f>
        <x:v>46000</x:v>
      </x:c>
      <x:c r="H58" s="53" t="n">
        <x:f>'Cargo Records'!O58</x:f>
        <x:v>40000</x:v>
      </x:c>
      <x:c r="I58" s="53" t="n">
        <x:f>SUMIFS($G$7:G58,$E$7:E58,E58)</x:f>
        <x:v>307777.63636363635</x:v>
      </x:c>
      <x:c r="J58" s="53" t="n">
        <x:f>COUNTIFS('Path Daily'!$C$7:$C$1098,E58,'Path Daily'!$N$7:$N$1098,"&lt;"&amp;G58)</x:f>
        <x:v>23</x:v>
      </x:c>
      <x:c r="K58" s="53" t="n">
        <x:f>'Paths'!Q17+'Paths'!R17+'Paths'!S17</x:f>
        <x:v>2</x:v>
      </x:c>
      <x:c r="L58" s="53" t="n">
        <x:f>J58+ROUNDUP(K58,0)</x:f>
        <x:v>25</x:v>
      </x:c>
      <x:c r="M58" s="45" t="n">
        <x:f>'Cargo Records'!AB58</x:f>
        <x:v>90</x:v>
      </x:c>
      <x:c r="N58" s="45" t="n">
        <x:f>M58-L58</x:f>
        <x:v>65</x:v>
      </x:c>
      <x:c r="O58" s="45" t="str">
        <x:f>IF(L58&lt;=M58,"CLOSE","LATE")</x:f>
        <x:v>CLOSE</x:v>
      </x:c>
      <x:c r="P58" s="45" t="str">
        <x:f>IF(ISNUMBER(SEARCH(F58,'Cargo Records'!L58)),"PASS","FAIL")</x:f>
        <x:v>PASS</x:v>
      </x:c>
      <x:c r="Q58" s="45" t="str">
        <x:f>IF(J58&gt;='Cargo Records'!AC58,"PASS","FAIL")</x:f>
        <x:v>PASS</x:v>
      </x:c>
      <x:c r="R58" s="45" t="str">
        <x:f>'Cargo Records'!H58</x:f>
        <x:v>Z1–Z8</x:v>
      </x:c>
      <x:c r="S58" s="45" t="str">
        <x:f>'Cargo Records'!Y58</x:f>
        <x:v>End-to-end access</x:v>
      </x:c>
      <x:c r="T58" s="45" t="n">
        <x:f>'Cargo Records'!Z58</x:f>
        <x:v>10000</x:v>
      </x:c>
    </x:row>
    <x:row r="59">
      <x:c r="C59" s="45" t="str">
        <x:f>'Cargo Records'!C59</x:f>
        <x:v>C3-053</x:v>
      </x:c>
      <x:c r="D59" s="45" t="str">
        <x:f>'Cargo Records'!D59</x:f>
        <x:v>R4</x:v>
      </x:c>
      <x:c r="E59" s="45" t="str">
        <x:f>'Cargo Records'!J59</x:f>
        <x:v>P10</x:v>
      </x:c>
      <x:c r="F59" s="45" t="str">
        <x:f>'Paths'!E17</x:f>
        <x:v>Rail</x:v>
      </x:c>
      <x:c r="G59" s="53" t="n">
        <x:f>'Cargo Records'!T59</x:f>
        <x:v>48787.87878787878</x:v>
      </x:c>
      <x:c r="H59" s="53" t="n">
        <x:f>'Cargo Records'!O59</x:f>
        <x:v>35000</x:v>
      </x:c>
      <x:c r="I59" s="53" t="n">
        <x:f>SUMIFS($G$7:G59,$E$7:E59,E59)</x:f>
        <x:v>356565.51515151514</x:v>
      </x:c>
      <x:c r="J59" s="53" t="n">
        <x:f>COUNTIFS('Path Daily'!$C$7:$C$1098,E59,'Path Daily'!$N$7:$N$1098,"&lt;"&amp;G59)</x:f>
        <x:v>23</x:v>
      </x:c>
      <x:c r="K59" s="53" t="n">
        <x:f>'Paths'!Q17+'Paths'!R17+'Paths'!S17</x:f>
        <x:v>2</x:v>
      </x:c>
      <x:c r="L59" s="53" t="n">
        <x:f>J59+ROUNDUP(K59,0)</x:f>
        <x:v>25</x:v>
      </x:c>
      <x:c r="M59" s="45" t="n">
        <x:f>'Cargo Records'!AB59</x:f>
        <x:v>90</x:v>
      </x:c>
      <x:c r="N59" s="45" t="n">
        <x:f>M59-L59</x:f>
        <x:v>65</x:v>
      </x:c>
      <x:c r="O59" s="45" t="str">
        <x:f>IF(L59&lt;=M59,"CLOSE","LATE")</x:f>
        <x:v>CLOSE</x:v>
      </x:c>
      <x:c r="P59" s="45" t="str">
        <x:f>IF(ISNUMBER(SEARCH(F59,'Cargo Records'!L59)),"PASS","FAIL")</x:f>
        <x:v>PASS</x:v>
      </x:c>
      <x:c r="Q59" s="45" t="str">
        <x:f>IF(J59&gt;='Cargo Records'!AC59,"PASS","FAIL")</x:f>
        <x:v>PASS</x:v>
      </x:c>
      <x:c r="R59" s="45" t="str">
        <x:f>'Cargo Records'!H59</x:f>
        <x:v>Z1–Z9</x:v>
      </x:c>
      <x:c r="S59" s="45" t="str">
        <x:f>'Cargo Records'!Y59</x:f>
        <x:v>Enabling / reserve</x:v>
      </x:c>
      <x:c r="T59" s="45" t="n">
        <x:f>'Cargo Records'!Z59</x:f>
        <x:v>0</x:v>
      </x:c>
    </x:row>
    <x:row r="60">
      <x:c r="C60" s="45" t="str">
        <x:f>'Cargo Records'!C60</x:f>
        <x:v>C3-054</x:v>
      </x:c>
      <x:c r="D60" s="45" t="str">
        <x:f>'Cargo Records'!D60</x:f>
        <x:v>R4</x:v>
      </x:c>
      <x:c r="E60" s="45" t="str">
        <x:f>'Cargo Records'!J60</x:f>
        <x:v>P2</x:v>
      </x:c>
      <x:c r="F60" s="45" t="str">
        <x:f>'Paths'!E9</x:f>
        <x:v>Air</x:v>
      </x:c>
      <x:c r="G60" s="53" t="n">
        <x:f>'Cargo Records'!T60</x:f>
        <x:v>43636.36363636364</x:v>
      </x:c>
      <x:c r="H60" s="53" t="n">
        <x:f>'Cargo Records'!O60</x:f>
        <x:v>30000</x:v>
      </x:c>
      <x:c r="I60" s="53" t="n">
        <x:f>SUMIFS($G$7:G60,$E$7:E60,E60)</x:f>
        <x:v>110454.54545454544</x:v>
      </x:c>
      <x:c r="J60" s="53" t="n">
        <x:f>COUNTIFS('Path Daily'!$C$7:$C$1098,E60,'Path Daily'!$N$7:$N$1098,"&lt;"&amp;G60)</x:f>
        <x:v>4</x:v>
      </x:c>
      <x:c r="K60" s="53" t="n">
        <x:f>'Paths'!Q9+'Paths'!R9+'Paths'!S9</x:f>
        <x:v>1.25</x:v>
      </x:c>
      <x:c r="L60" s="53" t="n">
        <x:f>J60+ROUNDUP(K60,0)</x:f>
        <x:v>6</x:v>
      </x:c>
      <x:c r="M60" s="45" t="n">
        <x:f>'Cargo Records'!AB60</x:f>
        <x:v>90</x:v>
      </x:c>
      <x:c r="N60" s="45" t="n">
        <x:f>M60-L60</x:f>
        <x:v>84</x:v>
      </x:c>
      <x:c r="O60" s="45" t="str">
        <x:f>IF(L60&lt;=M60,"CLOSE","LATE")</x:f>
        <x:v>CLOSE</x:v>
      </x:c>
      <x:c r="P60" s="45" t="str">
        <x:f>IF(ISNUMBER(SEARCH(F60,'Cargo Records'!L60)),"PASS","FAIL")</x:f>
        <x:v>PASS</x:v>
      </x:c>
      <x:c r="Q60" s="45" t="str">
        <x:f>IF(J60&gt;='Cargo Records'!AC60,"PASS","FAIL")</x:f>
        <x:v>PASS</x:v>
      </x:c>
      <x:c r="R60" s="45" t="str">
        <x:f>'Cargo Records'!H60</x:f>
        <x:v>Z1–Z8</x:v>
      </x:c>
      <x:c r="S60" s="45" t="str">
        <x:f>'Cargo Records'!Y60</x:f>
        <x:v>Staffed health capacity</x:v>
      </x:c>
      <x:c r="T60" s="45" t="n">
        <x:f>'Cargo Records'!Z60</x:f>
        <x:v>3000</x:v>
      </x:c>
    </x:row>
    <x:row r="61">
      <x:c r="C61" s="45" t="str">
        <x:f>'Cargo Records'!C61</x:f>
        <x:v>C3-055</x:v>
      </x:c>
      <x:c r="D61" s="45" t="str">
        <x:f>'Cargo Records'!D61</x:f>
        <x:v>R4</x:v>
      </x:c>
      <x:c r="E61" s="45" t="str">
        <x:f>'Cargo Records'!J61</x:f>
        <x:v>P7</x:v>
      </x:c>
      <x:c r="F61" s="45" t="str">
        <x:f>'Paths'!E14</x:f>
        <x:v>Inland water</x:v>
      </x:c>
      <x:c r="G61" s="53" t="n">
        <x:f>'Cargo Records'!T61</x:f>
        <x:v>50909.0909090909</x:v>
      </x:c>
      <x:c r="H61" s="53" t="n">
        <x:f>'Cargo Records'!O61</x:f>
        <x:v>35000</x:v>
      </x:c>
      <x:c r="I61" s="53" t="n">
        <x:f>SUMIFS($G$7:G61,$E$7:E61,E61)</x:f>
        <x:v>255818.18181818182</x:v>
      </x:c>
      <x:c r="J61" s="53" t="n">
        <x:f>COUNTIFS('Path Daily'!$C$7:$C$1098,E61,'Path Daily'!$N$7:$N$1098,"&lt;"&amp;G61)</x:f>
        <x:v>11</x:v>
      </x:c>
      <x:c r="K61" s="53" t="n">
        <x:f>'Paths'!Q14+'Paths'!R14+'Paths'!S14</x:f>
        <x:v>2</x:v>
      </x:c>
      <x:c r="L61" s="53" t="n">
        <x:f>J61+ROUNDUP(K61,0)</x:f>
        <x:v>13</x:v>
      </x:c>
      <x:c r="M61" s="45" t="n">
        <x:f>'Cargo Records'!AB61</x:f>
        <x:v>90</x:v>
      </x:c>
      <x:c r="N61" s="45" t="n">
        <x:f>M61-L61</x:f>
        <x:v>77</x:v>
      </x:c>
      <x:c r="O61" s="45" t="str">
        <x:f>IF(L61&lt;=M61,"CLOSE","LATE")</x:f>
        <x:v>CLOSE</x:v>
      </x:c>
      <x:c r="P61" s="45" t="str">
        <x:f>IF(ISNUMBER(SEARCH(F61,'Cargo Records'!L61)),"PASS","FAIL")</x:f>
        <x:v>PASS</x:v>
      </x:c>
      <x:c r="Q61" s="45" t="str">
        <x:f>IF(J61&gt;='Cargo Records'!AC61,"PASS","FAIL")</x:f>
        <x:v>PASS</x:v>
      </x:c>
      <x:c r="R61" s="45" t="str">
        <x:f>'Cargo Records'!H61</x:f>
        <x:v>Z1–Z8</x:v>
      </x:c>
      <x:c r="S61" s="45" t="str">
        <x:f>'Cargo Records'!Y61</x:f>
        <x:v>Potable and essential water</x:v>
      </x:c>
      <x:c r="T61" s="45" t="n">
        <x:f>'Cargo Records'!Z61</x:f>
        <x:v>4000</x:v>
      </x:c>
    </x:row>
    <x:row r="62">
      <x:c r="C62" s="45" t="str">
        <x:f>'Cargo Records'!C62</x:f>
        <x:v>C3-056</x:v>
      </x:c>
      <x:c r="D62" s="45" t="str">
        <x:f>'Cargo Records'!D62</x:f>
        <x:v>R4</x:v>
      </x:c>
      <x:c r="E62" s="45" t="str">
        <x:f>'Cargo Records'!J62</x:f>
        <x:v>P6</x:v>
      </x:c>
      <x:c r="F62" s="45" t="str">
        <x:f>'Paths'!E13</x:f>
        <x:v>Ocean</x:v>
      </x:c>
      <x:c r="G62" s="53" t="n">
        <x:f>'Cargo Records'!T62</x:f>
        <x:v>70909.09090909093</x:v>
      </x:c>
      <x:c r="H62" s="53" t="n">
        <x:f>'Cargo Records'!O62</x:f>
        <x:v>45000</x:v>
      </x:c>
      <x:c r="I62" s="53" t="n">
        <x:f>SUMIFS($G$7:G62,$E$7:E62,E62)</x:f>
        <x:v>543615.1515151515</x:v>
      </x:c>
      <x:c r="J62" s="53" t="n">
        <x:f>COUNTIFS('Path Daily'!$C$7:$C$1098,E62,'Path Daily'!$N$7:$N$1098,"&lt;"&amp;G62)</x:f>
        <x:v>15</x:v>
      </x:c>
      <x:c r="K62" s="53" t="n">
        <x:f>'Paths'!Q13+'Paths'!R13+'Paths'!S13</x:f>
        <x:v>2.5</x:v>
      </x:c>
      <x:c r="L62" s="53" t="n">
        <x:f>J62+ROUNDUP(K62,0)</x:f>
        <x:v>18</x:v>
      </x:c>
      <x:c r="M62" s="45" t="n">
        <x:f>'Cargo Records'!AB62</x:f>
        <x:v>90</x:v>
      </x:c>
      <x:c r="N62" s="45" t="n">
        <x:f>M62-L62</x:f>
        <x:v>72</x:v>
      </x:c>
      <x:c r="O62" s="45" t="str">
        <x:f>IF(L62&lt;=M62,"CLOSE","LATE")</x:f>
        <x:v>CLOSE</x:v>
      </x:c>
      <x:c r="P62" s="45" t="str">
        <x:f>IF(ISNUMBER(SEARCH(F62,'Cargo Records'!L62)),"PASS","FAIL")</x:f>
        <x:v>PASS</x:v>
      </x:c>
      <x:c r="Q62" s="45" t="str">
        <x:f>IF(J62&gt;='Cargo Records'!AC62,"PASS","FAIL")</x:f>
        <x:v>PASS</x:v>
      </x:c>
      <x:c r="R62" s="45" t="str">
        <x:f>'Cargo Records'!H62</x:f>
        <x:v>Z1–Z8</x:v>
      </x:c>
      <x:c r="S62" s="45" t="str">
        <x:f>'Cargo Records'!Y62</x:f>
        <x:v>Critical-load power</x:v>
      </x:c>
      <x:c r="T62" s="45" t="n">
        <x:f>'Cargo Records'!Z62</x:f>
        <x:v>2200</x:v>
      </x:c>
    </x:row>
    <x:row r="63">
      <x:c r="C63" s="45" t="str">
        <x:f>'Cargo Records'!C63</x:f>
        <x:v>C3-057</x:v>
      </x:c>
      <x:c r="D63" s="45" t="str">
        <x:f>'Cargo Records'!D63</x:f>
        <x:v>R4</x:v>
      </x:c>
      <x:c r="E63" s="45" t="str">
        <x:f>'Cargo Records'!J63</x:f>
        <x:v>P7</x:v>
      </x:c>
      <x:c r="F63" s="45" t="str">
        <x:f>'Paths'!E14</x:f>
        <x:v>Inland water</x:v>
      </x:c>
      <x:c r="G63" s="53" t="n">
        <x:f>'Cargo Records'!T63</x:f>
        <x:v>36363.63636363636</x:v>
      </x:c>
      <x:c r="H63" s="53" t="n">
        <x:f>'Cargo Records'!O63</x:f>
        <x:v>25000</x:v>
      </x:c>
      <x:c r="I63" s="53" t="n">
        <x:f>SUMIFS($G$7:G63,$E$7:E63,E63)</x:f>
        <x:v>292181.8181818182</x:v>
      </x:c>
      <x:c r="J63" s="53" t="n">
        <x:f>COUNTIFS('Path Daily'!$C$7:$C$1098,E63,'Path Daily'!$N$7:$N$1098,"&lt;"&amp;G63)</x:f>
        <x:v>10</x:v>
      </x:c>
      <x:c r="K63" s="53" t="n">
        <x:f>'Paths'!Q14+'Paths'!R14+'Paths'!S14</x:f>
        <x:v>2</x:v>
      </x:c>
      <x:c r="L63" s="53" t="n">
        <x:f>J63+ROUNDUP(K63,0)</x:f>
        <x:v>12</x:v>
      </x:c>
      <x:c r="M63" s="45" t="n">
        <x:f>'Cargo Records'!AB63</x:f>
        <x:v>90</x:v>
      </x:c>
      <x:c r="N63" s="45" t="n">
        <x:f>M63-L63</x:f>
        <x:v>78</x:v>
      </x:c>
      <x:c r="O63" s="45" t="str">
        <x:f>IF(L63&lt;=M63,"CLOSE","LATE")</x:f>
        <x:v>CLOSE</x:v>
      </x:c>
      <x:c r="P63" s="45" t="str">
        <x:f>IF(ISNUMBER(SEARCH(F63,'Cargo Records'!L63)),"PASS","FAIL")</x:f>
        <x:v>PASS</x:v>
      </x:c>
      <x:c r="Q63" s="45" t="str">
        <x:f>IF(J63&gt;='Cargo Records'!AC63,"PASS","FAIL")</x:f>
        <x:v>PASS</x:v>
      </x:c>
      <x:c r="R63" s="45" t="str">
        <x:f>'Cargo Records'!H63</x:f>
        <x:v>Z1–Z8</x:v>
      </x:c>
      <x:c r="S63" s="45" t="str">
        <x:f>'Cargo Records'!Y63</x:f>
        <x:v>Sanitation</x:v>
      </x:c>
      <x:c r="T63" s="45" t="n">
        <x:f>'Cargo Records'!Z63</x:f>
        <x:v>350000</x:v>
      </x:c>
    </x:row>
    <x:row r="64">
      <x:c r="C64" s="45" t="str">
        <x:f>'Cargo Records'!C64</x:f>
        <x:v>C3-058</x:v>
      </x:c>
      <x:c r="D64" s="45" t="str">
        <x:f>'Cargo Records'!D64</x:f>
        <x:v>R4</x:v>
      </x:c>
      <x:c r="E64" s="45" t="str">
        <x:f>'Cargo Records'!J64</x:f>
        <x:v>P5</x:v>
      </x:c>
      <x:c r="F64" s="45" t="str">
        <x:f>'Paths'!E12</x:f>
        <x:v>Littoral</x:v>
      </x:c>
      <x:c r="G64" s="53" t="n">
        <x:f>'Cargo Records'!T64</x:f>
        <x:v>106060.60606060605</x:v>
      </x:c>
      <x:c r="H64" s="53" t="n">
        <x:f>'Cargo Records'!O64</x:f>
        <x:v>35000</x:v>
      </x:c>
      <x:c r="I64" s="53" t="n">
        <x:f>SUMIFS($G$7:G64,$E$7:E64,E64)</x:f>
        <x:v>447727.2727272727</x:v>
      </x:c>
      <x:c r="J64" s="53" t="n">
        <x:f>COUNTIFS('Path Daily'!$C$7:$C$1098,E64,'Path Daily'!$N$7:$N$1098,"&lt;"&amp;G64)</x:f>
        <x:v>11</x:v>
      </x:c>
      <x:c r="K64" s="53" t="n">
        <x:f>'Paths'!Q12+'Paths'!R12+'Paths'!S12</x:f>
        <x:v>2</x:v>
      </x:c>
      <x:c r="L64" s="53" t="n">
        <x:f>J64+ROUNDUP(K64,0)</x:f>
        <x:v>13</x:v>
      </x:c>
      <x:c r="M64" s="45" t="n">
        <x:f>'Cargo Records'!AB64</x:f>
        <x:v>90</x:v>
      </x:c>
      <x:c r="N64" s="45" t="n">
        <x:f>M64-L64</x:f>
        <x:v>77</x:v>
      </x:c>
      <x:c r="O64" s="45" t="str">
        <x:f>IF(L64&lt;=M64,"CLOSE","LATE")</x:f>
        <x:v>CLOSE</x:v>
      </x:c>
      <x:c r="P64" s="45" t="str">
        <x:f>IF(ISNUMBER(SEARCH(F64,'Cargo Records'!L64)),"PASS","FAIL")</x:f>
        <x:v>PASS</x:v>
      </x:c>
      <x:c r="Q64" s="45" t="str">
        <x:f>IF(J64&gt;='Cargo Records'!AC64,"PASS","FAIL")</x:f>
        <x:v>PASS</x:v>
      </x:c>
      <x:c r="R64" s="45" t="str">
        <x:f>'Cargo Records'!H64</x:f>
        <x:v>Z1–Z8</x:v>
      </x:c>
      <x:c r="S64" s="45" t="str">
        <x:f>'Cargo Records'!Y64</x:f>
        <x:v>Emergency shelter</x:v>
      </x:c>
      <x:c r="T64" s="45" t="n">
        <x:f>'Cargo Records'!Z64</x:f>
        <x:v>200000</x:v>
      </x:c>
    </x:row>
    <x:row r="65">
      <x:c r="C65" s="45" t="str">
        <x:f>'Cargo Records'!C65</x:f>
        <x:v>C3-059</x:v>
      </x:c>
      <x:c r="D65" s="45" t="str">
        <x:f>'Cargo Records'!D65</x:f>
        <x:v>R4</x:v>
      </x:c>
      <x:c r="E65" s="45" t="str">
        <x:f>'Cargo Records'!J65</x:f>
        <x:v>P6</x:v>
      </x:c>
      <x:c r="F65" s="45" t="str">
        <x:f>'Paths'!E13</x:f>
        <x:v>Ocean</x:v>
      </x:c>
      <x:c r="G65" s="53" t="n">
        <x:f>'Cargo Records'!T65</x:f>
        <x:v>39030.303030303025</x:v>
      </x:c>
      <x:c r="H65" s="53" t="n">
        <x:f>'Cargo Records'!O65</x:f>
        <x:v>28000</x:v>
      </x:c>
      <x:c r="I65" s="53" t="n">
        <x:f>SUMIFS($G$7:G65,$E$7:E65,E65)</x:f>
        <x:v>582645.4545454545</x:v>
      </x:c>
      <x:c r="J65" s="53" t="n">
        <x:f>COUNTIFS('Path Daily'!$C$7:$C$1098,E65,'Path Daily'!$N$7:$N$1098,"&lt;"&amp;G65)</x:f>
        <x:v>11</x:v>
      </x:c>
      <x:c r="K65" s="53" t="n">
        <x:f>'Paths'!Q13+'Paths'!R13+'Paths'!S13</x:f>
        <x:v>2.5</x:v>
      </x:c>
      <x:c r="L65" s="53" t="n">
        <x:f>J65+ROUNDUP(K65,0)</x:f>
        <x:v>14</x:v>
      </x:c>
      <x:c r="M65" s="45" t="n">
        <x:f>'Cargo Records'!AB65</x:f>
        <x:v>90</x:v>
      </x:c>
      <x:c r="N65" s="45" t="n">
        <x:f>M65-L65</x:f>
        <x:v>76</x:v>
      </x:c>
      <x:c r="O65" s="45" t="str">
        <x:f>IF(L65&lt;=M65,"CLOSE","LATE")</x:f>
        <x:v>CLOSE</x:v>
      </x:c>
      <x:c r="P65" s="45" t="str">
        <x:f>IF(ISNUMBER(SEARCH(F65,'Cargo Records'!L65)),"PASS","FAIL")</x:f>
        <x:v>PASS</x:v>
      </x:c>
      <x:c r="Q65" s="45" t="str">
        <x:f>IF(J65&gt;='Cargo Records'!AC65,"PASS","FAIL")</x:f>
        <x:v>PASS</x:v>
      </x:c>
      <x:c r="R65" s="45" t="str">
        <x:f>'Cargo Records'!H65</x:f>
        <x:v>Z1–Z8</x:v>
      </x:c>
      <x:c r="S65" s="45" t="str">
        <x:f>'Cargo Records'!Y65</x:f>
        <x:v>Food and nutrition</x:v>
      </x:c>
      <x:c r="T65" s="45" t="n">
        <x:f>'Cargo Records'!Z65</x:f>
        <x:v>300000</x:v>
      </x:c>
    </x:row>
    <x:row r="66">
      <x:c r="C66" s="45" t="str">
        <x:f>'Cargo Records'!C66</x:f>
        <x:v>C3-060</x:v>
      </x:c>
      <x:c r="D66" s="45" t="str">
        <x:f>'Cargo Records'!D66</x:f>
        <x:v>R4</x:v>
      </x:c>
      <x:c r="E66" s="45" t="str">
        <x:f>'Cargo Records'!J66</x:f>
        <x:v>P6</x:v>
      </x:c>
      <x:c r="F66" s="45" t="str">
        <x:f>'Paths'!E13</x:f>
        <x:v>Ocean</x:v>
      </x:c>
      <x:c r="G66" s="53" t="n">
        <x:f>'Cargo Records'!T66</x:f>
        <x:v>42000</x:v>
      </x:c>
      <x:c r="H66" s="53" t="n">
        <x:f>'Cargo Records'!O66</x:f>
        <x:v>35000</x:v>
      </x:c>
      <x:c r="I66" s="53" t="n">
        <x:f>SUMIFS($G$7:G66,$E$7:E66,E66)</x:f>
        <x:v>624645.4545454545</x:v>
      </x:c>
      <x:c r="J66" s="53" t="n">
        <x:f>COUNTIFS('Path Daily'!$C$7:$C$1098,E66,'Path Daily'!$N$7:$N$1098,"&lt;"&amp;G66)</x:f>
        <x:v>11</x:v>
      </x:c>
      <x:c r="K66" s="53" t="n">
        <x:f>'Paths'!Q13+'Paths'!R13+'Paths'!S13</x:f>
        <x:v>2.5</x:v>
      </x:c>
      <x:c r="L66" s="53" t="n">
        <x:f>J66+ROUNDUP(K66,0)</x:f>
        <x:v>14</x:v>
      </x:c>
      <x:c r="M66" s="45" t="n">
        <x:f>'Cargo Records'!AB66</x:f>
        <x:v>90</x:v>
      </x:c>
      <x:c r="N66" s="45" t="n">
        <x:f>M66-L66</x:f>
        <x:v>76</x:v>
      </x:c>
      <x:c r="O66" s="45" t="str">
        <x:f>IF(L66&lt;=M66,"CLOSE","LATE")</x:f>
        <x:v>CLOSE</x:v>
      </x:c>
      <x:c r="P66" s="45" t="str">
        <x:f>IF(ISNUMBER(SEARCH(F66,'Cargo Records'!L66)),"PASS","FAIL")</x:f>
        <x:v>PASS</x:v>
      </x:c>
      <x:c r="Q66" s="45" t="str">
        <x:f>IF(J66&gt;='Cargo Records'!AC66,"PASS","FAIL")</x:f>
        <x:v>PASS</x:v>
      </x:c>
      <x:c r="R66" s="45" t="str">
        <x:f>'Cargo Records'!H66</x:f>
        <x:v>Z1–Z8</x:v>
      </x:c>
      <x:c r="S66" s="45" t="str">
        <x:f>'Cargo Records'!Y66</x:f>
        <x:v>Enabling / reserve</x:v>
      </x:c>
      <x:c r="T66" s="45" t="n">
        <x:f>'Cargo Records'!Z66</x:f>
        <x:v>0</x:v>
      </x:c>
    </x:row>
    <x:row r="67">
      <x:c r="C67" s="45" t="str">
        <x:f>'Cargo Records'!C67</x:f>
        <x:v>C3-061</x:v>
      </x:c>
      <x:c r="D67" s="45" t="str">
        <x:f>'Cargo Records'!D67</x:f>
        <x:v>R4</x:v>
      </x:c>
      <x:c r="E67" s="45" t="str">
        <x:f>'Cargo Records'!J67</x:f>
        <x:v>P11</x:v>
      </x:c>
      <x:c r="F67" s="45" t="str">
        <x:f>'Paths'!E18</x:f>
        <x:v>Ocean support</x:v>
      </x:c>
      <x:c r="G67" s="53" t="n">
        <x:f>'Cargo Records'!T67</x:f>
        <x:v>68181.81818181819</x:v>
      </x:c>
      <x:c r="H67" s="53" t="n">
        <x:f>'Cargo Records'!O67</x:f>
        <x:v>30000</x:v>
      </x:c>
      <x:c r="I67" s="53" t="n">
        <x:f>SUMIFS($G$7:G67,$E$7:E67,E67)</x:f>
        <x:v>285545.45454545453</x:v>
      </x:c>
      <x:c r="J67" s="53" t="n">
        <x:f>COUNTIFS('Path Daily'!$C$7:$C$1098,E67,'Path Daily'!$N$7:$N$1098,"&lt;"&amp;G67)</x:f>
        <x:v>9</x:v>
      </x:c>
      <x:c r="K67" s="53" t="n">
        <x:f>'Paths'!Q18+'Paths'!R18+'Paths'!S18</x:f>
        <x:v>2</x:v>
      </x:c>
      <x:c r="L67" s="53" t="n">
        <x:f>J67+ROUNDUP(K67,0)</x:f>
        <x:v>11</x:v>
      </x:c>
      <x:c r="M67" s="45" t="n">
        <x:f>'Cargo Records'!AB67</x:f>
        <x:v>90</x:v>
      </x:c>
      <x:c r="N67" s="45" t="n">
        <x:f>M67-L67</x:f>
        <x:v>79</x:v>
      </x:c>
      <x:c r="O67" s="45" t="str">
        <x:f>IF(L67&lt;=M67,"CLOSE","LATE")</x:f>
        <x:v>CLOSE</x:v>
      </x:c>
      <x:c r="P67" s="45" t="str">
        <x:f>IF(ISNUMBER(SEARCH(F67,'Cargo Records'!L67)),"PASS","FAIL")</x:f>
        <x:v>PASS</x:v>
      </x:c>
      <x:c r="Q67" s="45" t="str">
        <x:f>IF(J67&gt;='Cargo Records'!AC67,"PASS","FAIL")</x:f>
        <x:v>PASS</x:v>
      </x:c>
      <x:c r="R67" s="45" t="str">
        <x:f>'Cargo Records'!H67</x:f>
        <x:v>Z1–Z9</x:v>
      </x:c>
      <x:c r="S67" s="45" t="str">
        <x:f>'Cargo Records'!Y67</x:f>
        <x:v>Responder basing</x:v>
      </x:c>
      <x:c r="T67" s="45" t="n">
        <x:f>'Cargo Records'!Z67</x:f>
        <x:v>25000</x:v>
      </x:c>
    </x:row>
    <x:row r="68">
      <x:c r="C68" s="45" t="str">
        <x:f>'Cargo Records'!C68</x:f>
        <x:v>C3-062</x:v>
      </x:c>
      <x:c r="D68" s="45" t="str">
        <x:f>'Cargo Records'!D68</x:f>
        <x:v>R4</x:v>
      </x:c>
      <x:c r="E68" s="45" t="str">
        <x:f>'Cargo Records'!J68</x:f>
        <x:v>P10</x:v>
      </x:c>
      <x:c r="F68" s="45" t="str">
        <x:f>'Paths'!E17</x:f>
        <x:v>Rail</x:v>
      </x:c>
      <x:c r="G68" s="53" t="n">
        <x:f>'Cargo Records'!T68</x:f>
        <x:v>39600</x:v>
      </x:c>
      <x:c r="H68" s="53" t="n">
        <x:f>'Cargo Records'!O68</x:f>
        <x:v>33000</x:v>
      </x:c>
      <x:c r="I68" s="53" t="n">
        <x:f>SUMIFS($G$7:G68,$E$7:E68,E68)</x:f>
        <x:v>396165.51515151514</x:v>
      </x:c>
      <x:c r="J68" s="53" t="n">
        <x:f>COUNTIFS('Path Daily'!$C$7:$C$1098,E68,'Path Daily'!$N$7:$N$1098,"&lt;"&amp;G68)</x:f>
        <x:v>22</x:v>
      </x:c>
      <x:c r="K68" s="53" t="n">
        <x:f>'Paths'!Q17+'Paths'!R17+'Paths'!S17</x:f>
        <x:v>2</x:v>
      </x:c>
      <x:c r="L68" s="53" t="n">
        <x:f>J68+ROUNDUP(K68,0)</x:f>
        <x:v>24</x:v>
      </x:c>
      <x:c r="M68" s="45" t="n">
        <x:f>'Cargo Records'!AB68</x:f>
        <x:v>90</x:v>
      </x:c>
      <x:c r="N68" s="45" t="n">
        <x:f>M68-L68</x:f>
        <x:v>66</x:v>
      </x:c>
      <x:c r="O68" s="45" t="str">
        <x:f>IF(L68&lt;=M68,"CLOSE","LATE")</x:f>
        <x:v>CLOSE</x:v>
      </x:c>
      <x:c r="P68" s="45" t="str">
        <x:f>IF(ISNUMBER(SEARCH(F68,'Cargo Records'!L68)),"PASS","FAIL")</x:f>
        <x:v>PASS</x:v>
      </x:c>
      <x:c r="Q68" s="45" t="str">
        <x:f>IF(J68&gt;='Cargo Records'!AC68,"PASS","FAIL")</x:f>
        <x:v>PASS</x:v>
      </x:c>
      <x:c r="R68" s="45" t="str">
        <x:f>'Cargo Records'!H68</x:f>
        <x:v>Z1–Z8</x:v>
      </x:c>
      <x:c r="S68" s="45" t="str">
        <x:f>'Cargo Records'!Y68</x:f>
        <x:v>Hazard-control works</x:v>
      </x:c>
      <x:c r="T68" s="45" t="n">
        <x:f>'Cargo Records'!Z68</x:f>
        <x:v>350</x:v>
      </x:c>
    </x:row>
    <x:row r="69">
      <x:c r="C69" s="45" t="str">
        <x:f>'Cargo Records'!C69</x:f>
        <x:v>C3-063</x:v>
      </x:c>
      <x:c r="D69" s="45" t="str">
        <x:f>'Cargo Records'!D69</x:f>
        <x:v>R4</x:v>
      </x:c>
      <x:c r="E69" s="45" t="str">
        <x:f>'Cargo Records'!J69</x:f>
        <x:v>P10</x:v>
      </x:c>
      <x:c r="F69" s="45" t="str">
        <x:f>'Paths'!E17</x:f>
        <x:v>Rail</x:v>
      </x:c>
      <x:c r="G69" s="53" t="n">
        <x:f>'Cargo Records'!T69</x:f>
        <x:v>41666.66666666667</x:v>
      </x:c>
      <x:c r="H69" s="53" t="n">
        <x:f>'Cargo Records'!O69</x:f>
        <x:v>25000</x:v>
      </x:c>
      <x:c r="I69" s="53" t="n">
        <x:f>SUMIFS($G$7:G69,$E$7:E69,E69)</x:f>
        <x:v>437832.1818181818</x:v>
      </x:c>
      <x:c r="J69" s="53" t="n">
        <x:f>COUNTIFS('Path Daily'!$C$7:$C$1098,E69,'Path Daily'!$N$7:$N$1098,"&lt;"&amp;G69)</x:f>
        <x:v>22</x:v>
      </x:c>
      <x:c r="K69" s="53" t="n">
        <x:f>'Paths'!Q17+'Paths'!R17+'Paths'!S17</x:f>
        <x:v>2</x:v>
      </x:c>
      <x:c r="L69" s="53" t="n">
        <x:f>J69+ROUNDUP(K69,0)</x:f>
        <x:v>24</x:v>
      </x:c>
      <x:c r="M69" s="45" t="n">
        <x:f>'Cargo Records'!AB69</x:f>
        <x:v>90</x:v>
      </x:c>
      <x:c r="N69" s="45" t="n">
        <x:f>M69-L69</x:f>
        <x:v>66</x:v>
      </x:c>
      <x:c r="O69" s="45" t="str">
        <x:f>IF(L69&lt;=M69,"CLOSE","LATE")</x:f>
        <x:v>CLOSE</x:v>
      </x:c>
      <x:c r="P69" s="45" t="str">
        <x:f>IF(ISNUMBER(SEARCH(F69,'Cargo Records'!L69)),"PASS","FAIL")</x:f>
        <x:v>PASS</x:v>
      </x:c>
      <x:c r="Q69" s="45" t="str">
        <x:f>IF(J69&gt;='Cargo Records'!AC69,"PASS","FAIL")</x:f>
        <x:v>PASS</x:v>
      </x:c>
      <x:c r="R69" s="45" t="str">
        <x:f>'Cargo Records'!H69</x:f>
        <x:v>Z1–Z8</x:v>
      </x:c>
      <x:c r="S69" s="45" t="str">
        <x:f>'Cargo Records'!Y69</x:f>
        <x:v>Priority communications</x:v>
      </x:c>
      <x:c r="T69" s="45" t="n">
        <x:f>'Cargo Records'!Z69</x:f>
        <x:v>1200000</x:v>
      </x:c>
    </x:row>
    <x:row r="70">
      <x:c r="C70" s="45" t="str">
        <x:f>'Cargo Records'!C70</x:f>
        <x:v>C3-064</x:v>
      </x:c>
      <x:c r="D70" s="45" t="str">
        <x:f>'Cargo Records'!D70</x:f>
        <x:v>R4</x:v>
      </x:c>
      <x:c r="E70" s="45" t="str">
        <x:f>'Cargo Records'!J70</x:f>
        <x:v>P10</x:v>
      </x:c>
      <x:c r="F70" s="45" t="str">
        <x:f>'Paths'!E17</x:f>
        <x:v>Rail</x:v>
      </x:c>
      <x:c r="G70" s="53" t="n">
        <x:f>'Cargo Records'!T70</x:f>
        <x:v>31753.93939393939</x:v>
      </x:c>
      <x:c r="H70" s="53" t="n">
        <x:f>'Cargo Records'!O70</x:f>
        <x:v>22780</x:v>
      </x:c>
      <x:c r="I70" s="53" t="n">
        <x:f>SUMIFS($G$7:G70,$E$7:E70,E70)</x:f>
        <x:v>469586.1212121212</x:v>
      </x:c>
      <x:c r="J70" s="53" t="n">
        <x:f>COUNTIFS('Path Daily'!$C$7:$C$1098,E70,'Path Daily'!$N$7:$N$1098,"&lt;"&amp;G70)</x:f>
        <x:v>20</x:v>
      </x:c>
      <x:c r="K70" s="53" t="n">
        <x:f>'Paths'!Q17+'Paths'!R17+'Paths'!S17</x:f>
        <x:v>2</x:v>
      </x:c>
      <x:c r="L70" s="53" t="n">
        <x:f>J70+ROUNDUP(K70,0)</x:f>
        <x:v>22</x:v>
      </x:c>
      <x:c r="M70" s="45" t="n">
        <x:f>'Cargo Records'!AB70</x:f>
        <x:v>90</x:v>
      </x:c>
      <x:c r="N70" s="45" t="n">
        <x:f>M70-L70</x:f>
        <x:v>68</x:v>
      </x:c>
      <x:c r="O70" s="45" t="str">
        <x:f>IF(L70&lt;=M70,"CLOSE","LATE")</x:f>
        <x:v>CLOSE</x:v>
      </x:c>
      <x:c r="P70" s="45" t="str">
        <x:f>IF(ISNUMBER(SEARCH(F70,'Cargo Records'!L70)),"PASS","FAIL")</x:f>
        <x:v>PASS</x:v>
      </x:c>
      <x:c r="Q70" s="45" t="str">
        <x:f>IF(J70&gt;='Cargo Records'!AC70,"PASS","FAIL")</x:f>
        <x:v>PASS</x:v>
      </x:c>
      <x:c r="R70" s="45" t="str">
        <x:f>'Cargo Records'!H70</x:f>
        <x:v>Z1–Z9</x:v>
      </x:c>
      <x:c r="S70" s="45" t="str">
        <x:f>'Cargo Records'!Y70</x:f>
        <x:v>Civil command coverage</x:v>
      </x:c>
      <x:c r="T70" s="45" t="n">
        <x:f>'Cargo Records'!Z70</x:f>
        <x:v>1</x:v>
      </x:c>
    </x:row>
  </x:sheetData>
  <x:mergeCells>
    <x:mergeCell ref="C2:T2"/>
    <x:mergeCell ref="C3:T3"/>
  </x:mergeCells>
  <x:conditionalFormatting sqref="O7:Q70">
    <x:cfRule type="containsText" dxfId="10" priority="1" operator="containsText" text="PASS"/>
    <x:cfRule type="containsText" dxfId="11" priority="2" operator="containsText" text="CLOSE"/>
    <x:cfRule type="containsText" dxfId="12" priority="3" operator="containsText" text="FAIL"/>
    <x:cfRule type="containsText" dxfId="13" priority="4" operator="containsText" text="LATE"/>
    <x:cfRule type="containsText" dxfId="14" priority="5" operator="containsText" text="OPEN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8" hidden="0" customWidth="1"/>
    <x:col min="5" max="5" width="18" hidden="0" customWidth="1"/>
    <x:col min="6" max="6" width="17" hidden="0" customWidth="1"/>
    <x:col min="7" max="7" width="18" hidden="0" customWidth="1"/>
    <x:col min="8" max="8" width="14" hidden="0" customWidth="1"/>
    <x:col min="9" max="9" width="15" hidden="0" customWidth="1"/>
    <x:col min="10" max="10" width="14" hidden="0" customWidth="1"/>
  </x:cols>
  <x:sheetData>
    <x:row r="2" ht="24" customHeight="1">
      <x:c r="C2" s="69" t="str">
        <x:v>Deployment Capacity Use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All formation loads are available at day zero and clear in band priority order. This table measures path-level queue and daily capacity use; sustainment receives its protected share separately.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Path ID</x:v>
      </x:c>
      <x:c r="D6" s="17" t="str">
        <x:v>Day</x:v>
      </x:c>
      <x:c r="E6" s="17" t="str">
        <x:v>New load demand</x:v>
      </x:c>
      <x:c r="F6" s="17" t="str">
        <x:v>Beginning queue</x:v>
      </x:c>
      <x:c r="G6" s="17" t="str">
        <x:v>Deployment capacity</x:v>
      </x:c>
      <x:c r="H6" s="17" t="str">
        <x:v>Moved</x:v>
      </x:c>
      <x:c r="I6" s="17" t="str">
        <x:v>Ending queue</x:v>
      </x:c>
      <x:c r="J6" s="18" t="str">
        <x:v>Queue status</x:v>
      </x:c>
      <x:c r="K6" s="72"/>
      <x:c r="L6" s="72"/>
      <x:c r="M6" s="72"/>
      <x:c r="N6" s="72"/>
    </x:row>
    <x:row r="7">
      <x:c r="C7" s="45" t="str">
        <x:f>'Path Daily'!C7</x:f>
        <x:v>P0</x:v>
      </x:c>
      <x:c r="D7" s="45" t="n">
        <x:f>'Path Daily'!D7</x:f>
        <x:v>0</x:v>
      </x:c>
      <x:c r="E7" s="53" t="n">
        <x:f>IF(D7=0,SUMIFS('Cargo Records'!$T$7:$T$70,'Cargo Records'!$J$7:$J$70,C7),0)</x:f>
        <x:v>112651.15151515149</x:v>
      </x:c>
      <x:c r="F7" s="53" t="n">
        <x:f>0</x:f>
        <x:v>0</x:v>
      </x:c>
      <x:c r="G7" s="53" t="n">
        <x:f>'Path Daily'!M7</x:f>
        <x:v>40000</x:v>
      </x:c>
      <x:c r="H7" s="53" t="n">
        <x:f>MIN(E7+F7,G7)</x:f>
        <x:v>40000</x:v>
      </x:c>
      <x:c r="I7" s="53" t="n">
        <x:f>E7+F7-H7</x:f>
        <x:v>72651.15151515149</x:v>
      </x:c>
      <x:c r="J7" s="45" t="str">
        <x:f>IF(I7=0,"CLEAR","QUEUED")</x:f>
        <x:v>QUEUED</x:v>
      </x:c>
      <x:c r="K7" s="72"/>
      <x:c r="L7" s="72"/>
      <x:c r="M7" s="72"/>
      <x:c r="N7" s="72"/>
    </x:row>
    <x:row r="8">
      <x:c r="C8" s="45" t="str">
        <x:f>'Path Daily'!C8</x:f>
        <x:v>P0</x:v>
      </x:c>
      <x:c r="D8" s="45" t="n">
        <x:f>'Path Daily'!D8</x:f>
        <x:v>1</x:v>
      </x:c>
      <x:c r="E8" s="53" t="n">
        <x:f>IF(D8=0,SUMIFS('Cargo Records'!$T$7:$T$70,'Cargo Records'!$J$7:$J$70,C8),0)</x:f>
        <x:v>0</x:v>
      </x:c>
      <x:c r="F8" s="53" t="n">
        <x:f>I7</x:f>
        <x:v>72651.15151515149</x:v>
      </x:c>
      <x:c r="G8" s="53" t="n">
        <x:f>'Path Daily'!M8</x:f>
        <x:v>40000</x:v>
      </x:c>
      <x:c r="H8" s="53" t="n">
        <x:f>MIN(E8+F8,G8)</x:f>
        <x:v>40000</x:v>
      </x:c>
      <x:c r="I8" s="53" t="n">
        <x:f>E8+F8-H8</x:f>
        <x:v>32651.15151515149</x:v>
      </x:c>
      <x:c r="J8" s="45" t="str">
        <x:f>IF(I8=0,"CLEAR","QUEUED")</x:f>
        <x:v>QUEUED</x:v>
      </x:c>
      <x:c r="K8" s="72"/>
      <x:c r="L8" s="72"/>
      <x:c r="M8" s="72"/>
      <x:c r="N8" s="72"/>
    </x:row>
    <x:row r="9">
      <x:c r="C9" s="45" t="str">
        <x:f>'Path Daily'!C9</x:f>
        <x:v>P0</x:v>
      </x:c>
      <x:c r="D9" s="45" t="n">
        <x:f>'Path Daily'!D9</x:f>
        <x:v>2</x:v>
      </x:c>
      <x:c r="E9" s="53" t="n">
        <x:f>IF(D9=0,SUMIFS('Cargo Records'!$T$7:$T$70,'Cargo Records'!$J$7:$J$70,C9),0)</x:f>
        <x:v>0</x:v>
      </x:c>
      <x:c r="F9" s="53" t="n">
        <x:f>I8</x:f>
        <x:v>32651.15151515149</x:v>
      </x:c>
      <x:c r="G9" s="53" t="n">
        <x:f>'Path Daily'!M9</x:f>
        <x:v>40000</x:v>
      </x:c>
      <x:c r="H9" s="53" t="n">
        <x:f>MIN(E9+F9,G9)</x:f>
        <x:v>32651.15151515149</x:v>
      </x:c>
      <x:c r="I9" s="53" t="n">
        <x:f>E9+F9-H9</x:f>
        <x:v>0</x:v>
      </x:c>
      <x:c r="J9" s="45" t="str">
        <x:f>IF(I9=0,"CLEAR","QUEUED")</x:f>
        <x:v>CLEAR</x:v>
      </x:c>
      <x:c r="K9" s="72"/>
      <x:c r="L9" s="72"/>
      <x:c r="M9" s="72"/>
      <x:c r="N9" s="72"/>
    </x:row>
    <x:row r="10">
      <x:c r="C10" s="45" t="str">
        <x:f>'Path Daily'!C10</x:f>
        <x:v>P0</x:v>
      </x:c>
      <x:c r="D10" s="45" t="n">
        <x:f>'Path Daily'!D10</x:f>
        <x:v>3</x:v>
      </x:c>
      <x:c r="E10" s="53" t="n">
        <x:f>IF(D10=0,SUMIFS('Cargo Records'!$T$7:$T$70,'Cargo Records'!$J$7:$J$70,C10),0)</x:f>
        <x:v>0</x:v>
      </x:c>
      <x:c r="F10" s="53" t="n">
        <x:f>I9</x:f>
        <x:v>0</x:v>
      </x:c>
      <x:c r="G10" s="53" t="n">
        <x:f>'Path Daily'!M10</x:f>
        <x:v>5000</x:v>
      </x:c>
      <x:c r="H10" s="53" t="n">
        <x:f>MIN(E10+F10,G10)</x:f>
        <x:v>0</x:v>
      </x:c>
      <x:c r="I10" s="53" t="n">
        <x:f>E10+F10-H10</x:f>
        <x:v>0</x:v>
      </x:c>
      <x:c r="J10" s="45" t="str">
        <x:f>IF(I10=0,"CLEAR","QUEUED")</x:f>
        <x:v>CLEAR</x:v>
      </x:c>
      <x:c r="K10" s="72"/>
      <x:c r="L10" s="72"/>
      <x:c r="M10" s="72"/>
      <x:c r="N10" s="72"/>
    </x:row>
    <x:row r="11">
      <x:c r="C11" s="45" t="str">
        <x:f>'Path Daily'!C11</x:f>
        <x:v>P0</x:v>
      </x:c>
      <x:c r="D11" s="45" t="n">
        <x:f>'Path Daily'!D11</x:f>
        <x:v>4</x:v>
      </x:c>
      <x:c r="E11" s="53" t="n">
        <x:f>IF(D11=0,SUMIFS('Cargo Records'!$T$7:$T$70,'Cargo Records'!$J$7:$J$70,C11),0)</x:f>
        <x:v>0</x:v>
      </x:c>
      <x:c r="F11" s="53" t="n">
        <x:f>I10</x:f>
        <x:v>0</x:v>
      </x:c>
      <x:c r="G11" s="53" t="n">
        <x:f>'Path Daily'!M11</x:f>
        <x:v>0</x:v>
      </x:c>
      <x:c r="H11" s="53" t="n">
        <x:f>MIN(E11+F11,G11)</x:f>
        <x:v>0</x:v>
      </x:c>
      <x:c r="I11" s="53" t="n">
        <x:f>E11+F11-H11</x:f>
        <x:v>0</x:v>
      </x:c>
      <x:c r="J11" s="45" t="str">
        <x:f>IF(I11=0,"CLEAR","QUEUED")</x:f>
        <x:v>CLEAR</x:v>
      </x:c>
      <x:c r="K11" s="72"/>
      <x:c r="L11" s="72"/>
      <x:c r="M11" s="72"/>
      <x:c r="N11" s="72"/>
    </x:row>
    <x:row r="12">
      <x:c r="C12" s="45" t="str">
        <x:f>'Path Daily'!C12</x:f>
        <x:v>P0</x:v>
      </x:c>
      <x:c r="D12" s="45" t="n">
        <x:f>'Path Daily'!D12</x:f>
        <x:v>5</x:v>
      </x:c>
      <x:c r="E12" s="53" t="n">
        <x:f>IF(D12=0,SUMIFS('Cargo Records'!$T$7:$T$70,'Cargo Records'!$J$7:$J$70,C12),0)</x:f>
        <x:v>0</x:v>
      </x:c>
      <x:c r="F12" s="53" t="n">
        <x:f>I11</x:f>
        <x:v>0</x:v>
      </x:c>
      <x:c r="G12" s="53" t="n">
        <x:f>'Path Daily'!M12</x:f>
        <x:v>0</x:v>
      </x:c>
      <x:c r="H12" s="53" t="n">
        <x:f>MIN(E12+F12,G12)</x:f>
        <x:v>0</x:v>
      </x:c>
      <x:c r="I12" s="53" t="n">
        <x:f>E12+F12-H12</x:f>
        <x:v>0</x:v>
      </x:c>
      <x:c r="J12" s="45" t="str">
        <x:f>IF(I12=0,"CLEAR","QUEUED")</x:f>
        <x:v>CLEAR</x:v>
      </x:c>
      <x:c r="K12" s="72"/>
      <x:c r="L12" s="72"/>
      <x:c r="M12" s="72"/>
      <x:c r="N12" s="72"/>
    </x:row>
    <x:row r="13">
      <x:c r="C13" s="45" t="str">
        <x:f>'Path Daily'!C13</x:f>
        <x:v>P0</x:v>
      </x:c>
      <x:c r="D13" s="45" t="n">
        <x:f>'Path Daily'!D13</x:f>
        <x:v>6</x:v>
      </x:c>
      <x:c r="E13" s="53" t="n">
        <x:f>IF(D13=0,SUMIFS('Cargo Records'!$T$7:$T$70,'Cargo Records'!$J$7:$J$70,C13),0)</x:f>
        <x:v>0</x:v>
      </x:c>
      <x:c r="F13" s="53" t="n">
        <x:f>I12</x:f>
        <x:v>0</x:v>
      </x:c>
      <x:c r="G13" s="53" t="n">
        <x:f>'Path Daily'!M13</x:f>
        <x:v>0</x:v>
      </x:c>
      <x:c r="H13" s="53" t="n">
        <x:f>MIN(E13+F13,G13)</x:f>
        <x:v>0</x:v>
      </x:c>
      <x:c r="I13" s="53" t="n">
        <x:f>E13+F13-H13</x:f>
        <x:v>0</x:v>
      </x:c>
      <x:c r="J13" s="45" t="str">
        <x:f>IF(I13=0,"CLEAR","QUEUED")</x:f>
        <x:v>CLEAR</x:v>
      </x:c>
      <x:c r="K13" s="72"/>
      <x:c r="L13" s="72"/>
      <x:c r="M13" s="72"/>
      <x:c r="N13" s="72"/>
    </x:row>
    <x:row r="14">
      <x:c r="C14" s="45" t="str">
        <x:f>'Path Daily'!C14</x:f>
        <x:v>P0</x:v>
      </x:c>
      <x:c r="D14" s="45" t="n">
        <x:f>'Path Daily'!D14</x:f>
        <x:v>7</x:v>
      </x:c>
      <x:c r="E14" s="53" t="n">
        <x:f>IF(D14=0,SUMIFS('Cargo Records'!$T$7:$T$70,'Cargo Records'!$J$7:$J$70,C14),0)</x:f>
        <x:v>0</x:v>
      </x:c>
      <x:c r="F14" s="53" t="n">
        <x:f>I13</x:f>
        <x:v>0</x:v>
      </x:c>
      <x:c r="G14" s="53" t="n">
        <x:f>'Path Daily'!M14</x:f>
        <x:v>0</x:v>
      </x:c>
      <x:c r="H14" s="53" t="n">
        <x:f>MIN(E14+F14,G14)</x:f>
        <x:v>0</x:v>
      </x:c>
      <x:c r="I14" s="53" t="n">
        <x:f>E14+F14-H14</x:f>
        <x:v>0</x:v>
      </x:c>
      <x:c r="J14" s="45" t="str">
        <x:f>IF(I14=0,"CLEAR","QUEUED")</x:f>
        <x:v>CLEAR</x:v>
      </x:c>
      <x:c r="K14" s="72"/>
      <x:c r="L14" s="72"/>
      <x:c r="M14" s="72"/>
      <x:c r="N14" s="72"/>
    </x:row>
    <x:row r="15">
      <x:c r="C15" s="45" t="str">
        <x:f>'Path Daily'!C15</x:f>
        <x:v>P0</x:v>
      </x:c>
      <x:c r="D15" s="45" t="n">
        <x:f>'Path Daily'!D15</x:f>
        <x:v>8</x:v>
      </x:c>
      <x:c r="E15" s="53" t="n">
        <x:f>IF(D15=0,SUMIFS('Cargo Records'!$T$7:$T$70,'Cargo Records'!$J$7:$J$70,C15),0)</x:f>
        <x:v>0</x:v>
      </x:c>
      <x:c r="F15" s="53" t="n">
        <x:f>I14</x:f>
        <x:v>0</x:v>
      </x:c>
      <x:c r="G15" s="53" t="n">
        <x:f>'Path Daily'!M15</x:f>
        <x:v>0</x:v>
      </x:c>
      <x:c r="H15" s="53" t="n">
        <x:f>MIN(E15+F15,G15)</x:f>
        <x:v>0</x:v>
      </x:c>
      <x:c r="I15" s="53" t="n">
        <x:f>E15+F15-H15</x:f>
        <x:v>0</x:v>
      </x:c>
      <x:c r="J15" s="45" t="str">
        <x:f>IF(I15=0,"CLEAR","QUEUED")</x:f>
        <x:v>CLEAR</x:v>
      </x:c>
      <x:c r="K15" s="72"/>
      <x:c r="L15" s="72"/>
      <x:c r="M15" s="72"/>
      <x:c r="N15" s="72"/>
    </x:row>
    <x:row r="16">
      <x:c r="C16" s="45" t="str">
        <x:f>'Path Daily'!C16</x:f>
        <x:v>P0</x:v>
      </x:c>
      <x:c r="D16" s="45" t="n">
        <x:f>'Path Daily'!D16</x:f>
        <x:v>9</x:v>
      </x:c>
      <x:c r="E16" s="53" t="n">
        <x:f>IF(D16=0,SUMIFS('Cargo Records'!$T$7:$T$70,'Cargo Records'!$J$7:$J$70,C16),0)</x:f>
        <x:v>0</x:v>
      </x:c>
      <x:c r="F16" s="53" t="n">
        <x:f>I15</x:f>
        <x:v>0</x:v>
      </x:c>
      <x:c r="G16" s="53" t="n">
        <x:f>'Path Daily'!M16</x:f>
        <x:v>0</x:v>
      </x:c>
      <x:c r="H16" s="53" t="n">
        <x:f>MIN(E16+F16,G16)</x:f>
        <x:v>0</x:v>
      </x:c>
      <x:c r="I16" s="53" t="n">
        <x:f>E16+F16-H16</x:f>
        <x:v>0</x:v>
      </x:c>
      <x:c r="J16" s="45" t="str">
        <x:f>IF(I16=0,"CLEAR","QUEUED")</x:f>
        <x:v>CLEAR</x:v>
      </x:c>
      <x:c r="K16" s="72"/>
      <x:c r="L16" s="72"/>
      <x:c r="M16" s="72"/>
      <x:c r="N16" s="72"/>
    </x:row>
    <x:row r="17">
      <x:c r="C17" s="45" t="str">
        <x:f>'Path Daily'!C17</x:f>
        <x:v>P0</x:v>
      </x:c>
      <x:c r="D17" s="45" t="n">
        <x:f>'Path Daily'!D17</x:f>
        <x:v>10</x:v>
      </x:c>
      <x:c r="E17" s="53" t="n">
        <x:f>IF(D17=0,SUMIFS('Cargo Records'!$T$7:$T$70,'Cargo Records'!$J$7:$J$70,C17),0)</x:f>
        <x:v>0</x:v>
      </x:c>
      <x:c r="F17" s="53" t="n">
        <x:f>I16</x:f>
        <x:v>0</x:v>
      </x:c>
      <x:c r="G17" s="53" t="n">
        <x:f>'Path Daily'!M17</x:f>
        <x:v>0</x:v>
      </x:c>
      <x:c r="H17" s="53" t="n">
        <x:f>MIN(E17+F17,G17)</x:f>
        <x:v>0</x:v>
      </x:c>
      <x:c r="I17" s="53" t="n">
        <x:f>E17+F17-H17</x:f>
        <x:v>0</x:v>
      </x:c>
      <x:c r="J17" s="45" t="str">
        <x:f>IF(I17=0,"CLEAR","QUEUED")</x:f>
        <x:v>CLEAR</x:v>
      </x:c>
      <x:c r="K17" s="72"/>
      <x:c r="L17" s="72"/>
      <x:c r="M17" s="72"/>
      <x:c r="N17" s="72"/>
    </x:row>
    <x:row r="18">
      <x:c r="C18" s="45" t="str">
        <x:f>'Path Daily'!C18</x:f>
        <x:v>P0</x:v>
      </x:c>
      <x:c r="D18" s="45" t="n">
        <x:f>'Path Daily'!D18</x:f>
        <x:v>11</x:v>
      </x:c>
      <x:c r="E18" s="53" t="n">
        <x:f>IF(D18=0,SUMIFS('Cargo Records'!$T$7:$T$70,'Cargo Records'!$J$7:$J$70,C18),0)</x:f>
        <x:v>0</x:v>
      </x:c>
      <x:c r="F18" s="53" t="n">
        <x:f>I17</x:f>
        <x:v>0</x:v>
      </x:c>
      <x:c r="G18" s="53" t="n">
        <x:f>'Path Daily'!M18</x:f>
        <x:v>0</x:v>
      </x:c>
      <x:c r="H18" s="53" t="n">
        <x:f>MIN(E18+F18,G18)</x:f>
        <x:v>0</x:v>
      </x:c>
      <x:c r="I18" s="53" t="n">
        <x:f>E18+F18-H18</x:f>
        <x:v>0</x:v>
      </x:c>
      <x:c r="J18" s="45" t="str">
        <x:f>IF(I18=0,"CLEAR","QUEUED")</x:f>
        <x:v>CLEAR</x:v>
      </x:c>
      <x:c r="K18" s="72"/>
      <x:c r="L18" s="72"/>
      <x:c r="M18" s="72"/>
      <x:c r="N18" s="72"/>
    </x:row>
    <x:row r="19">
      <x:c r="C19" s="45" t="str">
        <x:f>'Path Daily'!C19</x:f>
        <x:v>P0</x:v>
      </x:c>
      <x:c r="D19" s="45" t="n">
        <x:f>'Path Daily'!D19</x:f>
        <x:v>12</x:v>
      </x:c>
      <x:c r="E19" s="53" t="n">
        <x:f>IF(D19=0,SUMIFS('Cargo Records'!$T$7:$T$70,'Cargo Records'!$J$7:$J$70,C19),0)</x:f>
        <x:v>0</x:v>
      </x:c>
      <x:c r="F19" s="53" t="n">
        <x:f>I18</x:f>
        <x:v>0</x:v>
      </x:c>
      <x:c r="G19" s="53" t="n">
        <x:f>'Path Daily'!M19</x:f>
        <x:v>0</x:v>
      </x:c>
      <x:c r="H19" s="53" t="n">
        <x:f>MIN(E19+F19,G19)</x:f>
        <x:v>0</x:v>
      </x:c>
      <x:c r="I19" s="53" t="n">
        <x:f>E19+F19-H19</x:f>
        <x:v>0</x:v>
      </x:c>
      <x:c r="J19" s="45" t="str">
        <x:f>IF(I19=0,"CLEAR","QUEUED")</x:f>
        <x:v>CLEAR</x:v>
      </x:c>
      <x:c r="K19" s="72"/>
      <x:c r="L19" s="72"/>
      <x:c r="M19" s="72"/>
      <x:c r="N19" s="72"/>
    </x:row>
    <x:row r="20">
      <x:c r="C20" s="45" t="str">
        <x:f>'Path Daily'!C20</x:f>
        <x:v>P0</x:v>
      </x:c>
      <x:c r="D20" s="45" t="n">
        <x:f>'Path Daily'!D20</x:f>
        <x:v>13</x:v>
      </x:c>
      <x:c r="E20" s="53" t="n">
        <x:f>IF(D20=0,SUMIFS('Cargo Records'!$T$7:$T$70,'Cargo Records'!$J$7:$J$70,C20),0)</x:f>
        <x:v>0</x:v>
      </x:c>
      <x:c r="F20" s="53" t="n">
        <x:f>I19</x:f>
        <x:v>0</x:v>
      </x:c>
      <x:c r="G20" s="53" t="n">
        <x:f>'Path Daily'!M20</x:f>
        <x:v>0</x:v>
      </x:c>
      <x:c r="H20" s="53" t="n">
        <x:f>MIN(E20+F20,G20)</x:f>
        <x:v>0</x:v>
      </x:c>
      <x:c r="I20" s="53" t="n">
        <x:f>E20+F20-H20</x:f>
        <x:v>0</x:v>
      </x:c>
      <x:c r="J20" s="45" t="str">
        <x:f>IF(I20=0,"CLEAR","QUEUED")</x:f>
        <x:v>CLEAR</x:v>
      </x:c>
      <x:c r="K20" s="72"/>
      <x:c r="L20" s="72"/>
      <x:c r="M20" s="72"/>
      <x:c r="N20" s="72"/>
    </x:row>
    <x:row r="21">
      <x:c r="C21" s="45" t="str">
        <x:f>'Path Daily'!C21</x:f>
        <x:v>P0</x:v>
      </x:c>
      <x:c r="D21" s="45" t="n">
        <x:f>'Path Daily'!D21</x:f>
        <x:v>14</x:v>
      </x:c>
      <x:c r="E21" s="53" t="n">
        <x:f>IF(D21=0,SUMIFS('Cargo Records'!$T$7:$T$70,'Cargo Records'!$J$7:$J$70,C21),0)</x:f>
        <x:v>0</x:v>
      </x:c>
      <x:c r="F21" s="53" t="n">
        <x:f>I20</x:f>
        <x:v>0</x:v>
      </x:c>
      <x:c r="G21" s="53" t="n">
        <x:f>'Path Daily'!M21</x:f>
        <x:v>0</x:v>
      </x:c>
      <x:c r="H21" s="53" t="n">
        <x:f>MIN(E21+F21,G21)</x:f>
        <x:v>0</x:v>
      </x:c>
      <x:c r="I21" s="53" t="n">
        <x:f>E21+F21-H21</x:f>
        <x:v>0</x:v>
      </x:c>
      <x:c r="J21" s="45" t="str">
        <x:f>IF(I21=0,"CLEAR","QUEUED")</x:f>
        <x:v>CLEAR</x:v>
      </x:c>
      <x:c r="K21" s="72"/>
      <x:c r="L21" s="72"/>
      <x:c r="M21" s="72"/>
      <x:c r="N21" s="72"/>
    </x:row>
    <x:row r="22">
      <x:c r="C22" s="45" t="str">
        <x:f>'Path Daily'!C22</x:f>
        <x:v>P0</x:v>
      </x:c>
      <x:c r="D22" s="45" t="n">
        <x:f>'Path Daily'!D22</x:f>
        <x:v>15</x:v>
      </x:c>
      <x:c r="E22" s="53" t="n">
        <x:f>IF(D22=0,SUMIFS('Cargo Records'!$T$7:$T$70,'Cargo Records'!$J$7:$J$70,C22),0)</x:f>
        <x:v>0</x:v>
      </x:c>
      <x:c r="F22" s="53" t="n">
        <x:f>I21</x:f>
        <x:v>0</x:v>
      </x:c>
      <x:c r="G22" s="53" t="n">
        <x:f>'Path Daily'!M22</x:f>
        <x:v>0</x:v>
      </x:c>
      <x:c r="H22" s="53" t="n">
        <x:f>MIN(E22+F22,G22)</x:f>
        <x:v>0</x:v>
      </x:c>
      <x:c r="I22" s="53" t="n">
        <x:f>E22+F22-H22</x:f>
        <x:v>0</x:v>
      </x:c>
      <x:c r="J22" s="45" t="str">
        <x:f>IF(I22=0,"CLEAR","QUEUED")</x:f>
        <x:v>CLEAR</x:v>
      </x:c>
      <x:c r="K22" s="72"/>
      <x:c r="L22" s="72"/>
      <x:c r="M22" s="72"/>
      <x:c r="N22" s="72"/>
    </x:row>
    <x:row r="23">
      <x:c r="C23" s="45" t="str">
        <x:f>'Path Daily'!C23</x:f>
        <x:v>P0</x:v>
      </x:c>
      <x:c r="D23" s="45" t="n">
        <x:f>'Path Daily'!D23</x:f>
        <x:v>16</x:v>
      </x:c>
      <x:c r="E23" s="53" t="n">
        <x:f>IF(D23=0,SUMIFS('Cargo Records'!$T$7:$T$70,'Cargo Records'!$J$7:$J$70,C23),0)</x:f>
        <x:v>0</x:v>
      </x:c>
      <x:c r="F23" s="53" t="n">
        <x:f>I22</x:f>
        <x:v>0</x:v>
      </x:c>
      <x:c r="G23" s="53" t="n">
        <x:f>'Path Daily'!M23</x:f>
        <x:v>0</x:v>
      </x:c>
      <x:c r="H23" s="53" t="n">
        <x:f>MIN(E23+F23,G23)</x:f>
        <x:v>0</x:v>
      </x:c>
      <x:c r="I23" s="53" t="n">
        <x:f>E23+F23-H23</x:f>
        <x:v>0</x:v>
      </x:c>
      <x:c r="J23" s="45" t="str">
        <x:f>IF(I23=0,"CLEAR","QUEUED")</x:f>
        <x:v>CLEAR</x:v>
      </x:c>
      <x:c r="K23" s="72"/>
      <x:c r="L23" s="72"/>
      <x:c r="M23" s="72"/>
      <x:c r="N23" s="72"/>
    </x:row>
    <x:row r="24">
      <x:c r="C24" s="45" t="str">
        <x:f>'Path Daily'!C24</x:f>
        <x:v>P0</x:v>
      </x:c>
      <x:c r="D24" s="45" t="n">
        <x:f>'Path Daily'!D24</x:f>
        <x:v>17</x:v>
      </x:c>
      <x:c r="E24" s="53" t="n">
        <x:f>IF(D24=0,SUMIFS('Cargo Records'!$T$7:$T$70,'Cargo Records'!$J$7:$J$70,C24),0)</x:f>
        <x:v>0</x:v>
      </x:c>
      <x:c r="F24" s="53" t="n">
        <x:f>I23</x:f>
        <x:v>0</x:v>
      </x:c>
      <x:c r="G24" s="53" t="n">
        <x:f>'Path Daily'!M24</x:f>
        <x:v>0</x:v>
      </x:c>
      <x:c r="H24" s="53" t="n">
        <x:f>MIN(E24+F24,G24)</x:f>
        <x:v>0</x:v>
      </x:c>
      <x:c r="I24" s="53" t="n">
        <x:f>E24+F24-H24</x:f>
        <x:v>0</x:v>
      </x:c>
      <x:c r="J24" s="45" t="str">
        <x:f>IF(I24=0,"CLEAR","QUEUED")</x:f>
        <x:v>CLEAR</x:v>
      </x:c>
      <x:c r="K24" s="72"/>
      <x:c r="L24" s="72"/>
      <x:c r="M24" s="72"/>
      <x:c r="N24" s="72"/>
    </x:row>
    <x:row r="25">
      <x:c r="C25" s="45" t="str">
        <x:f>'Path Daily'!C25</x:f>
        <x:v>P0</x:v>
      </x:c>
      <x:c r="D25" s="45" t="n">
        <x:f>'Path Daily'!D25</x:f>
        <x:v>18</x:v>
      </x:c>
      <x:c r="E25" s="53" t="n">
        <x:f>IF(D25=0,SUMIFS('Cargo Records'!$T$7:$T$70,'Cargo Records'!$J$7:$J$70,C25),0)</x:f>
        <x:v>0</x:v>
      </x:c>
      <x:c r="F25" s="53" t="n">
        <x:f>I24</x:f>
        <x:v>0</x:v>
      </x:c>
      <x:c r="G25" s="53" t="n">
        <x:f>'Path Daily'!M25</x:f>
        <x:v>0</x:v>
      </x:c>
      <x:c r="H25" s="53" t="n">
        <x:f>MIN(E25+F25,G25)</x:f>
        <x:v>0</x:v>
      </x:c>
      <x:c r="I25" s="53" t="n">
        <x:f>E25+F25-H25</x:f>
        <x:v>0</x:v>
      </x:c>
      <x:c r="J25" s="45" t="str">
        <x:f>IF(I25=0,"CLEAR","QUEUED")</x:f>
        <x:v>CLEAR</x:v>
      </x:c>
      <x:c r="K25" s="72"/>
      <x:c r="L25" s="72"/>
      <x:c r="M25" s="72"/>
      <x:c r="N25" s="72"/>
    </x:row>
    <x:row r="26">
      <x:c r="C26" s="45" t="str">
        <x:f>'Path Daily'!C26</x:f>
        <x:v>P0</x:v>
      </x:c>
      <x:c r="D26" s="45" t="n">
        <x:f>'Path Daily'!D26</x:f>
        <x:v>19</x:v>
      </x:c>
      <x:c r="E26" s="53" t="n">
        <x:f>IF(D26=0,SUMIFS('Cargo Records'!$T$7:$T$70,'Cargo Records'!$J$7:$J$70,C26),0)</x:f>
        <x:v>0</x:v>
      </x:c>
      <x:c r="F26" s="53" t="n">
        <x:f>I25</x:f>
        <x:v>0</x:v>
      </x:c>
      <x:c r="G26" s="53" t="n">
        <x:f>'Path Daily'!M26</x:f>
        <x:v>0</x:v>
      </x:c>
      <x:c r="H26" s="53" t="n">
        <x:f>MIN(E26+F26,G26)</x:f>
        <x:v>0</x:v>
      </x:c>
      <x:c r="I26" s="53" t="n">
        <x:f>E26+F26-H26</x:f>
        <x:v>0</x:v>
      </x:c>
      <x:c r="J26" s="45" t="str">
        <x:f>IF(I26=0,"CLEAR","QUEUED")</x:f>
        <x:v>CLEAR</x:v>
      </x:c>
      <x:c r="K26" s="72"/>
      <x:c r="L26" s="72"/>
      <x:c r="M26" s="72"/>
      <x:c r="N26" s="72"/>
    </x:row>
    <x:row r="27">
      <x:c r="C27" s="45" t="str">
        <x:f>'Path Daily'!C27</x:f>
        <x:v>P0</x:v>
      </x:c>
      <x:c r="D27" s="45" t="n">
        <x:f>'Path Daily'!D27</x:f>
        <x:v>20</x:v>
      </x:c>
      <x:c r="E27" s="53" t="n">
        <x:f>IF(D27=0,SUMIFS('Cargo Records'!$T$7:$T$70,'Cargo Records'!$J$7:$J$70,C27),0)</x:f>
        <x:v>0</x:v>
      </x:c>
      <x:c r="F27" s="53" t="n">
        <x:f>I26</x:f>
        <x:v>0</x:v>
      </x:c>
      <x:c r="G27" s="53" t="n">
        <x:f>'Path Daily'!M27</x:f>
        <x:v>0</x:v>
      </x:c>
      <x:c r="H27" s="53" t="n">
        <x:f>MIN(E27+F27,G27)</x:f>
        <x:v>0</x:v>
      </x:c>
      <x:c r="I27" s="53" t="n">
        <x:f>E27+F27-H27</x:f>
        <x:v>0</x:v>
      </x:c>
      <x:c r="J27" s="45" t="str">
        <x:f>IF(I27=0,"CLEAR","QUEUED")</x:f>
        <x:v>CLEAR</x:v>
      </x:c>
      <x:c r="K27" s="72"/>
      <x:c r="L27" s="72"/>
      <x:c r="M27" s="72"/>
      <x:c r="N27" s="72"/>
    </x:row>
    <x:row r="28">
      <x:c r="C28" s="45" t="str">
        <x:f>'Path Daily'!C28</x:f>
        <x:v>P0</x:v>
      </x:c>
      <x:c r="D28" s="45" t="n">
        <x:f>'Path Daily'!D28</x:f>
        <x:v>21</x:v>
      </x:c>
      <x:c r="E28" s="53" t="n">
        <x:f>IF(D28=0,SUMIFS('Cargo Records'!$T$7:$T$70,'Cargo Records'!$J$7:$J$70,C28),0)</x:f>
        <x:v>0</x:v>
      </x:c>
      <x:c r="F28" s="53" t="n">
        <x:f>I27</x:f>
        <x:v>0</x:v>
      </x:c>
      <x:c r="G28" s="53" t="n">
        <x:f>'Path Daily'!M28</x:f>
        <x:v>0</x:v>
      </x:c>
      <x:c r="H28" s="53" t="n">
        <x:f>MIN(E28+F28,G28)</x:f>
        <x:v>0</x:v>
      </x:c>
      <x:c r="I28" s="53" t="n">
        <x:f>E28+F28-H28</x:f>
        <x:v>0</x:v>
      </x:c>
      <x:c r="J28" s="45" t="str">
        <x:f>IF(I28=0,"CLEAR","QUEUED")</x:f>
        <x:v>CLEAR</x:v>
      </x:c>
      <x:c r="K28" s="72"/>
      <x:c r="L28" s="72"/>
      <x:c r="M28" s="72"/>
      <x:c r="N28" s="72"/>
    </x:row>
    <x:row r="29">
      <x:c r="C29" s="45" t="str">
        <x:f>'Path Daily'!C29</x:f>
        <x:v>P0</x:v>
      </x:c>
      <x:c r="D29" s="45" t="n">
        <x:f>'Path Daily'!D29</x:f>
        <x:v>22</x:v>
      </x:c>
      <x:c r="E29" s="53" t="n">
        <x:f>IF(D29=0,SUMIFS('Cargo Records'!$T$7:$T$70,'Cargo Records'!$J$7:$J$70,C29),0)</x:f>
        <x:v>0</x:v>
      </x:c>
      <x:c r="F29" s="53" t="n">
        <x:f>I28</x:f>
        <x:v>0</x:v>
      </x:c>
      <x:c r="G29" s="53" t="n">
        <x:f>'Path Daily'!M29</x:f>
        <x:v>0</x:v>
      </x:c>
      <x:c r="H29" s="53" t="n">
        <x:f>MIN(E29+F29,G29)</x:f>
        <x:v>0</x:v>
      </x:c>
      <x:c r="I29" s="53" t="n">
        <x:f>E29+F29-H29</x:f>
        <x:v>0</x:v>
      </x:c>
      <x:c r="J29" s="45" t="str">
        <x:f>IF(I29=0,"CLEAR","QUEUED")</x:f>
        <x:v>CLEAR</x:v>
      </x:c>
      <x:c r="K29" s="72"/>
      <x:c r="L29" s="72"/>
      <x:c r="M29" s="72"/>
      <x:c r="N29" s="72"/>
    </x:row>
    <x:row r="30">
      <x:c r="C30" s="45" t="str">
        <x:f>'Path Daily'!C30</x:f>
        <x:v>P0</x:v>
      </x:c>
      <x:c r="D30" s="45" t="n">
        <x:f>'Path Daily'!D30</x:f>
        <x:v>23</x:v>
      </x:c>
      <x:c r="E30" s="53" t="n">
        <x:f>IF(D30=0,SUMIFS('Cargo Records'!$T$7:$T$70,'Cargo Records'!$J$7:$J$70,C30),0)</x:f>
        <x:v>0</x:v>
      </x:c>
      <x:c r="F30" s="53" t="n">
        <x:f>I29</x:f>
        <x:v>0</x:v>
      </x:c>
      <x:c r="G30" s="53" t="n">
        <x:f>'Path Daily'!M30</x:f>
        <x:v>0</x:v>
      </x:c>
      <x:c r="H30" s="53" t="n">
        <x:f>MIN(E30+F30,G30)</x:f>
        <x:v>0</x:v>
      </x:c>
      <x:c r="I30" s="53" t="n">
        <x:f>E30+F30-H30</x:f>
        <x:v>0</x:v>
      </x:c>
      <x:c r="J30" s="45" t="str">
        <x:f>IF(I30=0,"CLEAR","QUEUED")</x:f>
        <x:v>CLEAR</x:v>
      </x:c>
      <x:c r="K30" s="72"/>
      <x:c r="L30" s="72"/>
      <x:c r="M30" s="72"/>
      <x:c r="N30" s="72"/>
    </x:row>
    <x:row r="31">
      <x:c r="C31" s="45" t="str">
        <x:f>'Path Daily'!C31</x:f>
        <x:v>P0</x:v>
      </x:c>
      <x:c r="D31" s="45" t="n">
        <x:f>'Path Daily'!D31</x:f>
        <x:v>24</x:v>
      </x:c>
      <x:c r="E31" s="53" t="n">
        <x:f>IF(D31=0,SUMIFS('Cargo Records'!$T$7:$T$70,'Cargo Records'!$J$7:$J$70,C31),0)</x:f>
        <x:v>0</x:v>
      </x:c>
      <x:c r="F31" s="53" t="n">
        <x:f>I30</x:f>
        <x:v>0</x:v>
      </x:c>
      <x:c r="G31" s="53" t="n">
        <x:f>'Path Daily'!M31</x:f>
        <x:v>0</x:v>
      </x:c>
      <x:c r="H31" s="53" t="n">
        <x:f>MIN(E31+F31,G31)</x:f>
        <x:v>0</x:v>
      </x:c>
      <x:c r="I31" s="53" t="n">
        <x:f>E31+F31-H31</x:f>
        <x:v>0</x:v>
      </x:c>
      <x:c r="J31" s="45" t="str">
        <x:f>IF(I31=0,"CLEAR","QUEUED")</x:f>
        <x:v>CLEAR</x:v>
      </x:c>
      <x:c r="K31" s="72"/>
      <x:c r="L31" s="72"/>
      <x:c r="M31" s="72"/>
      <x:c r="N31" s="72"/>
    </x:row>
    <x:row r="32">
      <x:c r="C32" s="45" t="str">
        <x:f>'Path Daily'!C32</x:f>
        <x:v>P0</x:v>
      </x:c>
      <x:c r="D32" s="45" t="n">
        <x:f>'Path Daily'!D32</x:f>
        <x:v>25</x:v>
      </x:c>
      <x:c r="E32" s="53" t="n">
        <x:f>IF(D32=0,SUMIFS('Cargo Records'!$T$7:$T$70,'Cargo Records'!$J$7:$J$70,C32),0)</x:f>
        <x:v>0</x:v>
      </x:c>
      <x:c r="F32" s="53" t="n">
        <x:f>I31</x:f>
        <x:v>0</x:v>
      </x:c>
      <x:c r="G32" s="53" t="n">
        <x:f>'Path Daily'!M32</x:f>
        <x:v>0</x:v>
      </x:c>
      <x:c r="H32" s="53" t="n">
        <x:f>MIN(E32+F32,G32)</x:f>
        <x:v>0</x:v>
      </x:c>
      <x:c r="I32" s="53" t="n">
        <x:f>E32+F32-H32</x:f>
        <x:v>0</x:v>
      </x:c>
      <x:c r="J32" s="45" t="str">
        <x:f>IF(I32=0,"CLEAR","QUEUED")</x:f>
        <x:v>CLEAR</x:v>
      </x:c>
      <x:c r="K32" s="72"/>
      <x:c r="L32" s="72"/>
      <x:c r="M32" s="72"/>
      <x:c r="N32" s="72"/>
    </x:row>
    <x:row r="33">
      <x:c r="C33" s="45" t="str">
        <x:f>'Path Daily'!C33</x:f>
        <x:v>P0</x:v>
      </x:c>
      <x:c r="D33" s="45" t="n">
        <x:f>'Path Daily'!D33</x:f>
        <x:v>26</x:v>
      </x:c>
      <x:c r="E33" s="53" t="n">
        <x:f>IF(D33=0,SUMIFS('Cargo Records'!$T$7:$T$70,'Cargo Records'!$J$7:$J$70,C33),0)</x:f>
        <x:v>0</x:v>
      </x:c>
      <x:c r="F33" s="53" t="n">
        <x:f>I32</x:f>
        <x:v>0</x:v>
      </x:c>
      <x:c r="G33" s="53" t="n">
        <x:f>'Path Daily'!M33</x:f>
        <x:v>0</x:v>
      </x:c>
      <x:c r="H33" s="53" t="n">
        <x:f>MIN(E33+F33,G33)</x:f>
        <x:v>0</x:v>
      </x:c>
      <x:c r="I33" s="53" t="n">
        <x:f>E33+F33-H33</x:f>
        <x:v>0</x:v>
      </x:c>
      <x:c r="J33" s="45" t="str">
        <x:f>IF(I33=0,"CLEAR","QUEUED")</x:f>
        <x:v>CLEAR</x:v>
      </x:c>
      <x:c r="K33" s="72"/>
      <x:c r="L33" s="72"/>
      <x:c r="M33" s="72"/>
      <x:c r="N33" s="72"/>
    </x:row>
    <x:row r="34">
      <x:c r="C34" s="45" t="str">
        <x:f>'Path Daily'!C34</x:f>
        <x:v>P0</x:v>
      </x:c>
      <x:c r="D34" s="45" t="n">
        <x:f>'Path Daily'!D34</x:f>
        <x:v>27</x:v>
      </x:c>
      <x:c r="E34" s="53" t="n">
        <x:f>IF(D34=0,SUMIFS('Cargo Records'!$T$7:$T$70,'Cargo Records'!$J$7:$J$70,C34),0)</x:f>
        <x:v>0</x:v>
      </x:c>
      <x:c r="F34" s="53" t="n">
        <x:f>I33</x:f>
        <x:v>0</x:v>
      </x:c>
      <x:c r="G34" s="53" t="n">
        <x:f>'Path Daily'!M34</x:f>
        <x:v>0</x:v>
      </x:c>
      <x:c r="H34" s="53" t="n">
        <x:f>MIN(E34+F34,G34)</x:f>
        <x:v>0</x:v>
      </x:c>
      <x:c r="I34" s="53" t="n">
        <x:f>E34+F34-H34</x:f>
        <x:v>0</x:v>
      </x:c>
      <x:c r="J34" s="45" t="str">
        <x:f>IF(I34=0,"CLEAR","QUEUED")</x:f>
        <x:v>CLEAR</x:v>
      </x:c>
      <x:c r="K34" s="72"/>
      <x:c r="L34" s="72"/>
      <x:c r="M34" s="72"/>
      <x:c r="N34" s="72"/>
    </x:row>
    <x:row r="35">
      <x:c r="C35" s="45" t="str">
        <x:f>'Path Daily'!C35</x:f>
        <x:v>P0</x:v>
      </x:c>
      <x:c r="D35" s="45" t="n">
        <x:f>'Path Daily'!D35</x:f>
        <x:v>28</x:v>
      </x:c>
      <x:c r="E35" s="53" t="n">
        <x:f>IF(D35=0,SUMIFS('Cargo Records'!$T$7:$T$70,'Cargo Records'!$J$7:$J$70,C35),0)</x:f>
        <x:v>0</x:v>
      </x:c>
      <x:c r="F35" s="53" t="n">
        <x:f>I34</x:f>
        <x:v>0</x:v>
      </x:c>
      <x:c r="G35" s="53" t="n">
        <x:f>'Path Daily'!M35</x:f>
        <x:v>0</x:v>
      </x:c>
      <x:c r="H35" s="53" t="n">
        <x:f>MIN(E35+F35,G35)</x:f>
        <x:v>0</x:v>
      </x:c>
      <x:c r="I35" s="53" t="n">
        <x:f>E35+F35-H35</x:f>
        <x:v>0</x:v>
      </x:c>
      <x:c r="J35" s="45" t="str">
        <x:f>IF(I35=0,"CLEAR","QUEUED")</x:f>
        <x:v>CLEAR</x:v>
      </x:c>
      <x:c r="K35" s="72"/>
      <x:c r="L35" s="72"/>
      <x:c r="M35" s="72"/>
      <x:c r="N35" s="72"/>
    </x:row>
    <x:row r="36">
      <x:c r="C36" s="45" t="str">
        <x:f>'Path Daily'!C36</x:f>
        <x:v>P0</x:v>
      </x:c>
      <x:c r="D36" s="45" t="n">
        <x:f>'Path Daily'!D36</x:f>
        <x:v>29</x:v>
      </x:c>
      <x:c r="E36" s="53" t="n">
        <x:f>IF(D36=0,SUMIFS('Cargo Records'!$T$7:$T$70,'Cargo Records'!$J$7:$J$70,C36),0)</x:f>
        <x:v>0</x:v>
      </x:c>
      <x:c r="F36" s="53" t="n">
        <x:f>I35</x:f>
        <x:v>0</x:v>
      </x:c>
      <x:c r="G36" s="53" t="n">
        <x:f>'Path Daily'!M36</x:f>
        <x:v>0</x:v>
      </x:c>
      <x:c r="H36" s="53" t="n">
        <x:f>MIN(E36+F36,G36)</x:f>
        <x:v>0</x:v>
      </x:c>
      <x:c r="I36" s="53" t="n">
        <x:f>E36+F36-H36</x:f>
        <x:v>0</x:v>
      </x:c>
      <x:c r="J36" s="45" t="str">
        <x:f>IF(I36=0,"CLEAR","QUEUED")</x:f>
        <x:v>CLEAR</x:v>
      </x:c>
      <x:c r="K36" s="72"/>
      <x:c r="L36" s="72"/>
      <x:c r="M36" s="72"/>
      <x:c r="N36" s="72"/>
    </x:row>
    <x:row r="37">
      <x:c r="C37" s="45" t="str">
        <x:f>'Path Daily'!C37</x:f>
        <x:v>P0</x:v>
      </x:c>
      <x:c r="D37" s="45" t="n">
        <x:f>'Path Daily'!D37</x:f>
        <x:v>30</x:v>
      </x:c>
      <x:c r="E37" s="53" t="n">
        <x:f>IF(D37=0,SUMIFS('Cargo Records'!$T$7:$T$70,'Cargo Records'!$J$7:$J$70,C37),0)</x:f>
        <x:v>0</x:v>
      </x:c>
      <x:c r="F37" s="53" t="n">
        <x:f>I36</x:f>
        <x:v>0</x:v>
      </x:c>
      <x:c r="G37" s="53" t="n">
        <x:f>'Path Daily'!M37</x:f>
        <x:v>0</x:v>
      </x:c>
      <x:c r="H37" s="53" t="n">
        <x:f>MIN(E37+F37,G37)</x:f>
        <x:v>0</x:v>
      </x:c>
      <x:c r="I37" s="53" t="n">
        <x:f>E37+F37-H37</x:f>
        <x:v>0</x:v>
      </x:c>
      <x:c r="J37" s="45" t="str">
        <x:f>IF(I37=0,"CLEAR","QUEUED")</x:f>
        <x:v>CLEAR</x:v>
      </x:c>
      <x:c r="K37" s="72"/>
      <x:c r="L37" s="72"/>
      <x:c r="M37" s="72"/>
      <x:c r="N37" s="72"/>
    </x:row>
    <x:row r="38">
      <x:c r="C38" s="45" t="str">
        <x:f>'Path Daily'!C38</x:f>
        <x:v>P0</x:v>
      </x:c>
      <x:c r="D38" s="45" t="n">
        <x:f>'Path Daily'!D38</x:f>
        <x:v>31</x:v>
      </x:c>
      <x:c r="E38" s="53" t="n">
        <x:f>IF(D38=0,SUMIFS('Cargo Records'!$T$7:$T$70,'Cargo Records'!$J$7:$J$70,C38),0)</x:f>
        <x:v>0</x:v>
      </x:c>
      <x:c r="F38" s="53" t="n">
        <x:f>I37</x:f>
        <x:v>0</x:v>
      </x:c>
      <x:c r="G38" s="53" t="n">
        <x:f>'Path Daily'!M38</x:f>
        <x:v>0</x:v>
      </x:c>
      <x:c r="H38" s="53" t="n">
        <x:f>MIN(E38+F38,G38)</x:f>
        <x:v>0</x:v>
      </x:c>
      <x:c r="I38" s="53" t="n">
        <x:f>E38+F38-H38</x:f>
        <x:v>0</x:v>
      </x:c>
      <x:c r="J38" s="45" t="str">
        <x:f>IF(I38=0,"CLEAR","QUEUED")</x:f>
        <x:v>CLEAR</x:v>
      </x:c>
      <x:c r="K38" s="72"/>
      <x:c r="L38" s="72"/>
      <x:c r="M38" s="72"/>
      <x:c r="N38" s="72"/>
    </x:row>
    <x:row r="39">
      <x:c r="C39" s="45" t="str">
        <x:f>'Path Daily'!C39</x:f>
        <x:v>P0</x:v>
      </x:c>
      <x:c r="D39" s="45" t="n">
        <x:f>'Path Daily'!D39</x:f>
        <x:v>32</x:v>
      </x:c>
      <x:c r="E39" s="53" t="n">
        <x:f>IF(D39=0,SUMIFS('Cargo Records'!$T$7:$T$70,'Cargo Records'!$J$7:$J$70,C39),0)</x:f>
        <x:v>0</x:v>
      </x:c>
      <x:c r="F39" s="53" t="n">
        <x:f>I38</x:f>
        <x:v>0</x:v>
      </x:c>
      <x:c r="G39" s="53" t="n">
        <x:f>'Path Daily'!M39</x:f>
        <x:v>0</x:v>
      </x:c>
      <x:c r="H39" s="53" t="n">
        <x:f>MIN(E39+F39,G39)</x:f>
        <x:v>0</x:v>
      </x:c>
      <x:c r="I39" s="53" t="n">
        <x:f>E39+F39-H39</x:f>
        <x:v>0</x:v>
      </x:c>
      <x:c r="J39" s="45" t="str">
        <x:f>IF(I39=0,"CLEAR","QUEUED")</x:f>
        <x:v>CLEAR</x:v>
      </x:c>
      <x:c r="K39" s="72"/>
      <x:c r="L39" s="72"/>
      <x:c r="M39" s="72"/>
      <x:c r="N39" s="72"/>
    </x:row>
    <x:row r="40">
      <x:c r="C40" s="45" t="str">
        <x:f>'Path Daily'!C40</x:f>
        <x:v>P0</x:v>
      </x:c>
      <x:c r="D40" s="45" t="n">
        <x:f>'Path Daily'!D40</x:f>
        <x:v>33</x:v>
      </x:c>
      <x:c r="E40" s="53" t="n">
        <x:f>IF(D40=0,SUMIFS('Cargo Records'!$T$7:$T$70,'Cargo Records'!$J$7:$J$70,C40),0)</x:f>
        <x:v>0</x:v>
      </x:c>
      <x:c r="F40" s="53" t="n">
        <x:f>I39</x:f>
        <x:v>0</x:v>
      </x:c>
      <x:c r="G40" s="53" t="n">
        <x:f>'Path Daily'!M40</x:f>
        <x:v>0</x:v>
      </x:c>
      <x:c r="H40" s="53" t="n">
        <x:f>MIN(E40+F40,G40)</x:f>
        <x:v>0</x:v>
      </x:c>
      <x:c r="I40" s="53" t="n">
        <x:f>E40+F40-H40</x:f>
        <x:v>0</x:v>
      </x:c>
      <x:c r="J40" s="45" t="str">
        <x:f>IF(I40=0,"CLEAR","QUEUED")</x:f>
        <x:v>CLEAR</x:v>
      </x:c>
      <x:c r="K40" s="72"/>
      <x:c r="L40" s="72"/>
      <x:c r="M40" s="72"/>
      <x:c r="N40" s="72"/>
    </x:row>
    <x:row r="41">
      <x:c r="C41" s="45" t="str">
        <x:f>'Path Daily'!C41</x:f>
        <x:v>P0</x:v>
      </x:c>
      <x:c r="D41" s="45" t="n">
        <x:f>'Path Daily'!D41</x:f>
        <x:v>34</x:v>
      </x:c>
      <x:c r="E41" s="53" t="n">
        <x:f>IF(D41=0,SUMIFS('Cargo Records'!$T$7:$T$70,'Cargo Records'!$J$7:$J$70,C41),0)</x:f>
        <x:v>0</x:v>
      </x:c>
      <x:c r="F41" s="53" t="n">
        <x:f>I40</x:f>
        <x:v>0</x:v>
      </x:c>
      <x:c r="G41" s="53" t="n">
        <x:f>'Path Daily'!M41</x:f>
        <x:v>0</x:v>
      </x:c>
      <x:c r="H41" s="53" t="n">
        <x:f>MIN(E41+F41,G41)</x:f>
        <x:v>0</x:v>
      </x:c>
      <x:c r="I41" s="53" t="n">
        <x:f>E41+F41-H41</x:f>
        <x:v>0</x:v>
      </x:c>
      <x:c r="J41" s="45" t="str">
        <x:f>IF(I41=0,"CLEAR","QUEUED")</x:f>
        <x:v>CLEAR</x:v>
      </x:c>
      <x:c r="K41" s="72"/>
      <x:c r="L41" s="72"/>
      <x:c r="M41" s="72"/>
      <x:c r="N41" s="72"/>
    </x:row>
    <x:row r="42">
      <x:c r="C42" s="45" t="str">
        <x:f>'Path Daily'!C42</x:f>
        <x:v>P0</x:v>
      </x:c>
      <x:c r="D42" s="45" t="n">
        <x:f>'Path Daily'!D42</x:f>
        <x:v>35</x:v>
      </x:c>
      <x:c r="E42" s="53" t="n">
        <x:f>IF(D42=0,SUMIFS('Cargo Records'!$T$7:$T$70,'Cargo Records'!$J$7:$J$70,C42),0)</x:f>
        <x:v>0</x:v>
      </x:c>
      <x:c r="F42" s="53" t="n">
        <x:f>I41</x:f>
        <x:v>0</x:v>
      </x:c>
      <x:c r="G42" s="53" t="n">
        <x:f>'Path Daily'!M42</x:f>
        <x:v>0</x:v>
      </x:c>
      <x:c r="H42" s="53" t="n">
        <x:f>MIN(E42+F42,G42)</x:f>
        <x:v>0</x:v>
      </x:c>
      <x:c r="I42" s="53" t="n">
        <x:f>E42+F42-H42</x:f>
        <x:v>0</x:v>
      </x:c>
      <x:c r="J42" s="45" t="str">
        <x:f>IF(I42=0,"CLEAR","QUEUED")</x:f>
        <x:v>CLEAR</x:v>
      </x:c>
      <x:c r="K42" s="72"/>
      <x:c r="L42" s="72"/>
      <x:c r="M42" s="72"/>
      <x:c r="N42" s="72"/>
    </x:row>
    <x:row r="43">
      <x:c r="C43" s="45" t="str">
        <x:f>'Path Daily'!C43</x:f>
        <x:v>P0</x:v>
      </x:c>
      <x:c r="D43" s="45" t="n">
        <x:f>'Path Daily'!D43</x:f>
        <x:v>36</x:v>
      </x:c>
      <x:c r="E43" s="53" t="n">
        <x:f>IF(D43=0,SUMIFS('Cargo Records'!$T$7:$T$70,'Cargo Records'!$J$7:$J$70,C43),0)</x:f>
        <x:v>0</x:v>
      </x:c>
      <x:c r="F43" s="53" t="n">
        <x:f>I42</x:f>
        <x:v>0</x:v>
      </x:c>
      <x:c r="G43" s="53" t="n">
        <x:f>'Path Daily'!M43</x:f>
        <x:v>0</x:v>
      </x:c>
      <x:c r="H43" s="53" t="n">
        <x:f>MIN(E43+F43,G43)</x:f>
        <x:v>0</x:v>
      </x:c>
      <x:c r="I43" s="53" t="n">
        <x:f>E43+F43-H43</x:f>
        <x:v>0</x:v>
      </x:c>
      <x:c r="J43" s="45" t="str">
        <x:f>IF(I43=0,"CLEAR","QUEUED")</x:f>
        <x:v>CLEAR</x:v>
      </x:c>
      <x:c r="K43" s="72"/>
      <x:c r="L43" s="72"/>
      <x:c r="M43" s="72"/>
      <x:c r="N43" s="72"/>
    </x:row>
    <x:row r="44">
      <x:c r="C44" s="45" t="str">
        <x:f>'Path Daily'!C44</x:f>
        <x:v>P0</x:v>
      </x:c>
      <x:c r="D44" s="45" t="n">
        <x:f>'Path Daily'!D44</x:f>
        <x:v>37</x:v>
      </x:c>
      <x:c r="E44" s="53" t="n">
        <x:f>IF(D44=0,SUMIFS('Cargo Records'!$T$7:$T$70,'Cargo Records'!$J$7:$J$70,C44),0)</x:f>
        <x:v>0</x:v>
      </x:c>
      <x:c r="F44" s="53" t="n">
        <x:f>I43</x:f>
        <x:v>0</x:v>
      </x:c>
      <x:c r="G44" s="53" t="n">
        <x:f>'Path Daily'!M44</x:f>
        <x:v>0</x:v>
      </x:c>
      <x:c r="H44" s="53" t="n">
        <x:f>MIN(E44+F44,G44)</x:f>
        <x:v>0</x:v>
      </x:c>
      <x:c r="I44" s="53" t="n">
        <x:f>E44+F44-H44</x:f>
        <x:v>0</x:v>
      </x:c>
      <x:c r="J44" s="45" t="str">
        <x:f>IF(I44=0,"CLEAR","QUEUED")</x:f>
        <x:v>CLEAR</x:v>
      </x:c>
      <x:c r="K44" s="72"/>
      <x:c r="L44" s="72"/>
      <x:c r="M44" s="72"/>
      <x:c r="N44" s="72"/>
    </x:row>
    <x:row r="45">
      <x:c r="C45" s="45" t="str">
        <x:f>'Path Daily'!C45</x:f>
        <x:v>P0</x:v>
      </x:c>
      <x:c r="D45" s="45" t="n">
        <x:f>'Path Daily'!D45</x:f>
        <x:v>38</x:v>
      </x:c>
      <x:c r="E45" s="53" t="n">
        <x:f>IF(D45=0,SUMIFS('Cargo Records'!$T$7:$T$70,'Cargo Records'!$J$7:$J$70,C45),0)</x:f>
        <x:v>0</x:v>
      </x:c>
      <x:c r="F45" s="53" t="n">
        <x:f>I44</x:f>
        <x:v>0</x:v>
      </x:c>
      <x:c r="G45" s="53" t="n">
        <x:f>'Path Daily'!M45</x:f>
        <x:v>0</x:v>
      </x:c>
      <x:c r="H45" s="53" t="n">
        <x:f>MIN(E45+F45,G45)</x:f>
        <x:v>0</x:v>
      </x:c>
      <x:c r="I45" s="53" t="n">
        <x:f>E45+F45-H45</x:f>
        <x:v>0</x:v>
      </x:c>
      <x:c r="J45" s="45" t="str">
        <x:f>IF(I45=0,"CLEAR","QUEUED")</x:f>
        <x:v>CLEAR</x:v>
      </x:c>
      <x:c r="K45" s="72"/>
      <x:c r="L45" s="72"/>
      <x:c r="M45" s="72"/>
      <x:c r="N45" s="72"/>
    </x:row>
    <x:row r="46">
      <x:c r="C46" s="45" t="str">
        <x:f>'Path Daily'!C46</x:f>
        <x:v>P0</x:v>
      </x:c>
      <x:c r="D46" s="45" t="n">
        <x:f>'Path Daily'!D46</x:f>
        <x:v>39</x:v>
      </x:c>
      <x:c r="E46" s="53" t="n">
        <x:f>IF(D46=0,SUMIFS('Cargo Records'!$T$7:$T$70,'Cargo Records'!$J$7:$J$70,C46),0)</x:f>
        <x:v>0</x:v>
      </x:c>
      <x:c r="F46" s="53" t="n">
        <x:f>I45</x:f>
        <x:v>0</x:v>
      </x:c>
      <x:c r="G46" s="53" t="n">
        <x:f>'Path Daily'!M46</x:f>
        <x:v>0</x:v>
      </x:c>
      <x:c r="H46" s="53" t="n">
        <x:f>MIN(E46+F46,G46)</x:f>
        <x:v>0</x:v>
      </x:c>
      <x:c r="I46" s="53" t="n">
        <x:f>E46+F46-H46</x:f>
        <x:v>0</x:v>
      </x:c>
      <x:c r="J46" s="45" t="str">
        <x:f>IF(I46=0,"CLEAR","QUEUED")</x:f>
        <x:v>CLEAR</x:v>
      </x:c>
      <x:c r="K46" s="72"/>
      <x:c r="L46" s="72"/>
      <x:c r="M46" s="72"/>
      <x:c r="N46" s="72"/>
    </x:row>
    <x:row r="47">
      <x:c r="C47" s="45" t="str">
        <x:f>'Path Daily'!C47</x:f>
        <x:v>P0</x:v>
      </x:c>
      <x:c r="D47" s="45" t="n">
        <x:f>'Path Daily'!D47</x:f>
        <x:v>40</x:v>
      </x:c>
      <x:c r="E47" s="53" t="n">
        <x:f>IF(D47=0,SUMIFS('Cargo Records'!$T$7:$T$70,'Cargo Records'!$J$7:$J$70,C47),0)</x:f>
        <x:v>0</x:v>
      </x:c>
      <x:c r="F47" s="53" t="n">
        <x:f>I46</x:f>
        <x:v>0</x:v>
      </x:c>
      <x:c r="G47" s="53" t="n">
        <x:f>'Path Daily'!M47</x:f>
        <x:v>0</x:v>
      </x:c>
      <x:c r="H47" s="53" t="n">
        <x:f>MIN(E47+F47,G47)</x:f>
        <x:v>0</x:v>
      </x:c>
      <x:c r="I47" s="53" t="n">
        <x:f>E47+F47-H47</x:f>
        <x:v>0</x:v>
      </x:c>
      <x:c r="J47" s="45" t="str">
        <x:f>IF(I47=0,"CLEAR","QUEUED")</x:f>
        <x:v>CLEAR</x:v>
      </x:c>
      <x:c r="K47" s="72"/>
      <x:c r="L47" s="72"/>
      <x:c r="M47" s="72"/>
      <x:c r="N47" s="72"/>
    </x:row>
    <x:row r="48">
      <x:c r="C48" s="45" t="str">
        <x:f>'Path Daily'!C48</x:f>
        <x:v>P0</x:v>
      </x:c>
      <x:c r="D48" s="45" t="n">
        <x:f>'Path Daily'!D48</x:f>
        <x:v>41</x:v>
      </x:c>
      <x:c r="E48" s="53" t="n">
        <x:f>IF(D48=0,SUMIFS('Cargo Records'!$T$7:$T$70,'Cargo Records'!$J$7:$J$70,C48),0)</x:f>
        <x:v>0</x:v>
      </x:c>
      <x:c r="F48" s="53" t="n">
        <x:f>I47</x:f>
        <x:v>0</x:v>
      </x:c>
      <x:c r="G48" s="53" t="n">
        <x:f>'Path Daily'!M48</x:f>
        <x:v>0</x:v>
      </x:c>
      <x:c r="H48" s="53" t="n">
        <x:f>MIN(E48+F48,G48)</x:f>
        <x:v>0</x:v>
      </x:c>
      <x:c r="I48" s="53" t="n">
        <x:f>E48+F48-H48</x:f>
        <x:v>0</x:v>
      </x:c>
      <x:c r="J48" s="45" t="str">
        <x:f>IF(I48=0,"CLEAR","QUEUED")</x:f>
        <x:v>CLEAR</x:v>
      </x:c>
      <x:c r="K48" s="72"/>
      <x:c r="L48" s="72"/>
      <x:c r="M48" s="72"/>
      <x:c r="N48" s="72"/>
    </x:row>
    <x:row r="49">
      <x:c r="C49" s="45" t="str">
        <x:f>'Path Daily'!C49</x:f>
        <x:v>P0</x:v>
      </x:c>
      <x:c r="D49" s="45" t="n">
        <x:f>'Path Daily'!D49</x:f>
        <x:v>42</x:v>
      </x:c>
      <x:c r="E49" s="53" t="n">
        <x:f>IF(D49=0,SUMIFS('Cargo Records'!$T$7:$T$70,'Cargo Records'!$J$7:$J$70,C49),0)</x:f>
        <x:v>0</x:v>
      </x:c>
      <x:c r="F49" s="53" t="n">
        <x:f>I48</x:f>
        <x:v>0</x:v>
      </x:c>
      <x:c r="G49" s="53" t="n">
        <x:f>'Path Daily'!M49</x:f>
        <x:v>0</x:v>
      </x:c>
      <x:c r="H49" s="53" t="n">
        <x:f>MIN(E49+F49,G49)</x:f>
        <x:v>0</x:v>
      </x:c>
      <x:c r="I49" s="53" t="n">
        <x:f>E49+F49-H49</x:f>
        <x:v>0</x:v>
      </x:c>
      <x:c r="J49" s="45" t="str">
        <x:f>IF(I49=0,"CLEAR","QUEUED")</x:f>
        <x:v>CLEAR</x:v>
      </x:c>
      <x:c r="K49" s="72"/>
      <x:c r="L49" s="72"/>
      <x:c r="M49" s="72"/>
      <x:c r="N49" s="72"/>
    </x:row>
    <x:row r="50">
      <x:c r="C50" s="45" t="str">
        <x:f>'Path Daily'!C50</x:f>
        <x:v>P0</x:v>
      </x:c>
      <x:c r="D50" s="45" t="n">
        <x:f>'Path Daily'!D50</x:f>
        <x:v>43</x:v>
      </x:c>
      <x:c r="E50" s="53" t="n">
        <x:f>IF(D50=0,SUMIFS('Cargo Records'!$T$7:$T$70,'Cargo Records'!$J$7:$J$70,C50),0)</x:f>
        <x:v>0</x:v>
      </x:c>
      <x:c r="F50" s="53" t="n">
        <x:f>I49</x:f>
        <x:v>0</x:v>
      </x:c>
      <x:c r="G50" s="53" t="n">
        <x:f>'Path Daily'!M50</x:f>
        <x:v>0</x:v>
      </x:c>
      <x:c r="H50" s="53" t="n">
        <x:f>MIN(E50+F50,G50)</x:f>
        <x:v>0</x:v>
      </x:c>
      <x:c r="I50" s="53" t="n">
        <x:f>E50+F50-H50</x:f>
        <x:v>0</x:v>
      </x:c>
      <x:c r="J50" s="45" t="str">
        <x:f>IF(I50=0,"CLEAR","QUEUED")</x:f>
        <x:v>CLEAR</x:v>
      </x:c>
      <x:c r="K50" s="72"/>
      <x:c r="L50" s="72"/>
      <x:c r="M50" s="72"/>
      <x:c r="N50" s="72"/>
    </x:row>
    <x:row r="51">
      <x:c r="C51" s="45" t="str">
        <x:f>'Path Daily'!C51</x:f>
        <x:v>P0</x:v>
      </x:c>
      <x:c r="D51" s="45" t="n">
        <x:f>'Path Daily'!D51</x:f>
        <x:v>44</x:v>
      </x:c>
      <x:c r="E51" s="53" t="n">
        <x:f>IF(D51=0,SUMIFS('Cargo Records'!$T$7:$T$70,'Cargo Records'!$J$7:$J$70,C51),0)</x:f>
        <x:v>0</x:v>
      </x:c>
      <x:c r="F51" s="53" t="n">
        <x:f>I50</x:f>
        <x:v>0</x:v>
      </x:c>
      <x:c r="G51" s="53" t="n">
        <x:f>'Path Daily'!M51</x:f>
        <x:v>0</x:v>
      </x:c>
      <x:c r="H51" s="53" t="n">
        <x:f>MIN(E51+F51,G51)</x:f>
        <x:v>0</x:v>
      </x:c>
      <x:c r="I51" s="53" t="n">
        <x:f>E51+F51-H51</x:f>
        <x:v>0</x:v>
      </x:c>
      <x:c r="J51" s="45" t="str">
        <x:f>IF(I51=0,"CLEAR","QUEUED")</x:f>
        <x:v>CLEAR</x:v>
      </x:c>
      <x:c r="K51" s="72"/>
      <x:c r="L51" s="72"/>
      <x:c r="M51" s="72"/>
      <x:c r="N51" s="72"/>
    </x:row>
    <x:row r="52">
      <x:c r="C52" s="45" t="str">
        <x:f>'Path Daily'!C52</x:f>
        <x:v>P0</x:v>
      </x:c>
      <x:c r="D52" s="45" t="n">
        <x:f>'Path Daily'!D52</x:f>
        <x:v>45</x:v>
      </x:c>
      <x:c r="E52" s="53" t="n">
        <x:f>IF(D52=0,SUMIFS('Cargo Records'!$T$7:$T$70,'Cargo Records'!$J$7:$J$70,C52),0)</x:f>
        <x:v>0</x:v>
      </x:c>
      <x:c r="F52" s="53" t="n">
        <x:f>I51</x:f>
        <x:v>0</x:v>
      </x:c>
      <x:c r="G52" s="53" t="n">
        <x:f>'Path Daily'!M52</x:f>
        <x:v>0</x:v>
      </x:c>
      <x:c r="H52" s="53" t="n">
        <x:f>MIN(E52+F52,G52)</x:f>
        <x:v>0</x:v>
      </x:c>
      <x:c r="I52" s="53" t="n">
        <x:f>E52+F52-H52</x:f>
        <x:v>0</x:v>
      </x:c>
      <x:c r="J52" s="45" t="str">
        <x:f>IF(I52=0,"CLEAR","QUEUED")</x:f>
        <x:v>CLEAR</x:v>
      </x:c>
      <x:c r="K52" s="72"/>
      <x:c r="L52" s="72"/>
      <x:c r="M52" s="72"/>
      <x:c r="N52" s="72"/>
    </x:row>
    <x:row r="53">
      <x:c r="C53" s="45" t="str">
        <x:f>'Path Daily'!C53</x:f>
        <x:v>P0</x:v>
      </x:c>
      <x:c r="D53" s="45" t="n">
        <x:f>'Path Daily'!D53</x:f>
        <x:v>46</x:v>
      </x:c>
      <x:c r="E53" s="53" t="n">
        <x:f>IF(D53=0,SUMIFS('Cargo Records'!$T$7:$T$70,'Cargo Records'!$J$7:$J$70,C53),0)</x:f>
        <x:v>0</x:v>
      </x:c>
      <x:c r="F53" s="53" t="n">
        <x:f>I52</x:f>
        <x:v>0</x:v>
      </x:c>
      <x:c r="G53" s="53" t="n">
        <x:f>'Path Daily'!M53</x:f>
        <x:v>0</x:v>
      </x:c>
      <x:c r="H53" s="53" t="n">
        <x:f>MIN(E53+F53,G53)</x:f>
        <x:v>0</x:v>
      </x:c>
      <x:c r="I53" s="53" t="n">
        <x:f>E53+F53-H53</x:f>
        <x:v>0</x:v>
      </x:c>
      <x:c r="J53" s="45" t="str">
        <x:f>IF(I53=0,"CLEAR","QUEUED")</x:f>
        <x:v>CLEAR</x:v>
      </x:c>
      <x:c r="K53" s="72"/>
      <x:c r="L53" s="72"/>
      <x:c r="M53" s="72"/>
      <x:c r="N53" s="72"/>
    </x:row>
    <x:row r="54">
      <x:c r="C54" s="45" t="str">
        <x:f>'Path Daily'!C54</x:f>
        <x:v>P0</x:v>
      </x:c>
      <x:c r="D54" s="45" t="n">
        <x:f>'Path Daily'!D54</x:f>
        <x:v>47</x:v>
      </x:c>
      <x:c r="E54" s="53" t="n">
        <x:f>IF(D54=0,SUMIFS('Cargo Records'!$T$7:$T$70,'Cargo Records'!$J$7:$J$70,C54),0)</x:f>
        <x:v>0</x:v>
      </x:c>
      <x:c r="F54" s="53" t="n">
        <x:f>I53</x:f>
        <x:v>0</x:v>
      </x:c>
      <x:c r="G54" s="53" t="n">
        <x:f>'Path Daily'!M54</x:f>
        <x:v>0</x:v>
      </x:c>
      <x:c r="H54" s="53" t="n">
        <x:f>MIN(E54+F54,G54)</x:f>
        <x:v>0</x:v>
      </x:c>
      <x:c r="I54" s="53" t="n">
        <x:f>E54+F54-H54</x:f>
        <x:v>0</x:v>
      </x:c>
      <x:c r="J54" s="45" t="str">
        <x:f>IF(I54=0,"CLEAR","QUEUED")</x:f>
        <x:v>CLEAR</x:v>
      </x:c>
      <x:c r="K54" s="72"/>
      <x:c r="L54" s="72"/>
      <x:c r="M54" s="72"/>
      <x:c r="N54" s="72"/>
    </x:row>
    <x:row r="55">
      <x:c r="C55" s="45" t="str">
        <x:f>'Path Daily'!C55</x:f>
        <x:v>P0</x:v>
      </x:c>
      <x:c r="D55" s="45" t="n">
        <x:f>'Path Daily'!D55</x:f>
        <x:v>48</x:v>
      </x:c>
      <x:c r="E55" s="53" t="n">
        <x:f>IF(D55=0,SUMIFS('Cargo Records'!$T$7:$T$70,'Cargo Records'!$J$7:$J$70,C55),0)</x:f>
        <x:v>0</x:v>
      </x:c>
      <x:c r="F55" s="53" t="n">
        <x:f>I54</x:f>
        <x:v>0</x:v>
      </x:c>
      <x:c r="G55" s="53" t="n">
        <x:f>'Path Daily'!M55</x:f>
        <x:v>0</x:v>
      </x:c>
      <x:c r="H55" s="53" t="n">
        <x:f>MIN(E55+F55,G55)</x:f>
        <x:v>0</x:v>
      </x:c>
      <x:c r="I55" s="53" t="n">
        <x:f>E55+F55-H55</x:f>
        <x:v>0</x:v>
      </x:c>
      <x:c r="J55" s="45" t="str">
        <x:f>IF(I55=0,"CLEAR","QUEUED")</x:f>
        <x:v>CLEAR</x:v>
      </x:c>
      <x:c r="K55" s="72"/>
      <x:c r="L55" s="72"/>
      <x:c r="M55" s="72"/>
      <x:c r="N55" s="72"/>
    </x:row>
    <x:row r="56">
      <x:c r="C56" s="45" t="str">
        <x:f>'Path Daily'!C56</x:f>
        <x:v>P0</x:v>
      </x:c>
      <x:c r="D56" s="45" t="n">
        <x:f>'Path Daily'!D56</x:f>
        <x:v>49</x:v>
      </x:c>
      <x:c r="E56" s="53" t="n">
        <x:f>IF(D56=0,SUMIFS('Cargo Records'!$T$7:$T$70,'Cargo Records'!$J$7:$J$70,C56),0)</x:f>
        <x:v>0</x:v>
      </x:c>
      <x:c r="F56" s="53" t="n">
        <x:f>I55</x:f>
        <x:v>0</x:v>
      </x:c>
      <x:c r="G56" s="53" t="n">
        <x:f>'Path Daily'!M56</x:f>
        <x:v>0</x:v>
      </x:c>
      <x:c r="H56" s="53" t="n">
        <x:f>MIN(E56+F56,G56)</x:f>
        <x:v>0</x:v>
      </x:c>
      <x:c r="I56" s="53" t="n">
        <x:f>E56+F56-H56</x:f>
        <x:v>0</x:v>
      </x:c>
      <x:c r="J56" s="45" t="str">
        <x:f>IF(I56=0,"CLEAR","QUEUED")</x:f>
        <x:v>CLEAR</x:v>
      </x:c>
      <x:c r="K56" s="72"/>
      <x:c r="L56" s="72"/>
      <x:c r="M56" s="72"/>
      <x:c r="N56" s="72"/>
    </x:row>
    <x:row r="57">
      <x:c r="C57" s="45" t="str">
        <x:f>'Path Daily'!C57</x:f>
        <x:v>P0</x:v>
      </x:c>
      <x:c r="D57" s="45" t="n">
        <x:f>'Path Daily'!D57</x:f>
        <x:v>50</x:v>
      </x:c>
      <x:c r="E57" s="53" t="n">
        <x:f>IF(D57=0,SUMIFS('Cargo Records'!$T$7:$T$70,'Cargo Records'!$J$7:$J$70,C57),0)</x:f>
        <x:v>0</x:v>
      </x:c>
      <x:c r="F57" s="53" t="n">
        <x:f>I56</x:f>
        <x:v>0</x:v>
      </x:c>
      <x:c r="G57" s="53" t="n">
        <x:f>'Path Daily'!M57</x:f>
        <x:v>0</x:v>
      </x:c>
      <x:c r="H57" s="53" t="n">
        <x:f>MIN(E57+F57,G57)</x:f>
        <x:v>0</x:v>
      </x:c>
      <x:c r="I57" s="53" t="n">
        <x:f>E57+F57-H57</x:f>
        <x:v>0</x:v>
      </x:c>
      <x:c r="J57" s="45" t="str">
        <x:f>IF(I57=0,"CLEAR","QUEUED")</x:f>
        <x:v>CLEAR</x:v>
      </x:c>
      <x:c r="K57" s="72"/>
      <x:c r="L57" s="72"/>
      <x:c r="M57" s="72"/>
      <x:c r="N57" s="72"/>
    </x:row>
    <x:row r="58">
      <x:c r="C58" s="45" t="str">
        <x:f>'Path Daily'!C58</x:f>
        <x:v>P0</x:v>
      </x:c>
      <x:c r="D58" s="45" t="n">
        <x:f>'Path Daily'!D58</x:f>
        <x:v>51</x:v>
      </x:c>
      <x:c r="E58" s="53" t="n">
        <x:f>IF(D58=0,SUMIFS('Cargo Records'!$T$7:$T$70,'Cargo Records'!$J$7:$J$70,C58),0)</x:f>
        <x:v>0</x:v>
      </x:c>
      <x:c r="F58" s="53" t="n">
        <x:f>I57</x:f>
        <x:v>0</x:v>
      </x:c>
      <x:c r="G58" s="53" t="n">
        <x:f>'Path Daily'!M58</x:f>
        <x:v>0</x:v>
      </x:c>
      <x:c r="H58" s="53" t="n">
        <x:f>MIN(E58+F58,G58)</x:f>
        <x:v>0</x:v>
      </x:c>
      <x:c r="I58" s="53" t="n">
        <x:f>E58+F58-H58</x:f>
        <x:v>0</x:v>
      </x:c>
      <x:c r="J58" s="45" t="str">
        <x:f>IF(I58=0,"CLEAR","QUEUED")</x:f>
        <x:v>CLEAR</x:v>
      </x:c>
      <x:c r="K58" s="72"/>
      <x:c r="L58" s="72"/>
      <x:c r="M58" s="72"/>
      <x:c r="N58" s="72"/>
    </x:row>
    <x:row r="59">
      <x:c r="C59" s="45" t="str">
        <x:f>'Path Daily'!C59</x:f>
        <x:v>P0</x:v>
      </x:c>
      <x:c r="D59" s="45" t="n">
        <x:f>'Path Daily'!D59</x:f>
        <x:v>52</x:v>
      </x:c>
      <x:c r="E59" s="53" t="n">
        <x:f>IF(D59=0,SUMIFS('Cargo Records'!$T$7:$T$70,'Cargo Records'!$J$7:$J$70,C59),0)</x:f>
        <x:v>0</x:v>
      </x:c>
      <x:c r="F59" s="53" t="n">
        <x:f>I58</x:f>
        <x:v>0</x:v>
      </x:c>
      <x:c r="G59" s="53" t="n">
        <x:f>'Path Daily'!M59</x:f>
        <x:v>0</x:v>
      </x:c>
      <x:c r="H59" s="53" t="n">
        <x:f>MIN(E59+F59,G59)</x:f>
        <x:v>0</x:v>
      </x:c>
      <x:c r="I59" s="53" t="n">
        <x:f>E59+F59-H59</x:f>
        <x:v>0</x:v>
      </x:c>
      <x:c r="J59" s="45" t="str">
        <x:f>IF(I59=0,"CLEAR","QUEUED")</x:f>
        <x:v>CLEAR</x:v>
      </x:c>
      <x:c r="K59" s="72"/>
      <x:c r="L59" s="72"/>
      <x:c r="M59" s="72"/>
      <x:c r="N59" s="72"/>
    </x:row>
    <x:row r="60">
      <x:c r="C60" s="45" t="str">
        <x:f>'Path Daily'!C60</x:f>
        <x:v>P0</x:v>
      </x:c>
      <x:c r="D60" s="45" t="n">
        <x:f>'Path Daily'!D60</x:f>
        <x:v>53</x:v>
      </x:c>
      <x:c r="E60" s="53" t="n">
        <x:f>IF(D60=0,SUMIFS('Cargo Records'!$T$7:$T$70,'Cargo Records'!$J$7:$J$70,C60),0)</x:f>
        <x:v>0</x:v>
      </x:c>
      <x:c r="F60" s="53" t="n">
        <x:f>I59</x:f>
        <x:v>0</x:v>
      </x:c>
      <x:c r="G60" s="53" t="n">
        <x:f>'Path Daily'!M60</x:f>
        <x:v>0</x:v>
      </x:c>
      <x:c r="H60" s="53" t="n">
        <x:f>MIN(E60+F60,G60)</x:f>
        <x:v>0</x:v>
      </x:c>
      <x:c r="I60" s="53" t="n">
        <x:f>E60+F60-H60</x:f>
        <x:v>0</x:v>
      </x:c>
      <x:c r="J60" s="45" t="str">
        <x:f>IF(I60=0,"CLEAR","QUEUED")</x:f>
        <x:v>CLEAR</x:v>
      </x:c>
      <x:c r="K60" s="72"/>
      <x:c r="L60" s="72"/>
      <x:c r="M60" s="72"/>
      <x:c r="N60" s="72"/>
    </x:row>
    <x:row r="61">
      <x:c r="C61" s="45" t="str">
        <x:f>'Path Daily'!C61</x:f>
        <x:v>P0</x:v>
      </x:c>
      <x:c r="D61" s="45" t="n">
        <x:f>'Path Daily'!D61</x:f>
        <x:v>54</x:v>
      </x:c>
      <x:c r="E61" s="53" t="n">
        <x:f>IF(D61=0,SUMIFS('Cargo Records'!$T$7:$T$70,'Cargo Records'!$J$7:$J$70,C61),0)</x:f>
        <x:v>0</x:v>
      </x:c>
      <x:c r="F61" s="53" t="n">
        <x:f>I60</x:f>
        <x:v>0</x:v>
      </x:c>
      <x:c r="G61" s="53" t="n">
        <x:f>'Path Daily'!M61</x:f>
        <x:v>0</x:v>
      </x:c>
      <x:c r="H61" s="53" t="n">
        <x:f>MIN(E61+F61,G61)</x:f>
        <x:v>0</x:v>
      </x:c>
      <x:c r="I61" s="53" t="n">
        <x:f>E61+F61-H61</x:f>
        <x:v>0</x:v>
      </x:c>
      <x:c r="J61" s="45" t="str">
        <x:f>IF(I61=0,"CLEAR","QUEUED")</x:f>
        <x:v>CLEAR</x:v>
      </x:c>
      <x:c r="K61" s="72"/>
      <x:c r="L61" s="72"/>
      <x:c r="M61" s="72"/>
      <x:c r="N61" s="72"/>
    </x:row>
    <x:row r="62">
      <x:c r="C62" s="45" t="str">
        <x:f>'Path Daily'!C62</x:f>
        <x:v>P0</x:v>
      </x:c>
      <x:c r="D62" s="45" t="n">
        <x:f>'Path Daily'!D62</x:f>
        <x:v>55</x:v>
      </x:c>
      <x:c r="E62" s="53" t="n">
        <x:f>IF(D62=0,SUMIFS('Cargo Records'!$T$7:$T$70,'Cargo Records'!$J$7:$J$70,C62),0)</x:f>
        <x:v>0</x:v>
      </x:c>
      <x:c r="F62" s="53" t="n">
        <x:f>I61</x:f>
        <x:v>0</x:v>
      </x:c>
      <x:c r="G62" s="53" t="n">
        <x:f>'Path Daily'!M62</x:f>
        <x:v>0</x:v>
      </x:c>
      <x:c r="H62" s="53" t="n">
        <x:f>MIN(E62+F62,G62)</x:f>
        <x:v>0</x:v>
      </x:c>
      <x:c r="I62" s="53" t="n">
        <x:f>E62+F62-H62</x:f>
        <x:v>0</x:v>
      </x:c>
      <x:c r="J62" s="45" t="str">
        <x:f>IF(I62=0,"CLEAR","QUEUED")</x:f>
        <x:v>CLEAR</x:v>
      </x:c>
      <x:c r="K62" s="72"/>
      <x:c r="L62" s="72"/>
      <x:c r="M62" s="72"/>
      <x:c r="N62" s="72"/>
    </x:row>
    <x:row r="63">
      <x:c r="C63" s="45" t="str">
        <x:f>'Path Daily'!C63</x:f>
        <x:v>P0</x:v>
      </x:c>
      <x:c r="D63" s="45" t="n">
        <x:f>'Path Daily'!D63</x:f>
        <x:v>56</x:v>
      </x:c>
      <x:c r="E63" s="53" t="n">
        <x:f>IF(D63=0,SUMIFS('Cargo Records'!$T$7:$T$70,'Cargo Records'!$J$7:$J$70,C63),0)</x:f>
        <x:v>0</x:v>
      </x:c>
      <x:c r="F63" s="53" t="n">
        <x:f>I62</x:f>
        <x:v>0</x:v>
      </x:c>
      <x:c r="G63" s="53" t="n">
        <x:f>'Path Daily'!M63</x:f>
        <x:v>0</x:v>
      </x:c>
      <x:c r="H63" s="53" t="n">
        <x:f>MIN(E63+F63,G63)</x:f>
        <x:v>0</x:v>
      </x:c>
      <x:c r="I63" s="53" t="n">
        <x:f>E63+F63-H63</x:f>
        <x:v>0</x:v>
      </x:c>
      <x:c r="J63" s="45" t="str">
        <x:f>IF(I63=0,"CLEAR","QUEUED")</x:f>
        <x:v>CLEAR</x:v>
      </x:c>
      <x:c r="K63" s="72"/>
      <x:c r="L63" s="72"/>
      <x:c r="M63" s="72"/>
      <x:c r="N63" s="72"/>
    </x:row>
    <x:row r="64">
      <x:c r="C64" s="45" t="str">
        <x:f>'Path Daily'!C64</x:f>
        <x:v>P0</x:v>
      </x:c>
      <x:c r="D64" s="45" t="n">
        <x:f>'Path Daily'!D64</x:f>
        <x:v>57</x:v>
      </x:c>
      <x:c r="E64" s="53" t="n">
        <x:f>IF(D64=0,SUMIFS('Cargo Records'!$T$7:$T$70,'Cargo Records'!$J$7:$J$70,C64),0)</x:f>
        <x:v>0</x:v>
      </x:c>
      <x:c r="F64" s="53" t="n">
        <x:f>I63</x:f>
        <x:v>0</x:v>
      </x:c>
      <x:c r="G64" s="53" t="n">
        <x:f>'Path Daily'!M64</x:f>
        <x:v>0</x:v>
      </x:c>
      <x:c r="H64" s="53" t="n">
        <x:f>MIN(E64+F64,G64)</x:f>
        <x:v>0</x:v>
      </x:c>
      <x:c r="I64" s="53" t="n">
        <x:f>E64+F64-H64</x:f>
        <x:v>0</x:v>
      </x:c>
      <x:c r="J64" s="45" t="str">
        <x:f>IF(I64=0,"CLEAR","QUEUED")</x:f>
        <x:v>CLEAR</x:v>
      </x:c>
      <x:c r="K64" s="72"/>
      <x:c r="L64" s="72"/>
      <x:c r="M64" s="72"/>
      <x:c r="N64" s="72"/>
    </x:row>
    <x:row r="65">
      <x:c r="C65" s="45" t="str">
        <x:f>'Path Daily'!C65</x:f>
        <x:v>P0</x:v>
      </x:c>
      <x:c r="D65" s="45" t="n">
        <x:f>'Path Daily'!D65</x:f>
        <x:v>58</x:v>
      </x:c>
      <x:c r="E65" s="53" t="n">
        <x:f>IF(D65=0,SUMIFS('Cargo Records'!$T$7:$T$70,'Cargo Records'!$J$7:$J$70,C65),0)</x:f>
        <x:v>0</x:v>
      </x:c>
      <x:c r="F65" s="53" t="n">
        <x:f>I64</x:f>
        <x:v>0</x:v>
      </x:c>
      <x:c r="G65" s="53" t="n">
        <x:f>'Path Daily'!M65</x:f>
        <x:v>0</x:v>
      </x:c>
      <x:c r="H65" s="53" t="n">
        <x:f>MIN(E65+F65,G65)</x:f>
        <x:v>0</x:v>
      </x:c>
      <x:c r="I65" s="53" t="n">
        <x:f>E65+F65-H65</x:f>
        <x:v>0</x:v>
      </x:c>
      <x:c r="J65" s="45" t="str">
        <x:f>IF(I65=0,"CLEAR","QUEUED")</x:f>
        <x:v>CLEAR</x:v>
      </x:c>
      <x:c r="K65" s="72"/>
      <x:c r="L65" s="72"/>
      <x:c r="M65" s="72"/>
      <x:c r="N65" s="72"/>
    </x:row>
    <x:row r="66">
      <x:c r="C66" s="45" t="str">
        <x:f>'Path Daily'!C66</x:f>
        <x:v>P0</x:v>
      </x:c>
      <x:c r="D66" s="45" t="n">
        <x:f>'Path Daily'!D66</x:f>
        <x:v>59</x:v>
      </x:c>
      <x:c r="E66" s="53" t="n">
        <x:f>IF(D66=0,SUMIFS('Cargo Records'!$T$7:$T$70,'Cargo Records'!$J$7:$J$70,C66),0)</x:f>
        <x:v>0</x:v>
      </x:c>
      <x:c r="F66" s="53" t="n">
        <x:f>I65</x:f>
        <x:v>0</x:v>
      </x:c>
      <x:c r="G66" s="53" t="n">
        <x:f>'Path Daily'!M66</x:f>
        <x:v>0</x:v>
      </x:c>
      <x:c r="H66" s="53" t="n">
        <x:f>MIN(E66+F66,G66)</x:f>
        <x:v>0</x:v>
      </x:c>
      <x:c r="I66" s="53" t="n">
        <x:f>E66+F66-H66</x:f>
        <x:v>0</x:v>
      </x:c>
      <x:c r="J66" s="45" t="str">
        <x:f>IF(I66=0,"CLEAR","QUEUED")</x:f>
        <x:v>CLEAR</x:v>
      </x:c>
      <x:c r="K66" s="72"/>
      <x:c r="L66" s="72"/>
      <x:c r="M66" s="72"/>
      <x:c r="N66" s="72"/>
    </x:row>
    <x:row r="67">
      <x:c r="C67" s="45" t="str">
        <x:f>'Path Daily'!C67</x:f>
        <x:v>P0</x:v>
      </x:c>
      <x:c r="D67" s="45" t="n">
        <x:f>'Path Daily'!D67</x:f>
        <x:v>60</x:v>
      </x:c>
      <x:c r="E67" s="53" t="n">
        <x:f>IF(D67=0,SUMIFS('Cargo Records'!$T$7:$T$70,'Cargo Records'!$J$7:$J$70,C67),0)</x:f>
        <x:v>0</x:v>
      </x:c>
      <x:c r="F67" s="53" t="n">
        <x:f>I66</x:f>
        <x:v>0</x:v>
      </x:c>
      <x:c r="G67" s="53" t="n">
        <x:f>'Path Daily'!M67</x:f>
        <x:v>0</x:v>
      </x:c>
      <x:c r="H67" s="53" t="n">
        <x:f>MIN(E67+F67,G67)</x:f>
        <x:v>0</x:v>
      </x:c>
      <x:c r="I67" s="53" t="n">
        <x:f>E67+F67-H67</x:f>
        <x:v>0</x:v>
      </x:c>
      <x:c r="J67" s="45" t="str">
        <x:f>IF(I67=0,"CLEAR","QUEUED")</x:f>
        <x:v>CLEAR</x:v>
      </x:c>
      <x:c r="K67" s="72"/>
      <x:c r="L67" s="72"/>
      <x:c r="M67" s="72"/>
      <x:c r="N67" s="72"/>
    </x:row>
    <x:row r="68">
      <x:c r="C68" s="45" t="str">
        <x:f>'Path Daily'!C68</x:f>
        <x:v>P0</x:v>
      </x:c>
      <x:c r="D68" s="45" t="n">
        <x:f>'Path Daily'!D68</x:f>
        <x:v>61</x:v>
      </x:c>
      <x:c r="E68" s="53" t="n">
        <x:f>IF(D68=0,SUMIFS('Cargo Records'!$T$7:$T$70,'Cargo Records'!$J$7:$J$70,C68),0)</x:f>
        <x:v>0</x:v>
      </x:c>
      <x:c r="F68" s="53" t="n">
        <x:f>I67</x:f>
        <x:v>0</x:v>
      </x:c>
      <x:c r="G68" s="53" t="n">
        <x:f>'Path Daily'!M68</x:f>
        <x:v>0</x:v>
      </x:c>
      <x:c r="H68" s="53" t="n">
        <x:f>MIN(E68+F68,G68)</x:f>
        <x:v>0</x:v>
      </x:c>
      <x:c r="I68" s="53" t="n">
        <x:f>E68+F68-H68</x:f>
        <x:v>0</x:v>
      </x:c>
      <x:c r="J68" s="45" t="str">
        <x:f>IF(I68=0,"CLEAR","QUEUED")</x:f>
        <x:v>CLEAR</x:v>
      </x:c>
      <x:c r="K68" s="72"/>
      <x:c r="L68" s="72"/>
      <x:c r="M68" s="72"/>
      <x:c r="N68" s="72"/>
    </x:row>
    <x:row r="69">
      <x:c r="C69" s="45" t="str">
        <x:f>'Path Daily'!C69</x:f>
        <x:v>P0</x:v>
      </x:c>
      <x:c r="D69" s="45" t="n">
        <x:f>'Path Daily'!D69</x:f>
        <x:v>62</x:v>
      </x:c>
      <x:c r="E69" s="53" t="n">
        <x:f>IF(D69=0,SUMIFS('Cargo Records'!$T$7:$T$70,'Cargo Records'!$J$7:$J$70,C69),0)</x:f>
        <x:v>0</x:v>
      </x:c>
      <x:c r="F69" s="53" t="n">
        <x:f>I68</x:f>
        <x:v>0</x:v>
      </x:c>
      <x:c r="G69" s="53" t="n">
        <x:f>'Path Daily'!M69</x:f>
        <x:v>0</x:v>
      </x:c>
      <x:c r="H69" s="53" t="n">
        <x:f>MIN(E69+F69,G69)</x:f>
        <x:v>0</x:v>
      </x:c>
      <x:c r="I69" s="53" t="n">
        <x:f>E69+F69-H69</x:f>
        <x:v>0</x:v>
      </x:c>
      <x:c r="J69" s="45" t="str">
        <x:f>IF(I69=0,"CLEAR","QUEUED")</x:f>
        <x:v>CLEAR</x:v>
      </x:c>
      <x:c r="K69" s="72"/>
      <x:c r="L69" s="72"/>
      <x:c r="M69" s="72"/>
      <x:c r="N69" s="72"/>
    </x:row>
    <x:row r="70">
      <x:c r="C70" s="45" t="str">
        <x:f>'Path Daily'!C70</x:f>
        <x:v>P0</x:v>
      </x:c>
      <x:c r="D70" s="45" t="n">
        <x:f>'Path Daily'!D70</x:f>
        <x:v>63</x:v>
      </x:c>
      <x:c r="E70" s="53" t="n">
        <x:f>IF(D70=0,SUMIFS('Cargo Records'!$T$7:$T$70,'Cargo Records'!$J$7:$J$70,C70),0)</x:f>
        <x:v>0</x:v>
      </x:c>
      <x:c r="F70" s="53" t="n">
        <x:f>I69</x:f>
        <x:v>0</x:v>
      </x:c>
      <x:c r="G70" s="53" t="n">
        <x:f>'Path Daily'!M70</x:f>
        <x:v>0</x:v>
      </x:c>
      <x:c r="H70" s="53" t="n">
        <x:f>MIN(E70+F70,G70)</x:f>
        <x:v>0</x:v>
      </x:c>
      <x:c r="I70" s="53" t="n">
        <x:f>E70+F70-H70</x:f>
        <x:v>0</x:v>
      </x:c>
      <x:c r="J70" s="45" t="str">
        <x:f>IF(I70=0,"CLEAR","QUEUED")</x:f>
        <x:v>CLEAR</x:v>
      </x:c>
      <x:c r="K70" s="72"/>
      <x:c r="L70" s="72"/>
      <x:c r="M70" s="72"/>
      <x:c r="N70" s="72"/>
    </x:row>
    <x:row r="71">
      <x:c r="C71" s="45" t="str">
        <x:f>'Path Daily'!C71</x:f>
        <x:v>P0</x:v>
      </x:c>
      <x:c r="D71" s="45" t="n">
        <x:f>'Path Daily'!D71</x:f>
        <x:v>64</x:v>
      </x:c>
      <x:c r="E71" s="53" t="n">
        <x:f>IF(D71=0,SUMIFS('Cargo Records'!$T$7:$T$70,'Cargo Records'!$J$7:$J$70,C71),0)</x:f>
        <x:v>0</x:v>
      </x:c>
      <x:c r="F71" s="53" t="n">
        <x:f>I70</x:f>
        <x:v>0</x:v>
      </x:c>
      <x:c r="G71" s="53" t="n">
        <x:f>'Path Daily'!M71</x:f>
        <x:v>0</x:v>
      </x:c>
      <x:c r="H71" s="53" t="n">
        <x:f>MIN(E71+F71,G71)</x:f>
        <x:v>0</x:v>
      </x:c>
      <x:c r="I71" s="53" t="n">
        <x:f>E71+F71-H71</x:f>
        <x:v>0</x:v>
      </x:c>
      <x:c r="J71" s="45" t="str">
        <x:f>IF(I71=0,"CLEAR","QUEUED")</x:f>
        <x:v>CLEAR</x:v>
      </x:c>
      <x:c r="K71" s="72"/>
      <x:c r="L71" s="72"/>
      <x:c r="M71" s="72"/>
      <x:c r="N71" s="72"/>
    </x:row>
    <x:row r="72">
      <x:c r="C72" s="45" t="str">
        <x:f>'Path Daily'!C72</x:f>
        <x:v>P0</x:v>
      </x:c>
      <x:c r="D72" s="45" t="n">
        <x:f>'Path Daily'!D72</x:f>
        <x:v>65</x:v>
      </x:c>
      <x:c r="E72" s="53" t="n">
        <x:f>IF(D72=0,SUMIFS('Cargo Records'!$T$7:$T$70,'Cargo Records'!$J$7:$J$70,C72),0)</x:f>
        <x:v>0</x:v>
      </x:c>
      <x:c r="F72" s="53" t="n">
        <x:f>I71</x:f>
        <x:v>0</x:v>
      </x:c>
      <x:c r="G72" s="53" t="n">
        <x:f>'Path Daily'!M72</x:f>
        <x:v>0</x:v>
      </x:c>
      <x:c r="H72" s="53" t="n">
        <x:f>MIN(E72+F72,G72)</x:f>
        <x:v>0</x:v>
      </x:c>
      <x:c r="I72" s="53" t="n">
        <x:f>E72+F72-H72</x:f>
        <x:v>0</x:v>
      </x:c>
      <x:c r="J72" s="45" t="str">
        <x:f>IF(I72=0,"CLEAR","QUEUED")</x:f>
        <x:v>CLEAR</x:v>
      </x:c>
      <x:c r="K72" s="72"/>
      <x:c r="L72" s="72"/>
      <x:c r="M72" s="72"/>
      <x:c r="N72" s="72"/>
    </x:row>
    <x:row r="73">
      <x:c r="C73" s="45" t="str">
        <x:f>'Path Daily'!C73</x:f>
        <x:v>P0</x:v>
      </x:c>
      <x:c r="D73" s="45" t="n">
        <x:f>'Path Daily'!D73</x:f>
        <x:v>66</x:v>
      </x:c>
      <x:c r="E73" s="53" t="n">
        <x:f>IF(D73=0,SUMIFS('Cargo Records'!$T$7:$T$70,'Cargo Records'!$J$7:$J$70,C73),0)</x:f>
        <x:v>0</x:v>
      </x:c>
      <x:c r="F73" s="53" t="n">
        <x:f>I72</x:f>
        <x:v>0</x:v>
      </x:c>
      <x:c r="G73" s="53" t="n">
        <x:f>'Path Daily'!M73</x:f>
        <x:v>0</x:v>
      </x:c>
      <x:c r="H73" s="53" t="n">
        <x:f>MIN(E73+F73,G73)</x:f>
        <x:v>0</x:v>
      </x:c>
      <x:c r="I73" s="53" t="n">
        <x:f>E73+F73-H73</x:f>
        <x:v>0</x:v>
      </x:c>
      <x:c r="J73" s="45" t="str">
        <x:f>IF(I73=0,"CLEAR","QUEUED")</x:f>
        <x:v>CLEAR</x:v>
      </x:c>
      <x:c r="K73" s="72"/>
      <x:c r="L73" s="72"/>
      <x:c r="M73" s="72"/>
      <x:c r="N73" s="72"/>
    </x:row>
    <x:row r="74">
      <x:c r="C74" s="45" t="str">
        <x:f>'Path Daily'!C74</x:f>
        <x:v>P0</x:v>
      </x:c>
      <x:c r="D74" s="45" t="n">
        <x:f>'Path Daily'!D74</x:f>
        <x:v>67</x:v>
      </x:c>
      <x:c r="E74" s="53" t="n">
        <x:f>IF(D74=0,SUMIFS('Cargo Records'!$T$7:$T$70,'Cargo Records'!$J$7:$J$70,C74),0)</x:f>
        <x:v>0</x:v>
      </x:c>
      <x:c r="F74" s="53" t="n">
        <x:f>I73</x:f>
        <x:v>0</x:v>
      </x:c>
      <x:c r="G74" s="53" t="n">
        <x:f>'Path Daily'!M74</x:f>
        <x:v>0</x:v>
      </x:c>
      <x:c r="H74" s="53" t="n">
        <x:f>MIN(E74+F74,G74)</x:f>
        <x:v>0</x:v>
      </x:c>
      <x:c r="I74" s="53" t="n">
        <x:f>E74+F74-H74</x:f>
        <x:v>0</x:v>
      </x:c>
      <x:c r="J74" s="45" t="str">
        <x:f>IF(I74=0,"CLEAR","QUEUED")</x:f>
        <x:v>CLEAR</x:v>
      </x:c>
      <x:c r="K74" s="72"/>
      <x:c r="L74" s="72"/>
      <x:c r="M74" s="72"/>
      <x:c r="N74" s="72"/>
    </x:row>
    <x:row r="75">
      <x:c r="C75" s="45" t="str">
        <x:f>'Path Daily'!C75</x:f>
        <x:v>P0</x:v>
      </x:c>
      <x:c r="D75" s="45" t="n">
        <x:f>'Path Daily'!D75</x:f>
        <x:v>68</x:v>
      </x:c>
      <x:c r="E75" s="53" t="n">
        <x:f>IF(D75=0,SUMIFS('Cargo Records'!$T$7:$T$70,'Cargo Records'!$J$7:$J$70,C75),0)</x:f>
        <x:v>0</x:v>
      </x:c>
      <x:c r="F75" s="53" t="n">
        <x:f>I74</x:f>
        <x:v>0</x:v>
      </x:c>
      <x:c r="G75" s="53" t="n">
        <x:f>'Path Daily'!M75</x:f>
        <x:v>0</x:v>
      </x:c>
      <x:c r="H75" s="53" t="n">
        <x:f>MIN(E75+F75,G75)</x:f>
        <x:v>0</x:v>
      </x:c>
      <x:c r="I75" s="53" t="n">
        <x:f>E75+F75-H75</x:f>
        <x:v>0</x:v>
      </x:c>
      <x:c r="J75" s="45" t="str">
        <x:f>IF(I75=0,"CLEAR","QUEUED")</x:f>
        <x:v>CLEAR</x:v>
      </x:c>
      <x:c r="K75" s="72"/>
      <x:c r="L75" s="72"/>
      <x:c r="M75" s="72"/>
      <x:c r="N75" s="72"/>
    </x:row>
    <x:row r="76">
      <x:c r="C76" s="45" t="str">
        <x:f>'Path Daily'!C76</x:f>
        <x:v>P0</x:v>
      </x:c>
      <x:c r="D76" s="45" t="n">
        <x:f>'Path Daily'!D76</x:f>
        <x:v>69</x:v>
      </x:c>
      <x:c r="E76" s="53" t="n">
        <x:f>IF(D76=0,SUMIFS('Cargo Records'!$T$7:$T$70,'Cargo Records'!$J$7:$J$70,C76),0)</x:f>
        <x:v>0</x:v>
      </x:c>
      <x:c r="F76" s="53" t="n">
        <x:f>I75</x:f>
        <x:v>0</x:v>
      </x:c>
      <x:c r="G76" s="53" t="n">
        <x:f>'Path Daily'!M76</x:f>
        <x:v>0</x:v>
      </x:c>
      <x:c r="H76" s="53" t="n">
        <x:f>MIN(E76+F76,G76)</x:f>
        <x:v>0</x:v>
      </x:c>
      <x:c r="I76" s="53" t="n">
        <x:f>E76+F76-H76</x:f>
        <x:v>0</x:v>
      </x:c>
      <x:c r="J76" s="45" t="str">
        <x:f>IF(I76=0,"CLEAR","QUEUED")</x:f>
        <x:v>CLEAR</x:v>
      </x:c>
      <x:c r="K76" s="72"/>
      <x:c r="L76" s="72"/>
      <x:c r="M76" s="72"/>
      <x:c r="N76" s="72"/>
    </x:row>
    <x:row r="77">
      <x:c r="C77" s="45" t="str">
        <x:f>'Path Daily'!C77</x:f>
        <x:v>P0</x:v>
      </x:c>
      <x:c r="D77" s="45" t="n">
        <x:f>'Path Daily'!D77</x:f>
        <x:v>70</x:v>
      </x:c>
      <x:c r="E77" s="53" t="n">
        <x:f>IF(D77=0,SUMIFS('Cargo Records'!$T$7:$T$70,'Cargo Records'!$J$7:$J$70,C77),0)</x:f>
        <x:v>0</x:v>
      </x:c>
      <x:c r="F77" s="53" t="n">
        <x:f>I76</x:f>
        <x:v>0</x:v>
      </x:c>
      <x:c r="G77" s="53" t="n">
        <x:f>'Path Daily'!M77</x:f>
        <x:v>0</x:v>
      </x:c>
      <x:c r="H77" s="53" t="n">
        <x:f>MIN(E77+F77,G77)</x:f>
        <x:v>0</x:v>
      </x:c>
      <x:c r="I77" s="53" t="n">
        <x:f>E77+F77-H77</x:f>
        <x:v>0</x:v>
      </x:c>
      <x:c r="J77" s="45" t="str">
        <x:f>IF(I77=0,"CLEAR","QUEUED")</x:f>
        <x:v>CLEAR</x:v>
      </x:c>
      <x:c r="K77" s="72"/>
      <x:c r="L77" s="72"/>
      <x:c r="M77" s="72"/>
      <x:c r="N77" s="72"/>
    </x:row>
    <x:row r="78">
      <x:c r="C78" s="45" t="str">
        <x:f>'Path Daily'!C78</x:f>
        <x:v>P0</x:v>
      </x:c>
      <x:c r="D78" s="45" t="n">
        <x:f>'Path Daily'!D78</x:f>
        <x:v>71</x:v>
      </x:c>
      <x:c r="E78" s="53" t="n">
        <x:f>IF(D78=0,SUMIFS('Cargo Records'!$T$7:$T$70,'Cargo Records'!$J$7:$J$70,C78),0)</x:f>
        <x:v>0</x:v>
      </x:c>
      <x:c r="F78" s="53" t="n">
        <x:f>I77</x:f>
        <x:v>0</x:v>
      </x:c>
      <x:c r="G78" s="53" t="n">
        <x:f>'Path Daily'!M78</x:f>
        <x:v>0</x:v>
      </x:c>
      <x:c r="H78" s="53" t="n">
        <x:f>MIN(E78+F78,G78)</x:f>
        <x:v>0</x:v>
      </x:c>
      <x:c r="I78" s="53" t="n">
        <x:f>E78+F78-H78</x:f>
        <x:v>0</x:v>
      </x:c>
      <x:c r="J78" s="45" t="str">
        <x:f>IF(I78=0,"CLEAR","QUEUED")</x:f>
        <x:v>CLEAR</x:v>
      </x:c>
      <x:c r="K78" s="72"/>
      <x:c r="L78" s="72"/>
      <x:c r="M78" s="72"/>
      <x:c r="N78" s="72"/>
    </x:row>
    <x:row r="79">
      <x:c r="C79" s="45" t="str">
        <x:f>'Path Daily'!C79</x:f>
        <x:v>P0</x:v>
      </x:c>
      <x:c r="D79" s="45" t="n">
        <x:f>'Path Daily'!D79</x:f>
        <x:v>72</x:v>
      </x:c>
      <x:c r="E79" s="53" t="n">
        <x:f>IF(D79=0,SUMIFS('Cargo Records'!$T$7:$T$70,'Cargo Records'!$J$7:$J$70,C79),0)</x:f>
        <x:v>0</x:v>
      </x:c>
      <x:c r="F79" s="53" t="n">
        <x:f>I78</x:f>
        <x:v>0</x:v>
      </x:c>
      <x:c r="G79" s="53" t="n">
        <x:f>'Path Daily'!M79</x:f>
        <x:v>0</x:v>
      </x:c>
      <x:c r="H79" s="53" t="n">
        <x:f>MIN(E79+F79,G79)</x:f>
        <x:v>0</x:v>
      </x:c>
      <x:c r="I79" s="53" t="n">
        <x:f>E79+F79-H79</x:f>
        <x:v>0</x:v>
      </x:c>
      <x:c r="J79" s="45" t="str">
        <x:f>IF(I79=0,"CLEAR","QUEUED")</x:f>
        <x:v>CLEAR</x:v>
      </x:c>
      <x:c r="K79" s="72"/>
      <x:c r="L79" s="72"/>
      <x:c r="M79" s="72"/>
      <x:c r="N79" s="72"/>
    </x:row>
    <x:row r="80">
      <x:c r="C80" s="45" t="str">
        <x:f>'Path Daily'!C80</x:f>
        <x:v>P0</x:v>
      </x:c>
      <x:c r="D80" s="45" t="n">
        <x:f>'Path Daily'!D80</x:f>
        <x:v>73</x:v>
      </x:c>
      <x:c r="E80" s="53" t="n">
        <x:f>IF(D80=0,SUMIFS('Cargo Records'!$T$7:$T$70,'Cargo Records'!$J$7:$J$70,C80),0)</x:f>
        <x:v>0</x:v>
      </x:c>
      <x:c r="F80" s="53" t="n">
        <x:f>I79</x:f>
        <x:v>0</x:v>
      </x:c>
      <x:c r="G80" s="53" t="n">
        <x:f>'Path Daily'!M80</x:f>
        <x:v>0</x:v>
      </x:c>
      <x:c r="H80" s="53" t="n">
        <x:f>MIN(E80+F80,G80)</x:f>
        <x:v>0</x:v>
      </x:c>
      <x:c r="I80" s="53" t="n">
        <x:f>E80+F80-H80</x:f>
        <x:v>0</x:v>
      </x:c>
      <x:c r="J80" s="45" t="str">
        <x:f>IF(I80=0,"CLEAR","QUEUED")</x:f>
        <x:v>CLEAR</x:v>
      </x:c>
      <x:c r="K80" s="72"/>
      <x:c r="L80" s="72"/>
      <x:c r="M80" s="72"/>
      <x:c r="N80" s="72"/>
    </x:row>
    <x:row r="81">
      <x:c r="C81" s="45" t="str">
        <x:f>'Path Daily'!C81</x:f>
        <x:v>P0</x:v>
      </x:c>
      <x:c r="D81" s="45" t="n">
        <x:f>'Path Daily'!D81</x:f>
        <x:v>74</x:v>
      </x:c>
      <x:c r="E81" s="53" t="n">
        <x:f>IF(D81=0,SUMIFS('Cargo Records'!$T$7:$T$70,'Cargo Records'!$J$7:$J$70,C81),0)</x:f>
        <x:v>0</x:v>
      </x:c>
      <x:c r="F81" s="53" t="n">
        <x:f>I80</x:f>
        <x:v>0</x:v>
      </x:c>
      <x:c r="G81" s="53" t="n">
        <x:f>'Path Daily'!M81</x:f>
        <x:v>0</x:v>
      </x:c>
      <x:c r="H81" s="53" t="n">
        <x:f>MIN(E81+F81,G81)</x:f>
        <x:v>0</x:v>
      </x:c>
      <x:c r="I81" s="53" t="n">
        <x:f>E81+F81-H81</x:f>
        <x:v>0</x:v>
      </x:c>
      <x:c r="J81" s="45" t="str">
        <x:f>IF(I81=0,"CLEAR","QUEUED")</x:f>
        <x:v>CLEAR</x:v>
      </x:c>
      <x:c r="K81" s="72"/>
      <x:c r="L81" s="72"/>
      <x:c r="M81" s="72"/>
      <x:c r="N81" s="72"/>
    </x:row>
    <x:row r="82">
      <x:c r="C82" s="45" t="str">
        <x:f>'Path Daily'!C82</x:f>
        <x:v>P0</x:v>
      </x:c>
      <x:c r="D82" s="45" t="n">
        <x:f>'Path Daily'!D82</x:f>
        <x:v>75</x:v>
      </x:c>
      <x:c r="E82" s="53" t="n">
        <x:f>IF(D82=0,SUMIFS('Cargo Records'!$T$7:$T$70,'Cargo Records'!$J$7:$J$70,C82),0)</x:f>
        <x:v>0</x:v>
      </x:c>
      <x:c r="F82" s="53" t="n">
        <x:f>I81</x:f>
        <x:v>0</x:v>
      </x:c>
      <x:c r="G82" s="53" t="n">
        <x:f>'Path Daily'!M82</x:f>
        <x:v>0</x:v>
      </x:c>
      <x:c r="H82" s="53" t="n">
        <x:f>MIN(E82+F82,G82)</x:f>
        <x:v>0</x:v>
      </x:c>
      <x:c r="I82" s="53" t="n">
        <x:f>E82+F82-H82</x:f>
        <x:v>0</x:v>
      </x:c>
      <x:c r="J82" s="45" t="str">
        <x:f>IF(I82=0,"CLEAR","QUEUED")</x:f>
        <x:v>CLEAR</x:v>
      </x:c>
      <x:c r="K82" s="72"/>
      <x:c r="L82" s="72"/>
      <x:c r="M82" s="72"/>
      <x:c r="N82" s="72"/>
    </x:row>
    <x:row r="83">
      <x:c r="C83" s="45" t="str">
        <x:f>'Path Daily'!C83</x:f>
        <x:v>P0</x:v>
      </x:c>
      <x:c r="D83" s="45" t="n">
        <x:f>'Path Daily'!D83</x:f>
        <x:v>76</x:v>
      </x:c>
      <x:c r="E83" s="53" t="n">
        <x:f>IF(D83=0,SUMIFS('Cargo Records'!$T$7:$T$70,'Cargo Records'!$J$7:$J$70,C83),0)</x:f>
        <x:v>0</x:v>
      </x:c>
      <x:c r="F83" s="53" t="n">
        <x:f>I82</x:f>
        <x:v>0</x:v>
      </x:c>
      <x:c r="G83" s="53" t="n">
        <x:f>'Path Daily'!M83</x:f>
        <x:v>0</x:v>
      </x:c>
      <x:c r="H83" s="53" t="n">
        <x:f>MIN(E83+F83,G83)</x:f>
        <x:v>0</x:v>
      </x:c>
      <x:c r="I83" s="53" t="n">
        <x:f>E83+F83-H83</x:f>
        <x:v>0</x:v>
      </x:c>
      <x:c r="J83" s="45" t="str">
        <x:f>IF(I83=0,"CLEAR","QUEUED")</x:f>
        <x:v>CLEAR</x:v>
      </x:c>
      <x:c r="K83" s="72"/>
      <x:c r="L83" s="72"/>
      <x:c r="M83" s="72"/>
      <x:c r="N83" s="72"/>
    </x:row>
    <x:row r="84">
      <x:c r="C84" s="45" t="str">
        <x:f>'Path Daily'!C84</x:f>
        <x:v>P0</x:v>
      </x:c>
      <x:c r="D84" s="45" t="n">
        <x:f>'Path Daily'!D84</x:f>
        <x:v>77</x:v>
      </x:c>
      <x:c r="E84" s="53" t="n">
        <x:f>IF(D84=0,SUMIFS('Cargo Records'!$T$7:$T$70,'Cargo Records'!$J$7:$J$70,C84),0)</x:f>
        <x:v>0</x:v>
      </x:c>
      <x:c r="F84" s="53" t="n">
        <x:f>I83</x:f>
        <x:v>0</x:v>
      </x:c>
      <x:c r="G84" s="53" t="n">
        <x:f>'Path Daily'!M84</x:f>
        <x:v>0</x:v>
      </x:c>
      <x:c r="H84" s="53" t="n">
        <x:f>MIN(E84+F84,G84)</x:f>
        <x:v>0</x:v>
      </x:c>
      <x:c r="I84" s="53" t="n">
        <x:f>E84+F84-H84</x:f>
        <x:v>0</x:v>
      </x:c>
      <x:c r="J84" s="45" t="str">
        <x:f>IF(I84=0,"CLEAR","QUEUED")</x:f>
        <x:v>CLEAR</x:v>
      </x:c>
      <x:c r="K84" s="72"/>
      <x:c r="L84" s="72"/>
      <x:c r="M84" s="72"/>
      <x:c r="N84" s="72"/>
    </x:row>
    <x:row r="85">
      <x:c r="C85" s="45" t="str">
        <x:f>'Path Daily'!C85</x:f>
        <x:v>P0</x:v>
      </x:c>
      <x:c r="D85" s="45" t="n">
        <x:f>'Path Daily'!D85</x:f>
        <x:v>78</x:v>
      </x:c>
      <x:c r="E85" s="53" t="n">
        <x:f>IF(D85=0,SUMIFS('Cargo Records'!$T$7:$T$70,'Cargo Records'!$J$7:$J$70,C85),0)</x:f>
        <x:v>0</x:v>
      </x:c>
      <x:c r="F85" s="53" t="n">
        <x:f>I84</x:f>
        <x:v>0</x:v>
      </x:c>
      <x:c r="G85" s="53" t="n">
        <x:f>'Path Daily'!M85</x:f>
        <x:v>0</x:v>
      </x:c>
      <x:c r="H85" s="53" t="n">
        <x:f>MIN(E85+F85,G85)</x:f>
        <x:v>0</x:v>
      </x:c>
      <x:c r="I85" s="53" t="n">
        <x:f>E85+F85-H85</x:f>
        <x:v>0</x:v>
      </x:c>
      <x:c r="J85" s="45" t="str">
        <x:f>IF(I85=0,"CLEAR","QUEUED")</x:f>
        <x:v>CLEAR</x:v>
      </x:c>
      <x:c r="K85" s="72"/>
      <x:c r="L85" s="72"/>
      <x:c r="M85" s="72"/>
      <x:c r="N85" s="72"/>
    </x:row>
    <x:row r="86">
      <x:c r="C86" s="45" t="str">
        <x:f>'Path Daily'!C86</x:f>
        <x:v>P0</x:v>
      </x:c>
      <x:c r="D86" s="45" t="n">
        <x:f>'Path Daily'!D86</x:f>
        <x:v>79</x:v>
      </x:c>
      <x:c r="E86" s="53" t="n">
        <x:f>IF(D86=0,SUMIFS('Cargo Records'!$T$7:$T$70,'Cargo Records'!$J$7:$J$70,C86),0)</x:f>
        <x:v>0</x:v>
      </x:c>
      <x:c r="F86" s="53" t="n">
        <x:f>I85</x:f>
        <x:v>0</x:v>
      </x:c>
      <x:c r="G86" s="53" t="n">
        <x:f>'Path Daily'!M86</x:f>
        <x:v>0</x:v>
      </x:c>
      <x:c r="H86" s="53" t="n">
        <x:f>MIN(E86+F86,G86)</x:f>
        <x:v>0</x:v>
      </x:c>
      <x:c r="I86" s="53" t="n">
        <x:f>E86+F86-H86</x:f>
        <x:v>0</x:v>
      </x:c>
      <x:c r="J86" s="45" t="str">
        <x:f>IF(I86=0,"CLEAR","QUEUED")</x:f>
        <x:v>CLEAR</x:v>
      </x:c>
      <x:c r="K86" s="72"/>
      <x:c r="L86" s="72"/>
      <x:c r="M86" s="72"/>
      <x:c r="N86" s="72"/>
    </x:row>
    <x:row r="87">
      <x:c r="C87" s="45" t="str">
        <x:f>'Path Daily'!C87</x:f>
        <x:v>P0</x:v>
      </x:c>
      <x:c r="D87" s="45" t="n">
        <x:f>'Path Daily'!D87</x:f>
        <x:v>80</x:v>
      </x:c>
      <x:c r="E87" s="53" t="n">
        <x:f>IF(D87=0,SUMIFS('Cargo Records'!$T$7:$T$70,'Cargo Records'!$J$7:$J$70,C87),0)</x:f>
        <x:v>0</x:v>
      </x:c>
      <x:c r="F87" s="53" t="n">
        <x:f>I86</x:f>
        <x:v>0</x:v>
      </x:c>
      <x:c r="G87" s="53" t="n">
        <x:f>'Path Daily'!M87</x:f>
        <x:v>0</x:v>
      </x:c>
      <x:c r="H87" s="53" t="n">
        <x:f>MIN(E87+F87,G87)</x:f>
        <x:v>0</x:v>
      </x:c>
      <x:c r="I87" s="53" t="n">
        <x:f>E87+F87-H87</x:f>
        <x:v>0</x:v>
      </x:c>
      <x:c r="J87" s="45" t="str">
        <x:f>IF(I87=0,"CLEAR","QUEUED")</x:f>
        <x:v>CLEAR</x:v>
      </x:c>
      <x:c r="K87" s="72"/>
      <x:c r="L87" s="72"/>
      <x:c r="M87" s="72"/>
      <x:c r="N87" s="72"/>
    </x:row>
    <x:row r="88">
      <x:c r="C88" s="45" t="str">
        <x:f>'Path Daily'!C88</x:f>
        <x:v>P0</x:v>
      </x:c>
      <x:c r="D88" s="45" t="n">
        <x:f>'Path Daily'!D88</x:f>
        <x:v>81</x:v>
      </x:c>
      <x:c r="E88" s="53" t="n">
        <x:f>IF(D88=0,SUMIFS('Cargo Records'!$T$7:$T$70,'Cargo Records'!$J$7:$J$70,C88),0)</x:f>
        <x:v>0</x:v>
      </x:c>
      <x:c r="F88" s="53" t="n">
        <x:f>I87</x:f>
        <x:v>0</x:v>
      </x:c>
      <x:c r="G88" s="53" t="n">
        <x:f>'Path Daily'!M88</x:f>
        <x:v>0</x:v>
      </x:c>
      <x:c r="H88" s="53" t="n">
        <x:f>MIN(E88+F88,G88)</x:f>
        <x:v>0</x:v>
      </x:c>
      <x:c r="I88" s="53" t="n">
        <x:f>E88+F88-H88</x:f>
        <x:v>0</x:v>
      </x:c>
      <x:c r="J88" s="45" t="str">
        <x:f>IF(I88=0,"CLEAR","QUEUED")</x:f>
        <x:v>CLEAR</x:v>
      </x:c>
      <x:c r="K88" s="72"/>
      <x:c r="L88" s="72"/>
      <x:c r="M88" s="72"/>
      <x:c r="N88" s="72"/>
    </x:row>
    <x:row r="89">
      <x:c r="C89" s="45" t="str">
        <x:f>'Path Daily'!C89</x:f>
        <x:v>P0</x:v>
      </x:c>
      <x:c r="D89" s="45" t="n">
        <x:f>'Path Daily'!D89</x:f>
        <x:v>82</x:v>
      </x:c>
      <x:c r="E89" s="53" t="n">
        <x:f>IF(D89=0,SUMIFS('Cargo Records'!$T$7:$T$70,'Cargo Records'!$J$7:$J$70,C89),0)</x:f>
        <x:v>0</x:v>
      </x:c>
      <x:c r="F89" s="53" t="n">
        <x:f>I88</x:f>
        <x:v>0</x:v>
      </x:c>
      <x:c r="G89" s="53" t="n">
        <x:f>'Path Daily'!M89</x:f>
        <x:v>0</x:v>
      </x:c>
      <x:c r="H89" s="53" t="n">
        <x:f>MIN(E89+F89,G89)</x:f>
        <x:v>0</x:v>
      </x:c>
      <x:c r="I89" s="53" t="n">
        <x:f>E89+F89-H89</x:f>
        <x:v>0</x:v>
      </x:c>
      <x:c r="J89" s="45" t="str">
        <x:f>IF(I89=0,"CLEAR","QUEUED")</x:f>
        <x:v>CLEAR</x:v>
      </x:c>
      <x:c r="K89" s="72"/>
      <x:c r="L89" s="72"/>
      <x:c r="M89" s="72"/>
      <x:c r="N89" s="72"/>
    </x:row>
    <x:row r="90">
      <x:c r="C90" s="45" t="str">
        <x:f>'Path Daily'!C90</x:f>
        <x:v>P0</x:v>
      </x:c>
      <x:c r="D90" s="45" t="n">
        <x:f>'Path Daily'!D90</x:f>
        <x:v>83</x:v>
      </x:c>
      <x:c r="E90" s="53" t="n">
        <x:f>IF(D90=0,SUMIFS('Cargo Records'!$T$7:$T$70,'Cargo Records'!$J$7:$J$70,C90),0)</x:f>
        <x:v>0</x:v>
      </x:c>
      <x:c r="F90" s="53" t="n">
        <x:f>I89</x:f>
        <x:v>0</x:v>
      </x:c>
      <x:c r="G90" s="53" t="n">
        <x:f>'Path Daily'!M90</x:f>
        <x:v>0</x:v>
      </x:c>
      <x:c r="H90" s="53" t="n">
        <x:f>MIN(E90+F90,G90)</x:f>
        <x:v>0</x:v>
      </x:c>
      <x:c r="I90" s="53" t="n">
        <x:f>E90+F90-H90</x:f>
        <x:v>0</x:v>
      </x:c>
      <x:c r="J90" s="45" t="str">
        <x:f>IF(I90=0,"CLEAR","QUEUED")</x:f>
        <x:v>CLEAR</x:v>
      </x:c>
      <x:c r="K90" s="72"/>
      <x:c r="L90" s="72"/>
      <x:c r="M90" s="72"/>
      <x:c r="N90" s="72"/>
    </x:row>
    <x:row r="91">
      <x:c r="C91" s="45" t="str">
        <x:f>'Path Daily'!C91</x:f>
        <x:v>P0</x:v>
      </x:c>
      <x:c r="D91" s="45" t="n">
        <x:f>'Path Daily'!D91</x:f>
        <x:v>84</x:v>
      </x:c>
      <x:c r="E91" s="53" t="n">
        <x:f>IF(D91=0,SUMIFS('Cargo Records'!$T$7:$T$70,'Cargo Records'!$J$7:$J$70,C91),0)</x:f>
        <x:v>0</x:v>
      </x:c>
      <x:c r="F91" s="53" t="n">
        <x:f>I90</x:f>
        <x:v>0</x:v>
      </x:c>
      <x:c r="G91" s="53" t="n">
        <x:f>'Path Daily'!M91</x:f>
        <x:v>0</x:v>
      </x:c>
      <x:c r="H91" s="53" t="n">
        <x:f>MIN(E91+F91,G91)</x:f>
        <x:v>0</x:v>
      </x:c>
      <x:c r="I91" s="53" t="n">
        <x:f>E91+F91-H91</x:f>
        <x:v>0</x:v>
      </x:c>
      <x:c r="J91" s="45" t="str">
        <x:f>IF(I91=0,"CLEAR","QUEUED")</x:f>
        <x:v>CLEAR</x:v>
      </x:c>
      <x:c r="K91" s="72"/>
      <x:c r="L91" s="72"/>
      <x:c r="M91" s="72"/>
      <x:c r="N91" s="72"/>
    </x:row>
    <x:row r="92">
      <x:c r="C92" s="45" t="str">
        <x:f>'Path Daily'!C92</x:f>
        <x:v>P0</x:v>
      </x:c>
      <x:c r="D92" s="45" t="n">
        <x:f>'Path Daily'!D92</x:f>
        <x:v>85</x:v>
      </x:c>
      <x:c r="E92" s="53" t="n">
        <x:f>IF(D92=0,SUMIFS('Cargo Records'!$T$7:$T$70,'Cargo Records'!$J$7:$J$70,C92),0)</x:f>
        <x:v>0</x:v>
      </x:c>
      <x:c r="F92" s="53" t="n">
        <x:f>I91</x:f>
        <x:v>0</x:v>
      </x:c>
      <x:c r="G92" s="53" t="n">
        <x:f>'Path Daily'!M92</x:f>
        <x:v>0</x:v>
      </x:c>
      <x:c r="H92" s="53" t="n">
        <x:f>MIN(E92+F92,G92)</x:f>
        <x:v>0</x:v>
      </x:c>
      <x:c r="I92" s="53" t="n">
        <x:f>E92+F92-H92</x:f>
        <x:v>0</x:v>
      </x:c>
      <x:c r="J92" s="45" t="str">
        <x:f>IF(I92=0,"CLEAR","QUEUED")</x:f>
        <x:v>CLEAR</x:v>
      </x:c>
      <x:c r="K92" s="72"/>
      <x:c r="L92" s="72"/>
      <x:c r="M92" s="72"/>
      <x:c r="N92" s="72"/>
    </x:row>
    <x:row r="93">
      <x:c r="C93" s="45" t="str">
        <x:f>'Path Daily'!C93</x:f>
        <x:v>P0</x:v>
      </x:c>
      <x:c r="D93" s="45" t="n">
        <x:f>'Path Daily'!D93</x:f>
        <x:v>86</x:v>
      </x:c>
      <x:c r="E93" s="53" t="n">
        <x:f>IF(D93=0,SUMIFS('Cargo Records'!$T$7:$T$70,'Cargo Records'!$J$7:$J$70,C93),0)</x:f>
        <x:v>0</x:v>
      </x:c>
      <x:c r="F93" s="53" t="n">
        <x:f>I92</x:f>
        <x:v>0</x:v>
      </x:c>
      <x:c r="G93" s="53" t="n">
        <x:f>'Path Daily'!M93</x:f>
        <x:v>0</x:v>
      </x:c>
      <x:c r="H93" s="53" t="n">
        <x:f>MIN(E93+F93,G93)</x:f>
        <x:v>0</x:v>
      </x:c>
      <x:c r="I93" s="53" t="n">
        <x:f>E93+F93-H93</x:f>
        <x:v>0</x:v>
      </x:c>
      <x:c r="J93" s="45" t="str">
        <x:f>IF(I93=0,"CLEAR","QUEUED")</x:f>
        <x:v>CLEAR</x:v>
      </x:c>
      <x:c r="K93" s="72"/>
      <x:c r="L93" s="72"/>
      <x:c r="M93" s="72"/>
      <x:c r="N93" s="72"/>
    </x:row>
    <x:row r="94">
      <x:c r="C94" s="45" t="str">
        <x:f>'Path Daily'!C94</x:f>
        <x:v>P0</x:v>
      </x:c>
      <x:c r="D94" s="45" t="n">
        <x:f>'Path Daily'!D94</x:f>
        <x:v>87</x:v>
      </x:c>
      <x:c r="E94" s="53" t="n">
        <x:f>IF(D94=0,SUMIFS('Cargo Records'!$T$7:$T$70,'Cargo Records'!$J$7:$J$70,C94),0)</x:f>
        <x:v>0</x:v>
      </x:c>
      <x:c r="F94" s="53" t="n">
        <x:f>I93</x:f>
        <x:v>0</x:v>
      </x:c>
      <x:c r="G94" s="53" t="n">
        <x:f>'Path Daily'!M94</x:f>
        <x:v>0</x:v>
      </x:c>
      <x:c r="H94" s="53" t="n">
        <x:f>MIN(E94+F94,G94)</x:f>
        <x:v>0</x:v>
      </x:c>
      <x:c r="I94" s="53" t="n">
        <x:f>E94+F94-H94</x:f>
        <x:v>0</x:v>
      </x:c>
      <x:c r="J94" s="45" t="str">
        <x:f>IF(I94=0,"CLEAR","QUEUED")</x:f>
        <x:v>CLEAR</x:v>
      </x:c>
      <x:c r="K94" s="72"/>
      <x:c r="L94" s="72"/>
      <x:c r="M94" s="72"/>
      <x:c r="N94" s="72"/>
    </x:row>
    <x:row r="95">
      <x:c r="C95" s="45" t="str">
        <x:f>'Path Daily'!C95</x:f>
        <x:v>P0</x:v>
      </x:c>
      <x:c r="D95" s="45" t="n">
        <x:f>'Path Daily'!D95</x:f>
        <x:v>88</x:v>
      </x:c>
      <x:c r="E95" s="53" t="n">
        <x:f>IF(D95=0,SUMIFS('Cargo Records'!$T$7:$T$70,'Cargo Records'!$J$7:$J$70,C95),0)</x:f>
        <x:v>0</x:v>
      </x:c>
      <x:c r="F95" s="53" t="n">
        <x:f>I94</x:f>
        <x:v>0</x:v>
      </x:c>
      <x:c r="G95" s="53" t="n">
        <x:f>'Path Daily'!M95</x:f>
        <x:v>0</x:v>
      </x:c>
      <x:c r="H95" s="53" t="n">
        <x:f>MIN(E95+F95,G95)</x:f>
        <x:v>0</x:v>
      </x:c>
      <x:c r="I95" s="53" t="n">
        <x:f>E95+F95-H95</x:f>
        <x:v>0</x:v>
      </x:c>
      <x:c r="J95" s="45" t="str">
        <x:f>IF(I95=0,"CLEAR","QUEUED")</x:f>
        <x:v>CLEAR</x:v>
      </x:c>
      <x:c r="K95" s="72"/>
      <x:c r="L95" s="72"/>
      <x:c r="M95" s="72"/>
      <x:c r="N95" s="72"/>
    </x:row>
    <x:row r="96">
      <x:c r="C96" s="45" t="str">
        <x:f>'Path Daily'!C96</x:f>
        <x:v>P0</x:v>
      </x:c>
      <x:c r="D96" s="45" t="n">
        <x:f>'Path Daily'!D96</x:f>
        <x:v>89</x:v>
      </x:c>
      <x:c r="E96" s="53" t="n">
        <x:f>IF(D96=0,SUMIFS('Cargo Records'!$T$7:$T$70,'Cargo Records'!$J$7:$J$70,C96),0)</x:f>
        <x:v>0</x:v>
      </x:c>
      <x:c r="F96" s="53" t="n">
        <x:f>I95</x:f>
        <x:v>0</x:v>
      </x:c>
      <x:c r="G96" s="53" t="n">
        <x:f>'Path Daily'!M96</x:f>
        <x:v>0</x:v>
      </x:c>
      <x:c r="H96" s="53" t="n">
        <x:f>MIN(E96+F96,G96)</x:f>
        <x:v>0</x:v>
      </x:c>
      <x:c r="I96" s="53" t="n">
        <x:f>E96+F96-H96</x:f>
        <x:v>0</x:v>
      </x:c>
      <x:c r="J96" s="45" t="str">
        <x:f>IF(I96=0,"CLEAR","QUEUED")</x:f>
        <x:v>CLEAR</x:v>
      </x:c>
      <x:c r="K96" s="72"/>
      <x:c r="L96" s="72"/>
      <x:c r="M96" s="72"/>
      <x:c r="N96" s="72"/>
    </x:row>
    <x:row r="97">
      <x:c r="C97" s="45" t="str">
        <x:f>'Path Daily'!C97</x:f>
        <x:v>P0</x:v>
      </x:c>
      <x:c r="D97" s="45" t="n">
        <x:f>'Path Daily'!D97</x:f>
        <x:v>90</x:v>
      </x:c>
      <x:c r="E97" s="53" t="n">
        <x:f>IF(D97=0,SUMIFS('Cargo Records'!$T$7:$T$70,'Cargo Records'!$J$7:$J$70,C97),0)</x:f>
        <x:v>0</x:v>
      </x:c>
      <x:c r="F97" s="53" t="n">
        <x:f>I96</x:f>
        <x:v>0</x:v>
      </x:c>
      <x:c r="G97" s="53" t="n">
        <x:f>'Path Daily'!M97</x:f>
        <x:v>0</x:v>
      </x:c>
      <x:c r="H97" s="53" t="n">
        <x:f>MIN(E97+F97,G97)</x:f>
        <x:v>0</x:v>
      </x:c>
      <x:c r="I97" s="53" t="n">
        <x:f>E97+F97-H97</x:f>
        <x:v>0</x:v>
      </x:c>
      <x:c r="J97" s="45" t="str">
        <x:f>IF(I97=0,"CLEAR","QUEUED")</x:f>
        <x:v>CLEAR</x:v>
      </x:c>
      <x:c r="K97" s="72"/>
      <x:c r="L97" s="72"/>
      <x:c r="M97" s="72"/>
      <x:c r="N97" s="72"/>
    </x:row>
    <x:row r="98">
      <x:c r="C98" s="45" t="str">
        <x:f>'Path Daily'!C98</x:f>
        <x:v>P1</x:v>
      </x:c>
      <x:c r="D98" s="45" t="n">
        <x:f>'Path Daily'!D98</x:f>
        <x:v>0</x:v>
      </x:c>
      <x:c r="E98" s="53" t="n">
        <x:f>IF(D98=0,SUMIFS('Cargo Records'!$T$7:$T$70,'Cargo Records'!$J$7:$J$70,C98),0)</x:f>
        <x:v>37090.90909090909</x:v>
      </x:c>
      <x:c r="F98" s="53" t="n">
        <x:f>0</x:f>
        <x:v>0</x:v>
      </x:c>
      <x:c r="G98" s="53" t="n">
        <x:f>'Path Daily'!M98</x:f>
        <x:v>0</x:v>
      </x:c>
      <x:c r="H98" s="53" t="n">
        <x:f>MIN(E98+F98,G98)</x:f>
        <x:v>0</x:v>
      </x:c>
      <x:c r="I98" s="53" t="n">
        <x:f>E98+F98-H98</x:f>
        <x:v>37090.90909090909</x:v>
      </x:c>
      <x:c r="J98" s="45" t="str">
        <x:f>IF(I98=0,"CLEAR","QUEUED")</x:f>
        <x:v>QUEUED</x:v>
      </x:c>
      <x:c r="K98" s="72"/>
      <x:c r="L98" s="72"/>
      <x:c r="M98" s="72"/>
      <x:c r="N98" s="72"/>
    </x:row>
    <x:row r="99">
      <x:c r="C99" s="45" t="str">
        <x:f>'Path Daily'!C99</x:f>
        <x:v>P1</x:v>
      </x:c>
      <x:c r="D99" s="45" t="n">
        <x:f>'Path Daily'!D99</x:f>
        <x:v>1</x:v>
      </x:c>
      <x:c r="E99" s="53" t="n">
        <x:f>IF(D99=0,SUMIFS('Cargo Records'!$T$7:$T$70,'Cargo Records'!$J$7:$J$70,C99),0)</x:f>
        <x:v>0</x:v>
      </x:c>
      <x:c r="F99" s="53" t="n">
        <x:f>I98</x:f>
        <x:v>37090.90909090909</x:v>
      </x:c>
      <x:c r="G99" s="53" t="n">
        <x:f>'Path Daily'!M99</x:f>
        <x:v>11040</x:v>
      </x:c>
      <x:c r="H99" s="53" t="n">
        <x:f>MIN(E99+F99,G99)</x:f>
        <x:v>11040</x:v>
      </x:c>
      <x:c r="I99" s="53" t="n">
        <x:f>E99+F99-H99</x:f>
        <x:v>26050.90909090909</x:v>
      </x:c>
      <x:c r="J99" s="45" t="str">
        <x:f>IF(I99=0,"CLEAR","QUEUED")</x:f>
        <x:v>QUEUED</x:v>
      </x:c>
      <x:c r="K99" s="72"/>
      <x:c r="L99" s="72"/>
      <x:c r="M99" s="72"/>
      <x:c r="N99" s="72"/>
    </x:row>
    <x:row r="100">
      <x:c r="C100" s="45" t="str">
        <x:f>'Path Daily'!C100</x:f>
        <x:v>P1</x:v>
      </x:c>
      <x:c r="D100" s="45" t="n">
        <x:f>'Path Daily'!D100</x:f>
        <x:v>2</x:v>
      </x:c>
      <x:c r="E100" s="53" t="n">
        <x:f>IF(D100=0,SUMIFS('Cargo Records'!$T$7:$T$70,'Cargo Records'!$J$7:$J$70,C100),0)</x:f>
        <x:v>0</x:v>
      </x:c>
      <x:c r="F100" s="53" t="n">
        <x:f>I99</x:f>
        <x:v>26050.90909090909</x:v>
      </x:c>
      <x:c r="G100" s="53" t="n">
        <x:f>'Path Daily'!M100</x:f>
        <x:v>11040</x:v>
      </x:c>
      <x:c r="H100" s="53" t="n">
        <x:f>MIN(E100+F100,G100)</x:f>
        <x:v>11040</x:v>
      </x:c>
      <x:c r="I100" s="53" t="n">
        <x:f>E100+F100-H100</x:f>
        <x:v>15010.909090909088</x:v>
      </x:c>
      <x:c r="J100" s="45" t="str">
        <x:f>IF(I100=0,"CLEAR","QUEUED")</x:f>
        <x:v>QUEUED</x:v>
      </x:c>
      <x:c r="K100" s="72"/>
      <x:c r="L100" s="72"/>
      <x:c r="M100" s="72"/>
      <x:c r="N100" s="72"/>
    </x:row>
    <x:row r="101">
      <x:c r="C101" s="45" t="str">
        <x:f>'Path Daily'!C101</x:f>
        <x:v>P1</x:v>
      </x:c>
      <x:c r="D101" s="45" t="n">
        <x:f>'Path Daily'!D101</x:f>
        <x:v>3</x:v>
      </x:c>
      <x:c r="E101" s="53" t="n">
        <x:f>IF(D101=0,SUMIFS('Cargo Records'!$T$7:$T$70,'Cargo Records'!$J$7:$J$70,C101),0)</x:f>
        <x:v>0</x:v>
      </x:c>
      <x:c r="F101" s="53" t="n">
        <x:f>I100</x:f>
        <x:v>15010.909090909088</x:v>
      </x:c>
      <x:c r="G101" s="53" t="n">
        <x:f>'Path Daily'!M101</x:f>
        <x:v>11040</x:v>
      </x:c>
      <x:c r="H101" s="53" t="n">
        <x:f>MIN(E101+F101,G101)</x:f>
        <x:v>11040</x:v>
      </x:c>
      <x:c r="I101" s="53" t="n">
        <x:f>E101+F101-H101</x:f>
        <x:v>3970.9090909090883</x:v>
      </x:c>
      <x:c r="J101" s="45" t="str">
        <x:f>IF(I101=0,"CLEAR","QUEUED")</x:f>
        <x:v>QUEUED</x:v>
      </x:c>
      <x:c r="K101" s="72"/>
      <x:c r="L101" s="72"/>
      <x:c r="M101" s="72"/>
      <x:c r="N101" s="72"/>
    </x:row>
    <x:row r="102">
      <x:c r="C102" s="45" t="str">
        <x:f>'Path Daily'!C102</x:f>
        <x:v>P1</x:v>
      </x:c>
      <x:c r="D102" s="45" t="n">
        <x:f>'Path Daily'!D102</x:f>
        <x:v>4</x:v>
      </x:c>
      <x:c r="E102" s="53" t="n">
        <x:f>IF(D102=0,SUMIFS('Cargo Records'!$T$7:$T$70,'Cargo Records'!$J$7:$J$70,C102),0)</x:f>
        <x:v>0</x:v>
      </x:c>
      <x:c r="F102" s="53" t="n">
        <x:f>I101</x:f>
        <x:v>3970.9090909090883</x:v>
      </x:c>
      <x:c r="G102" s="53" t="n">
        <x:f>'Path Daily'!M102</x:f>
        <x:v>8970</x:v>
      </x:c>
      <x:c r="H102" s="53" t="n">
        <x:f>MIN(E102+F102,G102)</x:f>
        <x:v>3970.9090909090883</x:v>
      </x:c>
      <x:c r="I102" s="53" t="n">
        <x:f>E102+F102-H102</x:f>
        <x:v>0</x:v>
      </x:c>
      <x:c r="J102" s="45" t="str">
        <x:f>IF(I102=0,"CLEAR","QUEUED")</x:f>
        <x:v>CLEAR</x:v>
      </x:c>
      <x:c r="K102" s="72"/>
      <x:c r="L102" s="72"/>
      <x:c r="M102" s="72"/>
      <x:c r="N102" s="72"/>
    </x:row>
    <x:row r="103">
      <x:c r="C103" s="45" t="str">
        <x:f>'Path Daily'!C103</x:f>
        <x:v>P1</x:v>
      </x:c>
      <x:c r="D103" s="45" t="n">
        <x:f>'Path Daily'!D103</x:f>
        <x:v>5</x:v>
      </x:c>
      <x:c r="E103" s="53" t="n">
        <x:f>IF(D103=0,SUMIFS('Cargo Records'!$T$7:$T$70,'Cargo Records'!$J$7:$J$70,C103),0)</x:f>
        <x:v>0</x:v>
      </x:c>
      <x:c r="F103" s="53" t="n">
        <x:f>I102</x:f>
        <x:v>0</x:v>
      </x:c>
      <x:c r="G103" s="53" t="n">
        <x:f>'Path Daily'!M103</x:f>
        <x:v>8970</x:v>
      </x:c>
      <x:c r="H103" s="53" t="n">
        <x:f>MIN(E103+F103,G103)</x:f>
        <x:v>0</x:v>
      </x:c>
      <x:c r="I103" s="53" t="n">
        <x:f>E103+F103-H103</x:f>
        <x:v>0</x:v>
      </x:c>
      <x:c r="J103" s="45" t="str">
        <x:f>IF(I103=0,"CLEAR","QUEUED")</x:f>
        <x:v>CLEAR</x:v>
      </x:c>
      <x:c r="K103" s="72"/>
      <x:c r="L103" s="72"/>
      <x:c r="M103" s="72"/>
      <x:c r="N103" s="72"/>
    </x:row>
    <x:row r="104">
      <x:c r="C104" s="45" t="str">
        <x:f>'Path Daily'!C104</x:f>
        <x:v>P1</x:v>
      </x:c>
      <x:c r="D104" s="45" t="n">
        <x:f>'Path Daily'!D104</x:f>
        <x:v>6</x:v>
      </x:c>
      <x:c r="E104" s="53" t="n">
        <x:f>IF(D104=0,SUMIFS('Cargo Records'!$T$7:$T$70,'Cargo Records'!$J$7:$J$70,C104),0)</x:f>
        <x:v>0</x:v>
      </x:c>
      <x:c r="F104" s="53" t="n">
        <x:f>I103</x:f>
        <x:v>0</x:v>
      </x:c>
      <x:c r="G104" s="53" t="n">
        <x:f>'Path Daily'!M104</x:f>
        <x:v>6279</x:v>
      </x:c>
      <x:c r="H104" s="53" t="n">
        <x:f>MIN(E104+F104,G104)</x:f>
        <x:v>0</x:v>
      </x:c>
      <x:c r="I104" s="53" t="n">
        <x:f>E104+F104-H104</x:f>
        <x:v>0</x:v>
      </x:c>
      <x:c r="J104" s="45" t="str">
        <x:f>IF(I104=0,"CLEAR","QUEUED")</x:f>
        <x:v>CLEAR</x:v>
      </x:c>
      <x:c r="K104" s="72"/>
      <x:c r="L104" s="72"/>
      <x:c r="M104" s="72"/>
      <x:c r="N104" s="72"/>
    </x:row>
    <x:row r="105">
      <x:c r="C105" s="45" t="str">
        <x:f>'Path Daily'!C105</x:f>
        <x:v>P1</x:v>
      </x:c>
      <x:c r="D105" s="45" t="n">
        <x:f>'Path Daily'!D105</x:f>
        <x:v>7</x:v>
      </x:c>
      <x:c r="E105" s="53" t="n">
        <x:f>IF(D105=0,SUMIFS('Cargo Records'!$T$7:$T$70,'Cargo Records'!$J$7:$J$70,C105),0)</x:f>
        <x:v>0</x:v>
      </x:c>
      <x:c r="F105" s="53" t="n">
        <x:f>I104</x:f>
        <x:v>0</x:v>
      </x:c>
      <x:c r="G105" s="53" t="n">
        <x:f>'Path Daily'!M105</x:f>
        <x:v>6279</x:v>
      </x:c>
      <x:c r="H105" s="53" t="n">
        <x:f>MIN(E105+F105,G105)</x:f>
        <x:v>0</x:v>
      </x:c>
      <x:c r="I105" s="53" t="n">
        <x:f>E105+F105-H105</x:f>
        <x:v>0</x:v>
      </x:c>
      <x:c r="J105" s="45" t="str">
        <x:f>IF(I105=0,"CLEAR","QUEUED")</x:f>
        <x:v>CLEAR</x:v>
      </x:c>
      <x:c r="K105" s="72"/>
      <x:c r="L105" s="72"/>
      <x:c r="M105" s="72"/>
      <x:c r="N105" s="72"/>
    </x:row>
    <x:row r="106">
      <x:c r="C106" s="45" t="str">
        <x:f>'Path Daily'!C106</x:f>
        <x:v>P1</x:v>
      </x:c>
      <x:c r="D106" s="45" t="n">
        <x:f>'Path Daily'!D106</x:f>
        <x:v>8</x:v>
      </x:c>
      <x:c r="E106" s="53" t="n">
        <x:f>IF(D106=0,SUMIFS('Cargo Records'!$T$7:$T$70,'Cargo Records'!$J$7:$J$70,C106),0)</x:f>
        <x:v>0</x:v>
      </x:c>
      <x:c r="F106" s="53" t="n">
        <x:f>I105</x:f>
        <x:v>0</x:v>
      </x:c>
      <x:c r="G106" s="53" t="n">
        <x:f>'Path Daily'!M106</x:f>
        <x:v>8970</x:v>
      </x:c>
      <x:c r="H106" s="53" t="n">
        <x:f>MIN(E106+F106,G106)</x:f>
        <x:v>0</x:v>
      </x:c>
      <x:c r="I106" s="53" t="n">
        <x:f>E106+F106-H106</x:f>
        <x:v>0</x:v>
      </x:c>
      <x:c r="J106" s="45" t="str">
        <x:f>IF(I106=0,"CLEAR","QUEUED")</x:f>
        <x:v>CLEAR</x:v>
      </x:c>
      <x:c r="K106" s="72"/>
      <x:c r="L106" s="72"/>
      <x:c r="M106" s="72"/>
      <x:c r="N106" s="72"/>
    </x:row>
    <x:row r="107">
      <x:c r="C107" s="45" t="str">
        <x:f>'Path Daily'!C107</x:f>
        <x:v>P1</x:v>
      </x:c>
      <x:c r="D107" s="45" t="n">
        <x:f>'Path Daily'!D107</x:f>
        <x:v>9</x:v>
      </x:c>
      <x:c r="E107" s="53" t="n">
        <x:f>IF(D107=0,SUMIFS('Cargo Records'!$T$7:$T$70,'Cargo Records'!$J$7:$J$70,C107),0)</x:f>
        <x:v>0</x:v>
      </x:c>
      <x:c r="F107" s="53" t="n">
        <x:f>I106</x:f>
        <x:v>0</x:v>
      </x:c>
      <x:c r="G107" s="53" t="n">
        <x:f>'Path Daily'!M107</x:f>
        <x:v>8970</x:v>
      </x:c>
      <x:c r="H107" s="53" t="n">
        <x:f>MIN(E107+F107,G107)</x:f>
        <x:v>0</x:v>
      </x:c>
      <x:c r="I107" s="53" t="n">
        <x:f>E107+F107-H107</x:f>
        <x:v>0</x:v>
      </x:c>
      <x:c r="J107" s="45" t="str">
        <x:f>IF(I107=0,"CLEAR","QUEUED")</x:f>
        <x:v>CLEAR</x:v>
      </x:c>
      <x:c r="K107" s="72"/>
      <x:c r="L107" s="72"/>
      <x:c r="M107" s="72"/>
      <x:c r="N107" s="72"/>
    </x:row>
    <x:row r="108">
      <x:c r="C108" s="45" t="str">
        <x:f>'Path Daily'!C108</x:f>
        <x:v>P1</x:v>
      </x:c>
      <x:c r="D108" s="45" t="n">
        <x:f>'Path Daily'!D108</x:f>
        <x:v>10</x:v>
      </x:c>
      <x:c r="E108" s="53" t="n">
        <x:f>IF(D108=0,SUMIFS('Cargo Records'!$T$7:$T$70,'Cargo Records'!$J$7:$J$70,C108),0)</x:f>
        <x:v>0</x:v>
      </x:c>
      <x:c r="F108" s="53" t="n">
        <x:f>I107</x:f>
        <x:v>0</x:v>
      </x:c>
      <x:c r="G108" s="53" t="n">
        <x:f>'Path Daily'!M108</x:f>
        <x:v>11960</x:v>
      </x:c>
      <x:c r="H108" s="53" t="n">
        <x:f>MIN(E108+F108,G108)</x:f>
        <x:v>0</x:v>
      </x:c>
      <x:c r="I108" s="53" t="n">
        <x:f>E108+F108-H108</x:f>
        <x:v>0</x:v>
      </x:c>
      <x:c r="J108" s="45" t="str">
        <x:f>IF(I108=0,"CLEAR","QUEUED")</x:f>
        <x:v>CLEAR</x:v>
      </x:c>
      <x:c r="K108" s="72"/>
      <x:c r="L108" s="72"/>
      <x:c r="M108" s="72"/>
      <x:c r="N108" s="72"/>
    </x:row>
    <x:row r="109">
      <x:c r="C109" s="45" t="str">
        <x:f>'Path Daily'!C109</x:f>
        <x:v>P1</x:v>
      </x:c>
      <x:c r="D109" s="45" t="n">
        <x:f>'Path Daily'!D109</x:f>
        <x:v>11</x:v>
      </x:c>
      <x:c r="E109" s="53" t="n">
        <x:f>IF(D109=0,SUMIFS('Cargo Records'!$T$7:$T$70,'Cargo Records'!$J$7:$J$70,C109),0)</x:f>
        <x:v>0</x:v>
      </x:c>
      <x:c r="F109" s="53" t="n">
        <x:f>I108</x:f>
        <x:v>0</x:v>
      </x:c>
      <x:c r="G109" s="53" t="n">
        <x:f>'Path Daily'!M109</x:f>
        <x:v>11960</x:v>
      </x:c>
      <x:c r="H109" s="53" t="n">
        <x:f>MIN(E109+F109,G109)</x:f>
        <x:v>0</x:v>
      </x:c>
      <x:c r="I109" s="53" t="n">
        <x:f>E109+F109-H109</x:f>
        <x:v>0</x:v>
      </x:c>
      <x:c r="J109" s="45" t="str">
        <x:f>IF(I109=0,"CLEAR","QUEUED")</x:f>
        <x:v>CLEAR</x:v>
      </x:c>
      <x:c r="K109" s="72"/>
      <x:c r="L109" s="72"/>
      <x:c r="M109" s="72"/>
      <x:c r="N109" s="72"/>
    </x:row>
    <x:row r="110">
      <x:c r="C110" s="45" t="str">
        <x:f>'Path Daily'!C110</x:f>
        <x:v>P1</x:v>
      </x:c>
      <x:c r="D110" s="45" t="n">
        <x:f>'Path Daily'!D110</x:f>
        <x:v>12</x:v>
      </x:c>
      <x:c r="E110" s="53" t="n">
        <x:f>IF(D110=0,SUMIFS('Cargo Records'!$T$7:$T$70,'Cargo Records'!$J$7:$J$70,C110),0)</x:f>
        <x:v>0</x:v>
      </x:c>
      <x:c r="F110" s="53" t="n">
        <x:f>I109</x:f>
        <x:v>0</x:v>
      </x:c>
      <x:c r="G110" s="53" t="n">
        <x:f>'Path Daily'!M110</x:f>
        <x:v>11960</x:v>
      </x:c>
      <x:c r="H110" s="53" t="n">
        <x:f>MIN(E110+F110,G110)</x:f>
        <x:v>0</x:v>
      </x:c>
      <x:c r="I110" s="53" t="n">
        <x:f>E110+F110-H110</x:f>
        <x:v>0</x:v>
      </x:c>
      <x:c r="J110" s="45" t="str">
        <x:f>IF(I110=0,"CLEAR","QUEUED")</x:f>
        <x:v>CLEAR</x:v>
      </x:c>
      <x:c r="K110" s="72"/>
      <x:c r="L110" s="72"/>
      <x:c r="M110" s="72"/>
      <x:c r="N110" s="72"/>
    </x:row>
    <x:row r="111">
      <x:c r="C111" s="45" t="str">
        <x:f>'Path Daily'!C111</x:f>
        <x:v>P1</x:v>
      </x:c>
      <x:c r="D111" s="45" t="n">
        <x:f>'Path Daily'!D111</x:f>
        <x:v>13</x:v>
      </x:c>
      <x:c r="E111" s="53" t="n">
        <x:f>IF(D111=0,SUMIFS('Cargo Records'!$T$7:$T$70,'Cargo Records'!$J$7:$J$70,C111),0)</x:f>
        <x:v>0</x:v>
      </x:c>
      <x:c r="F111" s="53" t="n">
        <x:f>I110</x:f>
        <x:v>0</x:v>
      </x:c>
      <x:c r="G111" s="53" t="n">
        <x:f>'Path Daily'!M111</x:f>
        <x:v>11960</x:v>
      </x:c>
      <x:c r="H111" s="53" t="n">
        <x:f>MIN(E111+F111,G111)</x:f>
        <x:v>0</x:v>
      </x:c>
      <x:c r="I111" s="53" t="n">
        <x:f>E111+F111-H111</x:f>
        <x:v>0</x:v>
      </x:c>
      <x:c r="J111" s="45" t="str">
        <x:f>IF(I111=0,"CLEAR","QUEUED")</x:f>
        <x:v>CLEAR</x:v>
      </x:c>
      <x:c r="K111" s="72"/>
      <x:c r="L111" s="72"/>
      <x:c r="M111" s="72"/>
      <x:c r="N111" s="72"/>
    </x:row>
    <x:row r="112">
      <x:c r="C112" s="45" t="str">
        <x:f>'Path Daily'!C112</x:f>
        <x:v>P1</x:v>
      </x:c>
      <x:c r="D112" s="45" t="n">
        <x:f>'Path Daily'!D112</x:f>
        <x:v>14</x:v>
      </x:c>
      <x:c r="E112" s="53" t="n">
        <x:f>IF(D112=0,SUMIFS('Cargo Records'!$T$7:$T$70,'Cargo Records'!$J$7:$J$70,C112),0)</x:f>
        <x:v>0</x:v>
      </x:c>
      <x:c r="F112" s="53" t="n">
        <x:f>I111</x:f>
        <x:v>0</x:v>
      </x:c>
      <x:c r="G112" s="53" t="n">
        <x:f>'Path Daily'!M112</x:f>
        <x:v>8372</x:v>
      </x:c>
      <x:c r="H112" s="53" t="n">
        <x:f>MIN(E112+F112,G112)</x:f>
        <x:v>0</x:v>
      </x:c>
      <x:c r="I112" s="53" t="n">
        <x:f>E112+F112-H112</x:f>
        <x:v>0</x:v>
      </x:c>
      <x:c r="J112" s="45" t="str">
        <x:f>IF(I112=0,"CLEAR","QUEUED")</x:f>
        <x:v>CLEAR</x:v>
      </x:c>
      <x:c r="K112" s="72"/>
      <x:c r="L112" s="72"/>
      <x:c r="M112" s="72"/>
      <x:c r="N112" s="72"/>
    </x:row>
    <x:row r="113">
      <x:c r="C113" s="45" t="str">
        <x:f>'Path Daily'!C113</x:f>
        <x:v>P1</x:v>
      </x:c>
      <x:c r="D113" s="45" t="n">
        <x:f>'Path Daily'!D113</x:f>
        <x:v>15</x:v>
      </x:c>
      <x:c r="E113" s="53" t="n">
        <x:f>IF(D113=0,SUMIFS('Cargo Records'!$T$7:$T$70,'Cargo Records'!$J$7:$J$70,C113),0)</x:f>
        <x:v>0</x:v>
      </x:c>
      <x:c r="F113" s="53" t="n">
        <x:f>I112</x:f>
        <x:v>0</x:v>
      </x:c>
      <x:c r="G113" s="53" t="n">
        <x:f>'Path Daily'!M113</x:f>
        <x:v>6440</x:v>
      </x:c>
      <x:c r="H113" s="53" t="n">
        <x:f>MIN(E113+F113,G113)</x:f>
        <x:v>0</x:v>
      </x:c>
      <x:c r="I113" s="53" t="n">
        <x:f>E113+F113-H113</x:f>
        <x:v>0</x:v>
      </x:c>
      <x:c r="J113" s="45" t="str">
        <x:f>IF(I113=0,"CLEAR","QUEUED")</x:f>
        <x:v>CLEAR</x:v>
      </x:c>
      <x:c r="K113" s="72"/>
      <x:c r="L113" s="72"/>
      <x:c r="M113" s="72"/>
      <x:c r="N113" s="72"/>
    </x:row>
    <x:row r="114">
      <x:c r="C114" s="45" t="str">
        <x:f>'Path Daily'!C114</x:f>
        <x:v>P1</x:v>
      </x:c>
      <x:c r="D114" s="45" t="n">
        <x:f>'Path Daily'!D114</x:f>
        <x:v>16</x:v>
      </x:c>
      <x:c r="E114" s="53" t="n">
        <x:f>IF(D114=0,SUMIFS('Cargo Records'!$T$7:$T$70,'Cargo Records'!$J$7:$J$70,C114),0)</x:f>
        <x:v>0</x:v>
      </x:c>
      <x:c r="F114" s="53" t="n">
        <x:f>I113</x:f>
        <x:v>0</x:v>
      </x:c>
      <x:c r="G114" s="53" t="n">
        <x:f>'Path Daily'!M114</x:f>
        <x:v>6440</x:v>
      </x:c>
      <x:c r="H114" s="53" t="n">
        <x:f>MIN(E114+F114,G114)</x:f>
        <x:v>0</x:v>
      </x:c>
      <x:c r="I114" s="53" t="n">
        <x:f>E114+F114-H114</x:f>
        <x:v>0</x:v>
      </x:c>
      <x:c r="J114" s="45" t="str">
        <x:f>IF(I114=0,"CLEAR","QUEUED")</x:f>
        <x:v>CLEAR</x:v>
      </x:c>
      <x:c r="K114" s="72"/>
      <x:c r="L114" s="72"/>
      <x:c r="M114" s="72"/>
      <x:c r="N114" s="72"/>
    </x:row>
    <x:row r="115">
      <x:c r="C115" s="45" t="str">
        <x:f>'Path Daily'!C115</x:f>
        <x:v>P1</x:v>
      </x:c>
      <x:c r="D115" s="45" t="n">
        <x:f>'Path Daily'!D115</x:f>
        <x:v>17</x:v>
      </x:c>
      <x:c r="E115" s="53" t="n">
        <x:f>IF(D115=0,SUMIFS('Cargo Records'!$T$7:$T$70,'Cargo Records'!$J$7:$J$70,C115),0)</x:f>
        <x:v>0</x:v>
      </x:c>
      <x:c r="F115" s="53" t="n">
        <x:f>I114</x:f>
        <x:v>0</x:v>
      </x:c>
      <x:c r="G115" s="53" t="n">
        <x:f>'Path Daily'!M115</x:f>
        <x:v>9200</x:v>
      </x:c>
      <x:c r="H115" s="53" t="n">
        <x:f>MIN(E115+F115,G115)</x:f>
        <x:v>0</x:v>
      </x:c>
      <x:c r="I115" s="53" t="n">
        <x:f>E115+F115-H115</x:f>
        <x:v>0</x:v>
      </x:c>
      <x:c r="J115" s="45" t="str">
        <x:f>IF(I115=0,"CLEAR","QUEUED")</x:f>
        <x:v>CLEAR</x:v>
      </x:c>
      <x:c r="K115" s="72"/>
      <x:c r="L115" s="72"/>
      <x:c r="M115" s="72"/>
      <x:c r="N115" s="72"/>
    </x:row>
    <x:row r="116">
      <x:c r="C116" s="45" t="str">
        <x:f>'Path Daily'!C116</x:f>
        <x:v>P1</x:v>
      </x:c>
      <x:c r="D116" s="45" t="n">
        <x:f>'Path Daily'!D116</x:f>
        <x:v>18</x:v>
      </x:c>
      <x:c r="E116" s="53" t="n">
        <x:f>IF(D116=0,SUMIFS('Cargo Records'!$T$7:$T$70,'Cargo Records'!$J$7:$J$70,C116),0)</x:f>
        <x:v>0</x:v>
      </x:c>
      <x:c r="F116" s="53" t="n">
        <x:f>I115</x:f>
        <x:v>0</x:v>
      </x:c>
      <x:c r="G116" s="53" t="n">
        <x:f>'Path Daily'!M116</x:f>
        <x:v>9200</x:v>
      </x:c>
      <x:c r="H116" s="53" t="n">
        <x:f>MIN(E116+F116,G116)</x:f>
        <x:v>0</x:v>
      </x:c>
      <x:c r="I116" s="53" t="n">
        <x:f>E116+F116-H116</x:f>
        <x:v>0</x:v>
      </x:c>
      <x:c r="J116" s="45" t="str">
        <x:f>IF(I116=0,"CLEAR","QUEUED")</x:f>
        <x:v>CLEAR</x:v>
      </x:c>
      <x:c r="K116" s="72"/>
      <x:c r="L116" s="72"/>
      <x:c r="M116" s="72"/>
      <x:c r="N116" s="72"/>
    </x:row>
    <x:row r="117">
      <x:c r="C117" s="45" t="str">
        <x:f>'Path Daily'!C117</x:f>
        <x:v>P1</x:v>
      </x:c>
      <x:c r="D117" s="45" t="n">
        <x:f>'Path Daily'!D117</x:f>
        <x:v>19</x:v>
      </x:c>
      <x:c r="E117" s="53" t="n">
        <x:f>IF(D117=0,SUMIFS('Cargo Records'!$T$7:$T$70,'Cargo Records'!$J$7:$J$70,C117),0)</x:f>
        <x:v>0</x:v>
      </x:c>
      <x:c r="F117" s="53" t="n">
        <x:f>I116</x:f>
        <x:v>0</x:v>
      </x:c>
      <x:c r="G117" s="53" t="n">
        <x:f>'Path Daily'!M117</x:f>
        <x:v>9200</x:v>
      </x:c>
      <x:c r="H117" s="53" t="n">
        <x:f>MIN(E117+F117,G117)</x:f>
        <x:v>0</x:v>
      </x:c>
      <x:c r="I117" s="53" t="n">
        <x:f>E117+F117-H117</x:f>
        <x:v>0</x:v>
      </x:c>
      <x:c r="J117" s="45" t="str">
        <x:f>IF(I117=0,"CLEAR","QUEUED")</x:f>
        <x:v>CLEAR</x:v>
      </x:c>
      <x:c r="K117" s="72"/>
      <x:c r="L117" s="72"/>
      <x:c r="M117" s="72"/>
      <x:c r="N117" s="72"/>
    </x:row>
    <x:row r="118">
      <x:c r="C118" s="45" t="str">
        <x:f>'Path Daily'!C118</x:f>
        <x:v>P1</x:v>
      </x:c>
      <x:c r="D118" s="45" t="n">
        <x:f>'Path Daily'!D118</x:f>
        <x:v>20</x:v>
      </x:c>
      <x:c r="E118" s="53" t="n">
        <x:f>IF(D118=0,SUMIFS('Cargo Records'!$T$7:$T$70,'Cargo Records'!$J$7:$J$70,C118),0)</x:f>
        <x:v>0</x:v>
      </x:c>
      <x:c r="F118" s="53" t="n">
        <x:f>I117</x:f>
        <x:v>0</x:v>
      </x:c>
      <x:c r="G118" s="53" t="n">
        <x:f>'Path Daily'!M118</x:f>
        <x:v>9200</x:v>
      </x:c>
      <x:c r="H118" s="53" t="n">
        <x:f>MIN(E118+F118,G118)</x:f>
        <x:v>0</x:v>
      </x:c>
      <x:c r="I118" s="53" t="n">
        <x:f>E118+F118-H118</x:f>
        <x:v>0</x:v>
      </x:c>
      <x:c r="J118" s="45" t="str">
        <x:f>IF(I118=0,"CLEAR","QUEUED")</x:f>
        <x:v>CLEAR</x:v>
      </x:c>
      <x:c r="K118" s="72"/>
      <x:c r="L118" s="72"/>
      <x:c r="M118" s="72"/>
      <x:c r="N118" s="72"/>
    </x:row>
    <x:row r="119">
      <x:c r="C119" s="45" t="str">
        <x:f>'Path Daily'!C119</x:f>
        <x:v>P1</x:v>
      </x:c>
      <x:c r="D119" s="45" t="n">
        <x:f>'Path Daily'!D119</x:f>
        <x:v>21</x:v>
      </x:c>
      <x:c r="E119" s="53" t="n">
        <x:f>IF(D119=0,SUMIFS('Cargo Records'!$T$7:$T$70,'Cargo Records'!$J$7:$J$70,C119),0)</x:f>
        <x:v>0</x:v>
      </x:c>
      <x:c r="F119" s="53" t="n">
        <x:f>I118</x:f>
        <x:v>0</x:v>
      </x:c>
      <x:c r="G119" s="53" t="n">
        <x:f>'Path Daily'!M119</x:f>
        <x:v>6440</x:v>
      </x:c>
      <x:c r="H119" s="53" t="n">
        <x:f>MIN(E119+F119,G119)</x:f>
        <x:v>0</x:v>
      </x:c>
      <x:c r="I119" s="53" t="n">
        <x:f>E119+F119-H119</x:f>
        <x:v>0</x:v>
      </x:c>
      <x:c r="J119" s="45" t="str">
        <x:f>IF(I119=0,"CLEAR","QUEUED")</x:f>
        <x:v>CLEAR</x:v>
      </x:c>
      <x:c r="K119" s="72"/>
      <x:c r="L119" s="72"/>
      <x:c r="M119" s="72"/>
      <x:c r="N119" s="72"/>
    </x:row>
    <x:row r="120">
      <x:c r="C120" s="45" t="str">
        <x:f>'Path Daily'!C120</x:f>
        <x:v>P1</x:v>
      </x:c>
      <x:c r="D120" s="45" t="n">
        <x:f>'Path Daily'!D120</x:f>
        <x:v>22</x:v>
      </x:c>
      <x:c r="E120" s="53" t="n">
        <x:f>IF(D120=0,SUMIFS('Cargo Records'!$T$7:$T$70,'Cargo Records'!$J$7:$J$70,C120),0)</x:f>
        <x:v>0</x:v>
      </x:c>
      <x:c r="F120" s="53" t="n">
        <x:f>I119</x:f>
        <x:v>0</x:v>
      </x:c>
      <x:c r="G120" s="53" t="n">
        <x:f>'Path Daily'!M120</x:f>
        <x:v>9200</x:v>
      </x:c>
      <x:c r="H120" s="53" t="n">
        <x:f>MIN(E120+F120,G120)</x:f>
        <x:v>0</x:v>
      </x:c>
      <x:c r="I120" s="53" t="n">
        <x:f>E120+F120-H120</x:f>
        <x:v>0</x:v>
      </x:c>
      <x:c r="J120" s="45" t="str">
        <x:f>IF(I120=0,"CLEAR","QUEUED")</x:f>
        <x:v>CLEAR</x:v>
      </x:c>
      <x:c r="K120" s="72"/>
      <x:c r="L120" s="72"/>
      <x:c r="M120" s="72"/>
      <x:c r="N120" s="72"/>
    </x:row>
    <x:row r="121">
      <x:c r="C121" s="45" t="str">
        <x:f>'Path Daily'!C121</x:f>
        <x:v>P1</x:v>
      </x:c>
      <x:c r="D121" s="45" t="n">
        <x:f>'Path Daily'!D121</x:f>
        <x:v>23</x:v>
      </x:c>
      <x:c r="E121" s="53" t="n">
        <x:f>IF(D121=0,SUMIFS('Cargo Records'!$T$7:$T$70,'Cargo Records'!$J$7:$J$70,C121),0)</x:f>
        <x:v>0</x:v>
      </x:c>
      <x:c r="F121" s="53" t="n">
        <x:f>I120</x:f>
        <x:v>0</x:v>
      </x:c>
      <x:c r="G121" s="53" t="n">
        <x:f>'Path Daily'!M121</x:f>
        <x:v>9200</x:v>
      </x:c>
      <x:c r="H121" s="53" t="n">
        <x:f>MIN(E121+F121,G121)</x:f>
        <x:v>0</x:v>
      </x:c>
      <x:c r="I121" s="53" t="n">
        <x:f>E121+F121-H121</x:f>
        <x:v>0</x:v>
      </x:c>
      <x:c r="J121" s="45" t="str">
        <x:f>IF(I121=0,"CLEAR","QUEUED")</x:f>
        <x:v>CLEAR</x:v>
      </x:c>
      <x:c r="K121" s="72"/>
      <x:c r="L121" s="72"/>
      <x:c r="M121" s="72"/>
      <x:c r="N121" s="72"/>
    </x:row>
    <x:row r="122">
      <x:c r="C122" s="45" t="str">
        <x:f>'Path Daily'!C122</x:f>
        <x:v>P1</x:v>
      </x:c>
      <x:c r="D122" s="45" t="n">
        <x:f>'Path Daily'!D122</x:f>
        <x:v>24</x:v>
      </x:c>
      <x:c r="E122" s="53" t="n">
        <x:f>IF(D122=0,SUMIFS('Cargo Records'!$T$7:$T$70,'Cargo Records'!$J$7:$J$70,C122),0)</x:f>
        <x:v>0</x:v>
      </x:c>
      <x:c r="F122" s="53" t="n">
        <x:f>I121</x:f>
        <x:v>0</x:v>
      </x:c>
      <x:c r="G122" s="53" t="n">
        <x:f>'Path Daily'!M122</x:f>
        <x:v>9200</x:v>
      </x:c>
      <x:c r="H122" s="53" t="n">
        <x:f>MIN(E122+F122,G122)</x:f>
        <x:v>0</x:v>
      </x:c>
      <x:c r="I122" s="53" t="n">
        <x:f>E122+F122-H122</x:f>
        <x:v>0</x:v>
      </x:c>
      <x:c r="J122" s="45" t="str">
        <x:f>IF(I122=0,"CLEAR","QUEUED")</x:f>
        <x:v>CLEAR</x:v>
      </x:c>
      <x:c r="K122" s="72"/>
      <x:c r="L122" s="72"/>
      <x:c r="M122" s="72"/>
      <x:c r="N122" s="72"/>
    </x:row>
    <x:row r="123">
      <x:c r="C123" s="45" t="str">
        <x:f>'Path Daily'!C123</x:f>
        <x:v>P1</x:v>
      </x:c>
      <x:c r="D123" s="45" t="n">
        <x:f>'Path Daily'!D123</x:f>
        <x:v>25</x:v>
      </x:c>
      <x:c r="E123" s="53" t="n">
        <x:f>IF(D123=0,SUMIFS('Cargo Records'!$T$7:$T$70,'Cargo Records'!$J$7:$J$70,C123),0)</x:f>
        <x:v>0</x:v>
      </x:c>
      <x:c r="F123" s="53" t="n">
        <x:f>I122</x:f>
        <x:v>0</x:v>
      </x:c>
      <x:c r="G123" s="53" t="n">
        <x:f>'Path Daily'!M123</x:f>
        <x:v>9200</x:v>
      </x:c>
      <x:c r="H123" s="53" t="n">
        <x:f>MIN(E123+F123,G123)</x:f>
        <x:v>0</x:v>
      </x:c>
      <x:c r="I123" s="53" t="n">
        <x:f>E123+F123-H123</x:f>
        <x:v>0</x:v>
      </x:c>
      <x:c r="J123" s="45" t="str">
        <x:f>IF(I123=0,"CLEAR","QUEUED")</x:f>
        <x:v>CLEAR</x:v>
      </x:c>
      <x:c r="K123" s="72"/>
      <x:c r="L123" s="72"/>
      <x:c r="M123" s="72"/>
      <x:c r="N123" s="72"/>
    </x:row>
    <x:row r="124">
      <x:c r="C124" s="45" t="str">
        <x:f>'Path Daily'!C124</x:f>
        <x:v>P1</x:v>
      </x:c>
      <x:c r="D124" s="45" t="n">
        <x:f>'Path Daily'!D124</x:f>
        <x:v>26</x:v>
      </x:c>
      <x:c r="E124" s="53" t="n">
        <x:f>IF(D124=0,SUMIFS('Cargo Records'!$T$7:$T$70,'Cargo Records'!$J$7:$J$70,C124),0)</x:f>
        <x:v>0</x:v>
      </x:c>
      <x:c r="F124" s="53" t="n">
        <x:f>I123</x:f>
        <x:v>0</x:v>
      </x:c>
      <x:c r="G124" s="53" t="n">
        <x:f>'Path Daily'!M124</x:f>
        <x:v>9200</x:v>
      </x:c>
      <x:c r="H124" s="53" t="n">
        <x:f>MIN(E124+F124,G124)</x:f>
        <x:v>0</x:v>
      </x:c>
      <x:c r="I124" s="53" t="n">
        <x:f>E124+F124-H124</x:f>
        <x:v>0</x:v>
      </x:c>
      <x:c r="J124" s="45" t="str">
        <x:f>IF(I124=0,"CLEAR","QUEUED")</x:f>
        <x:v>CLEAR</x:v>
      </x:c>
      <x:c r="K124" s="72"/>
      <x:c r="L124" s="72"/>
      <x:c r="M124" s="72"/>
      <x:c r="N124" s="72"/>
    </x:row>
    <x:row r="125">
      <x:c r="C125" s="45" t="str">
        <x:f>'Path Daily'!C125</x:f>
        <x:v>P1</x:v>
      </x:c>
      <x:c r="D125" s="45" t="n">
        <x:f>'Path Daily'!D125</x:f>
        <x:v>27</x:v>
      </x:c>
      <x:c r="E125" s="53" t="n">
        <x:f>IF(D125=0,SUMIFS('Cargo Records'!$T$7:$T$70,'Cargo Records'!$J$7:$J$70,C125),0)</x:f>
        <x:v>0</x:v>
      </x:c>
      <x:c r="F125" s="53" t="n">
        <x:f>I124</x:f>
        <x:v>0</x:v>
      </x:c>
      <x:c r="G125" s="53" t="n">
        <x:f>'Path Daily'!M125</x:f>
        <x:v>9200</x:v>
      </x:c>
      <x:c r="H125" s="53" t="n">
        <x:f>MIN(E125+F125,G125)</x:f>
        <x:v>0</x:v>
      </x:c>
      <x:c r="I125" s="53" t="n">
        <x:f>E125+F125-H125</x:f>
        <x:v>0</x:v>
      </x:c>
      <x:c r="J125" s="45" t="str">
        <x:f>IF(I125=0,"CLEAR","QUEUED")</x:f>
        <x:v>CLEAR</x:v>
      </x:c>
      <x:c r="K125" s="72"/>
      <x:c r="L125" s="72"/>
      <x:c r="M125" s="72"/>
      <x:c r="N125" s="72"/>
    </x:row>
    <x:row r="126">
      <x:c r="C126" s="45" t="str">
        <x:f>'Path Daily'!C126</x:f>
        <x:v>P1</x:v>
      </x:c>
      <x:c r="D126" s="45" t="n">
        <x:f>'Path Daily'!D126</x:f>
        <x:v>28</x:v>
      </x:c>
      <x:c r="E126" s="53" t="n">
        <x:f>IF(D126=0,SUMIFS('Cargo Records'!$T$7:$T$70,'Cargo Records'!$J$7:$J$70,C126),0)</x:f>
        <x:v>0</x:v>
      </x:c>
      <x:c r="F126" s="53" t="n">
        <x:f>I125</x:f>
        <x:v>0</x:v>
      </x:c>
      <x:c r="G126" s="53" t="n">
        <x:f>'Path Daily'!M126</x:f>
        <x:v>9200</x:v>
      </x:c>
      <x:c r="H126" s="53" t="n">
        <x:f>MIN(E126+F126,G126)</x:f>
        <x:v>0</x:v>
      </x:c>
      <x:c r="I126" s="53" t="n">
        <x:f>E126+F126-H126</x:f>
        <x:v>0</x:v>
      </x:c>
      <x:c r="J126" s="45" t="str">
        <x:f>IF(I126=0,"CLEAR","QUEUED")</x:f>
        <x:v>CLEAR</x:v>
      </x:c>
      <x:c r="K126" s="72"/>
      <x:c r="L126" s="72"/>
      <x:c r="M126" s="72"/>
      <x:c r="N126" s="72"/>
    </x:row>
    <x:row r="127">
      <x:c r="C127" s="45" t="str">
        <x:f>'Path Daily'!C127</x:f>
        <x:v>P1</x:v>
      </x:c>
      <x:c r="D127" s="45" t="n">
        <x:f>'Path Daily'!D127</x:f>
        <x:v>29</x:v>
      </x:c>
      <x:c r="E127" s="53" t="n">
        <x:f>IF(D127=0,SUMIFS('Cargo Records'!$T$7:$T$70,'Cargo Records'!$J$7:$J$70,C127),0)</x:f>
        <x:v>0</x:v>
      </x:c>
      <x:c r="F127" s="53" t="n">
        <x:f>I126</x:f>
        <x:v>0</x:v>
      </x:c>
      <x:c r="G127" s="53" t="n">
        <x:f>'Path Daily'!M127</x:f>
        <x:v>9200</x:v>
      </x:c>
      <x:c r="H127" s="53" t="n">
        <x:f>MIN(E127+F127,G127)</x:f>
        <x:v>0</x:v>
      </x:c>
      <x:c r="I127" s="53" t="n">
        <x:f>E127+F127-H127</x:f>
        <x:v>0</x:v>
      </x:c>
      <x:c r="J127" s="45" t="str">
        <x:f>IF(I127=0,"CLEAR","QUEUED")</x:f>
        <x:v>CLEAR</x:v>
      </x:c>
      <x:c r="K127" s="72"/>
      <x:c r="L127" s="72"/>
      <x:c r="M127" s="72"/>
      <x:c r="N127" s="72"/>
    </x:row>
    <x:row r="128">
      <x:c r="C128" s="45" t="str">
        <x:f>'Path Daily'!C128</x:f>
        <x:v>P1</x:v>
      </x:c>
      <x:c r="D128" s="45" t="n">
        <x:f>'Path Daily'!D128</x:f>
        <x:v>30</x:v>
      </x:c>
      <x:c r="E128" s="53" t="n">
        <x:f>IF(D128=0,SUMIFS('Cargo Records'!$T$7:$T$70,'Cargo Records'!$J$7:$J$70,C128),0)</x:f>
        <x:v>0</x:v>
      </x:c>
      <x:c r="F128" s="53" t="n">
        <x:f>I127</x:f>
        <x:v>0</x:v>
      </x:c>
      <x:c r="G128" s="53" t="n">
        <x:f>'Path Daily'!M128</x:f>
        <x:v>9200</x:v>
      </x:c>
      <x:c r="H128" s="53" t="n">
        <x:f>MIN(E128+F128,G128)</x:f>
        <x:v>0</x:v>
      </x:c>
      <x:c r="I128" s="53" t="n">
        <x:f>E128+F128-H128</x:f>
        <x:v>0</x:v>
      </x:c>
      <x:c r="J128" s="45" t="str">
        <x:f>IF(I128=0,"CLEAR","QUEUED")</x:f>
        <x:v>CLEAR</x:v>
      </x:c>
      <x:c r="K128" s="72"/>
      <x:c r="L128" s="72"/>
      <x:c r="M128" s="72"/>
      <x:c r="N128" s="72"/>
    </x:row>
    <x:row r="129">
      <x:c r="C129" s="45" t="str">
        <x:f>'Path Daily'!C129</x:f>
        <x:v>P1</x:v>
      </x:c>
      <x:c r="D129" s="45" t="n">
        <x:f>'Path Daily'!D129</x:f>
        <x:v>31</x:v>
      </x:c>
      <x:c r="E129" s="53" t="n">
        <x:f>IF(D129=0,SUMIFS('Cargo Records'!$T$7:$T$70,'Cargo Records'!$J$7:$J$70,C129),0)</x:f>
        <x:v>0</x:v>
      </x:c>
      <x:c r="F129" s="53" t="n">
        <x:f>I128</x:f>
        <x:v>0</x:v>
      </x:c>
      <x:c r="G129" s="53" t="n">
        <x:f>'Path Daily'!M129</x:f>
        <x:v>9200</x:v>
      </x:c>
      <x:c r="H129" s="53" t="n">
        <x:f>MIN(E129+F129,G129)</x:f>
        <x:v>0</x:v>
      </x:c>
      <x:c r="I129" s="53" t="n">
        <x:f>E129+F129-H129</x:f>
        <x:v>0</x:v>
      </x:c>
      <x:c r="J129" s="45" t="str">
        <x:f>IF(I129=0,"CLEAR","QUEUED")</x:f>
        <x:v>CLEAR</x:v>
      </x:c>
      <x:c r="K129" s="72"/>
      <x:c r="L129" s="72"/>
      <x:c r="M129" s="72"/>
      <x:c r="N129" s="72"/>
    </x:row>
    <x:row r="130">
      <x:c r="C130" s="45" t="str">
        <x:f>'Path Daily'!C130</x:f>
        <x:v>P1</x:v>
      </x:c>
      <x:c r="D130" s="45" t="n">
        <x:f>'Path Daily'!D130</x:f>
        <x:v>32</x:v>
      </x:c>
      <x:c r="E130" s="53" t="n">
        <x:f>IF(D130=0,SUMIFS('Cargo Records'!$T$7:$T$70,'Cargo Records'!$J$7:$J$70,C130),0)</x:f>
        <x:v>0</x:v>
      </x:c>
      <x:c r="F130" s="53" t="n">
        <x:f>I129</x:f>
        <x:v>0</x:v>
      </x:c>
      <x:c r="G130" s="53" t="n">
        <x:f>'Path Daily'!M130</x:f>
        <x:v>9200</x:v>
      </x:c>
      <x:c r="H130" s="53" t="n">
        <x:f>MIN(E130+F130,G130)</x:f>
        <x:v>0</x:v>
      </x:c>
      <x:c r="I130" s="53" t="n">
        <x:f>E130+F130-H130</x:f>
        <x:v>0</x:v>
      </x:c>
      <x:c r="J130" s="45" t="str">
        <x:f>IF(I130=0,"CLEAR","QUEUED")</x:f>
        <x:v>CLEAR</x:v>
      </x:c>
      <x:c r="K130" s="72"/>
      <x:c r="L130" s="72"/>
      <x:c r="M130" s="72"/>
      <x:c r="N130" s="72"/>
    </x:row>
    <x:row r="131">
      <x:c r="C131" s="45" t="str">
        <x:f>'Path Daily'!C131</x:f>
        <x:v>P1</x:v>
      </x:c>
      <x:c r="D131" s="45" t="n">
        <x:f>'Path Daily'!D131</x:f>
        <x:v>33</x:v>
      </x:c>
      <x:c r="E131" s="53" t="n">
        <x:f>IF(D131=0,SUMIFS('Cargo Records'!$T$7:$T$70,'Cargo Records'!$J$7:$J$70,C131),0)</x:f>
        <x:v>0</x:v>
      </x:c>
      <x:c r="F131" s="53" t="n">
        <x:f>I130</x:f>
        <x:v>0</x:v>
      </x:c>
      <x:c r="G131" s="53" t="n">
        <x:f>'Path Daily'!M131</x:f>
        <x:v>9200</x:v>
      </x:c>
      <x:c r="H131" s="53" t="n">
        <x:f>MIN(E131+F131,G131)</x:f>
        <x:v>0</x:v>
      </x:c>
      <x:c r="I131" s="53" t="n">
        <x:f>E131+F131-H131</x:f>
        <x:v>0</x:v>
      </x:c>
      <x:c r="J131" s="45" t="str">
        <x:f>IF(I131=0,"CLEAR","QUEUED")</x:f>
        <x:v>CLEAR</x:v>
      </x:c>
      <x:c r="K131" s="72"/>
      <x:c r="L131" s="72"/>
      <x:c r="M131" s="72"/>
      <x:c r="N131" s="72"/>
    </x:row>
    <x:row r="132">
      <x:c r="C132" s="45" t="str">
        <x:f>'Path Daily'!C132</x:f>
        <x:v>P1</x:v>
      </x:c>
      <x:c r="D132" s="45" t="n">
        <x:f>'Path Daily'!D132</x:f>
        <x:v>34</x:v>
      </x:c>
      <x:c r="E132" s="53" t="n">
        <x:f>IF(D132=0,SUMIFS('Cargo Records'!$T$7:$T$70,'Cargo Records'!$J$7:$J$70,C132),0)</x:f>
        <x:v>0</x:v>
      </x:c>
      <x:c r="F132" s="53" t="n">
        <x:f>I131</x:f>
        <x:v>0</x:v>
      </x:c>
      <x:c r="G132" s="53" t="n">
        <x:f>'Path Daily'!M132</x:f>
        <x:v>6440</x:v>
      </x:c>
      <x:c r="H132" s="53" t="n">
        <x:f>MIN(E132+F132,G132)</x:f>
        <x:v>0</x:v>
      </x:c>
      <x:c r="I132" s="53" t="n">
        <x:f>E132+F132-H132</x:f>
        <x:v>0</x:v>
      </x:c>
      <x:c r="J132" s="45" t="str">
        <x:f>IF(I132=0,"CLEAR","QUEUED")</x:f>
        <x:v>CLEAR</x:v>
      </x:c>
      <x:c r="K132" s="72"/>
      <x:c r="L132" s="72"/>
      <x:c r="M132" s="72"/>
      <x:c r="N132" s="72"/>
    </x:row>
    <x:row r="133">
      <x:c r="C133" s="45" t="str">
        <x:f>'Path Daily'!C133</x:f>
        <x:v>P1</x:v>
      </x:c>
      <x:c r="D133" s="45" t="n">
        <x:f>'Path Daily'!D133</x:f>
        <x:v>35</x:v>
      </x:c>
      <x:c r="E133" s="53" t="n">
        <x:f>IF(D133=0,SUMIFS('Cargo Records'!$T$7:$T$70,'Cargo Records'!$J$7:$J$70,C133),0)</x:f>
        <x:v>0</x:v>
      </x:c>
      <x:c r="F133" s="53" t="n">
        <x:f>I132</x:f>
        <x:v>0</x:v>
      </x:c>
      <x:c r="G133" s="53" t="n">
        <x:f>'Path Daily'!M133</x:f>
        <x:v>6440</x:v>
      </x:c>
      <x:c r="H133" s="53" t="n">
        <x:f>MIN(E133+F133,G133)</x:f>
        <x:v>0</x:v>
      </x:c>
      <x:c r="I133" s="53" t="n">
        <x:f>E133+F133-H133</x:f>
        <x:v>0</x:v>
      </x:c>
      <x:c r="J133" s="45" t="str">
        <x:f>IF(I133=0,"CLEAR","QUEUED")</x:f>
        <x:v>CLEAR</x:v>
      </x:c>
      <x:c r="K133" s="72"/>
      <x:c r="L133" s="72"/>
      <x:c r="M133" s="72"/>
      <x:c r="N133" s="72"/>
    </x:row>
    <x:row r="134">
      <x:c r="C134" s="45" t="str">
        <x:f>'Path Daily'!C134</x:f>
        <x:v>P1</x:v>
      </x:c>
      <x:c r="D134" s="45" t="n">
        <x:f>'Path Daily'!D134</x:f>
        <x:v>36</x:v>
      </x:c>
      <x:c r="E134" s="53" t="n">
        <x:f>IF(D134=0,SUMIFS('Cargo Records'!$T$7:$T$70,'Cargo Records'!$J$7:$J$70,C134),0)</x:f>
        <x:v>0</x:v>
      </x:c>
      <x:c r="F134" s="53" t="n">
        <x:f>I133</x:f>
        <x:v>0</x:v>
      </x:c>
      <x:c r="G134" s="53" t="n">
        <x:f>'Path Daily'!M134</x:f>
        <x:v>9200</x:v>
      </x:c>
      <x:c r="H134" s="53" t="n">
        <x:f>MIN(E134+F134,G134)</x:f>
        <x:v>0</x:v>
      </x:c>
      <x:c r="I134" s="53" t="n">
        <x:f>E134+F134-H134</x:f>
        <x:v>0</x:v>
      </x:c>
      <x:c r="J134" s="45" t="str">
        <x:f>IF(I134=0,"CLEAR","QUEUED")</x:f>
        <x:v>CLEAR</x:v>
      </x:c>
      <x:c r="K134" s="72"/>
      <x:c r="L134" s="72"/>
      <x:c r="M134" s="72"/>
      <x:c r="N134" s="72"/>
    </x:row>
    <x:row r="135">
      <x:c r="C135" s="45" t="str">
        <x:f>'Path Daily'!C135</x:f>
        <x:v>P1</x:v>
      </x:c>
      <x:c r="D135" s="45" t="n">
        <x:f>'Path Daily'!D135</x:f>
        <x:v>37</x:v>
      </x:c>
      <x:c r="E135" s="53" t="n">
        <x:f>IF(D135=0,SUMIFS('Cargo Records'!$T$7:$T$70,'Cargo Records'!$J$7:$J$70,C135),0)</x:f>
        <x:v>0</x:v>
      </x:c>
      <x:c r="F135" s="53" t="n">
        <x:f>I134</x:f>
        <x:v>0</x:v>
      </x:c>
      <x:c r="G135" s="53" t="n">
        <x:f>'Path Daily'!M135</x:f>
        <x:v>9200</x:v>
      </x:c>
      <x:c r="H135" s="53" t="n">
        <x:f>MIN(E135+F135,G135)</x:f>
        <x:v>0</x:v>
      </x:c>
      <x:c r="I135" s="53" t="n">
        <x:f>E135+F135-H135</x:f>
        <x:v>0</x:v>
      </x:c>
      <x:c r="J135" s="45" t="str">
        <x:f>IF(I135=0,"CLEAR","QUEUED")</x:f>
        <x:v>CLEAR</x:v>
      </x:c>
      <x:c r="K135" s="72"/>
      <x:c r="L135" s="72"/>
      <x:c r="M135" s="72"/>
      <x:c r="N135" s="72"/>
    </x:row>
    <x:row r="136">
      <x:c r="C136" s="45" t="str">
        <x:f>'Path Daily'!C136</x:f>
        <x:v>P1</x:v>
      </x:c>
      <x:c r="D136" s="45" t="n">
        <x:f>'Path Daily'!D136</x:f>
        <x:v>38</x:v>
      </x:c>
      <x:c r="E136" s="53" t="n">
        <x:f>IF(D136=0,SUMIFS('Cargo Records'!$T$7:$T$70,'Cargo Records'!$J$7:$J$70,C136),0)</x:f>
        <x:v>0</x:v>
      </x:c>
      <x:c r="F136" s="53" t="n">
        <x:f>I135</x:f>
        <x:v>0</x:v>
      </x:c>
      <x:c r="G136" s="53" t="n">
        <x:f>'Path Daily'!M136</x:f>
        <x:v>9200</x:v>
      </x:c>
      <x:c r="H136" s="53" t="n">
        <x:f>MIN(E136+F136,G136)</x:f>
        <x:v>0</x:v>
      </x:c>
      <x:c r="I136" s="53" t="n">
        <x:f>E136+F136-H136</x:f>
        <x:v>0</x:v>
      </x:c>
      <x:c r="J136" s="45" t="str">
        <x:f>IF(I136=0,"CLEAR","QUEUED")</x:f>
        <x:v>CLEAR</x:v>
      </x:c>
      <x:c r="K136" s="72"/>
      <x:c r="L136" s="72"/>
      <x:c r="M136" s="72"/>
      <x:c r="N136" s="72"/>
    </x:row>
    <x:row r="137">
      <x:c r="C137" s="45" t="str">
        <x:f>'Path Daily'!C137</x:f>
        <x:v>P1</x:v>
      </x:c>
      <x:c r="D137" s="45" t="n">
        <x:f>'Path Daily'!D137</x:f>
        <x:v>39</x:v>
      </x:c>
      <x:c r="E137" s="53" t="n">
        <x:f>IF(D137=0,SUMIFS('Cargo Records'!$T$7:$T$70,'Cargo Records'!$J$7:$J$70,C137),0)</x:f>
        <x:v>0</x:v>
      </x:c>
      <x:c r="F137" s="53" t="n">
        <x:f>I136</x:f>
        <x:v>0</x:v>
      </x:c>
      <x:c r="G137" s="53" t="n">
        <x:f>'Path Daily'!M137</x:f>
        <x:v>9200</x:v>
      </x:c>
      <x:c r="H137" s="53" t="n">
        <x:f>MIN(E137+F137,G137)</x:f>
        <x:v>0</x:v>
      </x:c>
      <x:c r="I137" s="53" t="n">
        <x:f>E137+F137-H137</x:f>
        <x:v>0</x:v>
      </x:c>
      <x:c r="J137" s="45" t="str">
        <x:f>IF(I137=0,"CLEAR","QUEUED")</x:f>
        <x:v>CLEAR</x:v>
      </x:c>
      <x:c r="K137" s="72"/>
      <x:c r="L137" s="72"/>
      <x:c r="M137" s="72"/>
      <x:c r="N137" s="72"/>
    </x:row>
    <x:row r="138">
      <x:c r="C138" s="45" t="str">
        <x:f>'Path Daily'!C138</x:f>
        <x:v>P1</x:v>
      </x:c>
      <x:c r="D138" s="45" t="n">
        <x:f>'Path Daily'!D138</x:f>
        <x:v>40</x:v>
      </x:c>
      <x:c r="E138" s="53" t="n">
        <x:f>IF(D138=0,SUMIFS('Cargo Records'!$T$7:$T$70,'Cargo Records'!$J$7:$J$70,C138),0)</x:f>
        <x:v>0</x:v>
      </x:c>
      <x:c r="F138" s="53" t="n">
        <x:f>I137</x:f>
        <x:v>0</x:v>
      </x:c>
      <x:c r="G138" s="53" t="n">
        <x:f>'Path Daily'!M138</x:f>
        <x:v>9200</x:v>
      </x:c>
      <x:c r="H138" s="53" t="n">
        <x:f>MIN(E138+F138,G138)</x:f>
        <x:v>0</x:v>
      </x:c>
      <x:c r="I138" s="53" t="n">
        <x:f>E138+F138-H138</x:f>
        <x:v>0</x:v>
      </x:c>
      <x:c r="J138" s="45" t="str">
        <x:f>IF(I138=0,"CLEAR","QUEUED")</x:f>
        <x:v>CLEAR</x:v>
      </x:c>
      <x:c r="K138" s="72"/>
      <x:c r="L138" s="72"/>
      <x:c r="M138" s="72"/>
      <x:c r="N138" s="72"/>
    </x:row>
    <x:row r="139">
      <x:c r="C139" s="45" t="str">
        <x:f>'Path Daily'!C139</x:f>
        <x:v>P1</x:v>
      </x:c>
      <x:c r="D139" s="45" t="n">
        <x:f>'Path Daily'!D139</x:f>
        <x:v>41</x:v>
      </x:c>
      <x:c r="E139" s="53" t="n">
        <x:f>IF(D139=0,SUMIFS('Cargo Records'!$T$7:$T$70,'Cargo Records'!$J$7:$J$70,C139),0)</x:f>
        <x:v>0</x:v>
      </x:c>
      <x:c r="F139" s="53" t="n">
        <x:f>I138</x:f>
        <x:v>0</x:v>
      </x:c>
      <x:c r="G139" s="53" t="n">
        <x:f>'Path Daily'!M139</x:f>
        <x:v>9200</x:v>
      </x:c>
      <x:c r="H139" s="53" t="n">
        <x:f>MIN(E139+F139,G139)</x:f>
        <x:v>0</x:v>
      </x:c>
      <x:c r="I139" s="53" t="n">
        <x:f>E139+F139-H139</x:f>
        <x:v>0</x:v>
      </x:c>
      <x:c r="J139" s="45" t="str">
        <x:f>IF(I139=0,"CLEAR","QUEUED")</x:f>
        <x:v>CLEAR</x:v>
      </x:c>
      <x:c r="K139" s="72"/>
      <x:c r="L139" s="72"/>
      <x:c r="M139" s="72"/>
      <x:c r="N139" s="72"/>
    </x:row>
    <x:row r="140">
      <x:c r="C140" s="45" t="str">
        <x:f>'Path Daily'!C140</x:f>
        <x:v>P1</x:v>
      </x:c>
      <x:c r="D140" s="45" t="n">
        <x:f>'Path Daily'!D140</x:f>
        <x:v>42</x:v>
      </x:c>
      <x:c r="E140" s="53" t="n">
        <x:f>IF(D140=0,SUMIFS('Cargo Records'!$T$7:$T$70,'Cargo Records'!$J$7:$J$70,C140),0)</x:f>
        <x:v>0</x:v>
      </x:c>
      <x:c r="F140" s="53" t="n">
        <x:f>I139</x:f>
        <x:v>0</x:v>
      </x:c>
      <x:c r="G140" s="53" t="n">
        <x:f>'Path Daily'!M140</x:f>
        <x:v>9200</x:v>
      </x:c>
      <x:c r="H140" s="53" t="n">
        <x:f>MIN(E140+F140,G140)</x:f>
        <x:v>0</x:v>
      </x:c>
      <x:c r="I140" s="53" t="n">
        <x:f>E140+F140-H140</x:f>
        <x:v>0</x:v>
      </x:c>
      <x:c r="J140" s="45" t="str">
        <x:f>IF(I140=0,"CLEAR","QUEUED")</x:f>
        <x:v>CLEAR</x:v>
      </x:c>
      <x:c r="K140" s="72"/>
      <x:c r="L140" s="72"/>
      <x:c r="M140" s="72"/>
      <x:c r="N140" s="72"/>
    </x:row>
    <x:row r="141">
      <x:c r="C141" s="45" t="str">
        <x:f>'Path Daily'!C141</x:f>
        <x:v>P1</x:v>
      </x:c>
      <x:c r="D141" s="45" t="n">
        <x:f>'Path Daily'!D141</x:f>
        <x:v>43</x:v>
      </x:c>
      <x:c r="E141" s="53" t="n">
        <x:f>IF(D141=0,SUMIFS('Cargo Records'!$T$7:$T$70,'Cargo Records'!$J$7:$J$70,C141),0)</x:f>
        <x:v>0</x:v>
      </x:c>
      <x:c r="F141" s="53" t="n">
        <x:f>I140</x:f>
        <x:v>0</x:v>
      </x:c>
      <x:c r="G141" s="53" t="n">
        <x:f>'Path Daily'!M141</x:f>
        <x:v>9200</x:v>
      </x:c>
      <x:c r="H141" s="53" t="n">
        <x:f>MIN(E141+F141,G141)</x:f>
        <x:v>0</x:v>
      </x:c>
      <x:c r="I141" s="53" t="n">
        <x:f>E141+F141-H141</x:f>
        <x:v>0</x:v>
      </x:c>
      <x:c r="J141" s="45" t="str">
        <x:f>IF(I141=0,"CLEAR","QUEUED")</x:f>
        <x:v>CLEAR</x:v>
      </x:c>
      <x:c r="K141" s="72"/>
      <x:c r="L141" s="72"/>
      <x:c r="M141" s="72"/>
      <x:c r="N141" s="72"/>
    </x:row>
    <x:row r="142">
      <x:c r="C142" s="45" t="str">
        <x:f>'Path Daily'!C142</x:f>
        <x:v>P1</x:v>
      </x:c>
      <x:c r="D142" s="45" t="n">
        <x:f>'Path Daily'!D142</x:f>
        <x:v>44</x:v>
      </x:c>
      <x:c r="E142" s="53" t="n">
        <x:f>IF(D142=0,SUMIFS('Cargo Records'!$T$7:$T$70,'Cargo Records'!$J$7:$J$70,C142),0)</x:f>
        <x:v>0</x:v>
      </x:c>
      <x:c r="F142" s="53" t="n">
        <x:f>I141</x:f>
        <x:v>0</x:v>
      </x:c>
      <x:c r="G142" s="53" t="n">
        <x:f>'Path Daily'!M142</x:f>
        <x:v>9200</x:v>
      </x:c>
      <x:c r="H142" s="53" t="n">
        <x:f>MIN(E142+F142,G142)</x:f>
        <x:v>0</x:v>
      </x:c>
      <x:c r="I142" s="53" t="n">
        <x:f>E142+F142-H142</x:f>
        <x:v>0</x:v>
      </x:c>
      <x:c r="J142" s="45" t="str">
        <x:f>IF(I142=0,"CLEAR","QUEUED")</x:f>
        <x:v>CLEAR</x:v>
      </x:c>
      <x:c r="K142" s="72"/>
      <x:c r="L142" s="72"/>
      <x:c r="M142" s="72"/>
      <x:c r="N142" s="72"/>
    </x:row>
    <x:row r="143">
      <x:c r="C143" s="45" t="str">
        <x:f>'Path Daily'!C143</x:f>
        <x:v>P1</x:v>
      </x:c>
      <x:c r="D143" s="45" t="n">
        <x:f>'Path Daily'!D143</x:f>
        <x:v>45</x:v>
      </x:c>
      <x:c r="E143" s="53" t="n">
        <x:f>IF(D143=0,SUMIFS('Cargo Records'!$T$7:$T$70,'Cargo Records'!$J$7:$J$70,C143),0)</x:f>
        <x:v>0</x:v>
      </x:c>
      <x:c r="F143" s="53" t="n">
        <x:f>I142</x:f>
        <x:v>0</x:v>
      </x:c>
      <x:c r="G143" s="53" t="n">
        <x:f>'Path Daily'!M143</x:f>
        <x:v>9200</x:v>
      </x:c>
      <x:c r="H143" s="53" t="n">
        <x:f>MIN(E143+F143,G143)</x:f>
        <x:v>0</x:v>
      </x:c>
      <x:c r="I143" s="53" t="n">
        <x:f>E143+F143-H143</x:f>
        <x:v>0</x:v>
      </x:c>
      <x:c r="J143" s="45" t="str">
        <x:f>IF(I143=0,"CLEAR","QUEUED")</x:f>
        <x:v>CLEAR</x:v>
      </x:c>
      <x:c r="K143" s="72"/>
      <x:c r="L143" s="72"/>
      <x:c r="M143" s="72"/>
      <x:c r="N143" s="72"/>
    </x:row>
    <x:row r="144">
      <x:c r="C144" s="45" t="str">
        <x:f>'Path Daily'!C144</x:f>
        <x:v>P1</x:v>
      </x:c>
      <x:c r="D144" s="45" t="n">
        <x:f>'Path Daily'!D144</x:f>
        <x:v>46</x:v>
      </x:c>
      <x:c r="E144" s="53" t="n">
        <x:f>IF(D144=0,SUMIFS('Cargo Records'!$T$7:$T$70,'Cargo Records'!$J$7:$J$70,C144),0)</x:f>
        <x:v>0</x:v>
      </x:c>
      <x:c r="F144" s="53" t="n">
        <x:f>I143</x:f>
        <x:v>0</x:v>
      </x:c>
      <x:c r="G144" s="53" t="n">
        <x:f>'Path Daily'!M144</x:f>
        <x:v>3864</x:v>
      </x:c>
      <x:c r="H144" s="53" t="n">
        <x:f>MIN(E144+F144,G144)</x:f>
        <x:v>0</x:v>
      </x:c>
      <x:c r="I144" s="53" t="n">
        <x:f>E144+F144-H144</x:f>
        <x:v>0</x:v>
      </x:c>
      <x:c r="J144" s="45" t="str">
        <x:f>IF(I144=0,"CLEAR","QUEUED")</x:f>
        <x:v>CLEAR</x:v>
      </x:c>
      <x:c r="K144" s="72"/>
      <x:c r="L144" s="72"/>
      <x:c r="M144" s="72"/>
      <x:c r="N144" s="72"/>
    </x:row>
    <x:row r="145">
      <x:c r="C145" s="45" t="str">
        <x:f>'Path Daily'!C145</x:f>
        <x:v>P1</x:v>
      </x:c>
      <x:c r="D145" s="45" t="n">
        <x:f>'Path Daily'!D145</x:f>
        <x:v>47</x:v>
      </x:c>
      <x:c r="E145" s="53" t="n">
        <x:f>IF(D145=0,SUMIFS('Cargo Records'!$T$7:$T$70,'Cargo Records'!$J$7:$J$70,C145),0)</x:f>
        <x:v>0</x:v>
      </x:c>
      <x:c r="F145" s="53" t="n">
        <x:f>I144</x:f>
        <x:v>0</x:v>
      </x:c>
      <x:c r="G145" s="53" t="n">
        <x:f>'Path Daily'!M145</x:f>
        <x:v>5520</x:v>
      </x:c>
      <x:c r="H145" s="53" t="n">
        <x:f>MIN(E145+F145,G145)</x:f>
        <x:v>0</x:v>
      </x:c>
      <x:c r="I145" s="53" t="n">
        <x:f>E145+F145-H145</x:f>
        <x:v>0</x:v>
      </x:c>
      <x:c r="J145" s="45" t="str">
        <x:f>IF(I145=0,"CLEAR","QUEUED")</x:f>
        <x:v>CLEAR</x:v>
      </x:c>
      <x:c r="K145" s="72"/>
      <x:c r="L145" s="72"/>
      <x:c r="M145" s="72"/>
      <x:c r="N145" s="72"/>
    </x:row>
    <x:row r="146">
      <x:c r="C146" s="45" t="str">
        <x:f>'Path Daily'!C146</x:f>
        <x:v>P1</x:v>
      </x:c>
      <x:c r="D146" s="45" t="n">
        <x:f>'Path Daily'!D146</x:f>
        <x:v>48</x:v>
      </x:c>
      <x:c r="E146" s="53" t="n">
        <x:f>IF(D146=0,SUMIFS('Cargo Records'!$T$7:$T$70,'Cargo Records'!$J$7:$J$70,C146),0)</x:f>
        <x:v>0</x:v>
      </x:c>
      <x:c r="F146" s="53" t="n">
        <x:f>I145</x:f>
        <x:v>0</x:v>
      </x:c>
      <x:c r="G146" s="53" t="n">
        <x:f>'Path Daily'!M146</x:f>
        <x:v>5520</x:v>
      </x:c>
      <x:c r="H146" s="53" t="n">
        <x:f>MIN(E146+F146,G146)</x:f>
        <x:v>0</x:v>
      </x:c>
      <x:c r="I146" s="53" t="n">
        <x:f>E146+F146-H146</x:f>
        <x:v>0</x:v>
      </x:c>
      <x:c r="J146" s="45" t="str">
        <x:f>IF(I146=0,"CLEAR","QUEUED")</x:f>
        <x:v>CLEAR</x:v>
      </x:c>
      <x:c r="K146" s="72"/>
      <x:c r="L146" s="72"/>
      <x:c r="M146" s="72"/>
      <x:c r="N146" s="72"/>
    </x:row>
    <x:row r="147">
      <x:c r="C147" s="45" t="str">
        <x:f>'Path Daily'!C147</x:f>
        <x:v>P1</x:v>
      </x:c>
      <x:c r="D147" s="45" t="n">
        <x:f>'Path Daily'!D147</x:f>
        <x:v>49</x:v>
      </x:c>
      <x:c r="E147" s="53" t="n">
        <x:f>IF(D147=0,SUMIFS('Cargo Records'!$T$7:$T$70,'Cargo Records'!$J$7:$J$70,C147),0)</x:f>
        <x:v>0</x:v>
      </x:c>
      <x:c r="F147" s="53" t="n">
        <x:f>I146</x:f>
        <x:v>0</x:v>
      </x:c>
      <x:c r="G147" s="53" t="n">
        <x:f>'Path Daily'!M147</x:f>
        <x:v>5520</x:v>
      </x:c>
      <x:c r="H147" s="53" t="n">
        <x:f>MIN(E147+F147,G147)</x:f>
        <x:v>0</x:v>
      </x:c>
      <x:c r="I147" s="53" t="n">
        <x:f>E147+F147-H147</x:f>
        <x:v>0</x:v>
      </x:c>
      <x:c r="J147" s="45" t="str">
        <x:f>IF(I147=0,"CLEAR","QUEUED")</x:f>
        <x:v>CLEAR</x:v>
      </x:c>
      <x:c r="K147" s="72"/>
      <x:c r="L147" s="72"/>
      <x:c r="M147" s="72"/>
      <x:c r="N147" s="72"/>
    </x:row>
    <x:row r="148">
      <x:c r="C148" s="45" t="str">
        <x:f>'Path Daily'!C148</x:f>
        <x:v>P1</x:v>
      </x:c>
      <x:c r="D148" s="45" t="n">
        <x:f>'Path Daily'!D148</x:f>
        <x:v>50</x:v>
      </x:c>
      <x:c r="E148" s="53" t="n">
        <x:f>IF(D148=0,SUMIFS('Cargo Records'!$T$7:$T$70,'Cargo Records'!$J$7:$J$70,C148),0)</x:f>
        <x:v>0</x:v>
      </x:c>
      <x:c r="F148" s="53" t="n">
        <x:f>I147</x:f>
        <x:v>0</x:v>
      </x:c>
      <x:c r="G148" s="53" t="n">
        <x:f>'Path Daily'!M148</x:f>
        <x:v>5520</x:v>
      </x:c>
      <x:c r="H148" s="53" t="n">
        <x:f>MIN(E148+F148,G148)</x:f>
        <x:v>0</x:v>
      </x:c>
      <x:c r="I148" s="53" t="n">
        <x:f>E148+F148-H148</x:f>
        <x:v>0</x:v>
      </x:c>
      <x:c r="J148" s="45" t="str">
        <x:f>IF(I148=0,"CLEAR","QUEUED")</x:f>
        <x:v>CLEAR</x:v>
      </x:c>
      <x:c r="K148" s="72"/>
      <x:c r="L148" s="72"/>
      <x:c r="M148" s="72"/>
      <x:c r="N148" s="72"/>
    </x:row>
    <x:row r="149">
      <x:c r="C149" s="45" t="str">
        <x:f>'Path Daily'!C149</x:f>
        <x:v>P1</x:v>
      </x:c>
      <x:c r="D149" s="45" t="n">
        <x:f>'Path Daily'!D149</x:f>
        <x:v>51</x:v>
      </x:c>
      <x:c r="E149" s="53" t="n">
        <x:f>IF(D149=0,SUMIFS('Cargo Records'!$T$7:$T$70,'Cargo Records'!$J$7:$J$70,C149),0)</x:f>
        <x:v>0</x:v>
      </x:c>
      <x:c r="F149" s="53" t="n">
        <x:f>I148</x:f>
        <x:v>0</x:v>
      </x:c>
      <x:c r="G149" s="53" t="n">
        <x:f>'Path Daily'!M149</x:f>
        <x:v>5520</x:v>
      </x:c>
      <x:c r="H149" s="53" t="n">
        <x:f>MIN(E149+F149,G149)</x:f>
        <x:v>0</x:v>
      </x:c>
      <x:c r="I149" s="53" t="n">
        <x:f>E149+F149-H149</x:f>
        <x:v>0</x:v>
      </x:c>
      <x:c r="J149" s="45" t="str">
        <x:f>IF(I149=0,"CLEAR","QUEUED")</x:f>
        <x:v>CLEAR</x:v>
      </x:c>
      <x:c r="K149" s="72"/>
      <x:c r="L149" s="72"/>
      <x:c r="M149" s="72"/>
      <x:c r="N149" s="72"/>
    </x:row>
    <x:row r="150">
      <x:c r="C150" s="45" t="str">
        <x:f>'Path Daily'!C150</x:f>
        <x:v>P1</x:v>
      </x:c>
      <x:c r="D150" s="45" t="n">
        <x:f>'Path Daily'!D150</x:f>
        <x:v>52</x:v>
      </x:c>
      <x:c r="E150" s="53" t="n">
        <x:f>IF(D150=0,SUMIFS('Cargo Records'!$T$7:$T$70,'Cargo Records'!$J$7:$J$70,C150),0)</x:f>
        <x:v>0</x:v>
      </x:c>
      <x:c r="F150" s="53" t="n">
        <x:f>I149</x:f>
        <x:v>0</x:v>
      </x:c>
      <x:c r="G150" s="53" t="n">
        <x:f>'Path Daily'!M150</x:f>
        <x:v>5520</x:v>
      </x:c>
      <x:c r="H150" s="53" t="n">
        <x:f>MIN(E150+F150,G150)</x:f>
        <x:v>0</x:v>
      </x:c>
      <x:c r="I150" s="53" t="n">
        <x:f>E150+F150-H150</x:f>
        <x:v>0</x:v>
      </x:c>
      <x:c r="J150" s="45" t="str">
        <x:f>IF(I150=0,"CLEAR","QUEUED")</x:f>
        <x:v>CLEAR</x:v>
      </x:c>
      <x:c r="K150" s="72"/>
      <x:c r="L150" s="72"/>
      <x:c r="M150" s="72"/>
      <x:c r="N150" s="72"/>
    </x:row>
    <x:row r="151">
      <x:c r="C151" s="45" t="str">
        <x:f>'Path Daily'!C151</x:f>
        <x:v>P1</x:v>
      </x:c>
      <x:c r="D151" s="45" t="n">
        <x:f>'Path Daily'!D151</x:f>
        <x:v>53</x:v>
      </x:c>
      <x:c r="E151" s="53" t="n">
        <x:f>IF(D151=0,SUMIFS('Cargo Records'!$T$7:$T$70,'Cargo Records'!$J$7:$J$70,C151),0)</x:f>
        <x:v>0</x:v>
      </x:c>
      <x:c r="F151" s="53" t="n">
        <x:f>I150</x:f>
        <x:v>0</x:v>
      </x:c>
      <x:c r="G151" s="53" t="n">
        <x:f>'Path Daily'!M151</x:f>
        <x:v>5520</x:v>
      </x:c>
      <x:c r="H151" s="53" t="n">
        <x:f>MIN(E151+F151,G151)</x:f>
        <x:v>0</x:v>
      </x:c>
      <x:c r="I151" s="53" t="n">
        <x:f>E151+F151-H151</x:f>
        <x:v>0</x:v>
      </x:c>
      <x:c r="J151" s="45" t="str">
        <x:f>IF(I151=0,"CLEAR","QUEUED")</x:f>
        <x:v>CLEAR</x:v>
      </x:c>
      <x:c r="K151" s="72"/>
      <x:c r="L151" s="72"/>
      <x:c r="M151" s="72"/>
      <x:c r="N151" s="72"/>
    </x:row>
    <x:row r="152">
      <x:c r="C152" s="45" t="str">
        <x:f>'Path Daily'!C152</x:f>
        <x:v>P1</x:v>
      </x:c>
      <x:c r="D152" s="45" t="n">
        <x:f>'Path Daily'!D152</x:f>
        <x:v>54</x:v>
      </x:c>
      <x:c r="E152" s="53" t="n">
        <x:f>IF(D152=0,SUMIFS('Cargo Records'!$T$7:$T$70,'Cargo Records'!$J$7:$J$70,C152),0)</x:f>
        <x:v>0</x:v>
      </x:c>
      <x:c r="F152" s="53" t="n">
        <x:f>I151</x:f>
        <x:v>0</x:v>
      </x:c>
      <x:c r="G152" s="53" t="n">
        <x:f>'Path Daily'!M152</x:f>
        <x:v>5520</x:v>
      </x:c>
      <x:c r="H152" s="53" t="n">
        <x:f>MIN(E152+F152,G152)</x:f>
        <x:v>0</x:v>
      </x:c>
      <x:c r="I152" s="53" t="n">
        <x:f>E152+F152-H152</x:f>
        <x:v>0</x:v>
      </x:c>
      <x:c r="J152" s="45" t="str">
        <x:f>IF(I152=0,"CLEAR","QUEUED")</x:f>
        <x:v>CLEAR</x:v>
      </x:c>
      <x:c r="K152" s="72"/>
      <x:c r="L152" s="72"/>
      <x:c r="M152" s="72"/>
      <x:c r="N152" s="72"/>
    </x:row>
    <x:row r="153">
      <x:c r="C153" s="45" t="str">
        <x:f>'Path Daily'!C153</x:f>
        <x:v>P1</x:v>
      </x:c>
      <x:c r="D153" s="45" t="n">
        <x:f>'Path Daily'!D153</x:f>
        <x:v>55</x:v>
      </x:c>
      <x:c r="E153" s="53" t="n">
        <x:f>IF(D153=0,SUMIFS('Cargo Records'!$T$7:$T$70,'Cargo Records'!$J$7:$J$70,C153),0)</x:f>
        <x:v>0</x:v>
      </x:c>
      <x:c r="F153" s="53" t="n">
        <x:f>I152</x:f>
        <x:v>0</x:v>
      </x:c>
      <x:c r="G153" s="53" t="n">
        <x:f>'Path Daily'!M153</x:f>
        <x:v>5520</x:v>
      </x:c>
      <x:c r="H153" s="53" t="n">
        <x:f>MIN(E153+F153,G153)</x:f>
        <x:v>0</x:v>
      </x:c>
      <x:c r="I153" s="53" t="n">
        <x:f>E153+F153-H153</x:f>
        <x:v>0</x:v>
      </x:c>
      <x:c r="J153" s="45" t="str">
        <x:f>IF(I153=0,"CLEAR","QUEUED")</x:f>
        <x:v>CLEAR</x:v>
      </x:c>
      <x:c r="K153" s="72"/>
      <x:c r="L153" s="72"/>
      <x:c r="M153" s="72"/>
      <x:c r="N153" s="72"/>
    </x:row>
    <x:row r="154">
      <x:c r="C154" s="45" t="str">
        <x:f>'Path Daily'!C154</x:f>
        <x:v>P1</x:v>
      </x:c>
      <x:c r="D154" s="45" t="n">
        <x:f>'Path Daily'!D154</x:f>
        <x:v>56</x:v>
      </x:c>
      <x:c r="E154" s="53" t="n">
        <x:f>IF(D154=0,SUMIFS('Cargo Records'!$T$7:$T$70,'Cargo Records'!$J$7:$J$70,C154),0)</x:f>
        <x:v>0</x:v>
      </x:c>
      <x:c r="F154" s="53" t="n">
        <x:f>I153</x:f>
        <x:v>0</x:v>
      </x:c>
      <x:c r="G154" s="53" t="n">
        <x:f>'Path Daily'!M154</x:f>
        <x:v>5520</x:v>
      </x:c>
      <x:c r="H154" s="53" t="n">
        <x:f>MIN(E154+F154,G154)</x:f>
        <x:v>0</x:v>
      </x:c>
      <x:c r="I154" s="53" t="n">
        <x:f>E154+F154-H154</x:f>
        <x:v>0</x:v>
      </x:c>
      <x:c r="J154" s="45" t="str">
        <x:f>IF(I154=0,"CLEAR","QUEUED")</x:f>
        <x:v>CLEAR</x:v>
      </x:c>
      <x:c r="K154" s="72"/>
      <x:c r="L154" s="72"/>
      <x:c r="M154" s="72"/>
      <x:c r="N154" s="72"/>
    </x:row>
    <x:row r="155">
      <x:c r="C155" s="45" t="str">
        <x:f>'Path Daily'!C155</x:f>
        <x:v>P1</x:v>
      </x:c>
      <x:c r="D155" s="45" t="n">
        <x:f>'Path Daily'!D155</x:f>
        <x:v>57</x:v>
      </x:c>
      <x:c r="E155" s="53" t="n">
        <x:f>IF(D155=0,SUMIFS('Cargo Records'!$T$7:$T$70,'Cargo Records'!$J$7:$J$70,C155),0)</x:f>
        <x:v>0</x:v>
      </x:c>
      <x:c r="F155" s="53" t="n">
        <x:f>I154</x:f>
        <x:v>0</x:v>
      </x:c>
      <x:c r="G155" s="53" t="n">
        <x:f>'Path Daily'!M155</x:f>
        <x:v>5520</x:v>
      </x:c>
      <x:c r="H155" s="53" t="n">
        <x:f>MIN(E155+F155,G155)</x:f>
        <x:v>0</x:v>
      </x:c>
      <x:c r="I155" s="53" t="n">
        <x:f>E155+F155-H155</x:f>
        <x:v>0</x:v>
      </x:c>
      <x:c r="J155" s="45" t="str">
        <x:f>IF(I155=0,"CLEAR","QUEUED")</x:f>
        <x:v>CLEAR</x:v>
      </x:c>
      <x:c r="K155" s="72"/>
      <x:c r="L155" s="72"/>
      <x:c r="M155" s="72"/>
      <x:c r="N155" s="72"/>
    </x:row>
    <x:row r="156">
      <x:c r="C156" s="45" t="str">
        <x:f>'Path Daily'!C156</x:f>
        <x:v>P1</x:v>
      </x:c>
      <x:c r="D156" s="45" t="n">
        <x:f>'Path Daily'!D156</x:f>
        <x:v>58</x:v>
      </x:c>
      <x:c r="E156" s="53" t="n">
        <x:f>IF(D156=0,SUMIFS('Cargo Records'!$T$7:$T$70,'Cargo Records'!$J$7:$J$70,C156),0)</x:f>
        <x:v>0</x:v>
      </x:c>
      <x:c r="F156" s="53" t="n">
        <x:f>I155</x:f>
        <x:v>0</x:v>
      </x:c>
      <x:c r="G156" s="53" t="n">
        <x:f>'Path Daily'!M156</x:f>
        <x:v>5520</x:v>
      </x:c>
      <x:c r="H156" s="53" t="n">
        <x:f>MIN(E156+F156,G156)</x:f>
        <x:v>0</x:v>
      </x:c>
      <x:c r="I156" s="53" t="n">
        <x:f>E156+F156-H156</x:f>
        <x:v>0</x:v>
      </x:c>
      <x:c r="J156" s="45" t="str">
        <x:f>IF(I156=0,"CLEAR","QUEUED")</x:f>
        <x:v>CLEAR</x:v>
      </x:c>
      <x:c r="K156" s="72"/>
      <x:c r="L156" s="72"/>
      <x:c r="M156" s="72"/>
      <x:c r="N156" s="72"/>
    </x:row>
    <x:row r="157">
      <x:c r="C157" s="45" t="str">
        <x:f>'Path Daily'!C157</x:f>
        <x:v>P1</x:v>
      </x:c>
      <x:c r="D157" s="45" t="n">
        <x:f>'Path Daily'!D157</x:f>
        <x:v>59</x:v>
      </x:c>
      <x:c r="E157" s="53" t="n">
        <x:f>IF(D157=0,SUMIFS('Cargo Records'!$T$7:$T$70,'Cargo Records'!$J$7:$J$70,C157),0)</x:f>
        <x:v>0</x:v>
      </x:c>
      <x:c r="F157" s="53" t="n">
        <x:f>I156</x:f>
        <x:v>0</x:v>
      </x:c>
      <x:c r="G157" s="53" t="n">
        <x:f>'Path Daily'!M157</x:f>
        <x:v>5520</x:v>
      </x:c>
      <x:c r="H157" s="53" t="n">
        <x:f>MIN(E157+F157,G157)</x:f>
        <x:v>0</x:v>
      </x:c>
      <x:c r="I157" s="53" t="n">
        <x:f>E157+F157-H157</x:f>
        <x:v>0</x:v>
      </x:c>
      <x:c r="J157" s="45" t="str">
        <x:f>IF(I157=0,"CLEAR","QUEUED")</x:f>
        <x:v>CLEAR</x:v>
      </x:c>
      <x:c r="K157" s="72"/>
      <x:c r="L157" s="72"/>
      <x:c r="M157" s="72"/>
      <x:c r="N157" s="72"/>
    </x:row>
    <x:row r="158">
      <x:c r="C158" s="45" t="str">
        <x:f>'Path Daily'!C158</x:f>
        <x:v>P1</x:v>
      </x:c>
      <x:c r="D158" s="45" t="n">
        <x:f>'Path Daily'!D158</x:f>
        <x:v>60</x:v>
      </x:c>
      <x:c r="E158" s="53" t="n">
        <x:f>IF(D158=0,SUMIFS('Cargo Records'!$T$7:$T$70,'Cargo Records'!$J$7:$J$70,C158),0)</x:f>
        <x:v>0</x:v>
      </x:c>
      <x:c r="F158" s="53" t="n">
        <x:f>I157</x:f>
        <x:v>0</x:v>
      </x:c>
      <x:c r="G158" s="53" t="n">
        <x:f>'Path Daily'!M158</x:f>
        <x:v>5520</x:v>
      </x:c>
      <x:c r="H158" s="53" t="n">
        <x:f>MIN(E158+F158,G158)</x:f>
        <x:v>0</x:v>
      </x:c>
      <x:c r="I158" s="53" t="n">
        <x:f>E158+F158-H158</x:f>
        <x:v>0</x:v>
      </x:c>
      <x:c r="J158" s="45" t="str">
        <x:f>IF(I158=0,"CLEAR","QUEUED")</x:f>
        <x:v>CLEAR</x:v>
      </x:c>
      <x:c r="K158" s="72"/>
      <x:c r="L158" s="72"/>
      <x:c r="M158" s="72"/>
      <x:c r="N158" s="72"/>
    </x:row>
    <x:row r="159">
      <x:c r="C159" s="45" t="str">
        <x:f>'Path Daily'!C159</x:f>
        <x:v>P1</x:v>
      </x:c>
      <x:c r="D159" s="45" t="n">
        <x:f>'Path Daily'!D159</x:f>
        <x:v>61</x:v>
      </x:c>
      <x:c r="E159" s="53" t="n">
        <x:f>IF(D159=0,SUMIFS('Cargo Records'!$T$7:$T$70,'Cargo Records'!$J$7:$J$70,C159),0)</x:f>
        <x:v>0</x:v>
      </x:c>
      <x:c r="F159" s="53" t="n">
        <x:f>I158</x:f>
        <x:v>0</x:v>
      </x:c>
      <x:c r="G159" s="53" t="n">
        <x:f>'Path Daily'!M159</x:f>
        <x:v>3864</x:v>
      </x:c>
      <x:c r="H159" s="53" t="n">
        <x:f>MIN(E159+F159,G159)</x:f>
        <x:v>0</x:v>
      </x:c>
      <x:c r="I159" s="53" t="n">
        <x:f>E159+F159-H159</x:f>
        <x:v>0</x:v>
      </x:c>
      <x:c r="J159" s="45" t="str">
        <x:f>IF(I159=0,"CLEAR","QUEUED")</x:f>
        <x:v>CLEAR</x:v>
      </x:c>
      <x:c r="K159" s="72"/>
      <x:c r="L159" s="72"/>
      <x:c r="M159" s="72"/>
      <x:c r="N159" s="72"/>
    </x:row>
    <x:row r="160">
      <x:c r="C160" s="45" t="str">
        <x:f>'Path Daily'!C160</x:f>
        <x:v>P1</x:v>
      </x:c>
      <x:c r="D160" s="45" t="n">
        <x:f>'Path Daily'!D160</x:f>
        <x:v>62</x:v>
      </x:c>
      <x:c r="E160" s="53" t="n">
        <x:f>IF(D160=0,SUMIFS('Cargo Records'!$T$7:$T$70,'Cargo Records'!$J$7:$J$70,C160),0)</x:f>
        <x:v>0</x:v>
      </x:c>
      <x:c r="F160" s="53" t="n">
        <x:f>I159</x:f>
        <x:v>0</x:v>
      </x:c>
      <x:c r="G160" s="53" t="n">
        <x:f>'Path Daily'!M160</x:f>
        <x:v>3864</x:v>
      </x:c>
      <x:c r="H160" s="53" t="n">
        <x:f>MIN(E160+F160,G160)</x:f>
        <x:v>0</x:v>
      </x:c>
      <x:c r="I160" s="53" t="n">
        <x:f>E160+F160-H160</x:f>
        <x:v>0</x:v>
      </x:c>
      <x:c r="J160" s="45" t="str">
        <x:f>IF(I160=0,"CLEAR","QUEUED")</x:f>
        <x:v>CLEAR</x:v>
      </x:c>
      <x:c r="K160" s="72"/>
      <x:c r="L160" s="72"/>
      <x:c r="M160" s="72"/>
      <x:c r="N160" s="72"/>
    </x:row>
    <x:row r="161">
      <x:c r="C161" s="45" t="str">
        <x:f>'Path Daily'!C161</x:f>
        <x:v>P1</x:v>
      </x:c>
      <x:c r="D161" s="45" t="n">
        <x:f>'Path Daily'!D161</x:f>
        <x:v>63</x:v>
      </x:c>
      <x:c r="E161" s="53" t="n">
        <x:f>IF(D161=0,SUMIFS('Cargo Records'!$T$7:$T$70,'Cargo Records'!$J$7:$J$70,C161),0)</x:f>
        <x:v>0</x:v>
      </x:c>
      <x:c r="F161" s="53" t="n">
        <x:f>I160</x:f>
        <x:v>0</x:v>
      </x:c>
      <x:c r="G161" s="53" t="n">
        <x:f>'Path Daily'!M161</x:f>
        <x:v>3864</x:v>
      </x:c>
      <x:c r="H161" s="53" t="n">
        <x:f>MIN(E161+F161,G161)</x:f>
        <x:v>0</x:v>
      </x:c>
      <x:c r="I161" s="53" t="n">
        <x:f>E161+F161-H161</x:f>
        <x:v>0</x:v>
      </x:c>
      <x:c r="J161" s="45" t="str">
        <x:f>IF(I161=0,"CLEAR","QUEUED")</x:f>
        <x:v>CLEAR</x:v>
      </x:c>
      <x:c r="K161" s="72"/>
      <x:c r="L161" s="72"/>
      <x:c r="M161" s="72"/>
      <x:c r="N161" s="72"/>
    </x:row>
    <x:row r="162">
      <x:c r="C162" s="45" t="str">
        <x:f>'Path Daily'!C162</x:f>
        <x:v>P1</x:v>
      </x:c>
      <x:c r="D162" s="45" t="n">
        <x:f>'Path Daily'!D162</x:f>
        <x:v>64</x:v>
      </x:c>
      <x:c r="E162" s="53" t="n">
        <x:f>IF(D162=0,SUMIFS('Cargo Records'!$T$7:$T$70,'Cargo Records'!$J$7:$J$70,C162),0)</x:f>
        <x:v>0</x:v>
      </x:c>
      <x:c r="F162" s="53" t="n">
        <x:f>I161</x:f>
        <x:v>0</x:v>
      </x:c>
      <x:c r="G162" s="53" t="n">
        <x:f>'Path Daily'!M162</x:f>
        <x:v>5520</x:v>
      </x:c>
      <x:c r="H162" s="53" t="n">
        <x:f>MIN(E162+F162,G162)</x:f>
        <x:v>0</x:v>
      </x:c>
      <x:c r="I162" s="53" t="n">
        <x:f>E162+F162-H162</x:f>
        <x:v>0</x:v>
      </x:c>
      <x:c r="J162" s="45" t="str">
        <x:f>IF(I162=0,"CLEAR","QUEUED")</x:f>
        <x:v>CLEAR</x:v>
      </x:c>
      <x:c r="K162" s="72"/>
      <x:c r="L162" s="72"/>
      <x:c r="M162" s="72"/>
      <x:c r="N162" s="72"/>
    </x:row>
    <x:row r="163">
      <x:c r="C163" s="45" t="str">
        <x:f>'Path Daily'!C163</x:f>
        <x:v>P1</x:v>
      </x:c>
      <x:c r="D163" s="45" t="n">
        <x:f>'Path Daily'!D163</x:f>
        <x:v>65</x:v>
      </x:c>
      <x:c r="E163" s="53" t="n">
        <x:f>IF(D163=0,SUMIFS('Cargo Records'!$T$7:$T$70,'Cargo Records'!$J$7:$J$70,C163),0)</x:f>
        <x:v>0</x:v>
      </x:c>
      <x:c r="F163" s="53" t="n">
        <x:f>I162</x:f>
        <x:v>0</x:v>
      </x:c>
      <x:c r="G163" s="53" t="n">
        <x:f>'Path Daily'!M163</x:f>
        <x:v>5520</x:v>
      </x:c>
      <x:c r="H163" s="53" t="n">
        <x:f>MIN(E163+F163,G163)</x:f>
        <x:v>0</x:v>
      </x:c>
      <x:c r="I163" s="53" t="n">
        <x:f>E163+F163-H163</x:f>
        <x:v>0</x:v>
      </x:c>
      <x:c r="J163" s="45" t="str">
        <x:f>IF(I163=0,"CLEAR","QUEUED")</x:f>
        <x:v>CLEAR</x:v>
      </x:c>
      <x:c r="K163" s="72"/>
      <x:c r="L163" s="72"/>
      <x:c r="M163" s="72"/>
      <x:c r="N163" s="72"/>
    </x:row>
    <x:row r="164">
      <x:c r="C164" s="45" t="str">
        <x:f>'Path Daily'!C164</x:f>
        <x:v>P1</x:v>
      </x:c>
      <x:c r="D164" s="45" t="n">
        <x:f>'Path Daily'!D164</x:f>
        <x:v>66</x:v>
      </x:c>
      <x:c r="E164" s="53" t="n">
        <x:f>IF(D164=0,SUMIFS('Cargo Records'!$T$7:$T$70,'Cargo Records'!$J$7:$J$70,C164),0)</x:f>
        <x:v>0</x:v>
      </x:c>
      <x:c r="F164" s="53" t="n">
        <x:f>I163</x:f>
        <x:v>0</x:v>
      </x:c>
      <x:c r="G164" s="53" t="n">
        <x:f>'Path Daily'!M164</x:f>
        <x:v>5520</x:v>
      </x:c>
      <x:c r="H164" s="53" t="n">
        <x:f>MIN(E164+F164,G164)</x:f>
        <x:v>0</x:v>
      </x:c>
      <x:c r="I164" s="53" t="n">
        <x:f>E164+F164-H164</x:f>
        <x:v>0</x:v>
      </x:c>
      <x:c r="J164" s="45" t="str">
        <x:f>IF(I164=0,"CLEAR","QUEUED")</x:f>
        <x:v>CLEAR</x:v>
      </x:c>
      <x:c r="K164" s="72"/>
      <x:c r="L164" s="72"/>
      <x:c r="M164" s="72"/>
      <x:c r="N164" s="72"/>
    </x:row>
    <x:row r="165">
      <x:c r="C165" s="45" t="str">
        <x:f>'Path Daily'!C165</x:f>
        <x:v>P1</x:v>
      </x:c>
      <x:c r="D165" s="45" t="n">
        <x:f>'Path Daily'!D165</x:f>
        <x:v>67</x:v>
      </x:c>
      <x:c r="E165" s="53" t="n">
        <x:f>IF(D165=0,SUMIFS('Cargo Records'!$T$7:$T$70,'Cargo Records'!$J$7:$J$70,C165),0)</x:f>
        <x:v>0</x:v>
      </x:c>
      <x:c r="F165" s="53" t="n">
        <x:f>I164</x:f>
        <x:v>0</x:v>
      </x:c>
      <x:c r="G165" s="53" t="n">
        <x:f>'Path Daily'!M165</x:f>
        <x:v>5520</x:v>
      </x:c>
      <x:c r="H165" s="53" t="n">
        <x:f>MIN(E165+F165,G165)</x:f>
        <x:v>0</x:v>
      </x:c>
      <x:c r="I165" s="53" t="n">
        <x:f>E165+F165-H165</x:f>
        <x:v>0</x:v>
      </x:c>
      <x:c r="J165" s="45" t="str">
        <x:f>IF(I165=0,"CLEAR","QUEUED")</x:f>
        <x:v>CLEAR</x:v>
      </x:c>
      <x:c r="K165" s="72"/>
      <x:c r="L165" s="72"/>
      <x:c r="M165" s="72"/>
      <x:c r="N165" s="72"/>
    </x:row>
    <x:row r="166">
      <x:c r="C166" s="45" t="str">
        <x:f>'Path Daily'!C166</x:f>
        <x:v>P1</x:v>
      </x:c>
      <x:c r="D166" s="45" t="n">
        <x:f>'Path Daily'!D166</x:f>
        <x:v>68</x:v>
      </x:c>
      <x:c r="E166" s="53" t="n">
        <x:f>IF(D166=0,SUMIFS('Cargo Records'!$T$7:$T$70,'Cargo Records'!$J$7:$J$70,C166),0)</x:f>
        <x:v>0</x:v>
      </x:c>
      <x:c r="F166" s="53" t="n">
        <x:f>I165</x:f>
        <x:v>0</x:v>
      </x:c>
      <x:c r="G166" s="53" t="n">
        <x:f>'Path Daily'!M166</x:f>
        <x:v>5520</x:v>
      </x:c>
      <x:c r="H166" s="53" t="n">
        <x:f>MIN(E166+F166,G166)</x:f>
        <x:v>0</x:v>
      </x:c>
      <x:c r="I166" s="53" t="n">
        <x:f>E166+F166-H166</x:f>
        <x:v>0</x:v>
      </x:c>
      <x:c r="J166" s="45" t="str">
        <x:f>IF(I166=0,"CLEAR","QUEUED")</x:f>
        <x:v>CLEAR</x:v>
      </x:c>
      <x:c r="K166" s="72"/>
      <x:c r="L166" s="72"/>
      <x:c r="M166" s="72"/>
      <x:c r="N166" s="72"/>
    </x:row>
    <x:row r="167">
      <x:c r="C167" s="45" t="str">
        <x:f>'Path Daily'!C167</x:f>
        <x:v>P1</x:v>
      </x:c>
      <x:c r="D167" s="45" t="n">
        <x:f>'Path Daily'!D167</x:f>
        <x:v>69</x:v>
      </x:c>
      <x:c r="E167" s="53" t="n">
        <x:f>IF(D167=0,SUMIFS('Cargo Records'!$T$7:$T$70,'Cargo Records'!$J$7:$J$70,C167),0)</x:f>
        <x:v>0</x:v>
      </x:c>
      <x:c r="F167" s="53" t="n">
        <x:f>I166</x:f>
        <x:v>0</x:v>
      </x:c>
      <x:c r="G167" s="53" t="n">
        <x:f>'Path Daily'!M167</x:f>
        <x:v>5520</x:v>
      </x:c>
      <x:c r="H167" s="53" t="n">
        <x:f>MIN(E167+F167,G167)</x:f>
        <x:v>0</x:v>
      </x:c>
      <x:c r="I167" s="53" t="n">
        <x:f>E167+F167-H167</x:f>
        <x:v>0</x:v>
      </x:c>
      <x:c r="J167" s="45" t="str">
        <x:f>IF(I167=0,"CLEAR","QUEUED")</x:f>
        <x:v>CLEAR</x:v>
      </x:c>
      <x:c r="K167" s="72"/>
      <x:c r="L167" s="72"/>
      <x:c r="M167" s="72"/>
      <x:c r="N167" s="72"/>
    </x:row>
    <x:row r="168">
      <x:c r="C168" s="45" t="str">
        <x:f>'Path Daily'!C168</x:f>
        <x:v>P1</x:v>
      </x:c>
      <x:c r="D168" s="45" t="n">
        <x:f>'Path Daily'!D168</x:f>
        <x:v>70</x:v>
      </x:c>
      <x:c r="E168" s="53" t="n">
        <x:f>IF(D168=0,SUMIFS('Cargo Records'!$T$7:$T$70,'Cargo Records'!$J$7:$J$70,C168),0)</x:f>
        <x:v>0</x:v>
      </x:c>
      <x:c r="F168" s="53" t="n">
        <x:f>I167</x:f>
        <x:v>0</x:v>
      </x:c>
      <x:c r="G168" s="53" t="n">
        <x:f>'Path Daily'!M168</x:f>
        <x:v>5520</x:v>
      </x:c>
      <x:c r="H168" s="53" t="n">
        <x:f>MIN(E168+F168,G168)</x:f>
        <x:v>0</x:v>
      </x:c>
      <x:c r="I168" s="53" t="n">
        <x:f>E168+F168-H168</x:f>
        <x:v>0</x:v>
      </x:c>
      <x:c r="J168" s="45" t="str">
        <x:f>IF(I168=0,"CLEAR","QUEUED")</x:f>
        <x:v>CLEAR</x:v>
      </x:c>
      <x:c r="K168" s="72"/>
      <x:c r="L168" s="72"/>
      <x:c r="M168" s="72"/>
      <x:c r="N168" s="72"/>
    </x:row>
    <x:row r="169">
      <x:c r="C169" s="45" t="str">
        <x:f>'Path Daily'!C169</x:f>
        <x:v>P1</x:v>
      </x:c>
      <x:c r="D169" s="45" t="n">
        <x:f>'Path Daily'!D169</x:f>
        <x:v>71</x:v>
      </x:c>
      <x:c r="E169" s="53" t="n">
        <x:f>IF(D169=0,SUMIFS('Cargo Records'!$T$7:$T$70,'Cargo Records'!$J$7:$J$70,C169),0)</x:f>
        <x:v>0</x:v>
      </x:c>
      <x:c r="F169" s="53" t="n">
        <x:f>I168</x:f>
        <x:v>0</x:v>
      </x:c>
      <x:c r="G169" s="53" t="n">
        <x:f>'Path Daily'!M169</x:f>
        <x:v>5520</x:v>
      </x:c>
      <x:c r="H169" s="53" t="n">
        <x:f>MIN(E169+F169,G169)</x:f>
        <x:v>0</x:v>
      </x:c>
      <x:c r="I169" s="53" t="n">
        <x:f>E169+F169-H169</x:f>
        <x:v>0</x:v>
      </x:c>
      <x:c r="J169" s="45" t="str">
        <x:f>IF(I169=0,"CLEAR","QUEUED")</x:f>
        <x:v>CLEAR</x:v>
      </x:c>
      <x:c r="K169" s="72"/>
      <x:c r="L169" s="72"/>
      <x:c r="M169" s="72"/>
      <x:c r="N169" s="72"/>
    </x:row>
    <x:row r="170">
      <x:c r="C170" s="45" t="str">
        <x:f>'Path Daily'!C170</x:f>
        <x:v>P1</x:v>
      </x:c>
      <x:c r="D170" s="45" t="n">
        <x:f>'Path Daily'!D170</x:f>
        <x:v>72</x:v>
      </x:c>
      <x:c r="E170" s="53" t="n">
        <x:f>IF(D170=0,SUMIFS('Cargo Records'!$T$7:$T$70,'Cargo Records'!$J$7:$J$70,C170),0)</x:f>
        <x:v>0</x:v>
      </x:c>
      <x:c r="F170" s="53" t="n">
        <x:f>I169</x:f>
        <x:v>0</x:v>
      </x:c>
      <x:c r="G170" s="53" t="n">
        <x:f>'Path Daily'!M170</x:f>
        <x:v>5520</x:v>
      </x:c>
      <x:c r="H170" s="53" t="n">
        <x:f>MIN(E170+F170,G170)</x:f>
        <x:v>0</x:v>
      </x:c>
      <x:c r="I170" s="53" t="n">
        <x:f>E170+F170-H170</x:f>
        <x:v>0</x:v>
      </x:c>
      <x:c r="J170" s="45" t="str">
        <x:f>IF(I170=0,"CLEAR","QUEUED")</x:f>
        <x:v>CLEAR</x:v>
      </x:c>
      <x:c r="K170" s="72"/>
      <x:c r="L170" s="72"/>
      <x:c r="M170" s="72"/>
      <x:c r="N170" s="72"/>
    </x:row>
    <x:row r="171">
      <x:c r="C171" s="45" t="str">
        <x:f>'Path Daily'!C171</x:f>
        <x:v>P1</x:v>
      </x:c>
      <x:c r="D171" s="45" t="n">
        <x:f>'Path Daily'!D171</x:f>
        <x:v>73</x:v>
      </x:c>
      <x:c r="E171" s="53" t="n">
        <x:f>IF(D171=0,SUMIFS('Cargo Records'!$T$7:$T$70,'Cargo Records'!$J$7:$J$70,C171),0)</x:f>
        <x:v>0</x:v>
      </x:c>
      <x:c r="F171" s="53" t="n">
        <x:f>I170</x:f>
        <x:v>0</x:v>
      </x:c>
      <x:c r="G171" s="53" t="n">
        <x:f>'Path Daily'!M171</x:f>
        <x:v>5520</x:v>
      </x:c>
      <x:c r="H171" s="53" t="n">
        <x:f>MIN(E171+F171,G171)</x:f>
        <x:v>0</x:v>
      </x:c>
      <x:c r="I171" s="53" t="n">
        <x:f>E171+F171-H171</x:f>
        <x:v>0</x:v>
      </x:c>
      <x:c r="J171" s="45" t="str">
        <x:f>IF(I171=0,"CLEAR","QUEUED")</x:f>
        <x:v>CLEAR</x:v>
      </x:c>
      <x:c r="K171" s="72"/>
      <x:c r="L171" s="72"/>
      <x:c r="M171" s="72"/>
      <x:c r="N171" s="72"/>
    </x:row>
    <x:row r="172">
      <x:c r="C172" s="45" t="str">
        <x:f>'Path Daily'!C172</x:f>
        <x:v>P1</x:v>
      </x:c>
      <x:c r="D172" s="45" t="n">
        <x:f>'Path Daily'!D172</x:f>
        <x:v>74</x:v>
      </x:c>
      <x:c r="E172" s="53" t="n">
        <x:f>IF(D172=0,SUMIFS('Cargo Records'!$T$7:$T$70,'Cargo Records'!$J$7:$J$70,C172),0)</x:f>
        <x:v>0</x:v>
      </x:c>
      <x:c r="F172" s="53" t="n">
        <x:f>I171</x:f>
        <x:v>0</x:v>
      </x:c>
      <x:c r="G172" s="53" t="n">
        <x:f>'Path Daily'!M172</x:f>
        <x:v>5520</x:v>
      </x:c>
      <x:c r="H172" s="53" t="n">
        <x:f>MIN(E172+F172,G172)</x:f>
        <x:v>0</x:v>
      </x:c>
      <x:c r="I172" s="53" t="n">
        <x:f>E172+F172-H172</x:f>
        <x:v>0</x:v>
      </x:c>
      <x:c r="J172" s="45" t="str">
        <x:f>IF(I172=0,"CLEAR","QUEUED")</x:f>
        <x:v>CLEAR</x:v>
      </x:c>
      <x:c r="K172" s="72"/>
      <x:c r="L172" s="72"/>
      <x:c r="M172" s="72"/>
      <x:c r="N172" s="72"/>
    </x:row>
    <x:row r="173">
      <x:c r="C173" s="45" t="str">
        <x:f>'Path Daily'!C173</x:f>
        <x:v>P1</x:v>
      </x:c>
      <x:c r="D173" s="45" t="n">
        <x:f>'Path Daily'!D173</x:f>
        <x:v>75</x:v>
      </x:c>
      <x:c r="E173" s="53" t="n">
        <x:f>IF(D173=0,SUMIFS('Cargo Records'!$T$7:$T$70,'Cargo Records'!$J$7:$J$70,C173),0)</x:f>
        <x:v>0</x:v>
      </x:c>
      <x:c r="F173" s="53" t="n">
        <x:f>I172</x:f>
        <x:v>0</x:v>
      </x:c>
      <x:c r="G173" s="53" t="n">
        <x:f>'Path Daily'!M173</x:f>
        <x:v>5520</x:v>
      </x:c>
      <x:c r="H173" s="53" t="n">
        <x:f>MIN(E173+F173,G173)</x:f>
        <x:v>0</x:v>
      </x:c>
      <x:c r="I173" s="53" t="n">
        <x:f>E173+F173-H173</x:f>
        <x:v>0</x:v>
      </x:c>
      <x:c r="J173" s="45" t="str">
        <x:f>IF(I173=0,"CLEAR","QUEUED")</x:f>
        <x:v>CLEAR</x:v>
      </x:c>
      <x:c r="K173" s="72"/>
      <x:c r="L173" s="72"/>
      <x:c r="M173" s="72"/>
      <x:c r="N173" s="72"/>
    </x:row>
    <x:row r="174">
      <x:c r="C174" s="45" t="str">
        <x:f>'Path Daily'!C174</x:f>
        <x:v>P1</x:v>
      </x:c>
      <x:c r="D174" s="45" t="n">
        <x:f>'Path Daily'!D174</x:f>
        <x:v>76</x:v>
      </x:c>
      <x:c r="E174" s="53" t="n">
        <x:f>IF(D174=0,SUMIFS('Cargo Records'!$T$7:$T$70,'Cargo Records'!$J$7:$J$70,C174),0)</x:f>
        <x:v>0</x:v>
      </x:c>
      <x:c r="F174" s="53" t="n">
        <x:f>I173</x:f>
        <x:v>0</x:v>
      </x:c>
      <x:c r="G174" s="53" t="n">
        <x:f>'Path Daily'!M174</x:f>
        <x:v>5520</x:v>
      </x:c>
      <x:c r="H174" s="53" t="n">
        <x:f>MIN(E174+F174,G174)</x:f>
        <x:v>0</x:v>
      </x:c>
      <x:c r="I174" s="53" t="n">
        <x:f>E174+F174-H174</x:f>
        <x:v>0</x:v>
      </x:c>
      <x:c r="J174" s="45" t="str">
        <x:f>IF(I174=0,"CLEAR","QUEUED")</x:f>
        <x:v>CLEAR</x:v>
      </x:c>
      <x:c r="K174" s="72"/>
      <x:c r="L174" s="72"/>
      <x:c r="M174" s="72"/>
      <x:c r="N174" s="72"/>
    </x:row>
    <x:row r="175">
      <x:c r="C175" s="45" t="str">
        <x:f>'Path Daily'!C175</x:f>
        <x:v>P1</x:v>
      </x:c>
      <x:c r="D175" s="45" t="n">
        <x:f>'Path Daily'!D175</x:f>
        <x:v>77</x:v>
      </x:c>
      <x:c r="E175" s="53" t="n">
        <x:f>IF(D175=0,SUMIFS('Cargo Records'!$T$7:$T$70,'Cargo Records'!$J$7:$J$70,C175),0)</x:f>
        <x:v>0</x:v>
      </x:c>
      <x:c r="F175" s="53" t="n">
        <x:f>I174</x:f>
        <x:v>0</x:v>
      </x:c>
      <x:c r="G175" s="53" t="n">
        <x:f>'Path Daily'!M175</x:f>
        <x:v>5520</x:v>
      </x:c>
      <x:c r="H175" s="53" t="n">
        <x:f>MIN(E175+F175,G175)</x:f>
        <x:v>0</x:v>
      </x:c>
      <x:c r="I175" s="53" t="n">
        <x:f>E175+F175-H175</x:f>
        <x:v>0</x:v>
      </x:c>
      <x:c r="J175" s="45" t="str">
        <x:f>IF(I175=0,"CLEAR","QUEUED")</x:f>
        <x:v>CLEAR</x:v>
      </x:c>
      <x:c r="K175" s="72"/>
      <x:c r="L175" s="72"/>
      <x:c r="M175" s="72"/>
      <x:c r="N175" s="72"/>
    </x:row>
    <x:row r="176">
      <x:c r="C176" s="45" t="str">
        <x:f>'Path Daily'!C176</x:f>
        <x:v>P1</x:v>
      </x:c>
      <x:c r="D176" s="45" t="n">
        <x:f>'Path Daily'!D176</x:f>
        <x:v>78</x:v>
      </x:c>
      <x:c r="E176" s="53" t="n">
        <x:f>IF(D176=0,SUMIFS('Cargo Records'!$T$7:$T$70,'Cargo Records'!$J$7:$J$70,C176),0)</x:f>
        <x:v>0</x:v>
      </x:c>
      <x:c r="F176" s="53" t="n">
        <x:f>I175</x:f>
        <x:v>0</x:v>
      </x:c>
      <x:c r="G176" s="53" t="n">
        <x:f>'Path Daily'!M176</x:f>
        <x:v>5520</x:v>
      </x:c>
      <x:c r="H176" s="53" t="n">
        <x:f>MIN(E176+F176,G176)</x:f>
        <x:v>0</x:v>
      </x:c>
      <x:c r="I176" s="53" t="n">
        <x:f>E176+F176-H176</x:f>
        <x:v>0</x:v>
      </x:c>
      <x:c r="J176" s="45" t="str">
        <x:f>IF(I176=0,"CLEAR","QUEUED")</x:f>
        <x:v>CLEAR</x:v>
      </x:c>
      <x:c r="K176" s="72"/>
      <x:c r="L176" s="72"/>
      <x:c r="M176" s="72"/>
      <x:c r="N176" s="72"/>
    </x:row>
    <x:row r="177">
      <x:c r="C177" s="45" t="str">
        <x:f>'Path Daily'!C177</x:f>
        <x:v>P1</x:v>
      </x:c>
      <x:c r="D177" s="45" t="n">
        <x:f>'Path Daily'!D177</x:f>
        <x:v>79</x:v>
      </x:c>
      <x:c r="E177" s="53" t="n">
        <x:f>IF(D177=0,SUMIFS('Cargo Records'!$T$7:$T$70,'Cargo Records'!$J$7:$J$70,C177),0)</x:f>
        <x:v>0</x:v>
      </x:c>
      <x:c r="F177" s="53" t="n">
        <x:f>I176</x:f>
        <x:v>0</x:v>
      </x:c>
      <x:c r="G177" s="53" t="n">
        <x:f>'Path Daily'!M177</x:f>
        <x:v>5520</x:v>
      </x:c>
      <x:c r="H177" s="53" t="n">
        <x:f>MIN(E177+F177,G177)</x:f>
        <x:v>0</x:v>
      </x:c>
      <x:c r="I177" s="53" t="n">
        <x:f>E177+F177-H177</x:f>
        <x:v>0</x:v>
      </x:c>
      <x:c r="J177" s="45" t="str">
        <x:f>IF(I177=0,"CLEAR","QUEUED")</x:f>
        <x:v>CLEAR</x:v>
      </x:c>
      <x:c r="K177" s="72"/>
      <x:c r="L177" s="72"/>
      <x:c r="M177" s="72"/>
      <x:c r="N177" s="72"/>
    </x:row>
    <x:row r="178">
      <x:c r="C178" s="45" t="str">
        <x:f>'Path Daily'!C178</x:f>
        <x:v>P1</x:v>
      </x:c>
      <x:c r="D178" s="45" t="n">
        <x:f>'Path Daily'!D178</x:f>
        <x:v>80</x:v>
      </x:c>
      <x:c r="E178" s="53" t="n">
        <x:f>IF(D178=0,SUMIFS('Cargo Records'!$T$7:$T$70,'Cargo Records'!$J$7:$J$70,C178),0)</x:f>
        <x:v>0</x:v>
      </x:c>
      <x:c r="F178" s="53" t="n">
        <x:f>I177</x:f>
        <x:v>0</x:v>
      </x:c>
      <x:c r="G178" s="53" t="n">
        <x:f>'Path Daily'!M178</x:f>
        <x:v>5520</x:v>
      </x:c>
      <x:c r="H178" s="53" t="n">
        <x:f>MIN(E178+F178,G178)</x:f>
        <x:v>0</x:v>
      </x:c>
      <x:c r="I178" s="53" t="n">
        <x:f>E178+F178-H178</x:f>
        <x:v>0</x:v>
      </x:c>
      <x:c r="J178" s="45" t="str">
        <x:f>IF(I178=0,"CLEAR","QUEUED")</x:f>
        <x:v>CLEAR</x:v>
      </x:c>
      <x:c r="K178" s="72"/>
      <x:c r="L178" s="72"/>
      <x:c r="M178" s="72"/>
      <x:c r="N178" s="72"/>
    </x:row>
    <x:row r="179">
      <x:c r="C179" s="45" t="str">
        <x:f>'Path Daily'!C179</x:f>
        <x:v>P1</x:v>
      </x:c>
      <x:c r="D179" s="45" t="n">
        <x:f>'Path Daily'!D179</x:f>
        <x:v>81</x:v>
      </x:c>
      <x:c r="E179" s="53" t="n">
        <x:f>IF(D179=0,SUMIFS('Cargo Records'!$T$7:$T$70,'Cargo Records'!$J$7:$J$70,C179),0)</x:f>
        <x:v>0</x:v>
      </x:c>
      <x:c r="F179" s="53" t="n">
        <x:f>I178</x:f>
        <x:v>0</x:v>
      </x:c>
      <x:c r="G179" s="53" t="n">
        <x:f>'Path Daily'!M179</x:f>
        <x:v>5520</x:v>
      </x:c>
      <x:c r="H179" s="53" t="n">
        <x:f>MIN(E179+F179,G179)</x:f>
        <x:v>0</x:v>
      </x:c>
      <x:c r="I179" s="53" t="n">
        <x:f>E179+F179-H179</x:f>
        <x:v>0</x:v>
      </x:c>
      <x:c r="J179" s="45" t="str">
        <x:f>IF(I179=0,"CLEAR","QUEUED")</x:f>
        <x:v>CLEAR</x:v>
      </x:c>
      <x:c r="K179" s="72"/>
      <x:c r="L179" s="72"/>
      <x:c r="M179" s="72"/>
      <x:c r="N179" s="72"/>
    </x:row>
    <x:row r="180">
      <x:c r="C180" s="45" t="str">
        <x:f>'Path Daily'!C180</x:f>
        <x:v>P1</x:v>
      </x:c>
      <x:c r="D180" s="45" t="n">
        <x:f>'Path Daily'!D180</x:f>
        <x:v>82</x:v>
      </x:c>
      <x:c r="E180" s="53" t="n">
        <x:f>IF(D180=0,SUMIFS('Cargo Records'!$T$7:$T$70,'Cargo Records'!$J$7:$J$70,C180),0)</x:f>
        <x:v>0</x:v>
      </x:c>
      <x:c r="F180" s="53" t="n">
        <x:f>I179</x:f>
        <x:v>0</x:v>
      </x:c>
      <x:c r="G180" s="53" t="n">
        <x:f>'Path Daily'!M180</x:f>
        <x:v>5520</x:v>
      </x:c>
      <x:c r="H180" s="53" t="n">
        <x:f>MIN(E180+F180,G180)</x:f>
        <x:v>0</x:v>
      </x:c>
      <x:c r="I180" s="53" t="n">
        <x:f>E180+F180-H180</x:f>
        <x:v>0</x:v>
      </x:c>
      <x:c r="J180" s="45" t="str">
        <x:f>IF(I180=0,"CLEAR","QUEUED")</x:f>
        <x:v>CLEAR</x:v>
      </x:c>
      <x:c r="K180" s="72"/>
      <x:c r="L180" s="72"/>
      <x:c r="M180" s="72"/>
      <x:c r="N180" s="72"/>
    </x:row>
    <x:row r="181">
      <x:c r="C181" s="45" t="str">
        <x:f>'Path Daily'!C181</x:f>
        <x:v>P1</x:v>
      </x:c>
      <x:c r="D181" s="45" t="n">
        <x:f>'Path Daily'!D181</x:f>
        <x:v>83</x:v>
      </x:c>
      <x:c r="E181" s="53" t="n">
        <x:f>IF(D181=0,SUMIFS('Cargo Records'!$T$7:$T$70,'Cargo Records'!$J$7:$J$70,C181),0)</x:f>
        <x:v>0</x:v>
      </x:c>
      <x:c r="F181" s="53" t="n">
        <x:f>I180</x:f>
        <x:v>0</x:v>
      </x:c>
      <x:c r="G181" s="53" t="n">
        <x:f>'Path Daily'!M181</x:f>
        <x:v>5520</x:v>
      </x:c>
      <x:c r="H181" s="53" t="n">
        <x:f>MIN(E181+F181,G181)</x:f>
        <x:v>0</x:v>
      </x:c>
      <x:c r="I181" s="53" t="n">
        <x:f>E181+F181-H181</x:f>
        <x:v>0</x:v>
      </x:c>
      <x:c r="J181" s="45" t="str">
        <x:f>IF(I181=0,"CLEAR","QUEUED")</x:f>
        <x:v>CLEAR</x:v>
      </x:c>
      <x:c r="K181" s="72"/>
      <x:c r="L181" s="72"/>
      <x:c r="M181" s="72"/>
      <x:c r="N181" s="72"/>
    </x:row>
    <x:row r="182">
      <x:c r="C182" s="45" t="str">
        <x:f>'Path Daily'!C182</x:f>
        <x:v>P1</x:v>
      </x:c>
      <x:c r="D182" s="45" t="n">
        <x:f>'Path Daily'!D182</x:f>
        <x:v>84</x:v>
      </x:c>
      <x:c r="E182" s="53" t="n">
        <x:f>IF(D182=0,SUMIFS('Cargo Records'!$T$7:$T$70,'Cargo Records'!$J$7:$J$70,C182),0)</x:f>
        <x:v>0</x:v>
      </x:c>
      <x:c r="F182" s="53" t="n">
        <x:f>I181</x:f>
        <x:v>0</x:v>
      </x:c>
      <x:c r="G182" s="53" t="n">
        <x:f>'Path Daily'!M182</x:f>
        <x:v>5520</x:v>
      </x:c>
      <x:c r="H182" s="53" t="n">
        <x:f>MIN(E182+F182,G182)</x:f>
        <x:v>0</x:v>
      </x:c>
      <x:c r="I182" s="53" t="n">
        <x:f>E182+F182-H182</x:f>
        <x:v>0</x:v>
      </x:c>
      <x:c r="J182" s="45" t="str">
        <x:f>IF(I182=0,"CLEAR","QUEUED")</x:f>
        <x:v>CLEAR</x:v>
      </x:c>
      <x:c r="K182" s="72"/>
      <x:c r="L182" s="72"/>
      <x:c r="M182" s="72"/>
      <x:c r="N182" s="72"/>
    </x:row>
    <x:row r="183">
      <x:c r="C183" s="45" t="str">
        <x:f>'Path Daily'!C183</x:f>
        <x:v>P1</x:v>
      </x:c>
      <x:c r="D183" s="45" t="n">
        <x:f>'Path Daily'!D183</x:f>
        <x:v>85</x:v>
      </x:c>
      <x:c r="E183" s="53" t="n">
        <x:f>IF(D183=0,SUMIFS('Cargo Records'!$T$7:$T$70,'Cargo Records'!$J$7:$J$70,C183),0)</x:f>
        <x:v>0</x:v>
      </x:c>
      <x:c r="F183" s="53" t="n">
        <x:f>I182</x:f>
        <x:v>0</x:v>
      </x:c>
      <x:c r="G183" s="53" t="n">
        <x:f>'Path Daily'!M183</x:f>
        <x:v>5520</x:v>
      </x:c>
      <x:c r="H183" s="53" t="n">
        <x:f>MIN(E183+F183,G183)</x:f>
        <x:v>0</x:v>
      </x:c>
      <x:c r="I183" s="53" t="n">
        <x:f>E183+F183-H183</x:f>
        <x:v>0</x:v>
      </x:c>
      <x:c r="J183" s="45" t="str">
        <x:f>IF(I183=0,"CLEAR","QUEUED")</x:f>
        <x:v>CLEAR</x:v>
      </x:c>
      <x:c r="K183" s="72"/>
      <x:c r="L183" s="72"/>
      <x:c r="M183" s="72"/>
      <x:c r="N183" s="72"/>
    </x:row>
    <x:row r="184">
      <x:c r="C184" s="45" t="str">
        <x:f>'Path Daily'!C184</x:f>
        <x:v>P1</x:v>
      </x:c>
      <x:c r="D184" s="45" t="n">
        <x:f>'Path Daily'!D184</x:f>
        <x:v>86</x:v>
      </x:c>
      <x:c r="E184" s="53" t="n">
        <x:f>IF(D184=0,SUMIFS('Cargo Records'!$T$7:$T$70,'Cargo Records'!$J$7:$J$70,C184),0)</x:f>
        <x:v>0</x:v>
      </x:c>
      <x:c r="F184" s="53" t="n">
        <x:f>I183</x:f>
        <x:v>0</x:v>
      </x:c>
      <x:c r="G184" s="53" t="n">
        <x:f>'Path Daily'!M184</x:f>
        <x:v>5520</x:v>
      </x:c>
      <x:c r="H184" s="53" t="n">
        <x:f>MIN(E184+F184,G184)</x:f>
        <x:v>0</x:v>
      </x:c>
      <x:c r="I184" s="53" t="n">
        <x:f>E184+F184-H184</x:f>
        <x:v>0</x:v>
      </x:c>
      <x:c r="J184" s="45" t="str">
        <x:f>IF(I184=0,"CLEAR","QUEUED")</x:f>
        <x:v>CLEAR</x:v>
      </x:c>
      <x:c r="K184" s="72"/>
      <x:c r="L184" s="72"/>
      <x:c r="M184" s="72"/>
      <x:c r="N184" s="72"/>
    </x:row>
    <x:row r="185">
      <x:c r="C185" s="45" t="str">
        <x:f>'Path Daily'!C185</x:f>
        <x:v>P1</x:v>
      </x:c>
      <x:c r="D185" s="45" t="n">
        <x:f>'Path Daily'!D185</x:f>
        <x:v>87</x:v>
      </x:c>
      <x:c r="E185" s="53" t="n">
        <x:f>IF(D185=0,SUMIFS('Cargo Records'!$T$7:$T$70,'Cargo Records'!$J$7:$J$70,C185),0)</x:f>
        <x:v>0</x:v>
      </x:c>
      <x:c r="F185" s="53" t="n">
        <x:f>I184</x:f>
        <x:v>0</x:v>
      </x:c>
      <x:c r="G185" s="53" t="n">
        <x:f>'Path Daily'!M185</x:f>
        <x:v>5520</x:v>
      </x:c>
      <x:c r="H185" s="53" t="n">
        <x:f>MIN(E185+F185,G185)</x:f>
        <x:v>0</x:v>
      </x:c>
      <x:c r="I185" s="53" t="n">
        <x:f>E185+F185-H185</x:f>
        <x:v>0</x:v>
      </x:c>
      <x:c r="J185" s="45" t="str">
        <x:f>IF(I185=0,"CLEAR","QUEUED")</x:f>
        <x:v>CLEAR</x:v>
      </x:c>
      <x:c r="K185" s="72"/>
      <x:c r="L185" s="72"/>
      <x:c r="M185" s="72"/>
      <x:c r="N185" s="72"/>
    </x:row>
    <x:row r="186">
      <x:c r="C186" s="45" t="str">
        <x:f>'Path Daily'!C186</x:f>
        <x:v>P1</x:v>
      </x:c>
      <x:c r="D186" s="45" t="n">
        <x:f>'Path Daily'!D186</x:f>
        <x:v>88</x:v>
      </x:c>
      <x:c r="E186" s="53" t="n">
        <x:f>IF(D186=0,SUMIFS('Cargo Records'!$T$7:$T$70,'Cargo Records'!$J$7:$J$70,C186),0)</x:f>
        <x:v>0</x:v>
      </x:c>
      <x:c r="F186" s="53" t="n">
        <x:f>I185</x:f>
        <x:v>0</x:v>
      </x:c>
      <x:c r="G186" s="53" t="n">
        <x:f>'Path Daily'!M186</x:f>
        <x:v>5520</x:v>
      </x:c>
      <x:c r="H186" s="53" t="n">
        <x:f>MIN(E186+F186,G186)</x:f>
        <x:v>0</x:v>
      </x:c>
      <x:c r="I186" s="53" t="n">
        <x:f>E186+F186-H186</x:f>
        <x:v>0</x:v>
      </x:c>
      <x:c r="J186" s="45" t="str">
        <x:f>IF(I186=0,"CLEAR","QUEUED")</x:f>
        <x:v>CLEAR</x:v>
      </x:c>
      <x:c r="K186" s="72"/>
      <x:c r="L186" s="72"/>
      <x:c r="M186" s="72"/>
      <x:c r="N186" s="72"/>
    </x:row>
    <x:row r="187">
      <x:c r="C187" s="45" t="str">
        <x:f>'Path Daily'!C187</x:f>
        <x:v>P1</x:v>
      </x:c>
      <x:c r="D187" s="45" t="n">
        <x:f>'Path Daily'!D187</x:f>
        <x:v>89</x:v>
      </x:c>
      <x:c r="E187" s="53" t="n">
        <x:f>IF(D187=0,SUMIFS('Cargo Records'!$T$7:$T$70,'Cargo Records'!$J$7:$J$70,C187),0)</x:f>
        <x:v>0</x:v>
      </x:c>
      <x:c r="F187" s="53" t="n">
        <x:f>I186</x:f>
        <x:v>0</x:v>
      </x:c>
      <x:c r="G187" s="53" t="n">
        <x:f>'Path Daily'!M187</x:f>
        <x:v>5520</x:v>
      </x:c>
      <x:c r="H187" s="53" t="n">
        <x:f>MIN(E187+F187,G187)</x:f>
        <x:v>0</x:v>
      </x:c>
      <x:c r="I187" s="53" t="n">
        <x:f>E187+F187-H187</x:f>
        <x:v>0</x:v>
      </x:c>
      <x:c r="J187" s="45" t="str">
        <x:f>IF(I187=0,"CLEAR","QUEUED")</x:f>
        <x:v>CLEAR</x:v>
      </x:c>
      <x:c r="K187" s="72"/>
      <x:c r="L187" s="72"/>
      <x:c r="M187" s="72"/>
      <x:c r="N187" s="72"/>
    </x:row>
    <x:row r="188">
      <x:c r="C188" s="45" t="str">
        <x:f>'Path Daily'!C188</x:f>
        <x:v>P1</x:v>
      </x:c>
      <x:c r="D188" s="45" t="n">
        <x:f>'Path Daily'!D188</x:f>
        <x:v>90</x:v>
      </x:c>
      <x:c r="E188" s="53" t="n">
        <x:f>IF(D188=0,SUMIFS('Cargo Records'!$T$7:$T$70,'Cargo Records'!$J$7:$J$70,C188),0)</x:f>
        <x:v>0</x:v>
      </x:c>
      <x:c r="F188" s="53" t="n">
        <x:f>I187</x:f>
        <x:v>0</x:v>
      </x:c>
      <x:c r="G188" s="53" t="n">
        <x:f>'Path Daily'!M188</x:f>
        <x:v>5520</x:v>
      </x:c>
      <x:c r="H188" s="53" t="n">
        <x:f>MIN(E188+F188,G188)</x:f>
        <x:v>0</x:v>
      </x:c>
      <x:c r="I188" s="53" t="n">
        <x:f>E188+F188-H188</x:f>
        <x:v>0</x:v>
      </x:c>
      <x:c r="J188" s="45" t="str">
        <x:f>IF(I188=0,"CLEAR","QUEUED")</x:f>
        <x:v>CLEAR</x:v>
      </x:c>
      <x:c r="K188" s="72"/>
      <x:c r="L188" s="72"/>
      <x:c r="M188" s="72"/>
      <x:c r="N188" s="72"/>
    </x:row>
    <x:row r="189">
      <x:c r="C189" s="45" t="str">
        <x:f>'Path Daily'!C189</x:f>
        <x:v>P2</x:v>
      </x:c>
      <x:c r="D189" s="45" t="n">
        <x:f>'Path Daily'!D189</x:f>
        <x:v>0</x:v>
      </x:c>
      <x:c r="E189" s="53" t="n">
        <x:f>IF(D189=0,SUMIFS('Cargo Records'!$T$7:$T$70,'Cargo Records'!$J$7:$J$70,C189),0)</x:f>
        <x:v>110454.54545454544</x:v>
      </x:c>
      <x:c r="F189" s="53" t="n">
        <x:f>0</x:f>
        <x:v>0</x:v>
      </x:c>
      <x:c r="G189" s="53" t="n">
        <x:f>'Path Daily'!M189</x:f>
        <x:v>0</x:v>
      </x:c>
      <x:c r="H189" s="53" t="n">
        <x:f>MIN(E189+F189,G189)</x:f>
        <x:v>0</x:v>
      </x:c>
      <x:c r="I189" s="53" t="n">
        <x:f>E189+F189-H189</x:f>
        <x:v>110454.54545454544</x:v>
      </x:c>
      <x:c r="J189" s="45" t="str">
        <x:f>IF(I189=0,"CLEAR","QUEUED")</x:f>
        <x:v>QUEUED</x:v>
      </x:c>
      <x:c r="K189" s="72"/>
      <x:c r="L189" s="72"/>
      <x:c r="M189" s="72"/>
      <x:c r="N189" s="72"/>
    </x:row>
    <x:row r="190">
      <x:c r="C190" s="45" t="str">
        <x:f>'Path Daily'!C190</x:f>
        <x:v>P2</x:v>
      </x:c>
      <x:c r="D190" s="45" t="n">
        <x:f>'Path Daily'!D190</x:f>
        <x:v>1</x:v>
      </x:c>
      <x:c r="E190" s="53" t="n">
        <x:f>IF(D190=0,SUMIFS('Cargo Records'!$T$7:$T$70,'Cargo Records'!$J$7:$J$70,C190),0)</x:f>
        <x:v>0</x:v>
      </x:c>
      <x:c r="F190" s="53" t="n">
        <x:f>I189</x:f>
        <x:v>110454.54545454544</x:v>
      </x:c>
      <x:c r="G190" s="53" t="n">
        <x:f>'Path Daily'!M190</x:f>
        <x:v>13984</x:v>
      </x:c>
      <x:c r="H190" s="53" t="n">
        <x:f>MIN(E190+F190,G190)</x:f>
        <x:v>13984</x:v>
      </x:c>
      <x:c r="I190" s="53" t="n">
        <x:f>E190+F190-H190</x:f>
        <x:v>96470.54545454544</x:v>
      </x:c>
      <x:c r="J190" s="45" t="str">
        <x:f>IF(I190=0,"CLEAR","QUEUED")</x:f>
        <x:v>QUEUED</x:v>
      </x:c>
      <x:c r="K190" s="72"/>
      <x:c r="L190" s="72"/>
      <x:c r="M190" s="72"/>
      <x:c r="N190" s="72"/>
    </x:row>
    <x:row r="191">
      <x:c r="C191" s="45" t="str">
        <x:f>'Path Daily'!C191</x:f>
        <x:v>P2</x:v>
      </x:c>
      <x:c r="D191" s="45" t="n">
        <x:f>'Path Daily'!D191</x:f>
        <x:v>2</x:v>
      </x:c>
      <x:c r="E191" s="53" t="n">
        <x:f>IF(D191=0,SUMIFS('Cargo Records'!$T$7:$T$70,'Cargo Records'!$J$7:$J$70,C191),0)</x:f>
        <x:v>0</x:v>
      </x:c>
      <x:c r="F191" s="53" t="n">
        <x:f>I190</x:f>
        <x:v>96470.54545454544</x:v>
      </x:c>
      <x:c r="G191" s="53" t="n">
        <x:f>'Path Daily'!M191</x:f>
        <x:v>13984</x:v>
      </x:c>
      <x:c r="H191" s="53" t="n">
        <x:f>MIN(E191+F191,G191)</x:f>
        <x:v>13984</x:v>
      </x:c>
      <x:c r="I191" s="53" t="n">
        <x:f>E191+F191-H191</x:f>
        <x:v>82486.54545454544</x:v>
      </x:c>
      <x:c r="J191" s="45" t="str">
        <x:f>IF(I191=0,"CLEAR","QUEUED")</x:f>
        <x:v>QUEUED</x:v>
      </x:c>
      <x:c r="K191" s="72"/>
      <x:c r="L191" s="72"/>
      <x:c r="M191" s="72"/>
      <x:c r="N191" s="72"/>
    </x:row>
    <x:row r="192">
      <x:c r="C192" s="45" t="str">
        <x:f>'Path Daily'!C192</x:f>
        <x:v>P2</x:v>
      </x:c>
      <x:c r="D192" s="45" t="n">
        <x:f>'Path Daily'!D192</x:f>
        <x:v>3</x:v>
      </x:c>
      <x:c r="E192" s="53" t="n">
        <x:f>IF(D192=0,SUMIFS('Cargo Records'!$T$7:$T$70,'Cargo Records'!$J$7:$J$70,C192),0)</x:f>
        <x:v>0</x:v>
      </x:c>
      <x:c r="F192" s="53" t="n">
        <x:f>I191</x:f>
        <x:v>82486.54545454544</x:v>
      </x:c>
      <x:c r="G192" s="53" t="n">
        <x:f>'Path Daily'!M192</x:f>
        <x:v>13984</x:v>
      </x:c>
      <x:c r="H192" s="53" t="n">
        <x:f>MIN(E192+F192,G192)</x:f>
        <x:v>13984</x:v>
      </x:c>
      <x:c r="I192" s="53" t="n">
        <x:f>E192+F192-H192</x:f>
        <x:v>68502.54545454544</x:v>
      </x:c>
      <x:c r="J192" s="45" t="str">
        <x:f>IF(I192=0,"CLEAR","QUEUED")</x:f>
        <x:v>QUEUED</x:v>
      </x:c>
      <x:c r="K192" s="72"/>
      <x:c r="L192" s="72"/>
      <x:c r="M192" s="72"/>
      <x:c r="N192" s="72"/>
    </x:row>
    <x:row r="193">
      <x:c r="C193" s="45" t="str">
        <x:f>'Path Daily'!C193</x:f>
        <x:v>P2</x:v>
      </x:c>
      <x:c r="D193" s="45" t="n">
        <x:f>'Path Daily'!D193</x:f>
        <x:v>4</x:v>
      </x:c>
      <x:c r="E193" s="53" t="n">
        <x:f>IF(D193=0,SUMIFS('Cargo Records'!$T$7:$T$70,'Cargo Records'!$J$7:$J$70,C193),0)</x:f>
        <x:v>0</x:v>
      </x:c>
      <x:c r="F193" s="53" t="n">
        <x:f>I192</x:f>
        <x:v>68502.54545454544</x:v>
      </x:c>
      <x:c r="G193" s="53" t="n">
        <x:f>'Path Daily'!M193</x:f>
        <x:v>11362</x:v>
      </x:c>
      <x:c r="H193" s="53" t="n">
        <x:f>MIN(E193+F193,G193)</x:f>
        <x:v>11362</x:v>
      </x:c>
      <x:c r="I193" s="53" t="n">
        <x:f>E193+F193-H193</x:f>
        <x:v>57140.54545454544</x:v>
      </x:c>
      <x:c r="J193" s="45" t="str">
        <x:f>IF(I193=0,"CLEAR","QUEUED")</x:f>
        <x:v>QUEUED</x:v>
      </x:c>
      <x:c r="K193" s="72"/>
      <x:c r="L193" s="72"/>
      <x:c r="M193" s="72"/>
      <x:c r="N193" s="72"/>
    </x:row>
    <x:row r="194">
      <x:c r="C194" s="45" t="str">
        <x:f>'Path Daily'!C194</x:f>
        <x:v>P2</x:v>
      </x:c>
      <x:c r="D194" s="45" t="n">
        <x:f>'Path Daily'!D194</x:f>
        <x:v>5</x:v>
      </x:c>
      <x:c r="E194" s="53" t="n">
        <x:f>IF(D194=0,SUMIFS('Cargo Records'!$T$7:$T$70,'Cargo Records'!$J$7:$J$70,C194),0)</x:f>
        <x:v>0</x:v>
      </x:c>
      <x:c r="F194" s="53" t="n">
        <x:f>I193</x:f>
        <x:v>57140.54545454544</x:v>
      </x:c>
      <x:c r="G194" s="53" t="n">
        <x:f>'Path Daily'!M194</x:f>
        <x:v>11362</x:v>
      </x:c>
      <x:c r="H194" s="53" t="n">
        <x:f>MIN(E194+F194,G194)</x:f>
        <x:v>11362</x:v>
      </x:c>
      <x:c r="I194" s="53" t="n">
        <x:f>E194+F194-H194</x:f>
        <x:v>45778.54545454544</x:v>
      </x:c>
      <x:c r="J194" s="45" t="str">
        <x:f>IF(I194=0,"CLEAR","QUEUED")</x:f>
        <x:v>QUEUED</x:v>
      </x:c>
      <x:c r="K194" s="72"/>
      <x:c r="L194" s="72"/>
      <x:c r="M194" s="72"/>
      <x:c r="N194" s="72"/>
    </x:row>
    <x:row r="195">
      <x:c r="C195" s="45" t="str">
        <x:f>'Path Daily'!C195</x:f>
        <x:v>P2</x:v>
      </x:c>
      <x:c r="D195" s="45" t="n">
        <x:f>'Path Daily'!D195</x:f>
        <x:v>6</x:v>
      </x:c>
      <x:c r="E195" s="53" t="n">
        <x:f>IF(D195=0,SUMIFS('Cargo Records'!$T$7:$T$70,'Cargo Records'!$J$7:$J$70,C195),0)</x:f>
        <x:v>0</x:v>
      </x:c>
      <x:c r="F195" s="53" t="n">
        <x:f>I194</x:f>
        <x:v>45778.54545454544</x:v>
      </x:c>
      <x:c r="G195" s="53" t="n">
        <x:f>'Path Daily'!M195</x:f>
        <x:v>8521.5</x:v>
      </x:c>
      <x:c r="H195" s="53" t="n">
        <x:f>MIN(E195+F195,G195)</x:f>
        <x:v>8521.5</x:v>
      </x:c>
      <x:c r="I195" s="53" t="n">
        <x:f>E195+F195-H195</x:f>
        <x:v>37257.04545454544</x:v>
      </x:c>
      <x:c r="J195" s="45" t="str">
        <x:f>IF(I195=0,"CLEAR","QUEUED")</x:f>
        <x:v>QUEUED</x:v>
      </x:c>
      <x:c r="K195" s="72"/>
      <x:c r="L195" s="72"/>
      <x:c r="M195" s="72"/>
      <x:c r="N195" s="72"/>
    </x:row>
    <x:row r="196">
      <x:c r="C196" s="45" t="str">
        <x:f>'Path Daily'!C196</x:f>
        <x:v>P2</x:v>
      </x:c>
      <x:c r="D196" s="45" t="n">
        <x:f>'Path Daily'!D196</x:f>
        <x:v>7</x:v>
      </x:c>
      <x:c r="E196" s="53" t="n">
        <x:f>IF(D196=0,SUMIFS('Cargo Records'!$T$7:$T$70,'Cargo Records'!$J$7:$J$70,C196),0)</x:f>
        <x:v>0</x:v>
      </x:c>
      <x:c r="F196" s="53" t="n">
        <x:f>I195</x:f>
        <x:v>37257.04545454544</x:v>
      </x:c>
      <x:c r="G196" s="53" t="n">
        <x:f>'Path Daily'!M196</x:f>
        <x:v>8521.5</x:v>
      </x:c>
      <x:c r="H196" s="53" t="n">
        <x:f>MIN(E196+F196,G196)</x:f>
        <x:v>8521.5</x:v>
      </x:c>
      <x:c r="I196" s="53" t="n">
        <x:f>E196+F196-H196</x:f>
        <x:v>28735.54545454544</x:v>
      </x:c>
      <x:c r="J196" s="45" t="str">
        <x:f>IF(I196=0,"CLEAR","QUEUED")</x:f>
        <x:v>QUEUED</x:v>
      </x:c>
      <x:c r="K196" s="72"/>
      <x:c r="L196" s="72"/>
      <x:c r="M196" s="72"/>
      <x:c r="N196" s="72"/>
    </x:row>
    <x:row r="197">
      <x:c r="C197" s="45" t="str">
        <x:f>'Path Daily'!C197</x:f>
        <x:v>P2</x:v>
      </x:c>
      <x:c r="D197" s="45" t="n">
        <x:f>'Path Daily'!D197</x:f>
        <x:v>8</x:v>
      </x:c>
      <x:c r="E197" s="53" t="n">
        <x:f>IF(D197=0,SUMIFS('Cargo Records'!$T$7:$T$70,'Cargo Records'!$J$7:$J$70,C197),0)</x:f>
        <x:v>0</x:v>
      </x:c>
      <x:c r="F197" s="53" t="n">
        <x:f>I196</x:f>
        <x:v>28735.54545454544</x:v>
      </x:c>
      <x:c r="G197" s="53" t="n">
        <x:f>'Path Daily'!M197</x:f>
        <x:v>13156</x:v>
      </x:c>
      <x:c r="H197" s="53" t="n">
        <x:f>MIN(E197+F197,G197)</x:f>
        <x:v>13156</x:v>
      </x:c>
      <x:c r="I197" s="53" t="n">
        <x:f>E197+F197-H197</x:f>
        <x:v>15579.545454545441</x:v>
      </x:c>
      <x:c r="J197" s="45" t="str">
        <x:f>IF(I197=0,"CLEAR","QUEUED")</x:f>
        <x:v>QUEUED</x:v>
      </x:c>
      <x:c r="K197" s="72"/>
      <x:c r="L197" s="72"/>
      <x:c r="M197" s="72"/>
      <x:c r="N197" s="72"/>
    </x:row>
    <x:row r="198">
      <x:c r="C198" s="45" t="str">
        <x:f>'Path Daily'!C198</x:f>
        <x:v>P2</x:v>
      </x:c>
      <x:c r="D198" s="45" t="n">
        <x:f>'Path Daily'!D198</x:f>
        <x:v>9</x:v>
      </x:c>
      <x:c r="E198" s="53" t="n">
        <x:f>IF(D198=0,SUMIFS('Cargo Records'!$T$7:$T$70,'Cargo Records'!$J$7:$J$70,C198),0)</x:f>
        <x:v>0</x:v>
      </x:c>
      <x:c r="F198" s="53" t="n">
        <x:f>I197</x:f>
        <x:v>15579.545454545441</x:v>
      </x:c>
      <x:c r="G198" s="53" t="n">
        <x:f>'Path Daily'!M198</x:f>
        <x:v>13156</x:v>
      </x:c>
      <x:c r="H198" s="53" t="n">
        <x:f>MIN(E198+F198,G198)</x:f>
        <x:v>13156</x:v>
      </x:c>
      <x:c r="I198" s="53" t="n">
        <x:f>E198+F198-H198</x:f>
        <x:v>2423.5454545454413</x:v>
      </x:c>
      <x:c r="J198" s="45" t="str">
        <x:f>IF(I198=0,"CLEAR","QUEUED")</x:f>
        <x:v>QUEUED</x:v>
      </x:c>
      <x:c r="K198" s="72"/>
      <x:c r="L198" s="72"/>
      <x:c r="M198" s="72"/>
      <x:c r="N198" s="72"/>
    </x:row>
    <x:row r="199">
      <x:c r="C199" s="45" t="str">
        <x:f>'Path Daily'!C199</x:f>
        <x:v>P2</x:v>
      </x:c>
      <x:c r="D199" s="45" t="n">
        <x:f>'Path Daily'!D199</x:f>
        <x:v>10</x:v>
      </x:c>
      <x:c r="E199" s="53" t="n">
        <x:f>IF(D199=0,SUMIFS('Cargo Records'!$T$7:$T$70,'Cargo Records'!$J$7:$J$70,C199),0)</x:f>
        <x:v>0</x:v>
      </x:c>
      <x:c r="F199" s="53" t="n">
        <x:f>I198</x:f>
        <x:v>2423.5454545454413</x:v>
      </x:c>
      <x:c r="G199" s="53" t="n">
        <x:f>'Path Daily'!M199</x:f>
        <x:v>13156</x:v>
      </x:c>
      <x:c r="H199" s="53" t="n">
        <x:f>MIN(E199+F199,G199)</x:f>
        <x:v>2423.5454545454413</x:v>
      </x:c>
      <x:c r="I199" s="53" t="n">
        <x:f>E199+F199-H199</x:f>
        <x:v>0</x:v>
      </x:c>
      <x:c r="J199" s="45" t="str">
        <x:f>IF(I199=0,"CLEAR","QUEUED")</x:f>
        <x:v>CLEAR</x:v>
      </x:c>
      <x:c r="K199" s="72"/>
      <x:c r="L199" s="72"/>
      <x:c r="M199" s="72"/>
      <x:c r="N199" s="72"/>
    </x:row>
    <x:row r="200">
      <x:c r="C200" s="45" t="str">
        <x:f>'Path Daily'!C200</x:f>
        <x:v>P2</x:v>
      </x:c>
      <x:c r="D200" s="45" t="n">
        <x:f>'Path Daily'!D200</x:f>
        <x:v>11</x:v>
      </x:c>
      <x:c r="E200" s="53" t="n">
        <x:f>IF(D200=0,SUMIFS('Cargo Records'!$T$7:$T$70,'Cargo Records'!$J$7:$J$70,C200),0)</x:f>
        <x:v>0</x:v>
      </x:c>
      <x:c r="F200" s="53" t="n">
        <x:f>I199</x:f>
        <x:v>0</x:v>
      </x:c>
      <x:c r="G200" s="53" t="n">
        <x:f>'Path Daily'!M200</x:f>
        <x:v>13156</x:v>
      </x:c>
      <x:c r="H200" s="53" t="n">
        <x:f>MIN(E200+F200,G200)</x:f>
        <x:v>0</x:v>
      </x:c>
      <x:c r="I200" s="53" t="n">
        <x:f>E200+F200-H200</x:f>
        <x:v>0</x:v>
      </x:c>
      <x:c r="J200" s="45" t="str">
        <x:f>IF(I200=0,"CLEAR","QUEUED")</x:f>
        <x:v>CLEAR</x:v>
      </x:c>
      <x:c r="K200" s="72"/>
      <x:c r="L200" s="72"/>
      <x:c r="M200" s="72"/>
      <x:c r="N200" s="72"/>
    </x:row>
    <x:row r="201">
      <x:c r="C201" s="45" t="str">
        <x:f>'Path Daily'!C201</x:f>
        <x:v>P2</x:v>
      </x:c>
      <x:c r="D201" s="45" t="n">
        <x:f>'Path Daily'!D201</x:f>
        <x:v>12</x:v>
      </x:c>
      <x:c r="E201" s="53" t="n">
        <x:f>IF(D201=0,SUMIFS('Cargo Records'!$T$7:$T$70,'Cargo Records'!$J$7:$J$70,C201),0)</x:f>
        <x:v>0</x:v>
      </x:c>
      <x:c r="F201" s="53" t="n">
        <x:f>I200</x:f>
        <x:v>0</x:v>
      </x:c>
      <x:c r="G201" s="53" t="n">
        <x:f>'Path Daily'!M201</x:f>
        <x:v>13156</x:v>
      </x:c>
      <x:c r="H201" s="53" t="n">
        <x:f>MIN(E201+F201,G201)</x:f>
        <x:v>0</x:v>
      </x:c>
      <x:c r="I201" s="53" t="n">
        <x:f>E201+F201-H201</x:f>
        <x:v>0</x:v>
      </x:c>
      <x:c r="J201" s="45" t="str">
        <x:f>IF(I201=0,"CLEAR","QUEUED")</x:f>
        <x:v>CLEAR</x:v>
      </x:c>
      <x:c r="K201" s="72"/>
      <x:c r="L201" s="72"/>
      <x:c r="M201" s="72"/>
      <x:c r="N201" s="72"/>
    </x:row>
    <x:row r="202">
      <x:c r="C202" s="45" t="str">
        <x:f>'Path Daily'!C202</x:f>
        <x:v>P2</x:v>
      </x:c>
      <x:c r="D202" s="45" t="n">
        <x:f>'Path Daily'!D202</x:f>
        <x:v>13</x:v>
      </x:c>
      <x:c r="E202" s="53" t="n">
        <x:f>IF(D202=0,SUMIFS('Cargo Records'!$T$7:$T$70,'Cargo Records'!$J$7:$J$70,C202),0)</x:f>
        <x:v>0</x:v>
      </x:c>
      <x:c r="F202" s="53" t="n">
        <x:f>I201</x:f>
        <x:v>0</x:v>
      </x:c>
      <x:c r="G202" s="53" t="n">
        <x:f>'Path Daily'!M202</x:f>
        <x:v>13156</x:v>
      </x:c>
      <x:c r="H202" s="53" t="n">
        <x:f>MIN(E202+F202,G202)</x:f>
        <x:v>0</x:v>
      </x:c>
      <x:c r="I202" s="53" t="n">
        <x:f>E202+F202-H202</x:f>
        <x:v>0</x:v>
      </x:c>
      <x:c r="J202" s="45" t="str">
        <x:f>IF(I202=0,"CLEAR","QUEUED")</x:f>
        <x:v>CLEAR</x:v>
      </x:c>
      <x:c r="K202" s="72"/>
      <x:c r="L202" s="72"/>
      <x:c r="M202" s="72"/>
      <x:c r="N202" s="72"/>
    </x:row>
    <x:row r="203">
      <x:c r="C203" s="45" t="str">
        <x:f>'Path Daily'!C203</x:f>
        <x:v>P2</x:v>
      </x:c>
      <x:c r="D203" s="45" t="n">
        <x:f>'Path Daily'!D203</x:f>
        <x:v>14</x:v>
      </x:c>
      <x:c r="E203" s="53" t="n">
        <x:f>IF(D203=0,SUMIFS('Cargo Records'!$T$7:$T$70,'Cargo Records'!$J$7:$J$70,C203),0)</x:f>
        <x:v>0</x:v>
      </x:c>
      <x:c r="F203" s="53" t="n">
        <x:f>I202</x:f>
        <x:v>0</x:v>
      </x:c>
      <x:c r="G203" s="53" t="n">
        <x:f>'Path Daily'!M203</x:f>
        <x:v>9209.199999999999</x:v>
      </x:c>
      <x:c r="H203" s="53" t="n">
        <x:f>MIN(E203+F203,G203)</x:f>
        <x:v>0</x:v>
      </x:c>
      <x:c r="I203" s="53" t="n">
        <x:f>E203+F203-H203</x:f>
        <x:v>0</x:v>
      </x:c>
      <x:c r="J203" s="45" t="str">
        <x:f>IF(I203=0,"CLEAR","QUEUED")</x:f>
        <x:v>CLEAR</x:v>
      </x:c>
      <x:c r="K203" s="72"/>
      <x:c r="L203" s="72"/>
      <x:c r="M203" s="72"/>
      <x:c r="N203" s="72"/>
    </x:row>
    <x:row r="204">
      <x:c r="C204" s="45" t="str">
        <x:f>'Path Daily'!C204</x:f>
        <x:v>P2</x:v>
      </x:c>
      <x:c r="D204" s="45" t="n">
        <x:f>'Path Daily'!D204</x:f>
        <x:v>15</x:v>
      </x:c>
      <x:c r="E204" s="53" t="n">
        <x:f>IF(D204=0,SUMIFS('Cargo Records'!$T$7:$T$70,'Cargo Records'!$J$7:$J$70,C204),0)</x:f>
        <x:v>0</x:v>
      </x:c>
      <x:c r="F204" s="53" t="n">
        <x:f>I203</x:f>
        <x:v>0</x:v>
      </x:c>
      <x:c r="G204" s="53" t="n">
        <x:f>'Path Daily'!M204</x:f>
        <x:v>7083.999999999999</x:v>
      </x:c>
      <x:c r="H204" s="53" t="n">
        <x:f>MIN(E204+F204,G204)</x:f>
        <x:v>0</x:v>
      </x:c>
      <x:c r="I204" s="53" t="n">
        <x:f>E204+F204-H204</x:f>
        <x:v>0</x:v>
      </x:c>
      <x:c r="J204" s="45" t="str">
        <x:f>IF(I204=0,"CLEAR","QUEUED")</x:f>
        <x:v>CLEAR</x:v>
      </x:c>
      <x:c r="K204" s="72"/>
      <x:c r="L204" s="72"/>
      <x:c r="M204" s="72"/>
      <x:c r="N204" s="72"/>
    </x:row>
    <x:row r="205">
      <x:c r="C205" s="45" t="str">
        <x:f>'Path Daily'!C205</x:f>
        <x:v>P2</x:v>
      </x:c>
      <x:c r="D205" s="45" t="n">
        <x:f>'Path Daily'!D205</x:f>
        <x:v>16</x:v>
      </x:c>
      <x:c r="E205" s="53" t="n">
        <x:f>IF(D205=0,SUMIFS('Cargo Records'!$T$7:$T$70,'Cargo Records'!$J$7:$J$70,C205),0)</x:f>
        <x:v>0</x:v>
      </x:c>
      <x:c r="F205" s="53" t="n">
        <x:f>I204</x:f>
        <x:v>0</x:v>
      </x:c>
      <x:c r="G205" s="53" t="n">
        <x:f>'Path Daily'!M205</x:f>
        <x:v>7083.999999999999</x:v>
      </x:c>
      <x:c r="H205" s="53" t="n">
        <x:f>MIN(E205+F205,G205)</x:f>
        <x:v>0</x:v>
      </x:c>
      <x:c r="I205" s="53" t="n">
        <x:f>E205+F205-H205</x:f>
        <x:v>0</x:v>
      </x:c>
      <x:c r="J205" s="45" t="str">
        <x:f>IF(I205=0,"CLEAR","QUEUED")</x:f>
        <x:v>CLEAR</x:v>
      </x:c>
      <x:c r="K205" s="72"/>
      <x:c r="L205" s="72"/>
      <x:c r="M205" s="72"/>
      <x:c r="N205" s="72"/>
    </x:row>
    <x:row r="206">
      <x:c r="C206" s="45" t="str">
        <x:f>'Path Daily'!C206</x:f>
        <x:v>P2</x:v>
      </x:c>
      <x:c r="D206" s="45" t="n">
        <x:f>'Path Daily'!D206</x:f>
        <x:v>17</x:v>
      </x:c>
      <x:c r="E206" s="53" t="n">
        <x:f>IF(D206=0,SUMIFS('Cargo Records'!$T$7:$T$70,'Cargo Records'!$J$7:$J$70,C206),0)</x:f>
        <x:v>0</x:v>
      </x:c>
      <x:c r="F206" s="53" t="n">
        <x:f>I205</x:f>
        <x:v>0</x:v>
      </x:c>
      <x:c r="G206" s="53" t="n">
        <x:f>'Path Daily'!M206</x:f>
        <x:v>10120</x:v>
      </x:c>
      <x:c r="H206" s="53" t="n">
        <x:f>MIN(E206+F206,G206)</x:f>
        <x:v>0</x:v>
      </x:c>
      <x:c r="I206" s="53" t="n">
        <x:f>E206+F206-H206</x:f>
        <x:v>0</x:v>
      </x:c>
      <x:c r="J206" s="45" t="str">
        <x:f>IF(I206=0,"CLEAR","QUEUED")</x:f>
        <x:v>CLEAR</x:v>
      </x:c>
      <x:c r="K206" s="72"/>
      <x:c r="L206" s="72"/>
      <x:c r="M206" s="72"/>
      <x:c r="N206" s="72"/>
    </x:row>
    <x:row r="207">
      <x:c r="C207" s="45" t="str">
        <x:f>'Path Daily'!C207</x:f>
        <x:v>P2</x:v>
      </x:c>
      <x:c r="D207" s="45" t="n">
        <x:f>'Path Daily'!D207</x:f>
        <x:v>18</x:v>
      </x:c>
      <x:c r="E207" s="53" t="n">
        <x:f>IF(D207=0,SUMIFS('Cargo Records'!$T$7:$T$70,'Cargo Records'!$J$7:$J$70,C207),0)</x:f>
        <x:v>0</x:v>
      </x:c>
      <x:c r="F207" s="53" t="n">
        <x:f>I206</x:f>
        <x:v>0</x:v>
      </x:c>
      <x:c r="G207" s="53" t="n">
        <x:f>'Path Daily'!M207</x:f>
        <x:v>10120</x:v>
      </x:c>
      <x:c r="H207" s="53" t="n">
        <x:f>MIN(E207+F207,G207)</x:f>
        <x:v>0</x:v>
      </x:c>
      <x:c r="I207" s="53" t="n">
        <x:f>E207+F207-H207</x:f>
        <x:v>0</x:v>
      </x:c>
      <x:c r="J207" s="45" t="str">
        <x:f>IF(I207=0,"CLEAR","QUEUED")</x:f>
        <x:v>CLEAR</x:v>
      </x:c>
      <x:c r="K207" s="72"/>
      <x:c r="L207" s="72"/>
      <x:c r="M207" s="72"/>
      <x:c r="N207" s="72"/>
    </x:row>
    <x:row r="208">
      <x:c r="C208" s="45" t="str">
        <x:f>'Path Daily'!C208</x:f>
        <x:v>P2</x:v>
      </x:c>
      <x:c r="D208" s="45" t="n">
        <x:f>'Path Daily'!D208</x:f>
        <x:v>19</x:v>
      </x:c>
      <x:c r="E208" s="53" t="n">
        <x:f>IF(D208=0,SUMIFS('Cargo Records'!$T$7:$T$70,'Cargo Records'!$J$7:$J$70,C208),0)</x:f>
        <x:v>0</x:v>
      </x:c>
      <x:c r="F208" s="53" t="n">
        <x:f>I207</x:f>
        <x:v>0</x:v>
      </x:c>
      <x:c r="G208" s="53" t="n">
        <x:f>'Path Daily'!M208</x:f>
        <x:v>10120</x:v>
      </x:c>
      <x:c r="H208" s="53" t="n">
        <x:f>MIN(E208+F208,G208)</x:f>
        <x:v>0</x:v>
      </x:c>
      <x:c r="I208" s="53" t="n">
        <x:f>E208+F208-H208</x:f>
        <x:v>0</x:v>
      </x:c>
      <x:c r="J208" s="45" t="str">
        <x:f>IF(I208=0,"CLEAR","QUEUED")</x:f>
        <x:v>CLEAR</x:v>
      </x:c>
      <x:c r="K208" s="72"/>
      <x:c r="L208" s="72"/>
      <x:c r="M208" s="72"/>
      <x:c r="N208" s="72"/>
    </x:row>
    <x:row r="209">
      <x:c r="C209" s="45" t="str">
        <x:f>'Path Daily'!C209</x:f>
        <x:v>P2</x:v>
      </x:c>
      <x:c r="D209" s="45" t="n">
        <x:f>'Path Daily'!D209</x:f>
        <x:v>20</x:v>
      </x:c>
      <x:c r="E209" s="53" t="n">
        <x:f>IF(D209=0,SUMIFS('Cargo Records'!$T$7:$T$70,'Cargo Records'!$J$7:$J$70,C209),0)</x:f>
        <x:v>0</x:v>
      </x:c>
      <x:c r="F209" s="53" t="n">
        <x:f>I208</x:f>
        <x:v>0</x:v>
      </x:c>
      <x:c r="G209" s="53" t="n">
        <x:f>'Path Daily'!M209</x:f>
        <x:v>10120</x:v>
      </x:c>
      <x:c r="H209" s="53" t="n">
        <x:f>MIN(E209+F209,G209)</x:f>
        <x:v>0</x:v>
      </x:c>
      <x:c r="I209" s="53" t="n">
        <x:f>E209+F209-H209</x:f>
        <x:v>0</x:v>
      </x:c>
      <x:c r="J209" s="45" t="str">
        <x:f>IF(I209=0,"CLEAR","QUEUED")</x:f>
        <x:v>CLEAR</x:v>
      </x:c>
      <x:c r="K209" s="72"/>
      <x:c r="L209" s="72"/>
      <x:c r="M209" s="72"/>
      <x:c r="N209" s="72"/>
    </x:row>
    <x:row r="210">
      <x:c r="C210" s="45" t="str">
        <x:f>'Path Daily'!C210</x:f>
        <x:v>P2</x:v>
      </x:c>
      <x:c r="D210" s="45" t="n">
        <x:f>'Path Daily'!D210</x:f>
        <x:v>21</x:v>
      </x:c>
      <x:c r="E210" s="53" t="n">
        <x:f>IF(D210=0,SUMIFS('Cargo Records'!$T$7:$T$70,'Cargo Records'!$J$7:$J$70,C210),0)</x:f>
        <x:v>0</x:v>
      </x:c>
      <x:c r="F210" s="53" t="n">
        <x:f>I209</x:f>
        <x:v>0</x:v>
      </x:c>
      <x:c r="G210" s="53" t="n">
        <x:f>'Path Daily'!M210</x:f>
        <x:v>7590</x:v>
      </x:c>
      <x:c r="H210" s="53" t="n">
        <x:f>MIN(E210+F210,G210)</x:f>
        <x:v>0</x:v>
      </x:c>
      <x:c r="I210" s="53" t="n">
        <x:f>E210+F210-H210</x:f>
        <x:v>0</x:v>
      </x:c>
      <x:c r="J210" s="45" t="str">
        <x:f>IF(I210=0,"CLEAR","QUEUED")</x:f>
        <x:v>CLEAR</x:v>
      </x:c>
      <x:c r="K210" s="72"/>
      <x:c r="L210" s="72"/>
      <x:c r="M210" s="72"/>
      <x:c r="N210" s="72"/>
    </x:row>
    <x:row r="211">
      <x:c r="C211" s="45" t="str">
        <x:f>'Path Daily'!C211</x:f>
        <x:v>P2</x:v>
      </x:c>
      <x:c r="D211" s="45" t="n">
        <x:f>'Path Daily'!D211</x:f>
        <x:v>22</x:v>
      </x:c>
      <x:c r="E211" s="53" t="n">
        <x:f>IF(D211=0,SUMIFS('Cargo Records'!$T$7:$T$70,'Cargo Records'!$J$7:$J$70,C211),0)</x:f>
        <x:v>0</x:v>
      </x:c>
      <x:c r="F211" s="53" t="n">
        <x:f>I210</x:f>
        <x:v>0</x:v>
      </x:c>
      <x:c r="G211" s="53" t="n">
        <x:f>'Path Daily'!M211</x:f>
        <x:v>10120</x:v>
      </x:c>
      <x:c r="H211" s="53" t="n">
        <x:f>MIN(E211+F211,G211)</x:f>
        <x:v>0</x:v>
      </x:c>
      <x:c r="I211" s="53" t="n">
        <x:f>E211+F211-H211</x:f>
        <x:v>0</x:v>
      </x:c>
      <x:c r="J211" s="45" t="str">
        <x:f>IF(I211=0,"CLEAR","QUEUED")</x:f>
        <x:v>CLEAR</x:v>
      </x:c>
      <x:c r="K211" s="72"/>
      <x:c r="L211" s="72"/>
      <x:c r="M211" s="72"/>
      <x:c r="N211" s="72"/>
    </x:row>
    <x:row r="212">
      <x:c r="C212" s="45" t="str">
        <x:f>'Path Daily'!C212</x:f>
        <x:v>P2</x:v>
      </x:c>
      <x:c r="D212" s="45" t="n">
        <x:f>'Path Daily'!D212</x:f>
        <x:v>23</x:v>
      </x:c>
      <x:c r="E212" s="53" t="n">
        <x:f>IF(D212=0,SUMIFS('Cargo Records'!$T$7:$T$70,'Cargo Records'!$J$7:$J$70,C212),0)</x:f>
        <x:v>0</x:v>
      </x:c>
      <x:c r="F212" s="53" t="n">
        <x:f>I211</x:f>
        <x:v>0</x:v>
      </x:c>
      <x:c r="G212" s="53" t="n">
        <x:f>'Path Daily'!M212</x:f>
        <x:v>10120</x:v>
      </x:c>
      <x:c r="H212" s="53" t="n">
        <x:f>MIN(E212+F212,G212)</x:f>
        <x:v>0</x:v>
      </x:c>
      <x:c r="I212" s="53" t="n">
        <x:f>E212+F212-H212</x:f>
        <x:v>0</x:v>
      </x:c>
      <x:c r="J212" s="45" t="str">
        <x:f>IF(I212=0,"CLEAR","QUEUED")</x:f>
        <x:v>CLEAR</x:v>
      </x:c>
      <x:c r="K212" s="72"/>
      <x:c r="L212" s="72"/>
      <x:c r="M212" s="72"/>
      <x:c r="N212" s="72"/>
    </x:row>
    <x:row r="213">
      <x:c r="C213" s="45" t="str">
        <x:f>'Path Daily'!C213</x:f>
        <x:v>P2</x:v>
      </x:c>
      <x:c r="D213" s="45" t="n">
        <x:f>'Path Daily'!D213</x:f>
        <x:v>24</x:v>
      </x:c>
      <x:c r="E213" s="53" t="n">
        <x:f>IF(D213=0,SUMIFS('Cargo Records'!$T$7:$T$70,'Cargo Records'!$J$7:$J$70,C213),0)</x:f>
        <x:v>0</x:v>
      </x:c>
      <x:c r="F213" s="53" t="n">
        <x:f>I212</x:f>
        <x:v>0</x:v>
      </x:c>
      <x:c r="G213" s="53" t="n">
        <x:f>'Path Daily'!M213</x:f>
        <x:v>10120</x:v>
      </x:c>
      <x:c r="H213" s="53" t="n">
        <x:f>MIN(E213+F213,G213)</x:f>
        <x:v>0</x:v>
      </x:c>
      <x:c r="I213" s="53" t="n">
        <x:f>E213+F213-H213</x:f>
        <x:v>0</x:v>
      </x:c>
      <x:c r="J213" s="45" t="str">
        <x:f>IF(I213=0,"CLEAR","QUEUED")</x:f>
        <x:v>CLEAR</x:v>
      </x:c>
      <x:c r="K213" s="72"/>
      <x:c r="L213" s="72"/>
      <x:c r="M213" s="72"/>
      <x:c r="N213" s="72"/>
    </x:row>
    <x:row r="214">
      <x:c r="C214" s="45" t="str">
        <x:f>'Path Daily'!C214</x:f>
        <x:v>P2</x:v>
      </x:c>
      <x:c r="D214" s="45" t="n">
        <x:f>'Path Daily'!D214</x:f>
        <x:v>25</x:v>
      </x:c>
      <x:c r="E214" s="53" t="n">
        <x:f>IF(D214=0,SUMIFS('Cargo Records'!$T$7:$T$70,'Cargo Records'!$J$7:$J$70,C214),0)</x:f>
        <x:v>0</x:v>
      </x:c>
      <x:c r="F214" s="53" t="n">
        <x:f>I213</x:f>
        <x:v>0</x:v>
      </x:c>
      <x:c r="G214" s="53" t="n">
        <x:f>'Path Daily'!M214</x:f>
        <x:v>10120</x:v>
      </x:c>
      <x:c r="H214" s="53" t="n">
        <x:f>MIN(E214+F214,G214)</x:f>
        <x:v>0</x:v>
      </x:c>
      <x:c r="I214" s="53" t="n">
        <x:f>E214+F214-H214</x:f>
        <x:v>0</x:v>
      </x:c>
      <x:c r="J214" s="45" t="str">
        <x:f>IF(I214=0,"CLEAR","QUEUED")</x:f>
        <x:v>CLEAR</x:v>
      </x:c>
      <x:c r="K214" s="72"/>
      <x:c r="L214" s="72"/>
      <x:c r="M214" s="72"/>
      <x:c r="N214" s="72"/>
    </x:row>
    <x:row r="215">
      <x:c r="C215" s="45" t="str">
        <x:f>'Path Daily'!C215</x:f>
        <x:v>P2</x:v>
      </x:c>
      <x:c r="D215" s="45" t="n">
        <x:f>'Path Daily'!D215</x:f>
        <x:v>26</x:v>
      </x:c>
      <x:c r="E215" s="53" t="n">
        <x:f>IF(D215=0,SUMIFS('Cargo Records'!$T$7:$T$70,'Cargo Records'!$J$7:$J$70,C215),0)</x:f>
        <x:v>0</x:v>
      </x:c>
      <x:c r="F215" s="53" t="n">
        <x:f>I214</x:f>
        <x:v>0</x:v>
      </x:c>
      <x:c r="G215" s="53" t="n">
        <x:f>'Path Daily'!M215</x:f>
        <x:v>10120</x:v>
      </x:c>
      <x:c r="H215" s="53" t="n">
        <x:f>MIN(E215+F215,G215)</x:f>
        <x:v>0</x:v>
      </x:c>
      <x:c r="I215" s="53" t="n">
        <x:f>E215+F215-H215</x:f>
        <x:v>0</x:v>
      </x:c>
      <x:c r="J215" s="45" t="str">
        <x:f>IF(I215=0,"CLEAR","QUEUED")</x:f>
        <x:v>CLEAR</x:v>
      </x:c>
      <x:c r="K215" s="72"/>
      <x:c r="L215" s="72"/>
      <x:c r="M215" s="72"/>
      <x:c r="N215" s="72"/>
    </x:row>
    <x:row r="216">
      <x:c r="C216" s="45" t="str">
        <x:f>'Path Daily'!C216</x:f>
        <x:v>P2</x:v>
      </x:c>
      <x:c r="D216" s="45" t="n">
        <x:f>'Path Daily'!D216</x:f>
        <x:v>27</x:v>
      </x:c>
      <x:c r="E216" s="53" t="n">
        <x:f>IF(D216=0,SUMIFS('Cargo Records'!$T$7:$T$70,'Cargo Records'!$J$7:$J$70,C216),0)</x:f>
        <x:v>0</x:v>
      </x:c>
      <x:c r="F216" s="53" t="n">
        <x:f>I215</x:f>
        <x:v>0</x:v>
      </x:c>
      <x:c r="G216" s="53" t="n">
        <x:f>'Path Daily'!M216</x:f>
        <x:v>10120</x:v>
      </x:c>
      <x:c r="H216" s="53" t="n">
        <x:f>MIN(E216+F216,G216)</x:f>
        <x:v>0</x:v>
      </x:c>
      <x:c r="I216" s="53" t="n">
        <x:f>E216+F216-H216</x:f>
        <x:v>0</x:v>
      </x:c>
      <x:c r="J216" s="45" t="str">
        <x:f>IF(I216=0,"CLEAR","QUEUED")</x:f>
        <x:v>CLEAR</x:v>
      </x:c>
      <x:c r="K216" s="72"/>
      <x:c r="L216" s="72"/>
      <x:c r="M216" s="72"/>
      <x:c r="N216" s="72"/>
    </x:row>
    <x:row r="217">
      <x:c r="C217" s="45" t="str">
        <x:f>'Path Daily'!C217</x:f>
        <x:v>P2</x:v>
      </x:c>
      <x:c r="D217" s="45" t="n">
        <x:f>'Path Daily'!D217</x:f>
        <x:v>28</x:v>
      </x:c>
      <x:c r="E217" s="53" t="n">
        <x:f>IF(D217=0,SUMIFS('Cargo Records'!$T$7:$T$70,'Cargo Records'!$J$7:$J$70,C217),0)</x:f>
        <x:v>0</x:v>
      </x:c>
      <x:c r="F217" s="53" t="n">
        <x:f>I216</x:f>
        <x:v>0</x:v>
      </x:c>
      <x:c r="G217" s="53" t="n">
        <x:f>'Path Daily'!M217</x:f>
        <x:v>10120</x:v>
      </x:c>
      <x:c r="H217" s="53" t="n">
        <x:f>MIN(E217+F217,G217)</x:f>
        <x:v>0</x:v>
      </x:c>
      <x:c r="I217" s="53" t="n">
        <x:f>E217+F217-H217</x:f>
        <x:v>0</x:v>
      </x:c>
      <x:c r="J217" s="45" t="str">
        <x:f>IF(I217=0,"CLEAR","QUEUED")</x:f>
        <x:v>CLEAR</x:v>
      </x:c>
      <x:c r="K217" s="72"/>
      <x:c r="L217" s="72"/>
      <x:c r="M217" s="72"/>
      <x:c r="N217" s="72"/>
    </x:row>
    <x:row r="218">
      <x:c r="C218" s="45" t="str">
        <x:f>'Path Daily'!C218</x:f>
        <x:v>P2</x:v>
      </x:c>
      <x:c r="D218" s="45" t="n">
        <x:f>'Path Daily'!D218</x:f>
        <x:v>29</x:v>
      </x:c>
      <x:c r="E218" s="53" t="n">
        <x:f>IF(D218=0,SUMIFS('Cargo Records'!$T$7:$T$70,'Cargo Records'!$J$7:$J$70,C218),0)</x:f>
        <x:v>0</x:v>
      </x:c>
      <x:c r="F218" s="53" t="n">
        <x:f>I217</x:f>
        <x:v>0</x:v>
      </x:c>
      <x:c r="G218" s="53" t="n">
        <x:f>'Path Daily'!M218</x:f>
        <x:v>10120</x:v>
      </x:c>
      <x:c r="H218" s="53" t="n">
        <x:f>MIN(E218+F218,G218)</x:f>
        <x:v>0</x:v>
      </x:c>
      <x:c r="I218" s="53" t="n">
        <x:f>E218+F218-H218</x:f>
        <x:v>0</x:v>
      </x:c>
      <x:c r="J218" s="45" t="str">
        <x:f>IF(I218=0,"CLEAR","QUEUED")</x:f>
        <x:v>CLEAR</x:v>
      </x:c>
      <x:c r="K218" s="72"/>
      <x:c r="L218" s="72"/>
      <x:c r="M218" s="72"/>
      <x:c r="N218" s="72"/>
    </x:row>
    <x:row r="219">
      <x:c r="C219" s="45" t="str">
        <x:f>'Path Daily'!C219</x:f>
        <x:v>P2</x:v>
      </x:c>
      <x:c r="D219" s="45" t="n">
        <x:f>'Path Daily'!D219</x:f>
        <x:v>30</x:v>
      </x:c>
      <x:c r="E219" s="53" t="n">
        <x:f>IF(D219=0,SUMIFS('Cargo Records'!$T$7:$T$70,'Cargo Records'!$J$7:$J$70,C219),0)</x:f>
        <x:v>0</x:v>
      </x:c>
      <x:c r="F219" s="53" t="n">
        <x:f>I218</x:f>
        <x:v>0</x:v>
      </x:c>
      <x:c r="G219" s="53" t="n">
        <x:f>'Path Daily'!M219</x:f>
        <x:v>10120</x:v>
      </x:c>
      <x:c r="H219" s="53" t="n">
        <x:f>MIN(E219+F219,G219)</x:f>
        <x:v>0</x:v>
      </x:c>
      <x:c r="I219" s="53" t="n">
        <x:f>E219+F219-H219</x:f>
        <x:v>0</x:v>
      </x:c>
      <x:c r="J219" s="45" t="str">
        <x:f>IF(I219=0,"CLEAR","QUEUED")</x:f>
        <x:v>CLEAR</x:v>
      </x:c>
      <x:c r="K219" s="72"/>
      <x:c r="L219" s="72"/>
      <x:c r="M219" s="72"/>
      <x:c r="N219" s="72"/>
    </x:row>
    <x:row r="220">
      <x:c r="C220" s="45" t="str">
        <x:f>'Path Daily'!C220</x:f>
        <x:v>P2</x:v>
      </x:c>
      <x:c r="D220" s="45" t="n">
        <x:f>'Path Daily'!D220</x:f>
        <x:v>31</x:v>
      </x:c>
      <x:c r="E220" s="53" t="n">
        <x:f>IF(D220=0,SUMIFS('Cargo Records'!$T$7:$T$70,'Cargo Records'!$J$7:$J$70,C220),0)</x:f>
        <x:v>0</x:v>
      </x:c>
      <x:c r="F220" s="53" t="n">
        <x:f>I219</x:f>
        <x:v>0</x:v>
      </x:c>
      <x:c r="G220" s="53" t="n">
        <x:f>'Path Daily'!M220</x:f>
        <x:v>10120</x:v>
      </x:c>
      <x:c r="H220" s="53" t="n">
        <x:f>MIN(E220+F220,G220)</x:f>
        <x:v>0</x:v>
      </x:c>
      <x:c r="I220" s="53" t="n">
        <x:f>E220+F220-H220</x:f>
        <x:v>0</x:v>
      </x:c>
      <x:c r="J220" s="45" t="str">
        <x:f>IF(I220=0,"CLEAR","QUEUED")</x:f>
        <x:v>CLEAR</x:v>
      </x:c>
      <x:c r="K220" s="72"/>
      <x:c r="L220" s="72"/>
      <x:c r="M220" s="72"/>
      <x:c r="N220" s="72"/>
    </x:row>
    <x:row r="221">
      <x:c r="C221" s="45" t="str">
        <x:f>'Path Daily'!C221</x:f>
        <x:v>P2</x:v>
      </x:c>
      <x:c r="D221" s="45" t="n">
        <x:f>'Path Daily'!D221</x:f>
        <x:v>32</x:v>
      </x:c>
      <x:c r="E221" s="53" t="n">
        <x:f>IF(D221=0,SUMIFS('Cargo Records'!$T$7:$T$70,'Cargo Records'!$J$7:$J$70,C221),0)</x:f>
        <x:v>0</x:v>
      </x:c>
      <x:c r="F221" s="53" t="n">
        <x:f>I220</x:f>
        <x:v>0</x:v>
      </x:c>
      <x:c r="G221" s="53" t="n">
        <x:f>'Path Daily'!M221</x:f>
        <x:v>10120</x:v>
      </x:c>
      <x:c r="H221" s="53" t="n">
        <x:f>MIN(E221+F221,G221)</x:f>
        <x:v>0</x:v>
      </x:c>
      <x:c r="I221" s="53" t="n">
        <x:f>E221+F221-H221</x:f>
        <x:v>0</x:v>
      </x:c>
      <x:c r="J221" s="45" t="str">
        <x:f>IF(I221=0,"CLEAR","QUEUED")</x:f>
        <x:v>CLEAR</x:v>
      </x:c>
      <x:c r="K221" s="72"/>
      <x:c r="L221" s="72"/>
      <x:c r="M221" s="72"/>
      <x:c r="N221" s="72"/>
    </x:row>
    <x:row r="222">
      <x:c r="C222" s="45" t="str">
        <x:f>'Path Daily'!C222</x:f>
        <x:v>P2</x:v>
      </x:c>
      <x:c r="D222" s="45" t="n">
        <x:f>'Path Daily'!D222</x:f>
        <x:v>33</x:v>
      </x:c>
      <x:c r="E222" s="53" t="n">
        <x:f>IF(D222=0,SUMIFS('Cargo Records'!$T$7:$T$70,'Cargo Records'!$J$7:$J$70,C222),0)</x:f>
        <x:v>0</x:v>
      </x:c>
      <x:c r="F222" s="53" t="n">
        <x:f>I221</x:f>
        <x:v>0</x:v>
      </x:c>
      <x:c r="G222" s="53" t="n">
        <x:f>'Path Daily'!M222</x:f>
        <x:v>10120</x:v>
      </x:c>
      <x:c r="H222" s="53" t="n">
        <x:f>MIN(E222+F222,G222)</x:f>
        <x:v>0</x:v>
      </x:c>
      <x:c r="I222" s="53" t="n">
        <x:f>E222+F222-H222</x:f>
        <x:v>0</x:v>
      </x:c>
      <x:c r="J222" s="45" t="str">
        <x:f>IF(I222=0,"CLEAR","QUEUED")</x:f>
        <x:v>CLEAR</x:v>
      </x:c>
      <x:c r="K222" s="72"/>
      <x:c r="L222" s="72"/>
      <x:c r="M222" s="72"/>
      <x:c r="N222" s="72"/>
    </x:row>
    <x:row r="223">
      <x:c r="C223" s="45" t="str">
        <x:f>'Path Daily'!C223</x:f>
        <x:v>P2</x:v>
      </x:c>
      <x:c r="D223" s="45" t="n">
        <x:f>'Path Daily'!D223</x:f>
        <x:v>34</x:v>
      </x:c>
      <x:c r="E223" s="53" t="n">
        <x:f>IF(D223=0,SUMIFS('Cargo Records'!$T$7:$T$70,'Cargo Records'!$J$7:$J$70,C223),0)</x:f>
        <x:v>0</x:v>
      </x:c>
      <x:c r="F223" s="53" t="n">
        <x:f>I222</x:f>
        <x:v>0</x:v>
      </x:c>
      <x:c r="G223" s="53" t="n">
        <x:f>'Path Daily'!M223</x:f>
        <x:v>7083.999999999999</x:v>
      </x:c>
      <x:c r="H223" s="53" t="n">
        <x:f>MIN(E223+F223,G223)</x:f>
        <x:v>0</x:v>
      </x:c>
      <x:c r="I223" s="53" t="n">
        <x:f>E223+F223-H223</x:f>
        <x:v>0</x:v>
      </x:c>
      <x:c r="J223" s="45" t="str">
        <x:f>IF(I223=0,"CLEAR","QUEUED")</x:f>
        <x:v>CLEAR</x:v>
      </x:c>
      <x:c r="K223" s="72"/>
      <x:c r="L223" s="72"/>
      <x:c r="M223" s="72"/>
      <x:c r="N223" s="72"/>
    </x:row>
    <x:row r="224">
      <x:c r="C224" s="45" t="str">
        <x:f>'Path Daily'!C224</x:f>
        <x:v>P2</x:v>
      </x:c>
      <x:c r="D224" s="45" t="n">
        <x:f>'Path Daily'!D224</x:f>
        <x:v>35</x:v>
      </x:c>
      <x:c r="E224" s="53" t="n">
        <x:f>IF(D224=0,SUMIFS('Cargo Records'!$T$7:$T$70,'Cargo Records'!$J$7:$J$70,C224),0)</x:f>
        <x:v>0</x:v>
      </x:c>
      <x:c r="F224" s="53" t="n">
        <x:f>I223</x:f>
        <x:v>0</x:v>
      </x:c>
      <x:c r="G224" s="53" t="n">
        <x:f>'Path Daily'!M224</x:f>
        <x:v>7083.999999999999</x:v>
      </x:c>
      <x:c r="H224" s="53" t="n">
        <x:f>MIN(E224+F224,G224)</x:f>
        <x:v>0</x:v>
      </x:c>
      <x:c r="I224" s="53" t="n">
        <x:f>E224+F224-H224</x:f>
        <x:v>0</x:v>
      </x:c>
      <x:c r="J224" s="45" t="str">
        <x:f>IF(I224=0,"CLEAR","QUEUED")</x:f>
        <x:v>CLEAR</x:v>
      </x:c>
      <x:c r="K224" s="72"/>
      <x:c r="L224" s="72"/>
      <x:c r="M224" s="72"/>
      <x:c r="N224" s="72"/>
    </x:row>
    <x:row r="225">
      <x:c r="C225" s="45" t="str">
        <x:f>'Path Daily'!C225</x:f>
        <x:v>P2</x:v>
      </x:c>
      <x:c r="D225" s="45" t="n">
        <x:f>'Path Daily'!D225</x:f>
        <x:v>36</x:v>
      </x:c>
      <x:c r="E225" s="53" t="n">
        <x:f>IF(D225=0,SUMIFS('Cargo Records'!$T$7:$T$70,'Cargo Records'!$J$7:$J$70,C225),0)</x:f>
        <x:v>0</x:v>
      </x:c>
      <x:c r="F225" s="53" t="n">
        <x:f>I224</x:f>
        <x:v>0</x:v>
      </x:c>
      <x:c r="G225" s="53" t="n">
        <x:f>'Path Daily'!M225</x:f>
        <x:v>10120</x:v>
      </x:c>
      <x:c r="H225" s="53" t="n">
        <x:f>MIN(E225+F225,G225)</x:f>
        <x:v>0</x:v>
      </x:c>
      <x:c r="I225" s="53" t="n">
        <x:f>E225+F225-H225</x:f>
        <x:v>0</x:v>
      </x:c>
      <x:c r="J225" s="45" t="str">
        <x:f>IF(I225=0,"CLEAR","QUEUED")</x:f>
        <x:v>CLEAR</x:v>
      </x:c>
      <x:c r="K225" s="72"/>
      <x:c r="L225" s="72"/>
      <x:c r="M225" s="72"/>
      <x:c r="N225" s="72"/>
    </x:row>
    <x:row r="226">
      <x:c r="C226" s="45" t="str">
        <x:f>'Path Daily'!C226</x:f>
        <x:v>P2</x:v>
      </x:c>
      <x:c r="D226" s="45" t="n">
        <x:f>'Path Daily'!D226</x:f>
        <x:v>37</x:v>
      </x:c>
      <x:c r="E226" s="53" t="n">
        <x:f>IF(D226=0,SUMIFS('Cargo Records'!$T$7:$T$70,'Cargo Records'!$J$7:$J$70,C226),0)</x:f>
        <x:v>0</x:v>
      </x:c>
      <x:c r="F226" s="53" t="n">
        <x:f>I225</x:f>
        <x:v>0</x:v>
      </x:c>
      <x:c r="G226" s="53" t="n">
        <x:f>'Path Daily'!M226</x:f>
        <x:v>10120</x:v>
      </x:c>
      <x:c r="H226" s="53" t="n">
        <x:f>MIN(E226+F226,G226)</x:f>
        <x:v>0</x:v>
      </x:c>
      <x:c r="I226" s="53" t="n">
        <x:f>E226+F226-H226</x:f>
        <x:v>0</x:v>
      </x:c>
      <x:c r="J226" s="45" t="str">
        <x:f>IF(I226=0,"CLEAR","QUEUED")</x:f>
        <x:v>CLEAR</x:v>
      </x:c>
      <x:c r="K226" s="72"/>
      <x:c r="L226" s="72"/>
      <x:c r="M226" s="72"/>
      <x:c r="N226" s="72"/>
    </x:row>
    <x:row r="227">
      <x:c r="C227" s="45" t="str">
        <x:f>'Path Daily'!C227</x:f>
        <x:v>P2</x:v>
      </x:c>
      <x:c r="D227" s="45" t="n">
        <x:f>'Path Daily'!D227</x:f>
        <x:v>38</x:v>
      </x:c>
      <x:c r="E227" s="53" t="n">
        <x:f>IF(D227=0,SUMIFS('Cargo Records'!$T$7:$T$70,'Cargo Records'!$J$7:$J$70,C227),0)</x:f>
        <x:v>0</x:v>
      </x:c>
      <x:c r="F227" s="53" t="n">
        <x:f>I226</x:f>
        <x:v>0</x:v>
      </x:c>
      <x:c r="G227" s="53" t="n">
        <x:f>'Path Daily'!M227</x:f>
        <x:v>10120</x:v>
      </x:c>
      <x:c r="H227" s="53" t="n">
        <x:f>MIN(E227+F227,G227)</x:f>
        <x:v>0</x:v>
      </x:c>
      <x:c r="I227" s="53" t="n">
        <x:f>E227+F227-H227</x:f>
        <x:v>0</x:v>
      </x:c>
      <x:c r="J227" s="45" t="str">
        <x:f>IF(I227=0,"CLEAR","QUEUED")</x:f>
        <x:v>CLEAR</x:v>
      </x:c>
      <x:c r="K227" s="72"/>
      <x:c r="L227" s="72"/>
      <x:c r="M227" s="72"/>
      <x:c r="N227" s="72"/>
    </x:row>
    <x:row r="228">
      <x:c r="C228" s="45" t="str">
        <x:f>'Path Daily'!C228</x:f>
        <x:v>P2</x:v>
      </x:c>
      <x:c r="D228" s="45" t="n">
        <x:f>'Path Daily'!D228</x:f>
        <x:v>39</x:v>
      </x:c>
      <x:c r="E228" s="53" t="n">
        <x:f>IF(D228=0,SUMIFS('Cargo Records'!$T$7:$T$70,'Cargo Records'!$J$7:$J$70,C228),0)</x:f>
        <x:v>0</x:v>
      </x:c>
      <x:c r="F228" s="53" t="n">
        <x:f>I227</x:f>
        <x:v>0</x:v>
      </x:c>
      <x:c r="G228" s="53" t="n">
        <x:f>'Path Daily'!M228</x:f>
        <x:v>10120</x:v>
      </x:c>
      <x:c r="H228" s="53" t="n">
        <x:f>MIN(E228+F228,G228)</x:f>
        <x:v>0</x:v>
      </x:c>
      <x:c r="I228" s="53" t="n">
        <x:f>E228+F228-H228</x:f>
        <x:v>0</x:v>
      </x:c>
      <x:c r="J228" s="45" t="str">
        <x:f>IF(I228=0,"CLEAR","QUEUED")</x:f>
        <x:v>CLEAR</x:v>
      </x:c>
      <x:c r="K228" s="72"/>
      <x:c r="L228" s="72"/>
      <x:c r="M228" s="72"/>
      <x:c r="N228" s="72"/>
    </x:row>
    <x:row r="229">
      <x:c r="C229" s="45" t="str">
        <x:f>'Path Daily'!C229</x:f>
        <x:v>P2</x:v>
      </x:c>
      <x:c r="D229" s="45" t="n">
        <x:f>'Path Daily'!D229</x:f>
        <x:v>40</x:v>
      </x:c>
      <x:c r="E229" s="53" t="n">
        <x:f>IF(D229=0,SUMIFS('Cargo Records'!$T$7:$T$70,'Cargo Records'!$J$7:$J$70,C229),0)</x:f>
        <x:v>0</x:v>
      </x:c>
      <x:c r="F229" s="53" t="n">
        <x:f>I228</x:f>
        <x:v>0</x:v>
      </x:c>
      <x:c r="G229" s="53" t="n">
        <x:f>'Path Daily'!M229</x:f>
        <x:v>10120</x:v>
      </x:c>
      <x:c r="H229" s="53" t="n">
        <x:f>MIN(E229+F229,G229)</x:f>
        <x:v>0</x:v>
      </x:c>
      <x:c r="I229" s="53" t="n">
        <x:f>E229+F229-H229</x:f>
        <x:v>0</x:v>
      </x:c>
      <x:c r="J229" s="45" t="str">
        <x:f>IF(I229=0,"CLEAR","QUEUED")</x:f>
        <x:v>CLEAR</x:v>
      </x:c>
      <x:c r="K229" s="72"/>
      <x:c r="L229" s="72"/>
      <x:c r="M229" s="72"/>
      <x:c r="N229" s="72"/>
    </x:row>
    <x:row r="230">
      <x:c r="C230" s="45" t="str">
        <x:f>'Path Daily'!C230</x:f>
        <x:v>P2</x:v>
      </x:c>
      <x:c r="D230" s="45" t="n">
        <x:f>'Path Daily'!D230</x:f>
        <x:v>41</x:v>
      </x:c>
      <x:c r="E230" s="53" t="n">
        <x:f>IF(D230=0,SUMIFS('Cargo Records'!$T$7:$T$70,'Cargo Records'!$J$7:$J$70,C230),0)</x:f>
        <x:v>0</x:v>
      </x:c>
      <x:c r="F230" s="53" t="n">
        <x:f>I229</x:f>
        <x:v>0</x:v>
      </x:c>
      <x:c r="G230" s="53" t="n">
        <x:f>'Path Daily'!M230</x:f>
        <x:v>10120</x:v>
      </x:c>
      <x:c r="H230" s="53" t="n">
        <x:f>MIN(E230+F230,G230)</x:f>
        <x:v>0</x:v>
      </x:c>
      <x:c r="I230" s="53" t="n">
        <x:f>E230+F230-H230</x:f>
        <x:v>0</x:v>
      </x:c>
      <x:c r="J230" s="45" t="str">
        <x:f>IF(I230=0,"CLEAR","QUEUED")</x:f>
        <x:v>CLEAR</x:v>
      </x:c>
      <x:c r="K230" s="72"/>
      <x:c r="L230" s="72"/>
      <x:c r="M230" s="72"/>
      <x:c r="N230" s="72"/>
    </x:row>
    <x:row r="231">
      <x:c r="C231" s="45" t="str">
        <x:f>'Path Daily'!C231</x:f>
        <x:v>P2</x:v>
      </x:c>
      <x:c r="D231" s="45" t="n">
        <x:f>'Path Daily'!D231</x:f>
        <x:v>42</x:v>
      </x:c>
      <x:c r="E231" s="53" t="n">
        <x:f>IF(D231=0,SUMIFS('Cargo Records'!$T$7:$T$70,'Cargo Records'!$J$7:$J$70,C231),0)</x:f>
        <x:v>0</x:v>
      </x:c>
      <x:c r="F231" s="53" t="n">
        <x:f>I230</x:f>
        <x:v>0</x:v>
      </x:c>
      <x:c r="G231" s="53" t="n">
        <x:f>'Path Daily'!M231</x:f>
        <x:v>10120</x:v>
      </x:c>
      <x:c r="H231" s="53" t="n">
        <x:f>MIN(E231+F231,G231)</x:f>
        <x:v>0</x:v>
      </x:c>
      <x:c r="I231" s="53" t="n">
        <x:f>E231+F231-H231</x:f>
        <x:v>0</x:v>
      </x:c>
      <x:c r="J231" s="45" t="str">
        <x:f>IF(I231=0,"CLEAR","QUEUED")</x:f>
        <x:v>CLEAR</x:v>
      </x:c>
      <x:c r="K231" s="72"/>
      <x:c r="L231" s="72"/>
      <x:c r="M231" s="72"/>
      <x:c r="N231" s="72"/>
    </x:row>
    <x:row r="232">
      <x:c r="C232" s="45" t="str">
        <x:f>'Path Daily'!C232</x:f>
        <x:v>P2</x:v>
      </x:c>
      <x:c r="D232" s="45" t="n">
        <x:f>'Path Daily'!D232</x:f>
        <x:v>43</x:v>
      </x:c>
      <x:c r="E232" s="53" t="n">
        <x:f>IF(D232=0,SUMIFS('Cargo Records'!$T$7:$T$70,'Cargo Records'!$J$7:$J$70,C232),0)</x:f>
        <x:v>0</x:v>
      </x:c>
      <x:c r="F232" s="53" t="n">
        <x:f>I231</x:f>
        <x:v>0</x:v>
      </x:c>
      <x:c r="G232" s="53" t="n">
        <x:f>'Path Daily'!M232</x:f>
        <x:v>10120</x:v>
      </x:c>
      <x:c r="H232" s="53" t="n">
        <x:f>MIN(E232+F232,G232)</x:f>
        <x:v>0</x:v>
      </x:c>
      <x:c r="I232" s="53" t="n">
        <x:f>E232+F232-H232</x:f>
        <x:v>0</x:v>
      </x:c>
      <x:c r="J232" s="45" t="str">
        <x:f>IF(I232=0,"CLEAR","QUEUED")</x:f>
        <x:v>CLEAR</x:v>
      </x:c>
      <x:c r="K232" s="72"/>
      <x:c r="L232" s="72"/>
      <x:c r="M232" s="72"/>
      <x:c r="N232" s="72"/>
    </x:row>
    <x:row r="233">
      <x:c r="C233" s="45" t="str">
        <x:f>'Path Daily'!C233</x:f>
        <x:v>P2</x:v>
      </x:c>
      <x:c r="D233" s="45" t="n">
        <x:f>'Path Daily'!D233</x:f>
        <x:v>44</x:v>
      </x:c>
      <x:c r="E233" s="53" t="n">
        <x:f>IF(D233=0,SUMIFS('Cargo Records'!$T$7:$T$70,'Cargo Records'!$J$7:$J$70,C233),0)</x:f>
        <x:v>0</x:v>
      </x:c>
      <x:c r="F233" s="53" t="n">
        <x:f>I232</x:f>
        <x:v>0</x:v>
      </x:c>
      <x:c r="G233" s="53" t="n">
        <x:f>'Path Daily'!M233</x:f>
        <x:v>10120</x:v>
      </x:c>
      <x:c r="H233" s="53" t="n">
        <x:f>MIN(E233+F233,G233)</x:f>
        <x:v>0</x:v>
      </x:c>
      <x:c r="I233" s="53" t="n">
        <x:f>E233+F233-H233</x:f>
        <x:v>0</x:v>
      </x:c>
      <x:c r="J233" s="45" t="str">
        <x:f>IF(I233=0,"CLEAR","QUEUED")</x:f>
        <x:v>CLEAR</x:v>
      </x:c>
      <x:c r="K233" s="72"/>
      <x:c r="L233" s="72"/>
      <x:c r="M233" s="72"/>
      <x:c r="N233" s="72"/>
    </x:row>
    <x:row r="234">
      <x:c r="C234" s="45" t="str">
        <x:f>'Path Daily'!C234</x:f>
        <x:v>P2</x:v>
      </x:c>
      <x:c r="D234" s="45" t="n">
        <x:f>'Path Daily'!D234</x:f>
        <x:v>45</x:v>
      </x:c>
      <x:c r="E234" s="53" t="n">
        <x:f>IF(D234=0,SUMIFS('Cargo Records'!$T$7:$T$70,'Cargo Records'!$J$7:$J$70,C234),0)</x:f>
        <x:v>0</x:v>
      </x:c>
      <x:c r="F234" s="53" t="n">
        <x:f>I233</x:f>
        <x:v>0</x:v>
      </x:c>
      <x:c r="G234" s="53" t="n">
        <x:f>'Path Daily'!M234</x:f>
        <x:v>10120</x:v>
      </x:c>
      <x:c r="H234" s="53" t="n">
        <x:f>MIN(E234+F234,G234)</x:f>
        <x:v>0</x:v>
      </x:c>
      <x:c r="I234" s="53" t="n">
        <x:f>E234+F234-H234</x:f>
        <x:v>0</x:v>
      </x:c>
      <x:c r="J234" s="45" t="str">
        <x:f>IF(I234=0,"CLEAR","QUEUED")</x:f>
        <x:v>CLEAR</x:v>
      </x:c>
      <x:c r="K234" s="72"/>
      <x:c r="L234" s="72"/>
      <x:c r="M234" s="72"/>
      <x:c r="N234" s="72"/>
    </x:row>
    <x:row r="235">
      <x:c r="C235" s="45" t="str">
        <x:f>'Path Daily'!C235</x:f>
        <x:v>P2</x:v>
      </x:c>
      <x:c r="D235" s="45" t="n">
        <x:f>'Path Daily'!D235</x:f>
        <x:v>46</x:v>
      </x:c>
      <x:c r="E235" s="53" t="n">
        <x:f>IF(D235=0,SUMIFS('Cargo Records'!$T$7:$T$70,'Cargo Records'!$J$7:$J$70,C235),0)</x:f>
        <x:v>0</x:v>
      </x:c>
      <x:c r="F235" s="53" t="n">
        <x:f>I234</x:f>
        <x:v>0</x:v>
      </x:c>
      <x:c r="G235" s="53" t="n">
        <x:f>'Path Daily'!M235</x:f>
        <x:v>4554</x:v>
      </x:c>
      <x:c r="H235" s="53" t="n">
        <x:f>MIN(E235+F235,G235)</x:f>
        <x:v>0</x:v>
      </x:c>
      <x:c r="I235" s="53" t="n">
        <x:f>E235+F235-H235</x:f>
        <x:v>0</x:v>
      </x:c>
      <x:c r="J235" s="45" t="str">
        <x:f>IF(I235=0,"CLEAR","QUEUED")</x:f>
        <x:v>CLEAR</x:v>
      </x:c>
      <x:c r="K235" s="72"/>
      <x:c r="L235" s="72"/>
      <x:c r="M235" s="72"/>
      <x:c r="N235" s="72"/>
    </x:row>
    <x:row r="236">
      <x:c r="C236" s="45" t="str">
        <x:f>'Path Daily'!C236</x:f>
        <x:v>P2</x:v>
      </x:c>
      <x:c r="D236" s="45" t="n">
        <x:f>'Path Daily'!D236</x:f>
        <x:v>47</x:v>
      </x:c>
      <x:c r="E236" s="53" t="n">
        <x:f>IF(D236=0,SUMIFS('Cargo Records'!$T$7:$T$70,'Cargo Records'!$J$7:$J$70,C236),0)</x:f>
        <x:v>0</x:v>
      </x:c>
      <x:c r="F236" s="53" t="n">
        <x:f>I235</x:f>
        <x:v>0</x:v>
      </x:c>
      <x:c r="G236" s="53" t="n">
        <x:f>'Path Daily'!M236</x:f>
        <x:v>6072</x:v>
      </x:c>
      <x:c r="H236" s="53" t="n">
        <x:f>MIN(E236+F236,G236)</x:f>
        <x:v>0</x:v>
      </x:c>
      <x:c r="I236" s="53" t="n">
        <x:f>E236+F236-H236</x:f>
        <x:v>0</x:v>
      </x:c>
      <x:c r="J236" s="45" t="str">
        <x:f>IF(I236=0,"CLEAR","QUEUED")</x:f>
        <x:v>CLEAR</x:v>
      </x:c>
      <x:c r="K236" s="72"/>
      <x:c r="L236" s="72"/>
      <x:c r="M236" s="72"/>
      <x:c r="N236" s="72"/>
    </x:row>
    <x:row r="237">
      <x:c r="C237" s="45" t="str">
        <x:f>'Path Daily'!C237</x:f>
        <x:v>P2</x:v>
      </x:c>
      <x:c r="D237" s="45" t="n">
        <x:f>'Path Daily'!D237</x:f>
        <x:v>48</x:v>
      </x:c>
      <x:c r="E237" s="53" t="n">
        <x:f>IF(D237=0,SUMIFS('Cargo Records'!$T$7:$T$70,'Cargo Records'!$J$7:$J$70,C237),0)</x:f>
        <x:v>0</x:v>
      </x:c>
      <x:c r="F237" s="53" t="n">
        <x:f>I236</x:f>
        <x:v>0</x:v>
      </x:c>
      <x:c r="G237" s="53" t="n">
        <x:f>'Path Daily'!M237</x:f>
        <x:v>6072</x:v>
      </x:c>
      <x:c r="H237" s="53" t="n">
        <x:f>MIN(E237+F237,G237)</x:f>
        <x:v>0</x:v>
      </x:c>
      <x:c r="I237" s="53" t="n">
        <x:f>E237+F237-H237</x:f>
        <x:v>0</x:v>
      </x:c>
      <x:c r="J237" s="45" t="str">
        <x:f>IF(I237=0,"CLEAR","QUEUED")</x:f>
        <x:v>CLEAR</x:v>
      </x:c>
      <x:c r="K237" s="72"/>
      <x:c r="L237" s="72"/>
      <x:c r="M237" s="72"/>
      <x:c r="N237" s="72"/>
    </x:row>
    <x:row r="238">
      <x:c r="C238" s="45" t="str">
        <x:f>'Path Daily'!C238</x:f>
        <x:v>P2</x:v>
      </x:c>
      <x:c r="D238" s="45" t="n">
        <x:f>'Path Daily'!D238</x:f>
        <x:v>49</x:v>
      </x:c>
      <x:c r="E238" s="53" t="n">
        <x:f>IF(D238=0,SUMIFS('Cargo Records'!$T$7:$T$70,'Cargo Records'!$J$7:$J$70,C238),0)</x:f>
        <x:v>0</x:v>
      </x:c>
      <x:c r="F238" s="53" t="n">
        <x:f>I237</x:f>
        <x:v>0</x:v>
      </x:c>
      <x:c r="G238" s="53" t="n">
        <x:f>'Path Daily'!M238</x:f>
        <x:v>6072</x:v>
      </x:c>
      <x:c r="H238" s="53" t="n">
        <x:f>MIN(E238+F238,G238)</x:f>
        <x:v>0</x:v>
      </x:c>
      <x:c r="I238" s="53" t="n">
        <x:f>E238+F238-H238</x:f>
        <x:v>0</x:v>
      </x:c>
      <x:c r="J238" s="45" t="str">
        <x:f>IF(I238=0,"CLEAR","QUEUED")</x:f>
        <x:v>CLEAR</x:v>
      </x:c>
      <x:c r="K238" s="72"/>
      <x:c r="L238" s="72"/>
      <x:c r="M238" s="72"/>
      <x:c r="N238" s="72"/>
    </x:row>
    <x:row r="239">
      <x:c r="C239" s="45" t="str">
        <x:f>'Path Daily'!C239</x:f>
        <x:v>P2</x:v>
      </x:c>
      <x:c r="D239" s="45" t="n">
        <x:f>'Path Daily'!D239</x:f>
        <x:v>50</x:v>
      </x:c>
      <x:c r="E239" s="53" t="n">
        <x:f>IF(D239=0,SUMIFS('Cargo Records'!$T$7:$T$70,'Cargo Records'!$J$7:$J$70,C239),0)</x:f>
        <x:v>0</x:v>
      </x:c>
      <x:c r="F239" s="53" t="n">
        <x:f>I238</x:f>
        <x:v>0</x:v>
      </x:c>
      <x:c r="G239" s="53" t="n">
        <x:f>'Path Daily'!M239</x:f>
        <x:v>6072</x:v>
      </x:c>
      <x:c r="H239" s="53" t="n">
        <x:f>MIN(E239+F239,G239)</x:f>
        <x:v>0</x:v>
      </x:c>
      <x:c r="I239" s="53" t="n">
        <x:f>E239+F239-H239</x:f>
        <x:v>0</x:v>
      </x:c>
      <x:c r="J239" s="45" t="str">
        <x:f>IF(I239=0,"CLEAR","QUEUED")</x:f>
        <x:v>CLEAR</x:v>
      </x:c>
      <x:c r="K239" s="72"/>
      <x:c r="L239" s="72"/>
      <x:c r="M239" s="72"/>
      <x:c r="N239" s="72"/>
    </x:row>
    <x:row r="240">
      <x:c r="C240" s="45" t="str">
        <x:f>'Path Daily'!C240</x:f>
        <x:v>P2</x:v>
      </x:c>
      <x:c r="D240" s="45" t="n">
        <x:f>'Path Daily'!D240</x:f>
        <x:v>51</x:v>
      </x:c>
      <x:c r="E240" s="53" t="n">
        <x:f>IF(D240=0,SUMIFS('Cargo Records'!$T$7:$T$70,'Cargo Records'!$J$7:$J$70,C240),0)</x:f>
        <x:v>0</x:v>
      </x:c>
      <x:c r="F240" s="53" t="n">
        <x:f>I239</x:f>
        <x:v>0</x:v>
      </x:c>
      <x:c r="G240" s="53" t="n">
        <x:f>'Path Daily'!M240</x:f>
        <x:v>6072</x:v>
      </x:c>
      <x:c r="H240" s="53" t="n">
        <x:f>MIN(E240+F240,G240)</x:f>
        <x:v>0</x:v>
      </x:c>
      <x:c r="I240" s="53" t="n">
        <x:f>E240+F240-H240</x:f>
        <x:v>0</x:v>
      </x:c>
      <x:c r="J240" s="45" t="str">
        <x:f>IF(I240=0,"CLEAR","QUEUED")</x:f>
        <x:v>CLEAR</x:v>
      </x:c>
      <x:c r="K240" s="72"/>
      <x:c r="L240" s="72"/>
      <x:c r="M240" s="72"/>
      <x:c r="N240" s="72"/>
    </x:row>
    <x:row r="241">
      <x:c r="C241" s="45" t="str">
        <x:f>'Path Daily'!C241</x:f>
        <x:v>P2</x:v>
      </x:c>
      <x:c r="D241" s="45" t="n">
        <x:f>'Path Daily'!D241</x:f>
        <x:v>52</x:v>
      </x:c>
      <x:c r="E241" s="53" t="n">
        <x:f>IF(D241=0,SUMIFS('Cargo Records'!$T$7:$T$70,'Cargo Records'!$J$7:$J$70,C241),0)</x:f>
        <x:v>0</x:v>
      </x:c>
      <x:c r="F241" s="53" t="n">
        <x:f>I240</x:f>
        <x:v>0</x:v>
      </x:c>
      <x:c r="G241" s="53" t="n">
        <x:f>'Path Daily'!M241</x:f>
        <x:v>6072</x:v>
      </x:c>
      <x:c r="H241" s="53" t="n">
        <x:f>MIN(E241+F241,G241)</x:f>
        <x:v>0</x:v>
      </x:c>
      <x:c r="I241" s="53" t="n">
        <x:f>E241+F241-H241</x:f>
        <x:v>0</x:v>
      </x:c>
      <x:c r="J241" s="45" t="str">
        <x:f>IF(I241=0,"CLEAR","QUEUED")</x:f>
        <x:v>CLEAR</x:v>
      </x:c>
      <x:c r="K241" s="72"/>
      <x:c r="L241" s="72"/>
      <x:c r="M241" s="72"/>
      <x:c r="N241" s="72"/>
    </x:row>
    <x:row r="242">
      <x:c r="C242" s="45" t="str">
        <x:f>'Path Daily'!C242</x:f>
        <x:v>P2</x:v>
      </x:c>
      <x:c r="D242" s="45" t="n">
        <x:f>'Path Daily'!D242</x:f>
        <x:v>53</x:v>
      </x:c>
      <x:c r="E242" s="53" t="n">
        <x:f>IF(D242=0,SUMIFS('Cargo Records'!$T$7:$T$70,'Cargo Records'!$J$7:$J$70,C242),0)</x:f>
        <x:v>0</x:v>
      </x:c>
      <x:c r="F242" s="53" t="n">
        <x:f>I241</x:f>
        <x:v>0</x:v>
      </x:c>
      <x:c r="G242" s="53" t="n">
        <x:f>'Path Daily'!M242</x:f>
        <x:v>6072</x:v>
      </x:c>
      <x:c r="H242" s="53" t="n">
        <x:f>MIN(E242+F242,G242)</x:f>
        <x:v>0</x:v>
      </x:c>
      <x:c r="I242" s="53" t="n">
        <x:f>E242+F242-H242</x:f>
        <x:v>0</x:v>
      </x:c>
      <x:c r="J242" s="45" t="str">
        <x:f>IF(I242=0,"CLEAR","QUEUED")</x:f>
        <x:v>CLEAR</x:v>
      </x:c>
      <x:c r="K242" s="72"/>
      <x:c r="L242" s="72"/>
      <x:c r="M242" s="72"/>
      <x:c r="N242" s="72"/>
    </x:row>
    <x:row r="243">
      <x:c r="C243" s="45" t="str">
        <x:f>'Path Daily'!C243</x:f>
        <x:v>P2</x:v>
      </x:c>
      <x:c r="D243" s="45" t="n">
        <x:f>'Path Daily'!D243</x:f>
        <x:v>54</x:v>
      </x:c>
      <x:c r="E243" s="53" t="n">
        <x:f>IF(D243=0,SUMIFS('Cargo Records'!$T$7:$T$70,'Cargo Records'!$J$7:$J$70,C243),0)</x:f>
        <x:v>0</x:v>
      </x:c>
      <x:c r="F243" s="53" t="n">
        <x:f>I242</x:f>
        <x:v>0</x:v>
      </x:c>
      <x:c r="G243" s="53" t="n">
        <x:f>'Path Daily'!M243</x:f>
        <x:v>6072</x:v>
      </x:c>
      <x:c r="H243" s="53" t="n">
        <x:f>MIN(E243+F243,G243)</x:f>
        <x:v>0</x:v>
      </x:c>
      <x:c r="I243" s="53" t="n">
        <x:f>E243+F243-H243</x:f>
        <x:v>0</x:v>
      </x:c>
      <x:c r="J243" s="45" t="str">
        <x:f>IF(I243=0,"CLEAR","QUEUED")</x:f>
        <x:v>CLEAR</x:v>
      </x:c>
      <x:c r="K243" s="72"/>
      <x:c r="L243" s="72"/>
      <x:c r="M243" s="72"/>
      <x:c r="N243" s="72"/>
    </x:row>
    <x:row r="244">
      <x:c r="C244" s="45" t="str">
        <x:f>'Path Daily'!C244</x:f>
        <x:v>P2</x:v>
      </x:c>
      <x:c r="D244" s="45" t="n">
        <x:f>'Path Daily'!D244</x:f>
        <x:v>55</x:v>
      </x:c>
      <x:c r="E244" s="53" t="n">
        <x:f>IF(D244=0,SUMIFS('Cargo Records'!$T$7:$T$70,'Cargo Records'!$J$7:$J$70,C244),0)</x:f>
        <x:v>0</x:v>
      </x:c>
      <x:c r="F244" s="53" t="n">
        <x:f>I243</x:f>
        <x:v>0</x:v>
      </x:c>
      <x:c r="G244" s="53" t="n">
        <x:f>'Path Daily'!M244</x:f>
        <x:v>6072</x:v>
      </x:c>
      <x:c r="H244" s="53" t="n">
        <x:f>MIN(E244+F244,G244)</x:f>
        <x:v>0</x:v>
      </x:c>
      <x:c r="I244" s="53" t="n">
        <x:f>E244+F244-H244</x:f>
        <x:v>0</x:v>
      </x:c>
      <x:c r="J244" s="45" t="str">
        <x:f>IF(I244=0,"CLEAR","QUEUED")</x:f>
        <x:v>CLEAR</x:v>
      </x:c>
      <x:c r="K244" s="72"/>
      <x:c r="L244" s="72"/>
      <x:c r="M244" s="72"/>
      <x:c r="N244" s="72"/>
    </x:row>
    <x:row r="245">
      <x:c r="C245" s="45" t="str">
        <x:f>'Path Daily'!C245</x:f>
        <x:v>P2</x:v>
      </x:c>
      <x:c r="D245" s="45" t="n">
        <x:f>'Path Daily'!D245</x:f>
        <x:v>56</x:v>
      </x:c>
      <x:c r="E245" s="53" t="n">
        <x:f>IF(D245=0,SUMIFS('Cargo Records'!$T$7:$T$70,'Cargo Records'!$J$7:$J$70,C245),0)</x:f>
        <x:v>0</x:v>
      </x:c>
      <x:c r="F245" s="53" t="n">
        <x:f>I244</x:f>
        <x:v>0</x:v>
      </x:c>
      <x:c r="G245" s="53" t="n">
        <x:f>'Path Daily'!M245</x:f>
        <x:v>6072</x:v>
      </x:c>
      <x:c r="H245" s="53" t="n">
        <x:f>MIN(E245+F245,G245)</x:f>
        <x:v>0</x:v>
      </x:c>
      <x:c r="I245" s="53" t="n">
        <x:f>E245+F245-H245</x:f>
        <x:v>0</x:v>
      </x:c>
      <x:c r="J245" s="45" t="str">
        <x:f>IF(I245=0,"CLEAR","QUEUED")</x:f>
        <x:v>CLEAR</x:v>
      </x:c>
      <x:c r="K245" s="72"/>
      <x:c r="L245" s="72"/>
      <x:c r="M245" s="72"/>
      <x:c r="N245" s="72"/>
    </x:row>
    <x:row r="246">
      <x:c r="C246" s="45" t="str">
        <x:f>'Path Daily'!C246</x:f>
        <x:v>P2</x:v>
      </x:c>
      <x:c r="D246" s="45" t="n">
        <x:f>'Path Daily'!D246</x:f>
        <x:v>57</x:v>
      </x:c>
      <x:c r="E246" s="53" t="n">
        <x:f>IF(D246=0,SUMIFS('Cargo Records'!$T$7:$T$70,'Cargo Records'!$J$7:$J$70,C246),0)</x:f>
        <x:v>0</x:v>
      </x:c>
      <x:c r="F246" s="53" t="n">
        <x:f>I245</x:f>
        <x:v>0</x:v>
      </x:c>
      <x:c r="G246" s="53" t="n">
        <x:f>'Path Daily'!M246</x:f>
        <x:v>6072</x:v>
      </x:c>
      <x:c r="H246" s="53" t="n">
        <x:f>MIN(E246+F246,G246)</x:f>
        <x:v>0</x:v>
      </x:c>
      <x:c r="I246" s="53" t="n">
        <x:f>E246+F246-H246</x:f>
        <x:v>0</x:v>
      </x:c>
      <x:c r="J246" s="45" t="str">
        <x:f>IF(I246=0,"CLEAR","QUEUED")</x:f>
        <x:v>CLEAR</x:v>
      </x:c>
      <x:c r="K246" s="72"/>
      <x:c r="L246" s="72"/>
      <x:c r="M246" s="72"/>
      <x:c r="N246" s="72"/>
    </x:row>
    <x:row r="247">
      <x:c r="C247" s="45" t="str">
        <x:f>'Path Daily'!C247</x:f>
        <x:v>P2</x:v>
      </x:c>
      <x:c r="D247" s="45" t="n">
        <x:f>'Path Daily'!D247</x:f>
        <x:v>58</x:v>
      </x:c>
      <x:c r="E247" s="53" t="n">
        <x:f>IF(D247=0,SUMIFS('Cargo Records'!$T$7:$T$70,'Cargo Records'!$J$7:$J$70,C247),0)</x:f>
        <x:v>0</x:v>
      </x:c>
      <x:c r="F247" s="53" t="n">
        <x:f>I246</x:f>
        <x:v>0</x:v>
      </x:c>
      <x:c r="G247" s="53" t="n">
        <x:f>'Path Daily'!M247</x:f>
        <x:v>6072</x:v>
      </x:c>
      <x:c r="H247" s="53" t="n">
        <x:f>MIN(E247+F247,G247)</x:f>
        <x:v>0</x:v>
      </x:c>
      <x:c r="I247" s="53" t="n">
        <x:f>E247+F247-H247</x:f>
        <x:v>0</x:v>
      </x:c>
      <x:c r="J247" s="45" t="str">
        <x:f>IF(I247=0,"CLEAR","QUEUED")</x:f>
        <x:v>CLEAR</x:v>
      </x:c>
      <x:c r="K247" s="72"/>
      <x:c r="L247" s="72"/>
      <x:c r="M247" s="72"/>
      <x:c r="N247" s="72"/>
    </x:row>
    <x:row r="248">
      <x:c r="C248" s="45" t="str">
        <x:f>'Path Daily'!C248</x:f>
        <x:v>P2</x:v>
      </x:c>
      <x:c r="D248" s="45" t="n">
        <x:f>'Path Daily'!D248</x:f>
        <x:v>59</x:v>
      </x:c>
      <x:c r="E248" s="53" t="n">
        <x:f>IF(D248=0,SUMIFS('Cargo Records'!$T$7:$T$70,'Cargo Records'!$J$7:$J$70,C248),0)</x:f>
        <x:v>0</x:v>
      </x:c>
      <x:c r="F248" s="53" t="n">
        <x:f>I247</x:f>
        <x:v>0</x:v>
      </x:c>
      <x:c r="G248" s="53" t="n">
        <x:f>'Path Daily'!M248</x:f>
        <x:v>6072</x:v>
      </x:c>
      <x:c r="H248" s="53" t="n">
        <x:f>MIN(E248+F248,G248)</x:f>
        <x:v>0</x:v>
      </x:c>
      <x:c r="I248" s="53" t="n">
        <x:f>E248+F248-H248</x:f>
        <x:v>0</x:v>
      </x:c>
      <x:c r="J248" s="45" t="str">
        <x:f>IF(I248=0,"CLEAR","QUEUED")</x:f>
        <x:v>CLEAR</x:v>
      </x:c>
      <x:c r="K248" s="72"/>
      <x:c r="L248" s="72"/>
      <x:c r="M248" s="72"/>
      <x:c r="N248" s="72"/>
    </x:row>
    <x:row r="249">
      <x:c r="C249" s="45" t="str">
        <x:f>'Path Daily'!C249</x:f>
        <x:v>P2</x:v>
      </x:c>
      <x:c r="D249" s="45" t="n">
        <x:f>'Path Daily'!D249</x:f>
        <x:v>60</x:v>
      </x:c>
      <x:c r="E249" s="53" t="n">
        <x:f>IF(D249=0,SUMIFS('Cargo Records'!$T$7:$T$70,'Cargo Records'!$J$7:$J$70,C249),0)</x:f>
        <x:v>0</x:v>
      </x:c>
      <x:c r="F249" s="53" t="n">
        <x:f>I248</x:f>
        <x:v>0</x:v>
      </x:c>
      <x:c r="G249" s="53" t="n">
        <x:f>'Path Daily'!M249</x:f>
        <x:v>6072</x:v>
      </x:c>
      <x:c r="H249" s="53" t="n">
        <x:f>MIN(E249+F249,G249)</x:f>
        <x:v>0</x:v>
      </x:c>
      <x:c r="I249" s="53" t="n">
        <x:f>E249+F249-H249</x:f>
        <x:v>0</x:v>
      </x:c>
      <x:c r="J249" s="45" t="str">
        <x:f>IF(I249=0,"CLEAR","QUEUED")</x:f>
        <x:v>CLEAR</x:v>
      </x:c>
      <x:c r="K249" s="72"/>
      <x:c r="L249" s="72"/>
      <x:c r="M249" s="72"/>
      <x:c r="N249" s="72"/>
    </x:row>
    <x:row r="250">
      <x:c r="C250" s="45" t="str">
        <x:f>'Path Daily'!C250</x:f>
        <x:v>P2</x:v>
      </x:c>
      <x:c r="D250" s="45" t="n">
        <x:f>'Path Daily'!D250</x:f>
        <x:v>61</x:v>
      </x:c>
      <x:c r="E250" s="53" t="n">
        <x:f>IF(D250=0,SUMIFS('Cargo Records'!$T$7:$T$70,'Cargo Records'!$J$7:$J$70,C250),0)</x:f>
        <x:v>0</x:v>
      </x:c>
      <x:c r="F250" s="53" t="n">
        <x:f>I249</x:f>
        <x:v>0</x:v>
      </x:c>
      <x:c r="G250" s="53" t="n">
        <x:f>'Path Daily'!M250</x:f>
        <x:v>4250.4</x:v>
      </x:c>
      <x:c r="H250" s="53" t="n">
        <x:f>MIN(E250+F250,G250)</x:f>
        <x:v>0</x:v>
      </x:c>
      <x:c r="I250" s="53" t="n">
        <x:f>E250+F250-H250</x:f>
        <x:v>0</x:v>
      </x:c>
      <x:c r="J250" s="45" t="str">
        <x:f>IF(I250=0,"CLEAR","QUEUED")</x:f>
        <x:v>CLEAR</x:v>
      </x:c>
      <x:c r="K250" s="72"/>
      <x:c r="L250" s="72"/>
      <x:c r="M250" s="72"/>
      <x:c r="N250" s="72"/>
    </x:row>
    <x:row r="251">
      <x:c r="C251" s="45" t="str">
        <x:f>'Path Daily'!C251</x:f>
        <x:v>P2</x:v>
      </x:c>
      <x:c r="D251" s="45" t="n">
        <x:f>'Path Daily'!D251</x:f>
        <x:v>62</x:v>
      </x:c>
      <x:c r="E251" s="53" t="n">
        <x:f>IF(D251=0,SUMIFS('Cargo Records'!$T$7:$T$70,'Cargo Records'!$J$7:$J$70,C251),0)</x:f>
        <x:v>0</x:v>
      </x:c>
      <x:c r="F251" s="53" t="n">
        <x:f>I250</x:f>
        <x:v>0</x:v>
      </x:c>
      <x:c r="G251" s="53" t="n">
        <x:f>'Path Daily'!M251</x:f>
        <x:v>4250.4</x:v>
      </x:c>
      <x:c r="H251" s="53" t="n">
        <x:f>MIN(E251+F251,G251)</x:f>
        <x:v>0</x:v>
      </x:c>
      <x:c r="I251" s="53" t="n">
        <x:f>E251+F251-H251</x:f>
        <x:v>0</x:v>
      </x:c>
      <x:c r="J251" s="45" t="str">
        <x:f>IF(I251=0,"CLEAR","QUEUED")</x:f>
        <x:v>CLEAR</x:v>
      </x:c>
      <x:c r="K251" s="72"/>
      <x:c r="L251" s="72"/>
      <x:c r="M251" s="72"/>
      <x:c r="N251" s="72"/>
    </x:row>
    <x:row r="252">
      <x:c r="C252" s="45" t="str">
        <x:f>'Path Daily'!C252</x:f>
        <x:v>P2</x:v>
      </x:c>
      <x:c r="D252" s="45" t="n">
        <x:f>'Path Daily'!D252</x:f>
        <x:v>63</x:v>
      </x:c>
      <x:c r="E252" s="53" t="n">
        <x:f>IF(D252=0,SUMIFS('Cargo Records'!$T$7:$T$70,'Cargo Records'!$J$7:$J$70,C252),0)</x:f>
        <x:v>0</x:v>
      </x:c>
      <x:c r="F252" s="53" t="n">
        <x:f>I251</x:f>
        <x:v>0</x:v>
      </x:c>
      <x:c r="G252" s="53" t="n">
        <x:f>'Path Daily'!M252</x:f>
        <x:v>4250.4</x:v>
      </x:c>
      <x:c r="H252" s="53" t="n">
        <x:f>MIN(E252+F252,G252)</x:f>
        <x:v>0</x:v>
      </x:c>
      <x:c r="I252" s="53" t="n">
        <x:f>E252+F252-H252</x:f>
        <x:v>0</x:v>
      </x:c>
      <x:c r="J252" s="45" t="str">
        <x:f>IF(I252=0,"CLEAR","QUEUED")</x:f>
        <x:v>CLEAR</x:v>
      </x:c>
      <x:c r="K252" s="72"/>
      <x:c r="L252" s="72"/>
      <x:c r="M252" s="72"/>
      <x:c r="N252" s="72"/>
    </x:row>
    <x:row r="253">
      <x:c r="C253" s="45" t="str">
        <x:f>'Path Daily'!C253</x:f>
        <x:v>P2</x:v>
      </x:c>
      <x:c r="D253" s="45" t="n">
        <x:f>'Path Daily'!D253</x:f>
        <x:v>64</x:v>
      </x:c>
      <x:c r="E253" s="53" t="n">
        <x:f>IF(D253=0,SUMIFS('Cargo Records'!$T$7:$T$70,'Cargo Records'!$J$7:$J$70,C253),0)</x:f>
        <x:v>0</x:v>
      </x:c>
      <x:c r="F253" s="53" t="n">
        <x:f>I252</x:f>
        <x:v>0</x:v>
      </x:c>
      <x:c r="G253" s="53" t="n">
        <x:f>'Path Daily'!M253</x:f>
        <x:v>6072</x:v>
      </x:c>
      <x:c r="H253" s="53" t="n">
        <x:f>MIN(E253+F253,G253)</x:f>
        <x:v>0</x:v>
      </x:c>
      <x:c r="I253" s="53" t="n">
        <x:f>E253+F253-H253</x:f>
        <x:v>0</x:v>
      </x:c>
      <x:c r="J253" s="45" t="str">
        <x:f>IF(I253=0,"CLEAR","QUEUED")</x:f>
        <x:v>CLEAR</x:v>
      </x:c>
      <x:c r="K253" s="72"/>
      <x:c r="L253" s="72"/>
      <x:c r="M253" s="72"/>
      <x:c r="N253" s="72"/>
    </x:row>
    <x:row r="254">
      <x:c r="C254" s="45" t="str">
        <x:f>'Path Daily'!C254</x:f>
        <x:v>P2</x:v>
      </x:c>
      <x:c r="D254" s="45" t="n">
        <x:f>'Path Daily'!D254</x:f>
        <x:v>65</x:v>
      </x:c>
      <x:c r="E254" s="53" t="n">
        <x:f>IF(D254=0,SUMIFS('Cargo Records'!$T$7:$T$70,'Cargo Records'!$J$7:$J$70,C254),0)</x:f>
        <x:v>0</x:v>
      </x:c>
      <x:c r="F254" s="53" t="n">
        <x:f>I253</x:f>
        <x:v>0</x:v>
      </x:c>
      <x:c r="G254" s="53" t="n">
        <x:f>'Path Daily'!M254</x:f>
        <x:v>6072</x:v>
      </x:c>
      <x:c r="H254" s="53" t="n">
        <x:f>MIN(E254+F254,G254)</x:f>
        <x:v>0</x:v>
      </x:c>
      <x:c r="I254" s="53" t="n">
        <x:f>E254+F254-H254</x:f>
        <x:v>0</x:v>
      </x:c>
      <x:c r="J254" s="45" t="str">
        <x:f>IF(I254=0,"CLEAR","QUEUED")</x:f>
        <x:v>CLEAR</x:v>
      </x:c>
      <x:c r="K254" s="72"/>
      <x:c r="L254" s="72"/>
      <x:c r="M254" s="72"/>
      <x:c r="N254" s="72"/>
    </x:row>
    <x:row r="255">
      <x:c r="C255" s="45" t="str">
        <x:f>'Path Daily'!C255</x:f>
        <x:v>P2</x:v>
      </x:c>
      <x:c r="D255" s="45" t="n">
        <x:f>'Path Daily'!D255</x:f>
        <x:v>66</x:v>
      </x:c>
      <x:c r="E255" s="53" t="n">
        <x:f>IF(D255=0,SUMIFS('Cargo Records'!$T$7:$T$70,'Cargo Records'!$J$7:$J$70,C255),0)</x:f>
        <x:v>0</x:v>
      </x:c>
      <x:c r="F255" s="53" t="n">
        <x:f>I254</x:f>
        <x:v>0</x:v>
      </x:c>
      <x:c r="G255" s="53" t="n">
        <x:f>'Path Daily'!M255</x:f>
        <x:v>6072</x:v>
      </x:c>
      <x:c r="H255" s="53" t="n">
        <x:f>MIN(E255+F255,G255)</x:f>
        <x:v>0</x:v>
      </x:c>
      <x:c r="I255" s="53" t="n">
        <x:f>E255+F255-H255</x:f>
        <x:v>0</x:v>
      </x:c>
      <x:c r="J255" s="45" t="str">
        <x:f>IF(I255=0,"CLEAR","QUEUED")</x:f>
        <x:v>CLEAR</x:v>
      </x:c>
      <x:c r="K255" s="72"/>
      <x:c r="L255" s="72"/>
      <x:c r="M255" s="72"/>
      <x:c r="N255" s="72"/>
    </x:row>
    <x:row r="256">
      <x:c r="C256" s="45" t="str">
        <x:f>'Path Daily'!C256</x:f>
        <x:v>P2</x:v>
      </x:c>
      <x:c r="D256" s="45" t="n">
        <x:f>'Path Daily'!D256</x:f>
        <x:v>67</x:v>
      </x:c>
      <x:c r="E256" s="53" t="n">
        <x:f>IF(D256=0,SUMIFS('Cargo Records'!$T$7:$T$70,'Cargo Records'!$J$7:$J$70,C256),0)</x:f>
        <x:v>0</x:v>
      </x:c>
      <x:c r="F256" s="53" t="n">
        <x:f>I255</x:f>
        <x:v>0</x:v>
      </x:c>
      <x:c r="G256" s="53" t="n">
        <x:f>'Path Daily'!M256</x:f>
        <x:v>6072</x:v>
      </x:c>
      <x:c r="H256" s="53" t="n">
        <x:f>MIN(E256+F256,G256)</x:f>
        <x:v>0</x:v>
      </x:c>
      <x:c r="I256" s="53" t="n">
        <x:f>E256+F256-H256</x:f>
        <x:v>0</x:v>
      </x:c>
      <x:c r="J256" s="45" t="str">
        <x:f>IF(I256=0,"CLEAR","QUEUED")</x:f>
        <x:v>CLEAR</x:v>
      </x:c>
      <x:c r="K256" s="72"/>
      <x:c r="L256" s="72"/>
      <x:c r="M256" s="72"/>
      <x:c r="N256" s="72"/>
    </x:row>
    <x:row r="257">
      <x:c r="C257" s="45" t="str">
        <x:f>'Path Daily'!C257</x:f>
        <x:v>P2</x:v>
      </x:c>
      <x:c r="D257" s="45" t="n">
        <x:f>'Path Daily'!D257</x:f>
        <x:v>68</x:v>
      </x:c>
      <x:c r="E257" s="53" t="n">
        <x:f>IF(D257=0,SUMIFS('Cargo Records'!$T$7:$T$70,'Cargo Records'!$J$7:$J$70,C257),0)</x:f>
        <x:v>0</x:v>
      </x:c>
      <x:c r="F257" s="53" t="n">
        <x:f>I256</x:f>
        <x:v>0</x:v>
      </x:c>
      <x:c r="G257" s="53" t="n">
        <x:f>'Path Daily'!M257</x:f>
        <x:v>6072</x:v>
      </x:c>
      <x:c r="H257" s="53" t="n">
        <x:f>MIN(E257+F257,G257)</x:f>
        <x:v>0</x:v>
      </x:c>
      <x:c r="I257" s="53" t="n">
        <x:f>E257+F257-H257</x:f>
        <x:v>0</x:v>
      </x:c>
      <x:c r="J257" s="45" t="str">
        <x:f>IF(I257=0,"CLEAR","QUEUED")</x:f>
        <x:v>CLEAR</x:v>
      </x:c>
      <x:c r="K257" s="72"/>
      <x:c r="L257" s="72"/>
      <x:c r="M257" s="72"/>
      <x:c r="N257" s="72"/>
    </x:row>
    <x:row r="258">
      <x:c r="C258" s="45" t="str">
        <x:f>'Path Daily'!C258</x:f>
        <x:v>P2</x:v>
      </x:c>
      <x:c r="D258" s="45" t="n">
        <x:f>'Path Daily'!D258</x:f>
        <x:v>69</x:v>
      </x:c>
      <x:c r="E258" s="53" t="n">
        <x:f>IF(D258=0,SUMIFS('Cargo Records'!$T$7:$T$70,'Cargo Records'!$J$7:$J$70,C258),0)</x:f>
        <x:v>0</x:v>
      </x:c>
      <x:c r="F258" s="53" t="n">
        <x:f>I257</x:f>
        <x:v>0</x:v>
      </x:c>
      <x:c r="G258" s="53" t="n">
        <x:f>'Path Daily'!M258</x:f>
        <x:v>6072</x:v>
      </x:c>
      <x:c r="H258" s="53" t="n">
        <x:f>MIN(E258+F258,G258)</x:f>
        <x:v>0</x:v>
      </x:c>
      <x:c r="I258" s="53" t="n">
        <x:f>E258+F258-H258</x:f>
        <x:v>0</x:v>
      </x:c>
      <x:c r="J258" s="45" t="str">
        <x:f>IF(I258=0,"CLEAR","QUEUED")</x:f>
        <x:v>CLEAR</x:v>
      </x:c>
      <x:c r="K258" s="72"/>
      <x:c r="L258" s="72"/>
      <x:c r="M258" s="72"/>
      <x:c r="N258" s="72"/>
    </x:row>
    <x:row r="259">
      <x:c r="C259" s="45" t="str">
        <x:f>'Path Daily'!C259</x:f>
        <x:v>P2</x:v>
      </x:c>
      <x:c r="D259" s="45" t="n">
        <x:f>'Path Daily'!D259</x:f>
        <x:v>70</x:v>
      </x:c>
      <x:c r="E259" s="53" t="n">
        <x:f>IF(D259=0,SUMIFS('Cargo Records'!$T$7:$T$70,'Cargo Records'!$J$7:$J$70,C259),0)</x:f>
        <x:v>0</x:v>
      </x:c>
      <x:c r="F259" s="53" t="n">
        <x:f>I258</x:f>
        <x:v>0</x:v>
      </x:c>
      <x:c r="G259" s="53" t="n">
        <x:f>'Path Daily'!M259</x:f>
        <x:v>6072</x:v>
      </x:c>
      <x:c r="H259" s="53" t="n">
        <x:f>MIN(E259+F259,G259)</x:f>
        <x:v>0</x:v>
      </x:c>
      <x:c r="I259" s="53" t="n">
        <x:f>E259+F259-H259</x:f>
        <x:v>0</x:v>
      </x:c>
      <x:c r="J259" s="45" t="str">
        <x:f>IF(I259=0,"CLEAR","QUEUED")</x:f>
        <x:v>CLEAR</x:v>
      </x:c>
      <x:c r="K259" s="72"/>
      <x:c r="L259" s="72"/>
      <x:c r="M259" s="72"/>
      <x:c r="N259" s="72"/>
    </x:row>
    <x:row r="260">
      <x:c r="C260" s="45" t="str">
        <x:f>'Path Daily'!C260</x:f>
        <x:v>P2</x:v>
      </x:c>
      <x:c r="D260" s="45" t="n">
        <x:f>'Path Daily'!D260</x:f>
        <x:v>71</x:v>
      </x:c>
      <x:c r="E260" s="53" t="n">
        <x:f>IF(D260=0,SUMIFS('Cargo Records'!$T$7:$T$70,'Cargo Records'!$J$7:$J$70,C260),0)</x:f>
        <x:v>0</x:v>
      </x:c>
      <x:c r="F260" s="53" t="n">
        <x:f>I259</x:f>
        <x:v>0</x:v>
      </x:c>
      <x:c r="G260" s="53" t="n">
        <x:f>'Path Daily'!M260</x:f>
        <x:v>6072</x:v>
      </x:c>
      <x:c r="H260" s="53" t="n">
        <x:f>MIN(E260+F260,G260)</x:f>
        <x:v>0</x:v>
      </x:c>
      <x:c r="I260" s="53" t="n">
        <x:f>E260+F260-H260</x:f>
        <x:v>0</x:v>
      </x:c>
      <x:c r="J260" s="45" t="str">
        <x:f>IF(I260=0,"CLEAR","QUEUED")</x:f>
        <x:v>CLEAR</x:v>
      </x:c>
      <x:c r="K260" s="72"/>
      <x:c r="L260" s="72"/>
      <x:c r="M260" s="72"/>
      <x:c r="N260" s="72"/>
    </x:row>
    <x:row r="261">
      <x:c r="C261" s="45" t="str">
        <x:f>'Path Daily'!C261</x:f>
        <x:v>P2</x:v>
      </x:c>
      <x:c r="D261" s="45" t="n">
        <x:f>'Path Daily'!D261</x:f>
        <x:v>72</x:v>
      </x:c>
      <x:c r="E261" s="53" t="n">
        <x:f>IF(D261=0,SUMIFS('Cargo Records'!$T$7:$T$70,'Cargo Records'!$J$7:$J$70,C261),0)</x:f>
        <x:v>0</x:v>
      </x:c>
      <x:c r="F261" s="53" t="n">
        <x:f>I260</x:f>
        <x:v>0</x:v>
      </x:c>
      <x:c r="G261" s="53" t="n">
        <x:f>'Path Daily'!M261</x:f>
        <x:v>6072</x:v>
      </x:c>
      <x:c r="H261" s="53" t="n">
        <x:f>MIN(E261+F261,G261)</x:f>
        <x:v>0</x:v>
      </x:c>
      <x:c r="I261" s="53" t="n">
        <x:f>E261+F261-H261</x:f>
        <x:v>0</x:v>
      </x:c>
      <x:c r="J261" s="45" t="str">
        <x:f>IF(I261=0,"CLEAR","QUEUED")</x:f>
        <x:v>CLEAR</x:v>
      </x:c>
      <x:c r="K261" s="72"/>
      <x:c r="L261" s="72"/>
      <x:c r="M261" s="72"/>
      <x:c r="N261" s="72"/>
    </x:row>
    <x:row r="262">
      <x:c r="C262" s="45" t="str">
        <x:f>'Path Daily'!C262</x:f>
        <x:v>P2</x:v>
      </x:c>
      <x:c r="D262" s="45" t="n">
        <x:f>'Path Daily'!D262</x:f>
        <x:v>73</x:v>
      </x:c>
      <x:c r="E262" s="53" t="n">
        <x:f>IF(D262=0,SUMIFS('Cargo Records'!$T$7:$T$70,'Cargo Records'!$J$7:$J$70,C262),0)</x:f>
        <x:v>0</x:v>
      </x:c>
      <x:c r="F262" s="53" t="n">
        <x:f>I261</x:f>
        <x:v>0</x:v>
      </x:c>
      <x:c r="G262" s="53" t="n">
        <x:f>'Path Daily'!M262</x:f>
        <x:v>6072</x:v>
      </x:c>
      <x:c r="H262" s="53" t="n">
        <x:f>MIN(E262+F262,G262)</x:f>
        <x:v>0</x:v>
      </x:c>
      <x:c r="I262" s="53" t="n">
        <x:f>E262+F262-H262</x:f>
        <x:v>0</x:v>
      </x:c>
      <x:c r="J262" s="45" t="str">
        <x:f>IF(I262=0,"CLEAR","QUEUED")</x:f>
        <x:v>CLEAR</x:v>
      </x:c>
      <x:c r="K262" s="72"/>
      <x:c r="L262" s="72"/>
      <x:c r="M262" s="72"/>
      <x:c r="N262" s="72"/>
    </x:row>
    <x:row r="263">
      <x:c r="C263" s="45" t="str">
        <x:f>'Path Daily'!C263</x:f>
        <x:v>P2</x:v>
      </x:c>
      <x:c r="D263" s="45" t="n">
        <x:f>'Path Daily'!D263</x:f>
        <x:v>74</x:v>
      </x:c>
      <x:c r="E263" s="53" t="n">
        <x:f>IF(D263=0,SUMIFS('Cargo Records'!$T$7:$T$70,'Cargo Records'!$J$7:$J$70,C263),0)</x:f>
        <x:v>0</x:v>
      </x:c>
      <x:c r="F263" s="53" t="n">
        <x:f>I262</x:f>
        <x:v>0</x:v>
      </x:c>
      <x:c r="G263" s="53" t="n">
        <x:f>'Path Daily'!M263</x:f>
        <x:v>6072</x:v>
      </x:c>
      <x:c r="H263" s="53" t="n">
        <x:f>MIN(E263+F263,G263)</x:f>
        <x:v>0</x:v>
      </x:c>
      <x:c r="I263" s="53" t="n">
        <x:f>E263+F263-H263</x:f>
        <x:v>0</x:v>
      </x:c>
      <x:c r="J263" s="45" t="str">
        <x:f>IF(I263=0,"CLEAR","QUEUED")</x:f>
        <x:v>CLEAR</x:v>
      </x:c>
      <x:c r="K263" s="72"/>
      <x:c r="L263" s="72"/>
      <x:c r="M263" s="72"/>
      <x:c r="N263" s="72"/>
    </x:row>
    <x:row r="264">
      <x:c r="C264" s="45" t="str">
        <x:f>'Path Daily'!C264</x:f>
        <x:v>P2</x:v>
      </x:c>
      <x:c r="D264" s="45" t="n">
        <x:f>'Path Daily'!D264</x:f>
        <x:v>75</x:v>
      </x:c>
      <x:c r="E264" s="53" t="n">
        <x:f>IF(D264=0,SUMIFS('Cargo Records'!$T$7:$T$70,'Cargo Records'!$J$7:$J$70,C264),0)</x:f>
        <x:v>0</x:v>
      </x:c>
      <x:c r="F264" s="53" t="n">
        <x:f>I263</x:f>
        <x:v>0</x:v>
      </x:c>
      <x:c r="G264" s="53" t="n">
        <x:f>'Path Daily'!M264</x:f>
        <x:v>6072</x:v>
      </x:c>
      <x:c r="H264" s="53" t="n">
        <x:f>MIN(E264+F264,G264)</x:f>
        <x:v>0</x:v>
      </x:c>
      <x:c r="I264" s="53" t="n">
        <x:f>E264+F264-H264</x:f>
        <x:v>0</x:v>
      </x:c>
      <x:c r="J264" s="45" t="str">
        <x:f>IF(I264=0,"CLEAR","QUEUED")</x:f>
        <x:v>CLEAR</x:v>
      </x:c>
      <x:c r="K264" s="72"/>
      <x:c r="L264" s="72"/>
      <x:c r="M264" s="72"/>
      <x:c r="N264" s="72"/>
    </x:row>
    <x:row r="265">
      <x:c r="C265" s="45" t="str">
        <x:f>'Path Daily'!C265</x:f>
        <x:v>P2</x:v>
      </x:c>
      <x:c r="D265" s="45" t="n">
        <x:f>'Path Daily'!D265</x:f>
        <x:v>76</x:v>
      </x:c>
      <x:c r="E265" s="53" t="n">
        <x:f>IF(D265=0,SUMIFS('Cargo Records'!$T$7:$T$70,'Cargo Records'!$J$7:$J$70,C265),0)</x:f>
        <x:v>0</x:v>
      </x:c>
      <x:c r="F265" s="53" t="n">
        <x:f>I264</x:f>
        <x:v>0</x:v>
      </x:c>
      <x:c r="G265" s="53" t="n">
        <x:f>'Path Daily'!M265</x:f>
        <x:v>6072</x:v>
      </x:c>
      <x:c r="H265" s="53" t="n">
        <x:f>MIN(E265+F265,G265)</x:f>
        <x:v>0</x:v>
      </x:c>
      <x:c r="I265" s="53" t="n">
        <x:f>E265+F265-H265</x:f>
        <x:v>0</x:v>
      </x:c>
      <x:c r="J265" s="45" t="str">
        <x:f>IF(I265=0,"CLEAR","QUEUED")</x:f>
        <x:v>CLEAR</x:v>
      </x:c>
      <x:c r="K265" s="72"/>
      <x:c r="L265" s="72"/>
      <x:c r="M265" s="72"/>
      <x:c r="N265" s="72"/>
    </x:row>
    <x:row r="266">
      <x:c r="C266" s="45" t="str">
        <x:f>'Path Daily'!C266</x:f>
        <x:v>P2</x:v>
      </x:c>
      <x:c r="D266" s="45" t="n">
        <x:f>'Path Daily'!D266</x:f>
        <x:v>77</x:v>
      </x:c>
      <x:c r="E266" s="53" t="n">
        <x:f>IF(D266=0,SUMIFS('Cargo Records'!$T$7:$T$70,'Cargo Records'!$J$7:$J$70,C266),0)</x:f>
        <x:v>0</x:v>
      </x:c>
      <x:c r="F266" s="53" t="n">
        <x:f>I265</x:f>
        <x:v>0</x:v>
      </x:c>
      <x:c r="G266" s="53" t="n">
        <x:f>'Path Daily'!M266</x:f>
        <x:v>6072</x:v>
      </x:c>
      <x:c r="H266" s="53" t="n">
        <x:f>MIN(E266+F266,G266)</x:f>
        <x:v>0</x:v>
      </x:c>
      <x:c r="I266" s="53" t="n">
        <x:f>E266+F266-H266</x:f>
        <x:v>0</x:v>
      </x:c>
      <x:c r="J266" s="45" t="str">
        <x:f>IF(I266=0,"CLEAR","QUEUED")</x:f>
        <x:v>CLEAR</x:v>
      </x:c>
      <x:c r="K266" s="72"/>
      <x:c r="L266" s="72"/>
      <x:c r="M266" s="72"/>
      <x:c r="N266" s="72"/>
    </x:row>
    <x:row r="267">
      <x:c r="C267" s="45" t="str">
        <x:f>'Path Daily'!C267</x:f>
        <x:v>P2</x:v>
      </x:c>
      <x:c r="D267" s="45" t="n">
        <x:f>'Path Daily'!D267</x:f>
        <x:v>78</x:v>
      </x:c>
      <x:c r="E267" s="53" t="n">
        <x:f>IF(D267=0,SUMIFS('Cargo Records'!$T$7:$T$70,'Cargo Records'!$J$7:$J$70,C267),0)</x:f>
        <x:v>0</x:v>
      </x:c>
      <x:c r="F267" s="53" t="n">
        <x:f>I266</x:f>
        <x:v>0</x:v>
      </x:c>
      <x:c r="G267" s="53" t="n">
        <x:f>'Path Daily'!M267</x:f>
        <x:v>6072</x:v>
      </x:c>
      <x:c r="H267" s="53" t="n">
        <x:f>MIN(E267+F267,G267)</x:f>
        <x:v>0</x:v>
      </x:c>
      <x:c r="I267" s="53" t="n">
        <x:f>E267+F267-H267</x:f>
        <x:v>0</x:v>
      </x:c>
      <x:c r="J267" s="45" t="str">
        <x:f>IF(I267=0,"CLEAR","QUEUED")</x:f>
        <x:v>CLEAR</x:v>
      </x:c>
      <x:c r="K267" s="72"/>
      <x:c r="L267" s="72"/>
      <x:c r="M267" s="72"/>
      <x:c r="N267" s="72"/>
    </x:row>
    <x:row r="268">
      <x:c r="C268" s="45" t="str">
        <x:f>'Path Daily'!C268</x:f>
        <x:v>P2</x:v>
      </x:c>
      <x:c r="D268" s="45" t="n">
        <x:f>'Path Daily'!D268</x:f>
        <x:v>79</x:v>
      </x:c>
      <x:c r="E268" s="53" t="n">
        <x:f>IF(D268=0,SUMIFS('Cargo Records'!$T$7:$T$70,'Cargo Records'!$J$7:$J$70,C268),0)</x:f>
        <x:v>0</x:v>
      </x:c>
      <x:c r="F268" s="53" t="n">
        <x:f>I267</x:f>
        <x:v>0</x:v>
      </x:c>
      <x:c r="G268" s="53" t="n">
        <x:f>'Path Daily'!M268</x:f>
        <x:v>6072</x:v>
      </x:c>
      <x:c r="H268" s="53" t="n">
        <x:f>MIN(E268+F268,G268)</x:f>
        <x:v>0</x:v>
      </x:c>
      <x:c r="I268" s="53" t="n">
        <x:f>E268+F268-H268</x:f>
        <x:v>0</x:v>
      </x:c>
      <x:c r="J268" s="45" t="str">
        <x:f>IF(I268=0,"CLEAR","QUEUED")</x:f>
        <x:v>CLEAR</x:v>
      </x:c>
      <x:c r="K268" s="72"/>
      <x:c r="L268" s="72"/>
      <x:c r="M268" s="72"/>
      <x:c r="N268" s="72"/>
    </x:row>
    <x:row r="269">
      <x:c r="C269" s="45" t="str">
        <x:f>'Path Daily'!C269</x:f>
        <x:v>P2</x:v>
      </x:c>
      <x:c r="D269" s="45" t="n">
        <x:f>'Path Daily'!D269</x:f>
        <x:v>80</x:v>
      </x:c>
      <x:c r="E269" s="53" t="n">
        <x:f>IF(D269=0,SUMIFS('Cargo Records'!$T$7:$T$70,'Cargo Records'!$J$7:$J$70,C269),0)</x:f>
        <x:v>0</x:v>
      </x:c>
      <x:c r="F269" s="53" t="n">
        <x:f>I268</x:f>
        <x:v>0</x:v>
      </x:c>
      <x:c r="G269" s="53" t="n">
        <x:f>'Path Daily'!M269</x:f>
        <x:v>6072</x:v>
      </x:c>
      <x:c r="H269" s="53" t="n">
        <x:f>MIN(E269+F269,G269)</x:f>
        <x:v>0</x:v>
      </x:c>
      <x:c r="I269" s="53" t="n">
        <x:f>E269+F269-H269</x:f>
        <x:v>0</x:v>
      </x:c>
      <x:c r="J269" s="45" t="str">
        <x:f>IF(I269=0,"CLEAR","QUEUED")</x:f>
        <x:v>CLEAR</x:v>
      </x:c>
      <x:c r="K269" s="72"/>
      <x:c r="L269" s="72"/>
      <x:c r="M269" s="72"/>
      <x:c r="N269" s="72"/>
    </x:row>
    <x:row r="270">
      <x:c r="C270" s="45" t="str">
        <x:f>'Path Daily'!C270</x:f>
        <x:v>P2</x:v>
      </x:c>
      <x:c r="D270" s="45" t="n">
        <x:f>'Path Daily'!D270</x:f>
        <x:v>81</x:v>
      </x:c>
      <x:c r="E270" s="53" t="n">
        <x:f>IF(D270=0,SUMIFS('Cargo Records'!$T$7:$T$70,'Cargo Records'!$J$7:$J$70,C270),0)</x:f>
        <x:v>0</x:v>
      </x:c>
      <x:c r="F270" s="53" t="n">
        <x:f>I269</x:f>
        <x:v>0</x:v>
      </x:c>
      <x:c r="G270" s="53" t="n">
        <x:f>'Path Daily'!M270</x:f>
        <x:v>6072</x:v>
      </x:c>
      <x:c r="H270" s="53" t="n">
        <x:f>MIN(E270+F270,G270)</x:f>
        <x:v>0</x:v>
      </x:c>
      <x:c r="I270" s="53" t="n">
        <x:f>E270+F270-H270</x:f>
        <x:v>0</x:v>
      </x:c>
      <x:c r="J270" s="45" t="str">
        <x:f>IF(I270=0,"CLEAR","QUEUED")</x:f>
        <x:v>CLEAR</x:v>
      </x:c>
      <x:c r="K270" s="72"/>
      <x:c r="L270" s="72"/>
      <x:c r="M270" s="72"/>
      <x:c r="N270" s="72"/>
    </x:row>
    <x:row r="271">
      <x:c r="C271" s="45" t="str">
        <x:f>'Path Daily'!C271</x:f>
        <x:v>P2</x:v>
      </x:c>
      <x:c r="D271" s="45" t="n">
        <x:f>'Path Daily'!D271</x:f>
        <x:v>82</x:v>
      </x:c>
      <x:c r="E271" s="53" t="n">
        <x:f>IF(D271=0,SUMIFS('Cargo Records'!$T$7:$T$70,'Cargo Records'!$J$7:$J$70,C271),0)</x:f>
        <x:v>0</x:v>
      </x:c>
      <x:c r="F271" s="53" t="n">
        <x:f>I270</x:f>
        <x:v>0</x:v>
      </x:c>
      <x:c r="G271" s="53" t="n">
        <x:f>'Path Daily'!M271</x:f>
        <x:v>6072</x:v>
      </x:c>
      <x:c r="H271" s="53" t="n">
        <x:f>MIN(E271+F271,G271)</x:f>
        <x:v>0</x:v>
      </x:c>
      <x:c r="I271" s="53" t="n">
        <x:f>E271+F271-H271</x:f>
        <x:v>0</x:v>
      </x:c>
      <x:c r="J271" s="45" t="str">
        <x:f>IF(I271=0,"CLEAR","QUEUED")</x:f>
        <x:v>CLEAR</x:v>
      </x:c>
      <x:c r="K271" s="72"/>
      <x:c r="L271" s="72"/>
      <x:c r="M271" s="72"/>
      <x:c r="N271" s="72"/>
    </x:row>
    <x:row r="272">
      <x:c r="C272" s="45" t="str">
        <x:f>'Path Daily'!C272</x:f>
        <x:v>P2</x:v>
      </x:c>
      <x:c r="D272" s="45" t="n">
        <x:f>'Path Daily'!D272</x:f>
        <x:v>83</x:v>
      </x:c>
      <x:c r="E272" s="53" t="n">
        <x:f>IF(D272=0,SUMIFS('Cargo Records'!$T$7:$T$70,'Cargo Records'!$J$7:$J$70,C272),0)</x:f>
        <x:v>0</x:v>
      </x:c>
      <x:c r="F272" s="53" t="n">
        <x:f>I271</x:f>
        <x:v>0</x:v>
      </x:c>
      <x:c r="G272" s="53" t="n">
        <x:f>'Path Daily'!M272</x:f>
        <x:v>6072</x:v>
      </x:c>
      <x:c r="H272" s="53" t="n">
        <x:f>MIN(E272+F272,G272)</x:f>
        <x:v>0</x:v>
      </x:c>
      <x:c r="I272" s="53" t="n">
        <x:f>E272+F272-H272</x:f>
        <x:v>0</x:v>
      </x:c>
      <x:c r="J272" s="45" t="str">
        <x:f>IF(I272=0,"CLEAR","QUEUED")</x:f>
        <x:v>CLEAR</x:v>
      </x:c>
      <x:c r="K272" s="72"/>
      <x:c r="L272" s="72"/>
      <x:c r="M272" s="72"/>
      <x:c r="N272" s="72"/>
    </x:row>
    <x:row r="273">
      <x:c r="C273" s="45" t="str">
        <x:f>'Path Daily'!C273</x:f>
        <x:v>P2</x:v>
      </x:c>
      <x:c r="D273" s="45" t="n">
        <x:f>'Path Daily'!D273</x:f>
        <x:v>84</x:v>
      </x:c>
      <x:c r="E273" s="53" t="n">
        <x:f>IF(D273=0,SUMIFS('Cargo Records'!$T$7:$T$70,'Cargo Records'!$J$7:$J$70,C273),0)</x:f>
        <x:v>0</x:v>
      </x:c>
      <x:c r="F273" s="53" t="n">
        <x:f>I272</x:f>
        <x:v>0</x:v>
      </x:c>
      <x:c r="G273" s="53" t="n">
        <x:f>'Path Daily'!M273</x:f>
        <x:v>6072</x:v>
      </x:c>
      <x:c r="H273" s="53" t="n">
        <x:f>MIN(E273+F273,G273)</x:f>
        <x:v>0</x:v>
      </x:c>
      <x:c r="I273" s="53" t="n">
        <x:f>E273+F273-H273</x:f>
        <x:v>0</x:v>
      </x:c>
      <x:c r="J273" s="45" t="str">
        <x:f>IF(I273=0,"CLEAR","QUEUED")</x:f>
        <x:v>CLEAR</x:v>
      </x:c>
      <x:c r="K273" s="72"/>
      <x:c r="L273" s="72"/>
      <x:c r="M273" s="72"/>
      <x:c r="N273" s="72"/>
    </x:row>
    <x:row r="274">
      <x:c r="C274" s="45" t="str">
        <x:f>'Path Daily'!C274</x:f>
        <x:v>P2</x:v>
      </x:c>
      <x:c r="D274" s="45" t="n">
        <x:f>'Path Daily'!D274</x:f>
        <x:v>85</x:v>
      </x:c>
      <x:c r="E274" s="53" t="n">
        <x:f>IF(D274=0,SUMIFS('Cargo Records'!$T$7:$T$70,'Cargo Records'!$J$7:$J$70,C274),0)</x:f>
        <x:v>0</x:v>
      </x:c>
      <x:c r="F274" s="53" t="n">
        <x:f>I273</x:f>
        <x:v>0</x:v>
      </x:c>
      <x:c r="G274" s="53" t="n">
        <x:f>'Path Daily'!M274</x:f>
        <x:v>6072</x:v>
      </x:c>
      <x:c r="H274" s="53" t="n">
        <x:f>MIN(E274+F274,G274)</x:f>
        <x:v>0</x:v>
      </x:c>
      <x:c r="I274" s="53" t="n">
        <x:f>E274+F274-H274</x:f>
        <x:v>0</x:v>
      </x:c>
      <x:c r="J274" s="45" t="str">
        <x:f>IF(I274=0,"CLEAR","QUEUED")</x:f>
        <x:v>CLEAR</x:v>
      </x:c>
      <x:c r="K274" s="72"/>
      <x:c r="L274" s="72"/>
      <x:c r="M274" s="72"/>
      <x:c r="N274" s="72"/>
    </x:row>
    <x:row r="275">
      <x:c r="C275" s="45" t="str">
        <x:f>'Path Daily'!C275</x:f>
        <x:v>P2</x:v>
      </x:c>
      <x:c r="D275" s="45" t="n">
        <x:f>'Path Daily'!D275</x:f>
        <x:v>86</x:v>
      </x:c>
      <x:c r="E275" s="53" t="n">
        <x:f>IF(D275=0,SUMIFS('Cargo Records'!$T$7:$T$70,'Cargo Records'!$J$7:$J$70,C275),0)</x:f>
        <x:v>0</x:v>
      </x:c>
      <x:c r="F275" s="53" t="n">
        <x:f>I274</x:f>
        <x:v>0</x:v>
      </x:c>
      <x:c r="G275" s="53" t="n">
        <x:f>'Path Daily'!M275</x:f>
        <x:v>6072</x:v>
      </x:c>
      <x:c r="H275" s="53" t="n">
        <x:f>MIN(E275+F275,G275)</x:f>
        <x:v>0</x:v>
      </x:c>
      <x:c r="I275" s="53" t="n">
        <x:f>E275+F275-H275</x:f>
        <x:v>0</x:v>
      </x:c>
      <x:c r="J275" s="45" t="str">
        <x:f>IF(I275=0,"CLEAR","QUEUED")</x:f>
        <x:v>CLEAR</x:v>
      </x:c>
      <x:c r="K275" s="72"/>
      <x:c r="L275" s="72"/>
      <x:c r="M275" s="72"/>
      <x:c r="N275" s="72"/>
    </x:row>
    <x:row r="276">
      <x:c r="C276" s="45" t="str">
        <x:f>'Path Daily'!C276</x:f>
        <x:v>P2</x:v>
      </x:c>
      <x:c r="D276" s="45" t="n">
        <x:f>'Path Daily'!D276</x:f>
        <x:v>87</x:v>
      </x:c>
      <x:c r="E276" s="53" t="n">
        <x:f>IF(D276=0,SUMIFS('Cargo Records'!$T$7:$T$70,'Cargo Records'!$J$7:$J$70,C276),0)</x:f>
        <x:v>0</x:v>
      </x:c>
      <x:c r="F276" s="53" t="n">
        <x:f>I275</x:f>
        <x:v>0</x:v>
      </x:c>
      <x:c r="G276" s="53" t="n">
        <x:f>'Path Daily'!M276</x:f>
        <x:v>6072</x:v>
      </x:c>
      <x:c r="H276" s="53" t="n">
        <x:f>MIN(E276+F276,G276)</x:f>
        <x:v>0</x:v>
      </x:c>
      <x:c r="I276" s="53" t="n">
        <x:f>E276+F276-H276</x:f>
        <x:v>0</x:v>
      </x:c>
      <x:c r="J276" s="45" t="str">
        <x:f>IF(I276=0,"CLEAR","QUEUED")</x:f>
        <x:v>CLEAR</x:v>
      </x:c>
      <x:c r="K276" s="72"/>
      <x:c r="L276" s="72"/>
      <x:c r="M276" s="72"/>
      <x:c r="N276" s="72"/>
    </x:row>
    <x:row r="277">
      <x:c r="C277" s="45" t="str">
        <x:f>'Path Daily'!C277</x:f>
        <x:v>P2</x:v>
      </x:c>
      <x:c r="D277" s="45" t="n">
        <x:f>'Path Daily'!D277</x:f>
        <x:v>88</x:v>
      </x:c>
      <x:c r="E277" s="53" t="n">
        <x:f>IF(D277=0,SUMIFS('Cargo Records'!$T$7:$T$70,'Cargo Records'!$J$7:$J$70,C277),0)</x:f>
        <x:v>0</x:v>
      </x:c>
      <x:c r="F277" s="53" t="n">
        <x:f>I276</x:f>
        <x:v>0</x:v>
      </x:c>
      <x:c r="G277" s="53" t="n">
        <x:f>'Path Daily'!M277</x:f>
        <x:v>6072</x:v>
      </x:c>
      <x:c r="H277" s="53" t="n">
        <x:f>MIN(E277+F277,G277)</x:f>
        <x:v>0</x:v>
      </x:c>
      <x:c r="I277" s="53" t="n">
        <x:f>E277+F277-H277</x:f>
        <x:v>0</x:v>
      </x:c>
      <x:c r="J277" s="45" t="str">
        <x:f>IF(I277=0,"CLEAR","QUEUED")</x:f>
        <x:v>CLEAR</x:v>
      </x:c>
      <x:c r="K277" s="72"/>
      <x:c r="L277" s="72"/>
      <x:c r="M277" s="72"/>
      <x:c r="N277" s="72"/>
    </x:row>
    <x:row r="278">
      <x:c r="C278" s="45" t="str">
        <x:f>'Path Daily'!C278</x:f>
        <x:v>P2</x:v>
      </x:c>
      <x:c r="D278" s="45" t="n">
        <x:f>'Path Daily'!D278</x:f>
        <x:v>89</x:v>
      </x:c>
      <x:c r="E278" s="53" t="n">
        <x:f>IF(D278=0,SUMIFS('Cargo Records'!$T$7:$T$70,'Cargo Records'!$J$7:$J$70,C278),0)</x:f>
        <x:v>0</x:v>
      </x:c>
      <x:c r="F278" s="53" t="n">
        <x:f>I277</x:f>
        <x:v>0</x:v>
      </x:c>
      <x:c r="G278" s="53" t="n">
        <x:f>'Path Daily'!M278</x:f>
        <x:v>6072</x:v>
      </x:c>
      <x:c r="H278" s="53" t="n">
        <x:f>MIN(E278+F278,G278)</x:f>
        <x:v>0</x:v>
      </x:c>
      <x:c r="I278" s="53" t="n">
        <x:f>E278+F278-H278</x:f>
        <x:v>0</x:v>
      </x:c>
      <x:c r="J278" s="45" t="str">
        <x:f>IF(I278=0,"CLEAR","QUEUED")</x:f>
        <x:v>CLEAR</x:v>
      </x:c>
      <x:c r="K278" s="72"/>
      <x:c r="L278" s="72"/>
      <x:c r="M278" s="72"/>
      <x:c r="N278" s="72"/>
    </x:row>
    <x:row r="279">
      <x:c r="C279" s="45" t="str">
        <x:f>'Path Daily'!C279</x:f>
        <x:v>P2</x:v>
      </x:c>
      <x:c r="D279" s="45" t="n">
        <x:f>'Path Daily'!D279</x:f>
        <x:v>90</x:v>
      </x:c>
      <x:c r="E279" s="53" t="n">
        <x:f>IF(D279=0,SUMIFS('Cargo Records'!$T$7:$T$70,'Cargo Records'!$J$7:$J$70,C279),0)</x:f>
        <x:v>0</x:v>
      </x:c>
      <x:c r="F279" s="53" t="n">
        <x:f>I278</x:f>
        <x:v>0</x:v>
      </x:c>
      <x:c r="G279" s="53" t="n">
        <x:f>'Path Daily'!M279</x:f>
        <x:v>6072</x:v>
      </x:c>
      <x:c r="H279" s="53" t="n">
        <x:f>MIN(E279+F279,G279)</x:f>
        <x:v>0</x:v>
      </x:c>
      <x:c r="I279" s="53" t="n">
        <x:f>E279+F279-H279</x:f>
        <x:v>0</x:v>
      </x:c>
      <x:c r="J279" s="45" t="str">
        <x:f>IF(I279=0,"CLEAR","QUEUED")</x:f>
        <x:v>CLEAR</x:v>
      </x:c>
      <x:c r="K279" s="72"/>
      <x:c r="L279" s="72"/>
      <x:c r="M279" s="72"/>
      <x:c r="N279" s="72"/>
    </x:row>
    <x:row r="280">
      <x:c r="C280" s="45" t="str">
        <x:f>'Path Daily'!C280</x:f>
        <x:v>P3</x:v>
      </x:c>
      <x:c r="D280" s="45" t="n">
        <x:f>'Path Daily'!D280</x:f>
        <x:v>0</x:v>
      </x:c>
      <x:c r="E280" s="53" t="n">
        <x:f>IF(D280=0,SUMIFS('Cargo Records'!$T$7:$T$70,'Cargo Records'!$J$7:$J$70,C280),0)</x:f>
        <x:v>66345.45454545456</x:v>
      </x:c>
      <x:c r="F280" s="53" t="n">
        <x:f>0</x:f>
        <x:v>0</x:v>
      </x:c>
      <x:c r="G280" s="53" t="n">
        <x:f>'Path Daily'!M280</x:f>
        <x:v>10080</x:v>
      </x:c>
      <x:c r="H280" s="53" t="n">
        <x:f>MIN(E280+F280,G280)</x:f>
        <x:v>10080</x:v>
      </x:c>
      <x:c r="I280" s="53" t="n">
        <x:f>E280+F280-H280</x:f>
        <x:v>56265.45454545456</x:v>
      </x:c>
      <x:c r="J280" s="45" t="str">
        <x:f>IF(I280=0,"CLEAR","QUEUED")</x:f>
        <x:v>QUEUED</x:v>
      </x:c>
      <x:c r="K280" s="72"/>
      <x:c r="L280" s="72"/>
      <x:c r="M280" s="72"/>
      <x:c r="N280" s="72"/>
    </x:row>
    <x:row r="281">
      <x:c r="C281" s="45" t="str">
        <x:f>'Path Daily'!C281</x:f>
        <x:v>P3</x:v>
      </x:c>
      <x:c r="D281" s="45" t="n">
        <x:f>'Path Daily'!D281</x:f>
        <x:v>1</x:v>
      </x:c>
      <x:c r="E281" s="53" t="n">
        <x:f>IF(D281=0,SUMIFS('Cargo Records'!$T$7:$T$70,'Cargo Records'!$J$7:$J$70,C281),0)</x:f>
        <x:v>0</x:v>
      </x:c>
      <x:c r="F281" s="53" t="n">
        <x:f>I280</x:f>
        <x:v>56265.45454545456</x:v>
      </x:c>
      <x:c r="G281" s="53" t="n">
        <x:f>'Path Daily'!M281</x:f>
        <x:v>10080</x:v>
      </x:c>
      <x:c r="H281" s="53" t="n">
        <x:f>MIN(E281+F281,G281)</x:f>
        <x:v>10080</x:v>
      </x:c>
      <x:c r="I281" s="53" t="n">
        <x:f>E281+F281-H281</x:f>
        <x:v>46185.45454545456</x:v>
      </x:c>
      <x:c r="J281" s="45" t="str">
        <x:f>IF(I281=0,"CLEAR","QUEUED")</x:f>
        <x:v>QUEUED</x:v>
      </x:c>
      <x:c r="K281" s="72"/>
      <x:c r="L281" s="72"/>
      <x:c r="M281" s="72"/>
      <x:c r="N281" s="72"/>
    </x:row>
    <x:row r="282">
      <x:c r="C282" s="45" t="str">
        <x:f>'Path Daily'!C282</x:f>
        <x:v>P3</x:v>
      </x:c>
      <x:c r="D282" s="45" t="n">
        <x:f>'Path Daily'!D282</x:f>
        <x:v>2</x:v>
      </x:c>
      <x:c r="E282" s="53" t="n">
        <x:f>IF(D282=0,SUMIFS('Cargo Records'!$T$7:$T$70,'Cargo Records'!$J$7:$J$70,C282),0)</x:f>
        <x:v>0</x:v>
      </x:c>
      <x:c r="F282" s="53" t="n">
        <x:f>I281</x:f>
        <x:v>46185.45454545456</x:v>
      </x:c>
      <x:c r="G282" s="53" t="n">
        <x:f>'Path Daily'!M282</x:f>
        <x:v>10080</x:v>
      </x:c>
      <x:c r="H282" s="53" t="n">
        <x:f>MIN(E282+F282,G282)</x:f>
        <x:v>10080</x:v>
      </x:c>
      <x:c r="I282" s="53" t="n">
        <x:f>E282+F282-H282</x:f>
        <x:v>36105.45454545456</x:v>
      </x:c>
      <x:c r="J282" s="45" t="str">
        <x:f>IF(I282=0,"CLEAR","QUEUED")</x:f>
        <x:v>QUEUED</x:v>
      </x:c>
      <x:c r="K282" s="72"/>
      <x:c r="L282" s="72"/>
      <x:c r="M282" s="72"/>
      <x:c r="N282" s="72"/>
    </x:row>
    <x:row r="283">
      <x:c r="C283" s="45" t="str">
        <x:f>'Path Daily'!C283</x:f>
        <x:v>P3</x:v>
      </x:c>
      <x:c r="D283" s="45" t="n">
        <x:f>'Path Daily'!D283</x:f>
        <x:v>3</x:v>
      </x:c>
      <x:c r="E283" s="53" t="n">
        <x:f>IF(D283=0,SUMIFS('Cargo Records'!$T$7:$T$70,'Cargo Records'!$J$7:$J$70,C283),0)</x:f>
        <x:v>0</x:v>
      </x:c>
      <x:c r="F283" s="53" t="n">
        <x:f>I282</x:f>
        <x:v>36105.45454545456</x:v>
      </x:c>
      <x:c r="G283" s="53" t="n">
        <x:f>'Path Daily'!M283</x:f>
        <x:v>12960</x:v>
      </x:c>
      <x:c r="H283" s="53" t="n">
        <x:f>MIN(E283+F283,G283)</x:f>
        <x:v>12960</x:v>
      </x:c>
      <x:c r="I283" s="53" t="n">
        <x:f>E283+F283-H283</x:f>
        <x:v>23145.45454545456</x:v>
      </x:c>
      <x:c r="J283" s="45" t="str">
        <x:f>IF(I283=0,"CLEAR","QUEUED")</x:f>
        <x:v>QUEUED</x:v>
      </x:c>
      <x:c r="K283" s="72"/>
      <x:c r="L283" s="72"/>
      <x:c r="M283" s="72"/>
      <x:c r="N283" s="72"/>
    </x:row>
    <x:row r="284">
      <x:c r="C284" s="45" t="str">
        <x:f>'Path Daily'!C284</x:f>
        <x:v>P3</x:v>
      </x:c>
      <x:c r="D284" s="45" t="n">
        <x:f>'Path Daily'!D284</x:f>
        <x:v>4</x:v>
      </x:c>
      <x:c r="E284" s="53" t="n">
        <x:f>IF(D284=0,SUMIFS('Cargo Records'!$T$7:$T$70,'Cargo Records'!$J$7:$J$70,C284),0)</x:f>
        <x:v>0</x:v>
      </x:c>
      <x:c r="F284" s="53" t="n">
        <x:f>I283</x:f>
        <x:v>23145.45454545456</x:v>
      </x:c>
      <x:c r="G284" s="53" t="n">
        <x:f>'Path Daily'!M284</x:f>
        <x:v>10530</x:v>
      </x:c>
      <x:c r="H284" s="53" t="n">
        <x:f>MIN(E284+F284,G284)</x:f>
        <x:v>10530</x:v>
      </x:c>
      <x:c r="I284" s="53" t="n">
        <x:f>E284+F284-H284</x:f>
        <x:v>12615.454545454559</x:v>
      </x:c>
      <x:c r="J284" s="45" t="str">
        <x:f>IF(I284=0,"CLEAR","QUEUED")</x:f>
        <x:v>QUEUED</x:v>
      </x:c>
      <x:c r="K284" s="72"/>
      <x:c r="L284" s="72"/>
      <x:c r="M284" s="72"/>
      <x:c r="N284" s="72"/>
    </x:row>
    <x:row r="285">
      <x:c r="C285" s="45" t="str">
        <x:f>'Path Daily'!C285</x:f>
        <x:v>P3</x:v>
      </x:c>
      <x:c r="D285" s="45" t="n">
        <x:f>'Path Daily'!D285</x:f>
        <x:v>5</x:v>
      </x:c>
      <x:c r="E285" s="53" t="n">
        <x:f>IF(D285=0,SUMIFS('Cargo Records'!$T$7:$T$70,'Cargo Records'!$J$7:$J$70,C285),0)</x:f>
        <x:v>0</x:v>
      </x:c>
      <x:c r="F285" s="53" t="n">
        <x:f>I284</x:f>
        <x:v>12615.454545454559</x:v>
      </x:c>
      <x:c r="G285" s="53" t="n">
        <x:f>'Path Daily'!M285</x:f>
        <x:v>10530</x:v>
      </x:c>
      <x:c r="H285" s="53" t="n">
        <x:f>MIN(E285+F285,G285)</x:f>
        <x:v>10530</x:v>
      </x:c>
      <x:c r="I285" s="53" t="n">
        <x:f>E285+F285-H285</x:f>
        <x:v>2085.4545454545587</x:v>
      </x:c>
      <x:c r="J285" s="45" t="str">
        <x:f>IF(I285=0,"CLEAR","QUEUED")</x:f>
        <x:v>QUEUED</x:v>
      </x:c>
      <x:c r="K285" s="72"/>
      <x:c r="L285" s="72"/>
      <x:c r="M285" s="72"/>
      <x:c r="N285" s="72"/>
    </x:row>
    <x:row r="286">
      <x:c r="C286" s="45" t="str">
        <x:f>'Path Daily'!C286</x:f>
        <x:v>P3</x:v>
      </x:c>
      <x:c r="D286" s="45" t="n">
        <x:f>'Path Daily'!D286</x:f>
        <x:v>6</x:v>
      </x:c>
      <x:c r="E286" s="53" t="n">
        <x:f>IF(D286=0,SUMIFS('Cargo Records'!$T$7:$T$70,'Cargo Records'!$J$7:$J$70,C286),0)</x:f>
        <x:v>0</x:v>
      </x:c>
      <x:c r="F286" s="53" t="n">
        <x:f>I285</x:f>
        <x:v>2085.4545454545587</x:v>
      </x:c>
      <x:c r="G286" s="53" t="n">
        <x:f>'Path Daily'!M286</x:f>
        <x:v>8424</x:v>
      </x:c>
      <x:c r="H286" s="53" t="n">
        <x:f>MIN(E286+F286,G286)</x:f>
        <x:v>2085.4545454545587</x:v>
      </x:c>
      <x:c r="I286" s="53" t="n">
        <x:f>E286+F286-H286</x:f>
        <x:v>0</x:v>
      </x:c>
      <x:c r="J286" s="45" t="str">
        <x:f>IF(I286=0,"CLEAR","QUEUED")</x:f>
        <x:v>CLEAR</x:v>
      </x:c>
      <x:c r="K286" s="72"/>
      <x:c r="L286" s="72"/>
      <x:c r="M286" s="72"/>
      <x:c r="N286" s="72"/>
    </x:row>
    <x:row r="287">
      <x:c r="C287" s="45" t="str">
        <x:f>'Path Daily'!C287</x:f>
        <x:v>P3</x:v>
      </x:c>
      <x:c r="D287" s="45" t="n">
        <x:f>'Path Daily'!D287</x:f>
        <x:v>7</x:v>
      </x:c>
      <x:c r="E287" s="53" t="n">
        <x:f>IF(D287=0,SUMIFS('Cargo Records'!$T$7:$T$70,'Cargo Records'!$J$7:$J$70,C287),0)</x:f>
        <x:v>0</x:v>
      </x:c>
      <x:c r="F287" s="53" t="n">
        <x:f>I286</x:f>
        <x:v>0</x:v>
      </x:c>
      <x:c r="G287" s="53" t="n">
        <x:f>'Path Daily'!M287</x:f>
        <x:v>8424</x:v>
      </x:c>
      <x:c r="H287" s="53" t="n">
        <x:f>MIN(E287+F287,G287)</x:f>
        <x:v>0</x:v>
      </x:c>
      <x:c r="I287" s="53" t="n">
        <x:f>E287+F287-H287</x:f>
        <x:v>0</x:v>
      </x:c>
      <x:c r="J287" s="45" t="str">
        <x:f>IF(I287=0,"CLEAR","QUEUED")</x:f>
        <x:v>CLEAR</x:v>
      </x:c>
      <x:c r="K287" s="72"/>
      <x:c r="L287" s="72"/>
      <x:c r="M287" s="72"/>
      <x:c r="N287" s="72"/>
    </x:row>
    <x:row r="288">
      <x:c r="C288" s="45" t="str">
        <x:f>'Path Daily'!C288</x:f>
        <x:v>P3</x:v>
      </x:c>
      <x:c r="D288" s="45" t="n">
        <x:f>'Path Daily'!D288</x:f>
        <x:v>8</x:v>
      </x:c>
      <x:c r="E288" s="53" t="n">
        <x:f>IF(D288=0,SUMIFS('Cargo Records'!$T$7:$T$70,'Cargo Records'!$J$7:$J$70,C288),0)</x:f>
        <x:v>0</x:v>
      </x:c>
      <x:c r="F288" s="53" t="n">
        <x:f>I287</x:f>
        <x:v>0</x:v>
      </x:c>
      <x:c r="G288" s="53" t="n">
        <x:f>'Path Daily'!M288</x:f>
        <x:v>10530</x:v>
      </x:c>
      <x:c r="H288" s="53" t="n">
        <x:f>MIN(E288+F288,G288)</x:f>
        <x:v>0</x:v>
      </x:c>
      <x:c r="I288" s="53" t="n">
        <x:f>E288+F288-H288</x:f>
        <x:v>0</x:v>
      </x:c>
      <x:c r="J288" s="45" t="str">
        <x:f>IF(I288=0,"CLEAR","QUEUED")</x:f>
        <x:v>CLEAR</x:v>
      </x:c>
      <x:c r="K288" s="72"/>
      <x:c r="L288" s="72"/>
      <x:c r="M288" s="72"/>
      <x:c r="N288" s="72"/>
    </x:row>
    <x:row r="289">
      <x:c r="C289" s="45" t="str">
        <x:f>'Path Daily'!C289</x:f>
        <x:v>P3</x:v>
      </x:c>
      <x:c r="D289" s="45" t="n">
        <x:f>'Path Daily'!D289</x:f>
        <x:v>9</x:v>
      </x:c>
      <x:c r="E289" s="53" t="n">
        <x:f>IF(D289=0,SUMIFS('Cargo Records'!$T$7:$T$70,'Cargo Records'!$J$7:$J$70,C289),0)</x:f>
        <x:v>0</x:v>
      </x:c>
      <x:c r="F289" s="53" t="n">
        <x:f>I288</x:f>
        <x:v>0</x:v>
      </x:c>
      <x:c r="G289" s="53" t="n">
        <x:f>'Path Daily'!M289</x:f>
        <x:v>10530</x:v>
      </x:c>
      <x:c r="H289" s="53" t="n">
        <x:f>MIN(E289+F289,G289)</x:f>
        <x:v>0</x:v>
      </x:c>
      <x:c r="I289" s="53" t="n">
        <x:f>E289+F289-H289</x:f>
        <x:v>0</x:v>
      </x:c>
      <x:c r="J289" s="45" t="str">
        <x:f>IF(I289=0,"CLEAR","QUEUED")</x:f>
        <x:v>CLEAR</x:v>
      </x:c>
      <x:c r="K289" s="72"/>
      <x:c r="L289" s="72"/>
      <x:c r="M289" s="72"/>
      <x:c r="N289" s="72"/>
    </x:row>
    <x:row r="290">
      <x:c r="C290" s="45" t="str">
        <x:f>'Path Daily'!C290</x:f>
        <x:v>P3</x:v>
      </x:c>
      <x:c r="D290" s="45" t="n">
        <x:f>'Path Daily'!D290</x:f>
        <x:v>10</x:v>
      </x:c>
      <x:c r="E290" s="53" t="n">
        <x:f>IF(D290=0,SUMIFS('Cargo Records'!$T$7:$T$70,'Cargo Records'!$J$7:$J$70,C290),0)</x:f>
        <x:v>0</x:v>
      </x:c>
      <x:c r="F290" s="53" t="n">
        <x:f>I289</x:f>
        <x:v>0</x:v>
      </x:c>
      <x:c r="G290" s="53" t="n">
        <x:f>'Path Daily'!M290</x:f>
        <x:v>10530</x:v>
      </x:c>
      <x:c r="H290" s="53" t="n">
        <x:f>MIN(E290+F290,G290)</x:f>
        <x:v>0</x:v>
      </x:c>
      <x:c r="I290" s="53" t="n">
        <x:f>E290+F290-H290</x:f>
        <x:v>0</x:v>
      </x:c>
      <x:c r="J290" s="45" t="str">
        <x:f>IF(I290=0,"CLEAR","QUEUED")</x:f>
        <x:v>CLEAR</x:v>
      </x:c>
      <x:c r="K290" s="72"/>
      <x:c r="L290" s="72"/>
      <x:c r="M290" s="72"/>
      <x:c r="N290" s="72"/>
    </x:row>
    <x:row r="291">
      <x:c r="C291" s="45" t="str">
        <x:f>'Path Daily'!C291</x:f>
        <x:v>P3</x:v>
      </x:c>
      <x:c r="D291" s="45" t="n">
        <x:f>'Path Daily'!D291</x:f>
        <x:v>11</x:v>
      </x:c>
      <x:c r="E291" s="53" t="n">
        <x:f>IF(D291=0,SUMIFS('Cargo Records'!$T$7:$T$70,'Cargo Records'!$J$7:$J$70,C291),0)</x:f>
        <x:v>0</x:v>
      </x:c>
      <x:c r="F291" s="53" t="n">
        <x:f>I290</x:f>
        <x:v>0</x:v>
      </x:c>
      <x:c r="G291" s="53" t="n">
        <x:f>'Path Daily'!M291</x:f>
        <x:v>10530</x:v>
      </x:c>
      <x:c r="H291" s="53" t="n">
        <x:f>MIN(E291+F291,G291)</x:f>
        <x:v>0</x:v>
      </x:c>
      <x:c r="I291" s="53" t="n">
        <x:f>E291+F291-H291</x:f>
        <x:v>0</x:v>
      </x:c>
      <x:c r="J291" s="45" t="str">
        <x:f>IF(I291=0,"CLEAR","QUEUED")</x:f>
        <x:v>CLEAR</x:v>
      </x:c>
      <x:c r="K291" s="72"/>
      <x:c r="L291" s="72"/>
      <x:c r="M291" s="72"/>
      <x:c r="N291" s="72"/>
    </x:row>
    <x:row r="292">
      <x:c r="C292" s="45" t="str">
        <x:f>'Path Daily'!C292</x:f>
        <x:v>P3</x:v>
      </x:c>
      <x:c r="D292" s="45" t="n">
        <x:f>'Path Daily'!D292</x:f>
        <x:v>12</x:v>
      </x:c>
      <x:c r="E292" s="53" t="n">
        <x:f>IF(D292=0,SUMIFS('Cargo Records'!$T$7:$T$70,'Cargo Records'!$J$7:$J$70,C292),0)</x:f>
        <x:v>0</x:v>
      </x:c>
      <x:c r="F292" s="53" t="n">
        <x:f>I291</x:f>
        <x:v>0</x:v>
      </x:c>
      <x:c r="G292" s="53" t="n">
        <x:f>'Path Daily'!M292</x:f>
        <x:v>10530</x:v>
      </x:c>
      <x:c r="H292" s="53" t="n">
        <x:f>MIN(E292+F292,G292)</x:f>
        <x:v>0</x:v>
      </x:c>
      <x:c r="I292" s="53" t="n">
        <x:f>E292+F292-H292</x:f>
        <x:v>0</x:v>
      </x:c>
      <x:c r="J292" s="45" t="str">
        <x:f>IF(I292=0,"CLEAR","QUEUED")</x:f>
        <x:v>CLEAR</x:v>
      </x:c>
      <x:c r="K292" s="72"/>
      <x:c r="L292" s="72"/>
      <x:c r="M292" s="72"/>
      <x:c r="N292" s="72"/>
    </x:row>
    <x:row r="293">
      <x:c r="C293" s="45" t="str">
        <x:f>'Path Daily'!C293</x:f>
        <x:v>P3</x:v>
      </x:c>
      <x:c r="D293" s="45" t="n">
        <x:f>'Path Daily'!D293</x:f>
        <x:v>13</x:v>
      </x:c>
      <x:c r="E293" s="53" t="n">
        <x:f>IF(D293=0,SUMIFS('Cargo Records'!$T$7:$T$70,'Cargo Records'!$J$7:$J$70,C293),0)</x:f>
        <x:v>0</x:v>
      </x:c>
      <x:c r="F293" s="53" t="n">
        <x:f>I292</x:f>
        <x:v>0</x:v>
      </x:c>
      <x:c r="G293" s="53" t="n">
        <x:f>'Path Daily'!M293</x:f>
        <x:v>10530</x:v>
      </x:c>
      <x:c r="H293" s="53" t="n">
        <x:f>MIN(E293+F293,G293)</x:f>
        <x:v>0</x:v>
      </x:c>
      <x:c r="I293" s="53" t="n">
        <x:f>E293+F293-H293</x:f>
        <x:v>0</x:v>
      </x:c>
      <x:c r="J293" s="45" t="str">
        <x:f>IF(I293=0,"CLEAR","QUEUED")</x:f>
        <x:v>CLEAR</x:v>
      </x:c>
      <x:c r="K293" s="72"/>
      <x:c r="L293" s="72"/>
      <x:c r="M293" s="72"/>
      <x:c r="N293" s="72"/>
    </x:row>
    <x:row r="294">
      <x:c r="C294" s="45" t="str">
        <x:f>'Path Daily'!C294</x:f>
        <x:v>P3</x:v>
      </x:c>
      <x:c r="D294" s="45" t="n">
        <x:f>'Path Daily'!D294</x:f>
        <x:v>14</x:v>
      </x:c>
      <x:c r="E294" s="53" t="n">
        <x:f>IF(D294=0,SUMIFS('Cargo Records'!$T$7:$T$70,'Cargo Records'!$J$7:$J$70,C294),0)</x:f>
        <x:v>0</x:v>
      </x:c>
      <x:c r="F294" s="53" t="n">
        <x:f>I293</x:f>
        <x:v>0</x:v>
      </x:c>
      <x:c r="G294" s="53" t="n">
        <x:f>'Path Daily'!M294</x:f>
        <x:v>6844.5</x:v>
      </x:c>
      <x:c r="H294" s="53" t="n">
        <x:f>MIN(E294+F294,G294)</x:f>
        <x:v>0</x:v>
      </x:c>
      <x:c r="I294" s="53" t="n">
        <x:f>E294+F294-H294</x:f>
        <x:v>0</x:v>
      </x:c>
      <x:c r="J294" s="45" t="str">
        <x:f>IF(I294=0,"CLEAR","QUEUED")</x:f>
        <x:v>CLEAR</x:v>
      </x:c>
      <x:c r="K294" s="72"/>
      <x:c r="L294" s="72"/>
      <x:c r="M294" s="72"/>
      <x:c r="N294" s="72"/>
    </x:row>
    <x:row r="295">
      <x:c r="C295" s="45" t="str">
        <x:f>'Path Daily'!C295</x:f>
        <x:v>P3</x:v>
      </x:c>
      <x:c r="D295" s="45" t="n">
        <x:f>'Path Daily'!D295</x:f>
        <x:v>15</x:v>
      </x:c>
      <x:c r="E295" s="53" t="n">
        <x:f>IF(D295=0,SUMIFS('Cargo Records'!$T$7:$T$70,'Cargo Records'!$J$7:$J$70,C295),0)</x:f>
        <x:v>0</x:v>
      </x:c>
      <x:c r="F295" s="53" t="n">
        <x:f>I294</x:f>
        <x:v>0</x:v>
      </x:c>
      <x:c r="G295" s="53" t="n">
        <x:f>'Path Daily'!M295</x:f>
        <x:v>5265</x:v>
      </x:c>
      <x:c r="H295" s="53" t="n">
        <x:f>MIN(E295+F295,G295)</x:f>
        <x:v>0</x:v>
      </x:c>
      <x:c r="I295" s="53" t="n">
        <x:f>E295+F295-H295</x:f>
        <x:v>0</x:v>
      </x:c>
      <x:c r="J295" s="45" t="str">
        <x:f>IF(I295=0,"CLEAR","QUEUED")</x:f>
        <x:v>CLEAR</x:v>
      </x:c>
      <x:c r="K295" s="72"/>
      <x:c r="L295" s="72"/>
      <x:c r="M295" s="72"/>
      <x:c r="N295" s="72"/>
    </x:row>
    <x:row r="296">
      <x:c r="C296" s="45" t="str">
        <x:f>'Path Daily'!C296</x:f>
        <x:v>P3</x:v>
      </x:c>
      <x:c r="D296" s="45" t="n">
        <x:f>'Path Daily'!D296</x:f>
        <x:v>16</x:v>
      </x:c>
      <x:c r="E296" s="53" t="n">
        <x:f>IF(D296=0,SUMIFS('Cargo Records'!$T$7:$T$70,'Cargo Records'!$J$7:$J$70,C296),0)</x:f>
        <x:v>0</x:v>
      </x:c>
      <x:c r="F296" s="53" t="n">
        <x:f>I295</x:f>
        <x:v>0</x:v>
      </x:c>
      <x:c r="G296" s="53" t="n">
        <x:f>'Path Daily'!M296</x:f>
        <x:v>5265</x:v>
      </x:c>
      <x:c r="H296" s="53" t="n">
        <x:f>MIN(E296+F296,G296)</x:f>
        <x:v>0</x:v>
      </x:c>
      <x:c r="I296" s="53" t="n">
        <x:f>E296+F296-H296</x:f>
        <x:v>0</x:v>
      </x:c>
      <x:c r="J296" s="45" t="str">
        <x:f>IF(I296=0,"CLEAR","QUEUED")</x:f>
        <x:v>CLEAR</x:v>
      </x:c>
      <x:c r="K296" s="72"/>
      <x:c r="L296" s="72"/>
      <x:c r="M296" s="72"/>
      <x:c r="N296" s="72"/>
    </x:row>
    <x:row r="297">
      <x:c r="C297" s="45" t="str">
        <x:f>'Path Daily'!C297</x:f>
        <x:v>P3</x:v>
      </x:c>
      <x:c r="D297" s="45" t="n">
        <x:f>'Path Daily'!D297</x:f>
        <x:v>17</x:v>
      </x:c>
      <x:c r="E297" s="53" t="n">
        <x:f>IF(D297=0,SUMIFS('Cargo Records'!$T$7:$T$70,'Cargo Records'!$J$7:$J$70,C297),0)</x:f>
        <x:v>0</x:v>
      </x:c>
      <x:c r="F297" s="53" t="n">
        <x:f>I296</x:f>
        <x:v>0</x:v>
      </x:c>
      <x:c r="G297" s="53" t="n">
        <x:f>'Path Daily'!M297</x:f>
        <x:v>8100</x:v>
      </x:c>
      <x:c r="H297" s="53" t="n">
        <x:f>MIN(E297+F297,G297)</x:f>
        <x:v>0</x:v>
      </x:c>
      <x:c r="I297" s="53" t="n">
        <x:f>E297+F297-H297</x:f>
        <x:v>0</x:v>
      </x:c>
      <x:c r="J297" s="45" t="str">
        <x:f>IF(I297=0,"CLEAR","QUEUED")</x:f>
        <x:v>CLEAR</x:v>
      </x:c>
      <x:c r="K297" s="72"/>
      <x:c r="L297" s="72"/>
      <x:c r="M297" s="72"/>
      <x:c r="N297" s="72"/>
    </x:row>
    <x:row r="298">
      <x:c r="C298" s="45" t="str">
        <x:f>'Path Daily'!C298</x:f>
        <x:v>P3</x:v>
      </x:c>
      <x:c r="D298" s="45" t="n">
        <x:f>'Path Daily'!D298</x:f>
        <x:v>18</x:v>
      </x:c>
      <x:c r="E298" s="53" t="n">
        <x:f>IF(D298=0,SUMIFS('Cargo Records'!$T$7:$T$70,'Cargo Records'!$J$7:$J$70,C298),0)</x:f>
        <x:v>0</x:v>
      </x:c>
      <x:c r="F298" s="53" t="n">
        <x:f>I297</x:f>
        <x:v>0</x:v>
      </x:c>
      <x:c r="G298" s="53" t="n">
        <x:f>'Path Daily'!M298</x:f>
        <x:v>8100</x:v>
      </x:c>
      <x:c r="H298" s="53" t="n">
        <x:f>MIN(E298+F298,G298)</x:f>
        <x:v>0</x:v>
      </x:c>
      <x:c r="I298" s="53" t="n">
        <x:f>E298+F298-H298</x:f>
        <x:v>0</x:v>
      </x:c>
      <x:c r="J298" s="45" t="str">
        <x:f>IF(I298=0,"CLEAR","QUEUED")</x:f>
        <x:v>CLEAR</x:v>
      </x:c>
      <x:c r="K298" s="72"/>
      <x:c r="L298" s="72"/>
      <x:c r="M298" s="72"/>
      <x:c r="N298" s="72"/>
    </x:row>
    <x:row r="299">
      <x:c r="C299" s="45" t="str">
        <x:f>'Path Daily'!C299</x:f>
        <x:v>P3</x:v>
      </x:c>
      <x:c r="D299" s="45" t="n">
        <x:f>'Path Daily'!D299</x:f>
        <x:v>19</x:v>
      </x:c>
      <x:c r="E299" s="53" t="n">
        <x:f>IF(D299=0,SUMIFS('Cargo Records'!$T$7:$T$70,'Cargo Records'!$J$7:$J$70,C299),0)</x:f>
        <x:v>0</x:v>
      </x:c>
      <x:c r="F299" s="53" t="n">
        <x:f>I298</x:f>
        <x:v>0</x:v>
      </x:c>
      <x:c r="G299" s="53" t="n">
        <x:f>'Path Daily'!M299</x:f>
        <x:v>8100</x:v>
      </x:c>
      <x:c r="H299" s="53" t="n">
        <x:f>MIN(E299+F299,G299)</x:f>
        <x:v>0</x:v>
      </x:c>
      <x:c r="I299" s="53" t="n">
        <x:f>E299+F299-H299</x:f>
        <x:v>0</x:v>
      </x:c>
      <x:c r="J299" s="45" t="str">
        <x:f>IF(I299=0,"CLEAR","QUEUED")</x:f>
        <x:v>CLEAR</x:v>
      </x:c>
      <x:c r="K299" s="72"/>
      <x:c r="L299" s="72"/>
      <x:c r="M299" s="72"/>
      <x:c r="N299" s="72"/>
    </x:row>
    <x:row r="300">
      <x:c r="C300" s="45" t="str">
        <x:f>'Path Daily'!C300</x:f>
        <x:v>P3</x:v>
      </x:c>
      <x:c r="D300" s="45" t="n">
        <x:f>'Path Daily'!D300</x:f>
        <x:v>20</x:v>
      </x:c>
      <x:c r="E300" s="53" t="n">
        <x:f>IF(D300=0,SUMIFS('Cargo Records'!$T$7:$T$70,'Cargo Records'!$J$7:$J$70,C300),0)</x:f>
        <x:v>0</x:v>
      </x:c>
      <x:c r="F300" s="53" t="n">
        <x:f>I299</x:f>
        <x:v>0</x:v>
      </x:c>
      <x:c r="G300" s="53" t="n">
        <x:f>'Path Daily'!M300</x:f>
        <x:v>8100</x:v>
      </x:c>
      <x:c r="H300" s="53" t="n">
        <x:f>MIN(E300+F300,G300)</x:f>
        <x:v>0</x:v>
      </x:c>
      <x:c r="I300" s="53" t="n">
        <x:f>E300+F300-H300</x:f>
        <x:v>0</x:v>
      </x:c>
      <x:c r="J300" s="45" t="str">
        <x:f>IF(I300=0,"CLEAR","QUEUED")</x:f>
        <x:v>CLEAR</x:v>
      </x:c>
      <x:c r="K300" s="72"/>
      <x:c r="L300" s="72"/>
      <x:c r="M300" s="72"/>
      <x:c r="N300" s="72"/>
    </x:row>
    <x:row r="301">
      <x:c r="C301" s="45" t="str">
        <x:f>'Path Daily'!C301</x:f>
        <x:v>P3</x:v>
      </x:c>
      <x:c r="D301" s="45" t="n">
        <x:f>'Path Daily'!D301</x:f>
        <x:v>21</x:v>
      </x:c>
      <x:c r="E301" s="53" t="n">
        <x:f>IF(D301=0,SUMIFS('Cargo Records'!$T$7:$T$70,'Cargo Records'!$J$7:$J$70,C301),0)</x:f>
        <x:v>0</x:v>
      </x:c>
      <x:c r="F301" s="53" t="n">
        <x:f>I300</x:f>
        <x:v>0</x:v>
      </x:c>
      <x:c r="G301" s="53" t="n">
        <x:f>'Path Daily'!M301</x:f>
        <x:v>6480</x:v>
      </x:c>
      <x:c r="H301" s="53" t="n">
        <x:f>MIN(E301+F301,G301)</x:f>
        <x:v>0</x:v>
      </x:c>
      <x:c r="I301" s="53" t="n">
        <x:f>E301+F301-H301</x:f>
        <x:v>0</x:v>
      </x:c>
      <x:c r="J301" s="45" t="str">
        <x:f>IF(I301=0,"CLEAR","QUEUED")</x:f>
        <x:v>CLEAR</x:v>
      </x:c>
      <x:c r="K301" s="72"/>
      <x:c r="L301" s="72"/>
      <x:c r="M301" s="72"/>
      <x:c r="N301" s="72"/>
    </x:row>
    <x:row r="302">
      <x:c r="C302" s="45" t="str">
        <x:f>'Path Daily'!C302</x:f>
        <x:v>P3</x:v>
      </x:c>
      <x:c r="D302" s="45" t="n">
        <x:f>'Path Daily'!D302</x:f>
        <x:v>22</x:v>
      </x:c>
      <x:c r="E302" s="53" t="n">
        <x:f>IF(D302=0,SUMIFS('Cargo Records'!$T$7:$T$70,'Cargo Records'!$J$7:$J$70,C302),0)</x:f>
        <x:v>0</x:v>
      </x:c>
      <x:c r="F302" s="53" t="n">
        <x:f>I301</x:f>
        <x:v>0</x:v>
      </x:c>
      <x:c r="G302" s="53" t="n">
        <x:f>'Path Daily'!M302</x:f>
        <x:v>8100</x:v>
      </x:c>
      <x:c r="H302" s="53" t="n">
        <x:f>MIN(E302+F302,G302)</x:f>
        <x:v>0</x:v>
      </x:c>
      <x:c r="I302" s="53" t="n">
        <x:f>E302+F302-H302</x:f>
        <x:v>0</x:v>
      </x:c>
      <x:c r="J302" s="45" t="str">
        <x:f>IF(I302=0,"CLEAR","QUEUED")</x:f>
        <x:v>CLEAR</x:v>
      </x:c>
      <x:c r="K302" s="72"/>
      <x:c r="L302" s="72"/>
      <x:c r="M302" s="72"/>
      <x:c r="N302" s="72"/>
    </x:row>
    <x:row r="303">
      <x:c r="C303" s="45" t="str">
        <x:f>'Path Daily'!C303</x:f>
        <x:v>P3</x:v>
      </x:c>
      <x:c r="D303" s="45" t="n">
        <x:f>'Path Daily'!D303</x:f>
        <x:v>23</x:v>
      </x:c>
      <x:c r="E303" s="53" t="n">
        <x:f>IF(D303=0,SUMIFS('Cargo Records'!$T$7:$T$70,'Cargo Records'!$J$7:$J$70,C303),0)</x:f>
        <x:v>0</x:v>
      </x:c>
      <x:c r="F303" s="53" t="n">
        <x:f>I302</x:f>
        <x:v>0</x:v>
      </x:c>
      <x:c r="G303" s="53" t="n">
        <x:f>'Path Daily'!M303</x:f>
        <x:v>8100</x:v>
      </x:c>
      <x:c r="H303" s="53" t="n">
        <x:f>MIN(E303+F303,G303)</x:f>
        <x:v>0</x:v>
      </x:c>
      <x:c r="I303" s="53" t="n">
        <x:f>E303+F303-H303</x:f>
        <x:v>0</x:v>
      </x:c>
      <x:c r="J303" s="45" t="str">
        <x:f>IF(I303=0,"CLEAR","QUEUED")</x:f>
        <x:v>CLEAR</x:v>
      </x:c>
      <x:c r="K303" s="72"/>
      <x:c r="L303" s="72"/>
      <x:c r="M303" s="72"/>
      <x:c r="N303" s="72"/>
    </x:row>
    <x:row r="304">
      <x:c r="C304" s="45" t="str">
        <x:f>'Path Daily'!C304</x:f>
        <x:v>P3</x:v>
      </x:c>
      <x:c r="D304" s="45" t="n">
        <x:f>'Path Daily'!D304</x:f>
        <x:v>24</x:v>
      </x:c>
      <x:c r="E304" s="53" t="n">
        <x:f>IF(D304=0,SUMIFS('Cargo Records'!$T$7:$T$70,'Cargo Records'!$J$7:$J$70,C304),0)</x:f>
        <x:v>0</x:v>
      </x:c>
      <x:c r="F304" s="53" t="n">
        <x:f>I303</x:f>
        <x:v>0</x:v>
      </x:c>
      <x:c r="G304" s="53" t="n">
        <x:f>'Path Daily'!M304</x:f>
        <x:v>8100</x:v>
      </x:c>
      <x:c r="H304" s="53" t="n">
        <x:f>MIN(E304+F304,G304)</x:f>
        <x:v>0</x:v>
      </x:c>
      <x:c r="I304" s="53" t="n">
        <x:f>E304+F304-H304</x:f>
        <x:v>0</x:v>
      </x:c>
      <x:c r="J304" s="45" t="str">
        <x:f>IF(I304=0,"CLEAR","QUEUED")</x:f>
        <x:v>CLEAR</x:v>
      </x:c>
      <x:c r="K304" s="72"/>
      <x:c r="L304" s="72"/>
      <x:c r="M304" s="72"/>
      <x:c r="N304" s="72"/>
    </x:row>
    <x:row r="305">
      <x:c r="C305" s="45" t="str">
        <x:f>'Path Daily'!C305</x:f>
        <x:v>P3</x:v>
      </x:c>
      <x:c r="D305" s="45" t="n">
        <x:f>'Path Daily'!D305</x:f>
        <x:v>25</x:v>
      </x:c>
      <x:c r="E305" s="53" t="n">
        <x:f>IF(D305=0,SUMIFS('Cargo Records'!$T$7:$T$70,'Cargo Records'!$J$7:$J$70,C305),0)</x:f>
        <x:v>0</x:v>
      </x:c>
      <x:c r="F305" s="53" t="n">
        <x:f>I304</x:f>
        <x:v>0</x:v>
      </x:c>
      <x:c r="G305" s="53" t="n">
        <x:f>'Path Daily'!M305</x:f>
        <x:v>8100</x:v>
      </x:c>
      <x:c r="H305" s="53" t="n">
        <x:f>MIN(E305+F305,G305)</x:f>
        <x:v>0</x:v>
      </x:c>
      <x:c r="I305" s="53" t="n">
        <x:f>E305+F305-H305</x:f>
        <x:v>0</x:v>
      </x:c>
      <x:c r="J305" s="45" t="str">
        <x:f>IF(I305=0,"CLEAR","QUEUED")</x:f>
        <x:v>CLEAR</x:v>
      </x:c>
      <x:c r="K305" s="72"/>
      <x:c r="L305" s="72"/>
      <x:c r="M305" s="72"/>
      <x:c r="N305" s="72"/>
    </x:row>
    <x:row r="306">
      <x:c r="C306" s="45" t="str">
        <x:f>'Path Daily'!C306</x:f>
        <x:v>P3</x:v>
      </x:c>
      <x:c r="D306" s="45" t="n">
        <x:f>'Path Daily'!D306</x:f>
        <x:v>26</x:v>
      </x:c>
      <x:c r="E306" s="53" t="n">
        <x:f>IF(D306=0,SUMIFS('Cargo Records'!$T$7:$T$70,'Cargo Records'!$J$7:$J$70,C306),0)</x:f>
        <x:v>0</x:v>
      </x:c>
      <x:c r="F306" s="53" t="n">
        <x:f>I305</x:f>
        <x:v>0</x:v>
      </x:c>
      <x:c r="G306" s="53" t="n">
        <x:f>'Path Daily'!M306</x:f>
        <x:v>8100</x:v>
      </x:c>
      <x:c r="H306" s="53" t="n">
        <x:f>MIN(E306+F306,G306)</x:f>
        <x:v>0</x:v>
      </x:c>
      <x:c r="I306" s="53" t="n">
        <x:f>E306+F306-H306</x:f>
        <x:v>0</x:v>
      </x:c>
      <x:c r="J306" s="45" t="str">
        <x:f>IF(I306=0,"CLEAR","QUEUED")</x:f>
        <x:v>CLEAR</x:v>
      </x:c>
      <x:c r="K306" s="72"/>
      <x:c r="L306" s="72"/>
      <x:c r="M306" s="72"/>
      <x:c r="N306" s="72"/>
    </x:row>
    <x:row r="307">
      <x:c r="C307" s="45" t="str">
        <x:f>'Path Daily'!C307</x:f>
        <x:v>P3</x:v>
      </x:c>
      <x:c r="D307" s="45" t="n">
        <x:f>'Path Daily'!D307</x:f>
        <x:v>27</x:v>
      </x:c>
      <x:c r="E307" s="53" t="n">
        <x:f>IF(D307=0,SUMIFS('Cargo Records'!$T$7:$T$70,'Cargo Records'!$J$7:$J$70,C307),0)</x:f>
        <x:v>0</x:v>
      </x:c>
      <x:c r="F307" s="53" t="n">
        <x:f>I306</x:f>
        <x:v>0</x:v>
      </x:c>
      <x:c r="G307" s="53" t="n">
        <x:f>'Path Daily'!M307</x:f>
        <x:v>8100</x:v>
      </x:c>
      <x:c r="H307" s="53" t="n">
        <x:f>MIN(E307+F307,G307)</x:f>
        <x:v>0</x:v>
      </x:c>
      <x:c r="I307" s="53" t="n">
        <x:f>E307+F307-H307</x:f>
        <x:v>0</x:v>
      </x:c>
      <x:c r="J307" s="45" t="str">
        <x:f>IF(I307=0,"CLEAR","QUEUED")</x:f>
        <x:v>CLEAR</x:v>
      </x:c>
      <x:c r="K307" s="72"/>
      <x:c r="L307" s="72"/>
      <x:c r="M307" s="72"/>
      <x:c r="N307" s="72"/>
    </x:row>
    <x:row r="308">
      <x:c r="C308" s="45" t="str">
        <x:f>'Path Daily'!C308</x:f>
        <x:v>P3</x:v>
      </x:c>
      <x:c r="D308" s="45" t="n">
        <x:f>'Path Daily'!D308</x:f>
        <x:v>28</x:v>
      </x:c>
      <x:c r="E308" s="53" t="n">
        <x:f>IF(D308=0,SUMIFS('Cargo Records'!$T$7:$T$70,'Cargo Records'!$J$7:$J$70,C308),0)</x:f>
        <x:v>0</x:v>
      </x:c>
      <x:c r="F308" s="53" t="n">
        <x:f>I307</x:f>
        <x:v>0</x:v>
      </x:c>
      <x:c r="G308" s="53" t="n">
        <x:f>'Path Daily'!M308</x:f>
        <x:v>8100</x:v>
      </x:c>
      <x:c r="H308" s="53" t="n">
        <x:f>MIN(E308+F308,G308)</x:f>
        <x:v>0</x:v>
      </x:c>
      <x:c r="I308" s="53" t="n">
        <x:f>E308+F308-H308</x:f>
        <x:v>0</x:v>
      </x:c>
      <x:c r="J308" s="45" t="str">
        <x:f>IF(I308=0,"CLEAR","QUEUED")</x:f>
        <x:v>CLEAR</x:v>
      </x:c>
      <x:c r="K308" s="72"/>
      <x:c r="L308" s="72"/>
      <x:c r="M308" s="72"/>
      <x:c r="N308" s="72"/>
    </x:row>
    <x:row r="309">
      <x:c r="C309" s="45" t="str">
        <x:f>'Path Daily'!C309</x:f>
        <x:v>P3</x:v>
      </x:c>
      <x:c r="D309" s="45" t="n">
        <x:f>'Path Daily'!D309</x:f>
        <x:v>29</x:v>
      </x:c>
      <x:c r="E309" s="53" t="n">
        <x:f>IF(D309=0,SUMIFS('Cargo Records'!$T$7:$T$70,'Cargo Records'!$J$7:$J$70,C309),0)</x:f>
        <x:v>0</x:v>
      </x:c>
      <x:c r="F309" s="53" t="n">
        <x:f>I308</x:f>
        <x:v>0</x:v>
      </x:c>
      <x:c r="G309" s="53" t="n">
        <x:f>'Path Daily'!M309</x:f>
        <x:v>8100</x:v>
      </x:c>
      <x:c r="H309" s="53" t="n">
        <x:f>MIN(E309+F309,G309)</x:f>
        <x:v>0</x:v>
      </x:c>
      <x:c r="I309" s="53" t="n">
        <x:f>E309+F309-H309</x:f>
        <x:v>0</x:v>
      </x:c>
      <x:c r="J309" s="45" t="str">
        <x:f>IF(I309=0,"CLEAR","QUEUED")</x:f>
        <x:v>CLEAR</x:v>
      </x:c>
      <x:c r="K309" s="72"/>
      <x:c r="L309" s="72"/>
      <x:c r="M309" s="72"/>
      <x:c r="N309" s="72"/>
    </x:row>
    <x:row r="310">
      <x:c r="C310" s="45" t="str">
        <x:f>'Path Daily'!C310</x:f>
        <x:v>P3</x:v>
      </x:c>
      <x:c r="D310" s="45" t="n">
        <x:f>'Path Daily'!D310</x:f>
        <x:v>30</x:v>
      </x:c>
      <x:c r="E310" s="53" t="n">
        <x:f>IF(D310=0,SUMIFS('Cargo Records'!$T$7:$T$70,'Cargo Records'!$J$7:$J$70,C310),0)</x:f>
        <x:v>0</x:v>
      </x:c>
      <x:c r="F310" s="53" t="n">
        <x:f>I309</x:f>
        <x:v>0</x:v>
      </x:c>
      <x:c r="G310" s="53" t="n">
        <x:f>'Path Daily'!M310</x:f>
        <x:v>8100</x:v>
      </x:c>
      <x:c r="H310" s="53" t="n">
        <x:f>MIN(E310+F310,G310)</x:f>
        <x:v>0</x:v>
      </x:c>
      <x:c r="I310" s="53" t="n">
        <x:f>E310+F310-H310</x:f>
        <x:v>0</x:v>
      </x:c>
      <x:c r="J310" s="45" t="str">
        <x:f>IF(I310=0,"CLEAR","QUEUED")</x:f>
        <x:v>CLEAR</x:v>
      </x:c>
      <x:c r="K310" s="72"/>
      <x:c r="L310" s="72"/>
      <x:c r="M310" s="72"/>
      <x:c r="N310" s="72"/>
    </x:row>
    <x:row r="311">
      <x:c r="C311" s="45" t="str">
        <x:f>'Path Daily'!C311</x:f>
        <x:v>P3</x:v>
      </x:c>
      <x:c r="D311" s="45" t="n">
        <x:f>'Path Daily'!D311</x:f>
        <x:v>31</x:v>
      </x:c>
      <x:c r="E311" s="53" t="n">
        <x:f>IF(D311=0,SUMIFS('Cargo Records'!$T$7:$T$70,'Cargo Records'!$J$7:$J$70,C311),0)</x:f>
        <x:v>0</x:v>
      </x:c>
      <x:c r="F311" s="53" t="n">
        <x:f>I310</x:f>
        <x:v>0</x:v>
      </x:c>
      <x:c r="G311" s="53" t="n">
        <x:f>'Path Daily'!M311</x:f>
        <x:v>8100</x:v>
      </x:c>
      <x:c r="H311" s="53" t="n">
        <x:f>MIN(E311+F311,G311)</x:f>
        <x:v>0</x:v>
      </x:c>
      <x:c r="I311" s="53" t="n">
        <x:f>E311+F311-H311</x:f>
        <x:v>0</x:v>
      </x:c>
      <x:c r="J311" s="45" t="str">
        <x:f>IF(I311=0,"CLEAR","QUEUED")</x:f>
        <x:v>CLEAR</x:v>
      </x:c>
      <x:c r="K311" s="72"/>
      <x:c r="L311" s="72"/>
      <x:c r="M311" s="72"/>
      <x:c r="N311" s="72"/>
    </x:row>
    <x:row r="312">
      <x:c r="C312" s="45" t="str">
        <x:f>'Path Daily'!C312</x:f>
        <x:v>P3</x:v>
      </x:c>
      <x:c r="D312" s="45" t="n">
        <x:f>'Path Daily'!D312</x:f>
        <x:v>32</x:v>
      </x:c>
      <x:c r="E312" s="53" t="n">
        <x:f>IF(D312=0,SUMIFS('Cargo Records'!$T$7:$T$70,'Cargo Records'!$J$7:$J$70,C312),0)</x:f>
        <x:v>0</x:v>
      </x:c>
      <x:c r="F312" s="53" t="n">
        <x:f>I311</x:f>
        <x:v>0</x:v>
      </x:c>
      <x:c r="G312" s="53" t="n">
        <x:f>'Path Daily'!M312</x:f>
        <x:v>8100</x:v>
      </x:c>
      <x:c r="H312" s="53" t="n">
        <x:f>MIN(E312+F312,G312)</x:f>
        <x:v>0</x:v>
      </x:c>
      <x:c r="I312" s="53" t="n">
        <x:f>E312+F312-H312</x:f>
        <x:v>0</x:v>
      </x:c>
      <x:c r="J312" s="45" t="str">
        <x:f>IF(I312=0,"CLEAR","QUEUED")</x:f>
        <x:v>CLEAR</x:v>
      </x:c>
      <x:c r="K312" s="72"/>
      <x:c r="L312" s="72"/>
      <x:c r="M312" s="72"/>
      <x:c r="N312" s="72"/>
    </x:row>
    <x:row r="313">
      <x:c r="C313" s="45" t="str">
        <x:f>'Path Daily'!C313</x:f>
        <x:v>P3</x:v>
      </x:c>
      <x:c r="D313" s="45" t="n">
        <x:f>'Path Daily'!D313</x:f>
        <x:v>33</x:v>
      </x:c>
      <x:c r="E313" s="53" t="n">
        <x:f>IF(D313=0,SUMIFS('Cargo Records'!$T$7:$T$70,'Cargo Records'!$J$7:$J$70,C313),0)</x:f>
        <x:v>0</x:v>
      </x:c>
      <x:c r="F313" s="53" t="n">
        <x:f>I312</x:f>
        <x:v>0</x:v>
      </x:c>
      <x:c r="G313" s="53" t="n">
        <x:f>'Path Daily'!M313</x:f>
        <x:v>8100</x:v>
      </x:c>
      <x:c r="H313" s="53" t="n">
        <x:f>MIN(E313+F313,G313)</x:f>
        <x:v>0</x:v>
      </x:c>
      <x:c r="I313" s="53" t="n">
        <x:f>E313+F313-H313</x:f>
        <x:v>0</x:v>
      </x:c>
      <x:c r="J313" s="45" t="str">
        <x:f>IF(I313=0,"CLEAR","QUEUED")</x:f>
        <x:v>CLEAR</x:v>
      </x:c>
      <x:c r="K313" s="72"/>
      <x:c r="L313" s="72"/>
      <x:c r="M313" s="72"/>
      <x:c r="N313" s="72"/>
    </x:row>
    <x:row r="314">
      <x:c r="C314" s="45" t="str">
        <x:f>'Path Daily'!C314</x:f>
        <x:v>P3</x:v>
      </x:c>
      <x:c r="D314" s="45" t="n">
        <x:f>'Path Daily'!D314</x:f>
        <x:v>34</x:v>
      </x:c>
      <x:c r="E314" s="53" t="n">
        <x:f>IF(D314=0,SUMIFS('Cargo Records'!$T$7:$T$70,'Cargo Records'!$J$7:$J$70,C314),0)</x:f>
        <x:v>0</x:v>
      </x:c>
      <x:c r="F314" s="53" t="n">
        <x:f>I313</x:f>
        <x:v>0</x:v>
      </x:c>
      <x:c r="G314" s="53" t="n">
        <x:f>'Path Daily'!M314</x:f>
        <x:v>5265</x:v>
      </x:c>
      <x:c r="H314" s="53" t="n">
        <x:f>MIN(E314+F314,G314)</x:f>
        <x:v>0</x:v>
      </x:c>
      <x:c r="I314" s="53" t="n">
        <x:f>E314+F314-H314</x:f>
        <x:v>0</x:v>
      </x:c>
      <x:c r="J314" s="45" t="str">
        <x:f>IF(I314=0,"CLEAR","QUEUED")</x:f>
        <x:v>CLEAR</x:v>
      </x:c>
      <x:c r="K314" s="72"/>
      <x:c r="L314" s="72"/>
      <x:c r="M314" s="72"/>
      <x:c r="N314" s="72"/>
    </x:row>
    <x:row r="315">
      <x:c r="C315" s="45" t="str">
        <x:f>'Path Daily'!C315</x:f>
        <x:v>P3</x:v>
      </x:c>
      <x:c r="D315" s="45" t="n">
        <x:f>'Path Daily'!D315</x:f>
        <x:v>35</x:v>
      </x:c>
      <x:c r="E315" s="53" t="n">
        <x:f>IF(D315=0,SUMIFS('Cargo Records'!$T$7:$T$70,'Cargo Records'!$J$7:$J$70,C315),0)</x:f>
        <x:v>0</x:v>
      </x:c>
      <x:c r="F315" s="53" t="n">
        <x:f>I314</x:f>
        <x:v>0</x:v>
      </x:c>
      <x:c r="G315" s="53" t="n">
        <x:f>'Path Daily'!M315</x:f>
        <x:v>5265</x:v>
      </x:c>
      <x:c r="H315" s="53" t="n">
        <x:f>MIN(E315+F315,G315)</x:f>
        <x:v>0</x:v>
      </x:c>
      <x:c r="I315" s="53" t="n">
        <x:f>E315+F315-H315</x:f>
        <x:v>0</x:v>
      </x:c>
      <x:c r="J315" s="45" t="str">
        <x:f>IF(I315=0,"CLEAR","QUEUED")</x:f>
        <x:v>CLEAR</x:v>
      </x:c>
      <x:c r="K315" s="72"/>
      <x:c r="L315" s="72"/>
      <x:c r="M315" s="72"/>
      <x:c r="N315" s="72"/>
    </x:row>
    <x:row r="316">
      <x:c r="C316" s="45" t="str">
        <x:f>'Path Daily'!C316</x:f>
        <x:v>P3</x:v>
      </x:c>
      <x:c r="D316" s="45" t="n">
        <x:f>'Path Daily'!D316</x:f>
        <x:v>36</x:v>
      </x:c>
      <x:c r="E316" s="53" t="n">
        <x:f>IF(D316=0,SUMIFS('Cargo Records'!$T$7:$T$70,'Cargo Records'!$J$7:$J$70,C316),0)</x:f>
        <x:v>0</x:v>
      </x:c>
      <x:c r="F316" s="53" t="n">
        <x:f>I315</x:f>
        <x:v>0</x:v>
      </x:c>
      <x:c r="G316" s="53" t="n">
        <x:f>'Path Daily'!M316</x:f>
        <x:v>8100</x:v>
      </x:c>
      <x:c r="H316" s="53" t="n">
        <x:f>MIN(E316+F316,G316)</x:f>
        <x:v>0</x:v>
      </x:c>
      <x:c r="I316" s="53" t="n">
        <x:f>E316+F316-H316</x:f>
        <x:v>0</x:v>
      </x:c>
      <x:c r="J316" s="45" t="str">
        <x:f>IF(I316=0,"CLEAR","QUEUED")</x:f>
        <x:v>CLEAR</x:v>
      </x:c>
      <x:c r="K316" s="72"/>
      <x:c r="L316" s="72"/>
      <x:c r="M316" s="72"/>
      <x:c r="N316" s="72"/>
    </x:row>
    <x:row r="317">
      <x:c r="C317" s="45" t="str">
        <x:f>'Path Daily'!C317</x:f>
        <x:v>P3</x:v>
      </x:c>
      <x:c r="D317" s="45" t="n">
        <x:f>'Path Daily'!D317</x:f>
        <x:v>37</x:v>
      </x:c>
      <x:c r="E317" s="53" t="n">
        <x:f>IF(D317=0,SUMIFS('Cargo Records'!$T$7:$T$70,'Cargo Records'!$J$7:$J$70,C317),0)</x:f>
        <x:v>0</x:v>
      </x:c>
      <x:c r="F317" s="53" t="n">
        <x:f>I316</x:f>
        <x:v>0</x:v>
      </x:c>
      <x:c r="G317" s="53" t="n">
        <x:f>'Path Daily'!M317</x:f>
        <x:v>8100</x:v>
      </x:c>
      <x:c r="H317" s="53" t="n">
        <x:f>MIN(E317+F317,G317)</x:f>
        <x:v>0</x:v>
      </x:c>
      <x:c r="I317" s="53" t="n">
        <x:f>E317+F317-H317</x:f>
        <x:v>0</x:v>
      </x:c>
      <x:c r="J317" s="45" t="str">
        <x:f>IF(I317=0,"CLEAR","QUEUED")</x:f>
        <x:v>CLEAR</x:v>
      </x:c>
      <x:c r="K317" s="72"/>
      <x:c r="L317" s="72"/>
      <x:c r="M317" s="72"/>
      <x:c r="N317" s="72"/>
    </x:row>
    <x:row r="318">
      <x:c r="C318" s="45" t="str">
        <x:f>'Path Daily'!C318</x:f>
        <x:v>P3</x:v>
      </x:c>
      <x:c r="D318" s="45" t="n">
        <x:f>'Path Daily'!D318</x:f>
        <x:v>38</x:v>
      </x:c>
      <x:c r="E318" s="53" t="n">
        <x:f>IF(D318=0,SUMIFS('Cargo Records'!$T$7:$T$70,'Cargo Records'!$J$7:$J$70,C318),0)</x:f>
        <x:v>0</x:v>
      </x:c>
      <x:c r="F318" s="53" t="n">
        <x:f>I317</x:f>
        <x:v>0</x:v>
      </x:c>
      <x:c r="G318" s="53" t="n">
        <x:f>'Path Daily'!M318</x:f>
        <x:v>8100</x:v>
      </x:c>
      <x:c r="H318" s="53" t="n">
        <x:f>MIN(E318+F318,G318)</x:f>
        <x:v>0</x:v>
      </x:c>
      <x:c r="I318" s="53" t="n">
        <x:f>E318+F318-H318</x:f>
        <x:v>0</x:v>
      </x:c>
      <x:c r="J318" s="45" t="str">
        <x:f>IF(I318=0,"CLEAR","QUEUED")</x:f>
        <x:v>CLEAR</x:v>
      </x:c>
      <x:c r="K318" s="72"/>
      <x:c r="L318" s="72"/>
      <x:c r="M318" s="72"/>
      <x:c r="N318" s="72"/>
    </x:row>
    <x:row r="319">
      <x:c r="C319" s="45" t="str">
        <x:f>'Path Daily'!C319</x:f>
        <x:v>P3</x:v>
      </x:c>
      <x:c r="D319" s="45" t="n">
        <x:f>'Path Daily'!D319</x:f>
        <x:v>39</x:v>
      </x:c>
      <x:c r="E319" s="53" t="n">
        <x:f>IF(D319=0,SUMIFS('Cargo Records'!$T$7:$T$70,'Cargo Records'!$J$7:$J$70,C319),0)</x:f>
        <x:v>0</x:v>
      </x:c>
      <x:c r="F319" s="53" t="n">
        <x:f>I318</x:f>
        <x:v>0</x:v>
      </x:c>
      <x:c r="G319" s="53" t="n">
        <x:f>'Path Daily'!M319</x:f>
        <x:v>8100</x:v>
      </x:c>
      <x:c r="H319" s="53" t="n">
        <x:f>MIN(E319+F319,G319)</x:f>
        <x:v>0</x:v>
      </x:c>
      <x:c r="I319" s="53" t="n">
        <x:f>E319+F319-H319</x:f>
        <x:v>0</x:v>
      </x:c>
      <x:c r="J319" s="45" t="str">
        <x:f>IF(I319=0,"CLEAR","QUEUED")</x:f>
        <x:v>CLEAR</x:v>
      </x:c>
      <x:c r="K319" s="72"/>
      <x:c r="L319" s="72"/>
      <x:c r="M319" s="72"/>
      <x:c r="N319" s="72"/>
    </x:row>
    <x:row r="320">
      <x:c r="C320" s="45" t="str">
        <x:f>'Path Daily'!C320</x:f>
        <x:v>P3</x:v>
      </x:c>
      <x:c r="D320" s="45" t="n">
        <x:f>'Path Daily'!D320</x:f>
        <x:v>40</x:v>
      </x:c>
      <x:c r="E320" s="53" t="n">
        <x:f>IF(D320=0,SUMIFS('Cargo Records'!$T$7:$T$70,'Cargo Records'!$J$7:$J$70,C320),0)</x:f>
        <x:v>0</x:v>
      </x:c>
      <x:c r="F320" s="53" t="n">
        <x:f>I319</x:f>
        <x:v>0</x:v>
      </x:c>
      <x:c r="G320" s="53" t="n">
        <x:f>'Path Daily'!M320</x:f>
        <x:v>8100</x:v>
      </x:c>
      <x:c r="H320" s="53" t="n">
        <x:f>MIN(E320+F320,G320)</x:f>
        <x:v>0</x:v>
      </x:c>
      <x:c r="I320" s="53" t="n">
        <x:f>E320+F320-H320</x:f>
        <x:v>0</x:v>
      </x:c>
      <x:c r="J320" s="45" t="str">
        <x:f>IF(I320=0,"CLEAR","QUEUED")</x:f>
        <x:v>CLEAR</x:v>
      </x:c>
      <x:c r="K320" s="72"/>
      <x:c r="L320" s="72"/>
      <x:c r="M320" s="72"/>
      <x:c r="N320" s="72"/>
    </x:row>
    <x:row r="321">
      <x:c r="C321" s="45" t="str">
        <x:f>'Path Daily'!C321</x:f>
        <x:v>P3</x:v>
      </x:c>
      <x:c r="D321" s="45" t="n">
        <x:f>'Path Daily'!D321</x:f>
        <x:v>41</x:v>
      </x:c>
      <x:c r="E321" s="53" t="n">
        <x:f>IF(D321=0,SUMIFS('Cargo Records'!$T$7:$T$70,'Cargo Records'!$J$7:$J$70,C321),0)</x:f>
        <x:v>0</x:v>
      </x:c>
      <x:c r="F321" s="53" t="n">
        <x:f>I320</x:f>
        <x:v>0</x:v>
      </x:c>
      <x:c r="G321" s="53" t="n">
        <x:f>'Path Daily'!M321</x:f>
        <x:v>8100</x:v>
      </x:c>
      <x:c r="H321" s="53" t="n">
        <x:f>MIN(E321+F321,G321)</x:f>
        <x:v>0</x:v>
      </x:c>
      <x:c r="I321" s="53" t="n">
        <x:f>E321+F321-H321</x:f>
        <x:v>0</x:v>
      </x:c>
      <x:c r="J321" s="45" t="str">
        <x:f>IF(I321=0,"CLEAR","QUEUED")</x:f>
        <x:v>CLEAR</x:v>
      </x:c>
      <x:c r="K321" s="72"/>
      <x:c r="L321" s="72"/>
      <x:c r="M321" s="72"/>
      <x:c r="N321" s="72"/>
    </x:row>
    <x:row r="322">
      <x:c r="C322" s="45" t="str">
        <x:f>'Path Daily'!C322</x:f>
        <x:v>P3</x:v>
      </x:c>
      <x:c r="D322" s="45" t="n">
        <x:f>'Path Daily'!D322</x:f>
        <x:v>42</x:v>
      </x:c>
      <x:c r="E322" s="53" t="n">
        <x:f>IF(D322=0,SUMIFS('Cargo Records'!$T$7:$T$70,'Cargo Records'!$J$7:$J$70,C322),0)</x:f>
        <x:v>0</x:v>
      </x:c>
      <x:c r="F322" s="53" t="n">
        <x:f>I321</x:f>
        <x:v>0</x:v>
      </x:c>
      <x:c r="G322" s="53" t="n">
        <x:f>'Path Daily'!M322</x:f>
        <x:v>8100</x:v>
      </x:c>
      <x:c r="H322" s="53" t="n">
        <x:f>MIN(E322+F322,G322)</x:f>
        <x:v>0</x:v>
      </x:c>
      <x:c r="I322" s="53" t="n">
        <x:f>E322+F322-H322</x:f>
        <x:v>0</x:v>
      </x:c>
      <x:c r="J322" s="45" t="str">
        <x:f>IF(I322=0,"CLEAR","QUEUED")</x:f>
        <x:v>CLEAR</x:v>
      </x:c>
      <x:c r="K322" s="72"/>
      <x:c r="L322" s="72"/>
      <x:c r="M322" s="72"/>
      <x:c r="N322" s="72"/>
    </x:row>
    <x:row r="323">
      <x:c r="C323" s="45" t="str">
        <x:f>'Path Daily'!C323</x:f>
        <x:v>P3</x:v>
      </x:c>
      <x:c r="D323" s="45" t="n">
        <x:f>'Path Daily'!D323</x:f>
        <x:v>43</x:v>
      </x:c>
      <x:c r="E323" s="53" t="n">
        <x:f>IF(D323=0,SUMIFS('Cargo Records'!$T$7:$T$70,'Cargo Records'!$J$7:$J$70,C323),0)</x:f>
        <x:v>0</x:v>
      </x:c>
      <x:c r="F323" s="53" t="n">
        <x:f>I322</x:f>
        <x:v>0</x:v>
      </x:c>
      <x:c r="G323" s="53" t="n">
        <x:f>'Path Daily'!M323</x:f>
        <x:v>8100</x:v>
      </x:c>
      <x:c r="H323" s="53" t="n">
        <x:f>MIN(E323+F323,G323)</x:f>
        <x:v>0</x:v>
      </x:c>
      <x:c r="I323" s="53" t="n">
        <x:f>E323+F323-H323</x:f>
        <x:v>0</x:v>
      </x:c>
      <x:c r="J323" s="45" t="str">
        <x:f>IF(I323=0,"CLEAR","QUEUED")</x:f>
        <x:v>CLEAR</x:v>
      </x:c>
      <x:c r="K323" s="72"/>
      <x:c r="L323" s="72"/>
      <x:c r="M323" s="72"/>
      <x:c r="N323" s="72"/>
    </x:row>
    <x:row r="324">
      <x:c r="C324" s="45" t="str">
        <x:f>'Path Daily'!C324</x:f>
        <x:v>P3</x:v>
      </x:c>
      <x:c r="D324" s="45" t="n">
        <x:f>'Path Daily'!D324</x:f>
        <x:v>44</x:v>
      </x:c>
      <x:c r="E324" s="53" t="n">
        <x:f>IF(D324=0,SUMIFS('Cargo Records'!$T$7:$T$70,'Cargo Records'!$J$7:$J$70,C324),0)</x:f>
        <x:v>0</x:v>
      </x:c>
      <x:c r="F324" s="53" t="n">
        <x:f>I323</x:f>
        <x:v>0</x:v>
      </x:c>
      <x:c r="G324" s="53" t="n">
        <x:f>'Path Daily'!M324</x:f>
        <x:v>8100</x:v>
      </x:c>
      <x:c r="H324" s="53" t="n">
        <x:f>MIN(E324+F324,G324)</x:f>
        <x:v>0</x:v>
      </x:c>
      <x:c r="I324" s="53" t="n">
        <x:f>E324+F324-H324</x:f>
        <x:v>0</x:v>
      </x:c>
      <x:c r="J324" s="45" t="str">
        <x:f>IF(I324=0,"CLEAR","QUEUED")</x:f>
        <x:v>CLEAR</x:v>
      </x:c>
      <x:c r="K324" s="72"/>
      <x:c r="L324" s="72"/>
      <x:c r="M324" s="72"/>
      <x:c r="N324" s="72"/>
    </x:row>
    <x:row r="325">
      <x:c r="C325" s="45" t="str">
        <x:f>'Path Daily'!C325</x:f>
        <x:v>P3</x:v>
      </x:c>
      <x:c r="D325" s="45" t="n">
        <x:f>'Path Daily'!D325</x:f>
        <x:v>45</x:v>
      </x:c>
      <x:c r="E325" s="53" t="n">
        <x:f>IF(D325=0,SUMIFS('Cargo Records'!$T$7:$T$70,'Cargo Records'!$J$7:$J$70,C325),0)</x:f>
        <x:v>0</x:v>
      </x:c>
      <x:c r="F325" s="53" t="n">
        <x:f>I324</x:f>
        <x:v>0</x:v>
      </x:c>
      <x:c r="G325" s="53" t="n">
        <x:f>'Path Daily'!M325</x:f>
        <x:v>8100</x:v>
      </x:c>
      <x:c r="H325" s="53" t="n">
        <x:f>MIN(E325+F325,G325)</x:f>
        <x:v>0</x:v>
      </x:c>
      <x:c r="I325" s="53" t="n">
        <x:f>E325+F325-H325</x:f>
        <x:v>0</x:v>
      </x:c>
      <x:c r="J325" s="45" t="str">
        <x:f>IF(I325=0,"CLEAR","QUEUED")</x:f>
        <x:v>CLEAR</x:v>
      </x:c>
      <x:c r="K325" s="72"/>
      <x:c r="L325" s="72"/>
      <x:c r="M325" s="72"/>
      <x:c r="N325" s="72"/>
    </x:row>
    <x:row r="326">
      <x:c r="C326" s="45" t="str">
        <x:f>'Path Daily'!C326</x:f>
        <x:v>P3</x:v>
      </x:c>
      <x:c r="D326" s="45" t="n">
        <x:f>'Path Daily'!D326</x:f>
        <x:v>46</x:v>
      </x:c>
      <x:c r="E326" s="53" t="n">
        <x:f>IF(D326=0,SUMIFS('Cargo Records'!$T$7:$T$70,'Cargo Records'!$J$7:$J$70,C326),0)</x:f>
        <x:v>0</x:v>
      </x:c>
      <x:c r="F326" s="53" t="n">
        <x:f>I325</x:f>
        <x:v>0</x:v>
      </x:c>
      <x:c r="G326" s="53" t="n">
        <x:f>'Path Daily'!M326</x:f>
        <x:v>3888</x:v>
      </x:c>
      <x:c r="H326" s="53" t="n">
        <x:f>MIN(E326+F326,G326)</x:f>
        <x:v>0</x:v>
      </x:c>
      <x:c r="I326" s="53" t="n">
        <x:f>E326+F326-H326</x:f>
        <x:v>0</x:v>
      </x:c>
      <x:c r="J326" s="45" t="str">
        <x:f>IF(I326=0,"CLEAR","QUEUED")</x:f>
        <x:v>CLEAR</x:v>
      </x:c>
      <x:c r="K326" s="72"/>
      <x:c r="L326" s="72"/>
      <x:c r="M326" s="72"/>
      <x:c r="N326" s="72"/>
    </x:row>
    <x:row r="327">
      <x:c r="C327" s="45" t="str">
        <x:f>'Path Daily'!C327</x:f>
        <x:v>P3</x:v>
      </x:c>
      <x:c r="D327" s="45" t="n">
        <x:f>'Path Daily'!D327</x:f>
        <x:v>47</x:v>
      </x:c>
      <x:c r="E327" s="53" t="n">
        <x:f>IF(D327=0,SUMIFS('Cargo Records'!$T$7:$T$70,'Cargo Records'!$J$7:$J$70,C327),0)</x:f>
        <x:v>0</x:v>
      </x:c>
      <x:c r="F327" s="53" t="n">
        <x:f>I326</x:f>
        <x:v>0</x:v>
      </x:c>
      <x:c r="G327" s="53" t="n">
        <x:f>'Path Daily'!M327</x:f>
        <x:v>4860</x:v>
      </x:c>
      <x:c r="H327" s="53" t="n">
        <x:f>MIN(E327+F327,G327)</x:f>
        <x:v>0</x:v>
      </x:c>
      <x:c r="I327" s="53" t="n">
        <x:f>E327+F327-H327</x:f>
        <x:v>0</x:v>
      </x:c>
      <x:c r="J327" s="45" t="str">
        <x:f>IF(I327=0,"CLEAR","QUEUED")</x:f>
        <x:v>CLEAR</x:v>
      </x:c>
      <x:c r="K327" s="72"/>
      <x:c r="L327" s="72"/>
      <x:c r="M327" s="72"/>
      <x:c r="N327" s="72"/>
    </x:row>
    <x:row r="328">
      <x:c r="C328" s="45" t="str">
        <x:f>'Path Daily'!C328</x:f>
        <x:v>P3</x:v>
      </x:c>
      <x:c r="D328" s="45" t="n">
        <x:f>'Path Daily'!D328</x:f>
        <x:v>48</x:v>
      </x:c>
      <x:c r="E328" s="53" t="n">
        <x:f>IF(D328=0,SUMIFS('Cargo Records'!$T$7:$T$70,'Cargo Records'!$J$7:$J$70,C328),0)</x:f>
        <x:v>0</x:v>
      </x:c>
      <x:c r="F328" s="53" t="n">
        <x:f>I327</x:f>
        <x:v>0</x:v>
      </x:c>
      <x:c r="G328" s="53" t="n">
        <x:f>'Path Daily'!M328</x:f>
        <x:v>4860</x:v>
      </x:c>
      <x:c r="H328" s="53" t="n">
        <x:f>MIN(E328+F328,G328)</x:f>
        <x:v>0</x:v>
      </x:c>
      <x:c r="I328" s="53" t="n">
        <x:f>E328+F328-H328</x:f>
        <x:v>0</x:v>
      </x:c>
      <x:c r="J328" s="45" t="str">
        <x:f>IF(I328=0,"CLEAR","QUEUED")</x:f>
        <x:v>CLEAR</x:v>
      </x:c>
      <x:c r="K328" s="72"/>
      <x:c r="L328" s="72"/>
      <x:c r="M328" s="72"/>
      <x:c r="N328" s="72"/>
    </x:row>
    <x:row r="329">
      <x:c r="C329" s="45" t="str">
        <x:f>'Path Daily'!C329</x:f>
        <x:v>P3</x:v>
      </x:c>
      <x:c r="D329" s="45" t="n">
        <x:f>'Path Daily'!D329</x:f>
        <x:v>49</x:v>
      </x:c>
      <x:c r="E329" s="53" t="n">
        <x:f>IF(D329=0,SUMIFS('Cargo Records'!$T$7:$T$70,'Cargo Records'!$J$7:$J$70,C329),0)</x:f>
        <x:v>0</x:v>
      </x:c>
      <x:c r="F329" s="53" t="n">
        <x:f>I328</x:f>
        <x:v>0</x:v>
      </x:c>
      <x:c r="G329" s="53" t="n">
        <x:f>'Path Daily'!M329</x:f>
        <x:v>4860</x:v>
      </x:c>
      <x:c r="H329" s="53" t="n">
        <x:f>MIN(E329+F329,G329)</x:f>
        <x:v>0</x:v>
      </x:c>
      <x:c r="I329" s="53" t="n">
        <x:f>E329+F329-H329</x:f>
        <x:v>0</x:v>
      </x:c>
      <x:c r="J329" s="45" t="str">
        <x:f>IF(I329=0,"CLEAR","QUEUED")</x:f>
        <x:v>CLEAR</x:v>
      </x:c>
      <x:c r="K329" s="72"/>
      <x:c r="L329" s="72"/>
      <x:c r="M329" s="72"/>
      <x:c r="N329" s="72"/>
    </x:row>
    <x:row r="330">
      <x:c r="C330" s="45" t="str">
        <x:f>'Path Daily'!C330</x:f>
        <x:v>P3</x:v>
      </x:c>
      <x:c r="D330" s="45" t="n">
        <x:f>'Path Daily'!D330</x:f>
        <x:v>50</x:v>
      </x:c>
      <x:c r="E330" s="53" t="n">
        <x:f>IF(D330=0,SUMIFS('Cargo Records'!$T$7:$T$70,'Cargo Records'!$J$7:$J$70,C330),0)</x:f>
        <x:v>0</x:v>
      </x:c>
      <x:c r="F330" s="53" t="n">
        <x:f>I329</x:f>
        <x:v>0</x:v>
      </x:c>
      <x:c r="G330" s="53" t="n">
        <x:f>'Path Daily'!M330</x:f>
        <x:v>4860</x:v>
      </x:c>
      <x:c r="H330" s="53" t="n">
        <x:f>MIN(E330+F330,G330)</x:f>
        <x:v>0</x:v>
      </x:c>
      <x:c r="I330" s="53" t="n">
        <x:f>E330+F330-H330</x:f>
        <x:v>0</x:v>
      </x:c>
      <x:c r="J330" s="45" t="str">
        <x:f>IF(I330=0,"CLEAR","QUEUED")</x:f>
        <x:v>CLEAR</x:v>
      </x:c>
      <x:c r="K330" s="72"/>
      <x:c r="L330" s="72"/>
      <x:c r="M330" s="72"/>
      <x:c r="N330" s="72"/>
    </x:row>
    <x:row r="331">
      <x:c r="C331" s="45" t="str">
        <x:f>'Path Daily'!C331</x:f>
        <x:v>P3</x:v>
      </x:c>
      <x:c r="D331" s="45" t="n">
        <x:f>'Path Daily'!D331</x:f>
        <x:v>51</x:v>
      </x:c>
      <x:c r="E331" s="53" t="n">
        <x:f>IF(D331=0,SUMIFS('Cargo Records'!$T$7:$T$70,'Cargo Records'!$J$7:$J$70,C331),0)</x:f>
        <x:v>0</x:v>
      </x:c>
      <x:c r="F331" s="53" t="n">
        <x:f>I330</x:f>
        <x:v>0</x:v>
      </x:c>
      <x:c r="G331" s="53" t="n">
        <x:f>'Path Daily'!M331</x:f>
        <x:v>4860</x:v>
      </x:c>
      <x:c r="H331" s="53" t="n">
        <x:f>MIN(E331+F331,G331)</x:f>
        <x:v>0</x:v>
      </x:c>
      <x:c r="I331" s="53" t="n">
        <x:f>E331+F331-H331</x:f>
        <x:v>0</x:v>
      </x:c>
      <x:c r="J331" s="45" t="str">
        <x:f>IF(I331=0,"CLEAR","QUEUED")</x:f>
        <x:v>CLEAR</x:v>
      </x:c>
      <x:c r="K331" s="72"/>
      <x:c r="L331" s="72"/>
      <x:c r="M331" s="72"/>
      <x:c r="N331" s="72"/>
    </x:row>
    <x:row r="332">
      <x:c r="C332" s="45" t="str">
        <x:f>'Path Daily'!C332</x:f>
        <x:v>P3</x:v>
      </x:c>
      <x:c r="D332" s="45" t="n">
        <x:f>'Path Daily'!D332</x:f>
        <x:v>52</x:v>
      </x:c>
      <x:c r="E332" s="53" t="n">
        <x:f>IF(D332=0,SUMIFS('Cargo Records'!$T$7:$T$70,'Cargo Records'!$J$7:$J$70,C332),0)</x:f>
        <x:v>0</x:v>
      </x:c>
      <x:c r="F332" s="53" t="n">
        <x:f>I331</x:f>
        <x:v>0</x:v>
      </x:c>
      <x:c r="G332" s="53" t="n">
        <x:f>'Path Daily'!M332</x:f>
        <x:v>4860</x:v>
      </x:c>
      <x:c r="H332" s="53" t="n">
        <x:f>MIN(E332+F332,G332)</x:f>
        <x:v>0</x:v>
      </x:c>
      <x:c r="I332" s="53" t="n">
        <x:f>E332+F332-H332</x:f>
        <x:v>0</x:v>
      </x:c>
      <x:c r="J332" s="45" t="str">
        <x:f>IF(I332=0,"CLEAR","QUEUED")</x:f>
        <x:v>CLEAR</x:v>
      </x:c>
      <x:c r="K332" s="72"/>
      <x:c r="L332" s="72"/>
      <x:c r="M332" s="72"/>
      <x:c r="N332" s="72"/>
    </x:row>
    <x:row r="333">
      <x:c r="C333" s="45" t="str">
        <x:f>'Path Daily'!C333</x:f>
        <x:v>P3</x:v>
      </x:c>
      <x:c r="D333" s="45" t="n">
        <x:f>'Path Daily'!D333</x:f>
        <x:v>53</x:v>
      </x:c>
      <x:c r="E333" s="53" t="n">
        <x:f>IF(D333=0,SUMIFS('Cargo Records'!$T$7:$T$70,'Cargo Records'!$J$7:$J$70,C333),0)</x:f>
        <x:v>0</x:v>
      </x:c>
      <x:c r="F333" s="53" t="n">
        <x:f>I332</x:f>
        <x:v>0</x:v>
      </x:c>
      <x:c r="G333" s="53" t="n">
        <x:f>'Path Daily'!M333</x:f>
        <x:v>4860</x:v>
      </x:c>
      <x:c r="H333" s="53" t="n">
        <x:f>MIN(E333+F333,G333)</x:f>
        <x:v>0</x:v>
      </x:c>
      <x:c r="I333" s="53" t="n">
        <x:f>E333+F333-H333</x:f>
        <x:v>0</x:v>
      </x:c>
      <x:c r="J333" s="45" t="str">
        <x:f>IF(I333=0,"CLEAR","QUEUED")</x:f>
        <x:v>CLEAR</x:v>
      </x:c>
      <x:c r="K333" s="72"/>
      <x:c r="L333" s="72"/>
      <x:c r="M333" s="72"/>
      <x:c r="N333" s="72"/>
    </x:row>
    <x:row r="334">
      <x:c r="C334" s="45" t="str">
        <x:f>'Path Daily'!C334</x:f>
        <x:v>P3</x:v>
      </x:c>
      <x:c r="D334" s="45" t="n">
        <x:f>'Path Daily'!D334</x:f>
        <x:v>54</x:v>
      </x:c>
      <x:c r="E334" s="53" t="n">
        <x:f>IF(D334=0,SUMIFS('Cargo Records'!$T$7:$T$70,'Cargo Records'!$J$7:$J$70,C334),0)</x:f>
        <x:v>0</x:v>
      </x:c>
      <x:c r="F334" s="53" t="n">
        <x:f>I333</x:f>
        <x:v>0</x:v>
      </x:c>
      <x:c r="G334" s="53" t="n">
        <x:f>'Path Daily'!M334</x:f>
        <x:v>4860</x:v>
      </x:c>
      <x:c r="H334" s="53" t="n">
        <x:f>MIN(E334+F334,G334)</x:f>
        <x:v>0</x:v>
      </x:c>
      <x:c r="I334" s="53" t="n">
        <x:f>E334+F334-H334</x:f>
        <x:v>0</x:v>
      </x:c>
      <x:c r="J334" s="45" t="str">
        <x:f>IF(I334=0,"CLEAR","QUEUED")</x:f>
        <x:v>CLEAR</x:v>
      </x:c>
      <x:c r="K334" s="72"/>
      <x:c r="L334" s="72"/>
      <x:c r="M334" s="72"/>
      <x:c r="N334" s="72"/>
    </x:row>
    <x:row r="335">
      <x:c r="C335" s="45" t="str">
        <x:f>'Path Daily'!C335</x:f>
        <x:v>P3</x:v>
      </x:c>
      <x:c r="D335" s="45" t="n">
        <x:f>'Path Daily'!D335</x:f>
        <x:v>55</x:v>
      </x:c>
      <x:c r="E335" s="53" t="n">
        <x:f>IF(D335=0,SUMIFS('Cargo Records'!$T$7:$T$70,'Cargo Records'!$J$7:$J$70,C335),0)</x:f>
        <x:v>0</x:v>
      </x:c>
      <x:c r="F335" s="53" t="n">
        <x:f>I334</x:f>
        <x:v>0</x:v>
      </x:c>
      <x:c r="G335" s="53" t="n">
        <x:f>'Path Daily'!M335</x:f>
        <x:v>4860</x:v>
      </x:c>
      <x:c r="H335" s="53" t="n">
        <x:f>MIN(E335+F335,G335)</x:f>
        <x:v>0</x:v>
      </x:c>
      <x:c r="I335" s="53" t="n">
        <x:f>E335+F335-H335</x:f>
        <x:v>0</x:v>
      </x:c>
      <x:c r="J335" s="45" t="str">
        <x:f>IF(I335=0,"CLEAR","QUEUED")</x:f>
        <x:v>CLEAR</x:v>
      </x:c>
      <x:c r="K335" s="72"/>
      <x:c r="L335" s="72"/>
      <x:c r="M335" s="72"/>
      <x:c r="N335" s="72"/>
    </x:row>
    <x:row r="336">
      <x:c r="C336" s="45" t="str">
        <x:f>'Path Daily'!C336</x:f>
        <x:v>P3</x:v>
      </x:c>
      <x:c r="D336" s="45" t="n">
        <x:f>'Path Daily'!D336</x:f>
        <x:v>56</x:v>
      </x:c>
      <x:c r="E336" s="53" t="n">
        <x:f>IF(D336=0,SUMIFS('Cargo Records'!$T$7:$T$70,'Cargo Records'!$J$7:$J$70,C336),0)</x:f>
        <x:v>0</x:v>
      </x:c>
      <x:c r="F336" s="53" t="n">
        <x:f>I335</x:f>
        <x:v>0</x:v>
      </x:c>
      <x:c r="G336" s="53" t="n">
        <x:f>'Path Daily'!M336</x:f>
        <x:v>4860</x:v>
      </x:c>
      <x:c r="H336" s="53" t="n">
        <x:f>MIN(E336+F336,G336)</x:f>
        <x:v>0</x:v>
      </x:c>
      <x:c r="I336" s="53" t="n">
        <x:f>E336+F336-H336</x:f>
        <x:v>0</x:v>
      </x:c>
      <x:c r="J336" s="45" t="str">
        <x:f>IF(I336=0,"CLEAR","QUEUED")</x:f>
        <x:v>CLEAR</x:v>
      </x:c>
      <x:c r="K336" s="72"/>
      <x:c r="L336" s="72"/>
      <x:c r="M336" s="72"/>
      <x:c r="N336" s="72"/>
    </x:row>
    <x:row r="337">
      <x:c r="C337" s="45" t="str">
        <x:f>'Path Daily'!C337</x:f>
        <x:v>P3</x:v>
      </x:c>
      <x:c r="D337" s="45" t="n">
        <x:f>'Path Daily'!D337</x:f>
        <x:v>57</x:v>
      </x:c>
      <x:c r="E337" s="53" t="n">
        <x:f>IF(D337=0,SUMIFS('Cargo Records'!$T$7:$T$70,'Cargo Records'!$J$7:$J$70,C337),0)</x:f>
        <x:v>0</x:v>
      </x:c>
      <x:c r="F337" s="53" t="n">
        <x:f>I336</x:f>
        <x:v>0</x:v>
      </x:c>
      <x:c r="G337" s="53" t="n">
        <x:f>'Path Daily'!M337</x:f>
        <x:v>4860</x:v>
      </x:c>
      <x:c r="H337" s="53" t="n">
        <x:f>MIN(E337+F337,G337)</x:f>
        <x:v>0</x:v>
      </x:c>
      <x:c r="I337" s="53" t="n">
        <x:f>E337+F337-H337</x:f>
        <x:v>0</x:v>
      </x:c>
      <x:c r="J337" s="45" t="str">
        <x:f>IF(I337=0,"CLEAR","QUEUED")</x:f>
        <x:v>CLEAR</x:v>
      </x:c>
      <x:c r="K337" s="72"/>
      <x:c r="L337" s="72"/>
      <x:c r="M337" s="72"/>
      <x:c r="N337" s="72"/>
    </x:row>
    <x:row r="338">
      <x:c r="C338" s="45" t="str">
        <x:f>'Path Daily'!C338</x:f>
        <x:v>P3</x:v>
      </x:c>
      <x:c r="D338" s="45" t="n">
        <x:f>'Path Daily'!D338</x:f>
        <x:v>58</x:v>
      </x:c>
      <x:c r="E338" s="53" t="n">
        <x:f>IF(D338=0,SUMIFS('Cargo Records'!$T$7:$T$70,'Cargo Records'!$J$7:$J$70,C338),0)</x:f>
        <x:v>0</x:v>
      </x:c>
      <x:c r="F338" s="53" t="n">
        <x:f>I337</x:f>
        <x:v>0</x:v>
      </x:c>
      <x:c r="G338" s="53" t="n">
        <x:f>'Path Daily'!M338</x:f>
        <x:v>4860</x:v>
      </x:c>
      <x:c r="H338" s="53" t="n">
        <x:f>MIN(E338+F338,G338)</x:f>
        <x:v>0</x:v>
      </x:c>
      <x:c r="I338" s="53" t="n">
        <x:f>E338+F338-H338</x:f>
        <x:v>0</x:v>
      </x:c>
      <x:c r="J338" s="45" t="str">
        <x:f>IF(I338=0,"CLEAR","QUEUED")</x:f>
        <x:v>CLEAR</x:v>
      </x:c>
      <x:c r="K338" s="72"/>
      <x:c r="L338" s="72"/>
      <x:c r="M338" s="72"/>
      <x:c r="N338" s="72"/>
    </x:row>
    <x:row r="339">
      <x:c r="C339" s="45" t="str">
        <x:f>'Path Daily'!C339</x:f>
        <x:v>P3</x:v>
      </x:c>
      <x:c r="D339" s="45" t="n">
        <x:f>'Path Daily'!D339</x:f>
        <x:v>59</x:v>
      </x:c>
      <x:c r="E339" s="53" t="n">
        <x:f>IF(D339=0,SUMIFS('Cargo Records'!$T$7:$T$70,'Cargo Records'!$J$7:$J$70,C339),0)</x:f>
        <x:v>0</x:v>
      </x:c>
      <x:c r="F339" s="53" t="n">
        <x:f>I338</x:f>
        <x:v>0</x:v>
      </x:c>
      <x:c r="G339" s="53" t="n">
        <x:f>'Path Daily'!M339</x:f>
        <x:v>4860</x:v>
      </x:c>
      <x:c r="H339" s="53" t="n">
        <x:f>MIN(E339+F339,G339)</x:f>
        <x:v>0</x:v>
      </x:c>
      <x:c r="I339" s="53" t="n">
        <x:f>E339+F339-H339</x:f>
        <x:v>0</x:v>
      </x:c>
      <x:c r="J339" s="45" t="str">
        <x:f>IF(I339=0,"CLEAR","QUEUED")</x:f>
        <x:v>CLEAR</x:v>
      </x:c>
      <x:c r="K339" s="72"/>
      <x:c r="L339" s="72"/>
      <x:c r="M339" s="72"/>
      <x:c r="N339" s="72"/>
    </x:row>
    <x:row r="340">
      <x:c r="C340" s="45" t="str">
        <x:f>'Path Daily'!C340</x:f>
        <x:v>P3</x:v>
      </x:c>
      <x:c r="D340" s="45" t="n">
        <x:f>'Path Daily'!D340</x:f>
        <x:v>60</x:v>
      </x:c>
      <x:c r="E340" s="53" t="n">
        <x:f>IF(D340=0,SUMIFS('Cargo Records'!$T$7:$T$70,'Cargo Records'!$J$7:$J$70,C340),0)</x:f>
        <x:v>0</x:v>
      </x:c>
      <x:c r="F340" s="53" t="n">
        <x:f>I339</x:f>
        <x:v>0</x:v>
      </x:c>
      <x:c r="G340" s="53" t="n">
        <x:f>'Path Daily'!M340</x:f>
        <x:v>4860</x:v>
      </x:c>
      <x:c r="H340" s="53" t="n">
        <x:f>MIN(E340+F340,G340)</x:f>
        <x:v>0</x:v>
      </x:c>
      <x:c r="I340" s="53" t="n">
        <x:f>E340+F340-H340</x:f>
        <x:v>0</x:v>
      </x:c>
      <x:c r="J340" s="45" t="str">
        <x:f>IF(I340=0,"CLEAR","QUEUED")</x:f>
        <x:v>CLEAR</x:v>
      </x:c>
      <x:c r="K340" s="72"/>
      <x:c r="L340" s="72"/>
      <x:c r="M340" s="72"/>
      <x:c r="N340" s="72"/>
    </x:row>
    <x:row r="341">
      <x:c r="C341" s="45" t="str">
        <x:f>'Path Daily'!C341</x:f>
        <x:v>P3</x:v>
      </x:c>
      <x:c r="D341" s="45" t="n">
        <x:f>'Path Daily'!D341</x:f>
        <x:v>61</x:v>
      </x:c>
      <x:c r="E341" s="53" t="n">
        <x:f>IF(D341=0,SUMIFS('Cargo Records'!$T$7:$T$70,'Cargo Records'!$J$7:$J$70,C341),0)</x:f>
        <x:v>0</x:v>
      </x:c>
      <x:c r="F341" s="53" t="n">
        <x:f>I340</x:f>
        <x:v>0</x:v>
      </x:c>
      <x:c r="G341" s="53" t="n">
        <x:f>'Path Daily'!M341</x:f>
        <x:v>3159</x:v>
      </x:c>
      <x:c r="H341" s="53" t="n">
        <x:f>MIN(E341+F341,G341)</x:f>
        <x:v>0</x:v>
      </x:c>
      <x:c r="I341" s="53" t="n">
        <x:f>E341+F341-H341</x:f>
        <x:v>0</x:v>
      </x:c>
      <x:c r="J341" s="45" t="str">
        <x:f>IF(I341=0,"CLEAR","QUEUED")</x:f>
        <x:v>CLEAR</x:v>
      </x:c>
      <x:c r="K341" s="72"/>
      <x:c r="L341" s="72"/>
      <x:c r="M341" s="72"/>
      <x:c r="N341" s="72"/>
    </x:row>
    <x:row r="342">
      <x:c r="C342" s="45" t="str">
        <x:f>'Path Daily'!C342</x:f>
        <x:v>P3</x:v>
      </x:c>
      <x:c r="D342" s="45" t="n">
        <x:f>'Path Daily'!D342</x:f>
        <x:v>62</x:v>
      </x:c>
      <x:c r="E342" s="53" t="n">
        <x:f>IF(D342=0,SUMIFS('Cargo Records'!$T$7:$T$70,'Cargo Records'!$J$7:$J$70,C342),0)</x:f>
        <x:v>0</x:v>
      </x:c>
      <x:c r="F342" s="53" t="n">
        <x:f>I341</x:f>
        <x:v>0</x:v>
      </x:c>
      <x:c r="G342" s="53" t="n">
        <x:f>'Path Daily'!M342</x:f>
        <x:v>3159</x:v>
      </x:c>
      <x:c r="H342" s="53" t="n">
        <x:f>MIN(E342+F342,G342)</x:f>
        <x:v>0</x:v>
      </x:c>
      <x:c r="I342" s="53" t="n">
        <x:f>E342+F342-H342</x:f>
        <x:v>0</x:v>
      </x:c>
      <x:c r="J342" s="45" t="str">
        <x:f>IF(I342=0,"CLEAR","QUEUED")</x:f>
        <x:v>CLEAR</x:v>
      </x:c>
      <x:c r="K342" s="72"/>
      <x:c r="L342" s="72"/>
      <x:c r="M342" s="72"/>
      <x:c r="N342" s="72"/>
    </x:row>
    <x:row r="343">
      <x:c r="C343" s="45" t="str">
        <x:f>'Path Daily'!C343</x:f>
        <x:v>P3</x:v>
      </x:c>
      <x:c r="D343" s="45" t="n">
        <x:f>'Path Daily'!D343</x:f>
        <x:v>63</x:v>
      </x:c>
      <x:c r="E343" s="53" t="n">
        <x:f>IF(D343=0,SUMIFS('Cargo Records'!$T$7:$T$70,'Cargo Records'!$J$7:$J$70,C343),0)</x:f>
        <x:v>0</x:v>
      </x:c>
      <x:c r="F343" s="53" t="n">
        <x:f>I342</x:f>
        <x:v>0</x:v>
      </x:c>
      <x:c r="G343" s="53" t="n">
        <x:f>'Path Daily'!M343</x:f>
        <x:v>3159</x:v>
      </x:c>
      <x:c r="H343" s="53" t="n">
        <x:f>MIN(E343+F343,G343)</x:f>
        <x:v>0</x:v>
      </x:c>
      <x:c r="I343" s="53" t="n">
        <x:f>E343+F343-H343</x:f>
        <x:v>0</x:v>
      </x:c>
      <x:c r="J343" s="45" t="str">
        <x:f>IF(I343=0,"CLEAR","QUEUED")</x:f>
        <x:v>CLEAR</x:v>
      </x:c>
      <x:c r="K343" s="72"/>
      <x:c r="L343" s="72"/>
      <x:c r="M343" s="72"/>
      <x:c r="N343" s="72"/>
    </x:row>
    <x:row r="344">
      <x:c r="C344" s="45" t="str">
        <x:f>'Path Daily'!C344</x:f>
        <x:v>P3</x:v>
      </x:c>
      <x:c r="D344" s="45" t="n">
        <x:f>'Path Daily'!D344</x:f>
        <x:v>64</x:v>
      </x:c>
      <x:c r="E344" s="53" t="n">
        <x:f>IF(D344=0,SUMIFS('Cargo Records'!$T$7:$T$70,'Cargo Records'!$J$7:$J$70,C344),0)</x:f>
        <x:v>0</x:v>
      </x:c>
      <x:c r="F344" s="53" t="n">
        <x:f>I343</x:f>
        <x:v>0</x:v>
      </x:c>
      <x:c r="G344" s="53" t="n">
        <x:f>'Path Daily'!M344</x:f>
        <x:v>4860</x:v>
      </x:c>
      <x:c r="H344" s="53" t="n">
        <x:f>MIN(E344+F344,G344)</x:f>
        <x:v>0</x:v>
      </x:c>
      <x:c r="I344" s="53" t="n">
        <x:f>E344+F344-H344</x:f>
        <x:v>0</x:v>
      </x:c>
      <x:c r="J344" s="45" t="str">
        <x:f>IF(I344=0,"CLEAR","QUEUED")</x:f>
        <x:v>CLEAR</x:v>
      </x:c>
      <x:c r="K344" s="72"/>
      <x:c r="L344" s="72"/>
      <x:c r="M344" s="72"/>
      <x:c r="N344" s="72"/>
    </x:row>
    <x:row r="345">
      <x:c r="C345" s="45" t="str">
        <x:f>'Path Daily'!C345</x:f>
        <x:v>P3</x:v>
      </x:c>
      <x:c r="D345" s="45" t="n">
        <x:f>'Path Daily'!D345</x:f>
        <x:v>65</x:v>
      </x:c>
      <x:c r="E345" s="53" t="n">
        <x:f>IF(D345=0,SUMIFS('Cargo Records'!$T$7:$T$70,'Cargo Records'!$J$7:$J$70,C345),0)</x:f>
        <x:v>0</x:v>
      </x:c>
      <x:c r="F345" s="53" t="n">
        <x:f>I344</x:f>
        <x:v>0</x:v>
      </x:c>
      <x:c r="G345" s="53" t="n">
        <x:f>'Path Daily'!M345</x:f>
        <x:v>4860</x:v>
      </x:c>
      <x:c r="H345" s="53" t="n">
        <x:f>MIN(E345+F345,G345)</x:f>
        <x:v>0</x:v>
      </x:c>
      <x:c r="I345" s="53" t="n">
        <x:f>E345+F345-H345</x:f>
        <x:v>0</x:v>
      </x:c>
      <x:c r="J345" s="45" t="str">
        <x:f>IF(I345=0,"CLEAR","QUEUED")</x:f>
        <x:v>CLEAR</x:v>
      </x:c>
      <x:c r="K345" s="72"/>
      <x:c r="L345" s="72"/>
      <x:c r="M345" s="72"/>
      <x:c r="N345" s="72"/>
    </x:row>
    <x:row r="346">
      <x:c r="C346" s="45" t="str">
        <x:f>'Path Daily'!C346</x:f>
        <x:v>P3</x:v>
      </x:c>
      <x:c r="D346" s="45" t="n">
        <x:f>'Path Daily'!D346</x:f>
        <x:v>66</x:v>
      </x:c>
      <x:c r="E346" s="53" t="n">
        <x:f>IF(D346=0,SUMIFS('Cargo Records'!$T$7:$T$70,'Cargo Records'!$J$7:$J$70,C346),0)</x:f>
        <x:v>0</x:v>
      </x:c>
      <x:c r="F346" s="53" t="n">
        <x:f>I345</x:f>
        <x:v>0</x:v>
      </x:c>
      <x:c r="G346" s="53" t="n">
        <x:f>'Path Daily'!M346</x:f>
        <x:v>4860</x:v>
      </x:c>
      <x:c r="H346" s="53" t="n">
        <x:f>MIN(E346+F346,G346)</x:f>
        <x:v>0</x:v>
      </x:c>
      <x:c r="I346" s="53" t="n">
        <x:f>E346+F346-H346</x:f>
        <x:v>0</x:v>
      </x:c>
      <x:c r="J346" s="45" t="str">
        <x:f>IF(I346=0,"CLEAR","QUEUED")</x:f>
        <x:v>CLEAR</x:v>
      </x:c>
      <x:c r="K346" s="72"/>
      <x:c r="L346" s="72"/>
      <x:c r="M346" s="72"/>
      <x:c r="N346" s="72"/>
    </x:row>
    <x:row r="347">
      <x:c r="C347" s="45" t="str">
        <x:f>'Path Daily'!C347</x:f>
        <x:v>P3</x:v>
      </x:c>
      <x:c r="D347" s="45" t="n">
        <x:f>'Path Daily'!D347</x:f>
        <x:v>67</x:v>
      </x:c>
      <x:c r="E347" s="53" t="n">
        <x:f>IF(D347=0,SUMIFS('Cargo Records'!$T$7:$T$70,'Cargo Records'!$J$7:$J$70,C347),0)</x:f>
        <x:v>0</x:v>
      </x:c>
      <x:c r="F347" s="53" t="n">
        <x:f>I346</x:f>
        <x:v>0</x:v>
      </x:c>
      <x:c r="G347" s="53" t="n">
        <x:f>'Path Daily'!M347</x:f>
        <x:v>4860</x:v>
      </x:c>
      <x:c r="H347" s="53" t="n">
        <x:f>MIN(E347+F347,G347)</x:f>
        <x:v>0</x:v>
      </x:c>
      <x:c r="I347" s="53" t="n">
        <x:f>E347+F347-H347</x:f>
        <x:v>0</x:v>
      </x:c>
      <x:c r="J347" s="45" t="str">
        <x:f>IF(I347=0,"CLEAR","QUEUED")</x:f>
        <x:v>CLEAR</x:v>
      </x:c>
      <x:c r="K347" s="72"/>
      <x:c r="L347" s="72"/>
      <x:c r="M347" s="72"/>
      <x:c r="N347" s="72"/>
    </x:row>
    <x:row r="348">
      <x:c r="C348" s="45" t="str">
        <x:f>'Path Daily'!C348</x:f>
        <x:v>P3</x:v>
      </x:c>
      <x:c r="D348" s="45" t="n">
        <x:f>'Path Daily'!D348</x:f>
        <x:v>68</x:v>
      </x:c>
      <x:c r="E348" s="53" t="n">
        <x:f>IF(D348=0,SUMIFS('Cargo Records'!$T$7:$T$70,'Cargo Records'!$J$7:$J$70,C348),0)</x:f>
        <x:v>0</x:v>
      </x:c>
      <x:c r="F348" s="53" t="n">
        <x:f>I347</x:f>
        <x:v>0</x:v>
      </x:c>
      <x:c r="G348" s="53" t="n">
        <x:f>'Path Daily'!M348</x:f>
        <x:v>4860</x:v>
      </x:c>
      <x:c r="H348" s="53" t="n">
        <x:f>MIN(E348+F348,G348)</x:f>
        <x:v>0</x:v>
      </x:c>
      <x:c r="I348" s="53" t="n">
        <x:f>E348+F348-H348</x:f>
        <x:v>0</x:v>
      </x:c>
      <x:c r="J348" s="45" t="str">
        <x:f>IF(I348=0,"CLEAR","QUEUED")</x:f>
        <x:v>CLEAR</x:v>
      </x:c>
      <x:c r="K348" s="72"/>
      <x:c r="L348" s="72"/>
      <x:c r="M348" s="72"/>
      <x:c r="N348" s="72"/>
    </x:row>
    <x:row r="349">
      <x:c r="C349" s="45" t="str">
        <x:f>'Path Daily'!C349</x:f>
        <x:v>P3</x:v>
      </x:c>
      <x:c r="D349" s="45" t="n">
        <x:f>'Path Daily'!D349</x:f>
        <x:v>69</x:v>
      </x:c>
      <x:c r="E349" s="53" t="n">
        <x:f>IF(D349=0,SUMIFS('Cargo Records'!$T$7:$T$70,'Cargo Records'!$J$7:$J$70,C349),0)</x:f>
        <x:v>0</x:v>
      </x:c>
      <x:c r="F349" s="53" t="n">
        <x:f>I348</x:f>
        <x:v>0</x:v>
      </x:c>
      <x:c r="G349" s="53" t="n">
        <x:f>'Path Daily'!M349</x:f>
        <x:v>4860</x:v>
      </x:c>
      <x:c r="H349" s="53" t="n">
        <x:f>MIN(E349+F349,G349)</x:f>
        <x:v>0</x:v>
      </x:c>
      <x:c r="I349" s="53" t="n">
        <x:f>E349+F349-H349</x:f>
        <x:v>0</x:v>
      </x:c>
      <x:c r="J349" s="45" t="str">
        <x:f>IF(I349=0,"CLEAR","QUEUED")</x:f>
        <x:v>CLEAR</x:v>
      </x:c>
      <x:c r="K349" s="72"/>
      <x:c r="L349" s="72"/>
      <x:c r="M349" s="72"/>
      <x:c r="N349" s="72"/>
    </x:row>
    <x:row r="350">
      <x:c r="C350" s="45" t="str">
        <x:f>'Path Daily'!C350</x:f>
        <x:v>P3</x:v>
      </x:c>
      <x:c r="D350" s="45" t="n">
        <x:f>'Path Daily'!D350</x:f>
        <x:v>70</x:v>
      </x:c>
      <x:c r="E350" s="53" t="n">
        <x:f>IF(D350=0,SUMIFS('Cargo Records'!$T$7:$T$70,'Cargo Records'!$J$7:$J$70,C350),0)</x:f>
        <x:v>0</x:v>
      </x:c>
      <x:c r="F350" s="53" t="n">
        <x:f>I349</x:f>
        <x:v>0</x:v>
      </x:c>
      <x:c r="G350" s="53" t="n">
        <x:f>'Path Daily'!M350</x:f>
        <x:v>4860</x:v>
      </x:c>
      <x:c r="H350" s="53" t="n">
        <x:f>MIN(E350+F350,G350)</x:f>
        <x:v>0</x:v>
      </x:c>
      <x:c r="I350" s="53" t="n">
        <x:f>E350+F350-H350</x:f>
        <x:v>0</x:v>
      </x:c>
      <x:c r="J350" s="45" t="str">
        <x:f>IF(I350=0,"CLEAR","QUEUED")</x:f>
        <x:v>CLEAR</x:v>
      </x:c>
      <x:c r="K350" s="72"/>
      <x:c r="L350" s="72"/>
      <x:c r="M350" s="72"/>
      <x:c r="N350" s="72"/>
    </x:row>
    <x:row r="351">
      <x:c r="C351" s="45" t="str">
        <x:f>'Path Daily'!C351</x:f>
        <x:v>P3</x:v>
      </x:c>
      <x:c r="D351" s="45" t="n">
        <x:f>'Path Daily'!D351</x:f>
        <x:v>71</x:v>
      </x:c>
      <x:c r="E351" s="53" t="n">
        <x:f>IF(D351=0,SUMIFS('Cargo Records'!$T$7:$T$70,'Cargo Records'!$J$7:$J$70,C351),0)</x:f>
        <x:v>0</x:v>
      </x:c>
      <x:c r="F351" s="53" t="n">
        <x:f>I350</x:f>
        <x:v>0</x:v>
      </x:c>
      <x:c r="G351" s="53" t="n">
        <x:f>'Path Daily'!M351</x:f>
        <x:v>4860</x:v>
      </x:c>
      <x:c r="H351" s="53" t="n">
        <x:f>MIN(E351+F351,G351)</x:f>
        <x:v>0</x:v>
      </x:c>
      <x:c r="I351" s="53" t="n">
        <x:f>E351+F351-H351</x:f>
        <x:v>0</x:v>
      </x:c>
      <x:c r="J351" s="45" t="str">
        <x:f>IF(I351=0,"CLEAR","QUEUED")</x:f>
        <x:v>CLEAR</x:v>
      </x:c>
      <x:c r="K351" s="72"/>
      <x:c r="L351" s="72"/>
      <x:c r="M351" s="72"/>
      <x:c r="N351" s="72"/>
    </x:row>
    <x:row r="352">
      <x:c r="C352" s="45" t="str">
        <x:f>'Path Daily'!C352</x:f>
        <x:v>P3</x:v>
      </x:c>
      <x:c r="D352" s="45" t="n">
        <x:f>'Path Daily'!D352</x:f>
        <x:v>72</x:v>
      </x:c>
      <x:c r="E352" s="53" t="n">
        <x:f>IF(D352=0,SUMIFS('Cargo Records'!$T$7:$T$70,'Cargo Records'!$J$7:$J$70,C352),0)</x:f>
        <x:v>0</x:v>
      </x:c>
      <x:c r="F352" s="53" t="n">
        <x:f>I351</x:f>
        <x:v>0</x:v>
      </x:c>
      <x:c r="G352" s="53" t="n">
        <x:f>'Path Daily'!M352</x:f>
        <x:v>4860</x:v>
      </x:c>
      <x:c r="H352" s="53" t="n">
        <x:f>MIN(E352+F352,G352)</x:f>
        <x:v>0</x:v>
      </x:c>
      <x:c r="I352" s="53" t="n">
        <x:f>E352+F352-H352</x:f>
        <x:v>0</x:v>
      </x:c>
      <x:c r="J352" s="45" t="str">
        <x:f>IF(I352=0,"CLEAR","QUEUED")</x:f>
        <x:v>CLEAR</x:v>
      </x:c>
      <x:c r="K352" s="72"/>
      <x:c r="L352" s="72"/>
      <x:c r="M352" s="72"/>
      <x:c r="N352" s="72"/>
    </x:row>
    <x:row r="353">
      <x:c r="C353" s="45" t="str">
        <x:f>'Path Daily'!C353</x:f>
        <x:v>P3</x:v>
      </x:c>
      <x:c r="D353" s="45" t="n">
        <x:f>'Path Daily'!D353</x:f>
        <x:v>73</x:v>
      </x:c>
      <x:c r="E353" s="53" t="n">
        <x:f>IF(D353=0,SUMIFS('Cargo Records'!$T$7:$T$70,'Cargo Records'!$J$7:$J$70,C353),0)</x:f>
        <x:v>0</x:v>
      </x:c>
      <x:c r="F353" s="53" t="n">
        <x:f>I352</x:f>
        <x:v>0</x:v>
      </x:c>
      <x:c r="G353" s="53" t="n">
        <x:f>'Path Daily'!M353</x:f>
        <x:v>4860</x:v>
      </x:c>
      <x:c r="H353" s="53" t="n">
        <x:f>MIN(E353+F353,G353)</x:f>
        <x:v>0</x:v>
      </x:c>
      <x:c r="I353" s="53" t="n">
        <x:f>E353+F353-H353</x:f>
        <x:v>0</x:v>
      </x:c>
      <x:c r="J353" s="45" t="str">
        <x:f>IF(I353=0,"CLEAR","QUEUED")</x:f>
        <x:v>CLEAR</x:v>
      </x:c>
      <x:c r="K353" s="72"/>
      <x:c r="L353" s="72"/>
      <x:c r="M353" s="72"/>
      <x:c r="N353" s="72"/>
    </x:row>
    <x:row r="354">
      <x:c r="C354" s="45" t="str">
        <x:f>'Path Daily'!C354</x:f>
        <x:v>P3</x:v>
      </x:c>
      <x:c r="D354" s="45" t="n">
        <x:f>'Path Daily'!D354</x:f>
        <x:v>74</x:v>
      </x:c>
      <x:c r="E354" s="53" t="n">
        <x:f>IF(D354=0,SUMIFS('Cargo Records'!$T$7:$T$70,'Cargo Records'!$J$7:$J$70,C354),0)</x:f>
        <x:v>0</x:v>
      </x:c>
      <x:c r="F354" s="53" t="n">
        <x:f>I353</x:f>
        <x:v>0</x:v>
      </x:c>
      <x:c r="G354" s="53" t="n">
        <x:f>'Path Daily'!M354</x:f>
        <x:v>4860</x:v>
      </x:c>
      <x:c r="H354" s="53" t="n">
        <x:f>MIN(E354+F354,G354)</x:f>
        <x:v>0</x:v>
      </x:c>
      <x:c r="I354" s="53" t="n">
        <x:f>E354+F354-H354</x:f>
        <x:v>0</x:v>
      </x:c>
      <x:c r="J354" s="45" t="str">
        <x:f>IF(I354=0,"CLEAR","QUEUED")</x:f>
        <x:v>CLEAR</x:v>
      </x:c>
      <x:c r="K354" s="72"/>
      <x:c r="L354" s="72"/>
      <x:c r="M354" s="72"/>
      <x:c r="N354" s="72"/>
    </x:row>
    <x:row r="355">
      <x:c r="C355" s="45" t="str">
        <x:f>'Path Daily'!C355</x:f>
        <x:v>P3</x:v>
      </x:c>
      <x:c r="D355" s="45" t="n">
        <x:f>'Path Daily'!D355</x:f>
        <x:v>75</x:v>
      </x:c>
      <x:c r="E355" s="53" t="n">
        <x:f>IF(D355=0,SUMIFS('Cargo Records'!$T$7:$T$70,'Cargo Records'!$J$7:$J$70,C355),0)</x:f>
        <x:v>0</x:v>
      </x:c>
      <x:c r="F355" s="53" t="n">
        <x:f>I354</x:f>
        <x:v>0</x:v>
      </x:c>
      <x:c r="G355" s="53" t="n">
        <x:f>'Path Daily'!M355</x:f>
        <x:v>4860</x:v>
      </x:c>
      <x:c r="H355" s="53" t="n">
        <x:f>MIN(E355+F355,G355)</x:f>
        <x:v>0</x:v>
      </x:c>
      <x:c r="I355" s="53" t="n">
        <x:f>E355+F355-H355</x:f>
        <x:v>0</x:v>
      </x:c>
      <x:c r="J355" s="45" t="str">
        <x:f>IF(I355=0,"CLEAR","QUEUED")</x:f>
        <x:v>CLEAR</x:v>
      </x:c>
      <x:c r="K355" s="72"/>
      <x:c r="L355" s="72"/>
      <x:c r="M355" s="72"/>
      <x:c r="N355" s="72"/>
    </x:row>
    <x:row r="356">
      <x:c r="C356" s="45" t="str">
        <x:f>'Path Daily'!C356</x:f>
        <x:v>P3</x:v>
      </x:c>
      <x:c r="D356" s="45" t="n">
        <x:f>'Path Daily'!D356</x:f>
        <x:v>76</x:v>
      </x:c>
      <x:c r="E356" s="53" t="n">
        <x:f>IF(D356=0,SUMIFS('Cargo Records'!$T$7:$T$70,'Cargo Records'!$J$7:$J$70,C356),0)</x:f>
        <x:v>0</x:v>
      </x:c>
      <x:c r="F356" s="53" t="n">
        <x:f>I355</x:f>
        <x:v>0</x:v>
      </x:c>
      <x:c r="G356" s="53" t="n">
        <x:f>'Path Daily'!M356</x:f>
        <x:v>4860</x:v>
      </x:c>
      <x:c r="H356" s="53" t="n">
        <x:f>MIN(E356+F356,G356)</x:f>
        <x:v>0</x:v>
      </x:c>
      <x:c r="I356" s="53" t="n">
        <x:f>E356+F356-H356</x:f>
        <x:v>0</x:v>
      </x:c>
      <x:c r="J356" s="45" t="str">
        <x:f>IF(I356=0,"CLEAR","QUEUED")</x:f>
        <x:v>CLEAR</x:v>
      </x:c>
      <x:c r="K356" s="72"/>
      <x:c r="L356" s="72"/>
      <x:c r="M356" s="72"/>
      <x:c r="N356" s="72"/>
    </x:row>
    <x:row r="357">
      <x:c r="C357" s="45" t="str">
        <x:f>'Path Daily'!C357</x:f>
        <x:v>P3</x:v>
      </x:c>
      <x:c r="D357" s="45" t="n">
        <x:f>'Path Daily'!D357</x:f>
        <x:v>77</x:v>
      </x:c>
      <x:c r="E357" s="53" t="n">
        <x:f>IF(D357=0,SUMIFS('Cargo Records'!$T$7:$T$70,'Cargo Records'!$J$7:$J$70,C357),0)</x:f>
        <x:v>0</x:v>
      </x:c>
      <x:c r="F357" s="53" t="n">
        <x:f>I356</x:f>
        <x:v>0</x:v>
      </x:c>
      <x:c r="G357" s="53" t="n">
        <x:f>'Path Daily'!M357</x:f>
        <x:v>4860</x:v>
      </x:c>
      <x:c r="H357" s="53" t="n">
        <x:f>MIN(E357+F357,G357)</x:f>
        <x:v>0</x:v>
      </x:c>
      <x:c r="I357" s="53" t="n">
        <x:f>E357+F357-H357</x:f>
        <x:v>0</x:v>
      </x:c>
      <x:c r="J357" s="45" t="str">
        <x:f>IF(I357=0,"CLEAR","QUEUED")</x:f>
        <x:v>CLEAR</x:v>
      </x:c>
      <x:c r="K357" s="72"/>
      <x:c r="L357" s="72"/>
      <x:c r="M357" s="72"/>
      <x:c r="N357" s="72"/>
    </x:row>
    <x:row r="358">
      <x:c r="C358" s="45" t="str">
        <x:f>'Path Daily'!C358</x:f>
        <x:v>P3</x:v>
      </x:c>
      <x:c r="D358" s="45" t="n">
        <x:f>'Path Daily'!D358</x:f>
        <x:v>78</x:v>
      </x:c>
      <x:c r="E358" s="53" t="n">
        <x:f>IF(D358=0,SUMIFS('Cargo Records'!$T$7:$T$70,'Cargo Records'!$J$7:$J$70,C358),0)</x:f>
        <x:v>0</x:v>
      </x:c>
      <x:c r="F358" s="53" t="n">
        <x:f>I357</x:f>
        <x:v>0</x:v>
      </x:c>
      <x:c r="G358" s="53" t="n">
        <x:f>'Path Daily'!M358</x:f>
        <x:v>4860</x:v>
      </x:c>
      <x:c r="H358" s="53" t="n">
        <x:f>MIN(E358+F358,G358)</x:f>
        <x:v>0</x:v>
      </x:c>
      <x:c r="I358" s="53" t="n">
        <x:f>E358+F358-H358</x:f>
        <x:v>0</x:v>
      </x:c>
      <x:c r="J358" s="45" t="str">
        <x:f>IF(I358=0,"CLEAR","QUEUED")</x:f>
        <x:v>CLEAR</x:v>
      </x:c>
      <x:c r="K358" s="72"/>
      <x:c r="L358" s="72"/>
      <x:c r="M358" s="72"/>
      <x:c r="N358" s="72"/>
    </x:row>
    <x:row r="359">
      <x:c r="C359" s="45" t="str">
        <x:f>'Path Daily'!C359</x:f>
        <x:v>P3</x:v>
      </x:c>
      <x:c r="D359" s="45" t="n">
        <x:f>'Path Daily'!D359</x:f>
        <x:v>79</x:v>
      </x:c>
      <x:c r="E359" s="53" t="n">
        <x:f>IF(D359=0,SUMIFS('Cargo Records'!$T$7:$T$70,'Cargo Records'!$J$7:$J$70,C359),0)</x:f>
        <x:v>0</x:v>
      </x:c>
      <x:c r="F359" s="53" t="n">
        <x:f>I358</x:f>
        <x:v>0</x:v>
      </x:c>
      <x:c r="G359" s="53" t="n">
        <x:f>'Path Daily'!M359</x:f>
        <x:v>4860</x:v>
      </x:c>
      <x:c r="H359" s="53" t="n">
        <x:f>MIN(E359+F359,G359)</x:f>
        <x:v>0</x:v>
      </x:c>
      <x:c r="I359" s="53" t="n">
        <x:f>E359+F359-H359</x:f>
        <x:v>0</x:v>
      </x:c>
      <x:c r="J359" s="45" t="str">
        <x:f>IF(I359=0,"CLEAR","QUEUED")</x:f>
        <x:v>CLEAR</x:v>
      </x:c>
      <x:c r="K359" s="72"/>
      <x:c r="L359" s="72"/>
      <x:c r="M359" s="72"/>
      <x:c r="N359" s="72"/>
    </x:row>
    <x:row r="360">
      <x:c r="C360" s="45" t="str">
        <x:f>'Path Daily'!C360</x:f>
        <x:v>P3</x:v>
      </x:c>
      <x:c r="D360" s="45" t="n">
        <x:f>'Path Daily'!D360</x:f>
        <x:v>80</x:v>
      </x:c>
      <x:c r="E360" s="53" t="n">
        <x:f>IF(D360=0,SUMIFS('Cargo Records'!$T$7:$T$70,'Cargo Records'!$J$7:$J$70,C360),0)</x:f>
        <x:v>0</x:v>
      </x:c>
      <x:c r="F360" s="53" t="n">
        <x:f>I359</x:f>
        <x:v>0</x:v>
      </x:c>
      <x:c r="G360" s="53" t="n">
        <x:f>'Path Daily'!M360</x:f>
        <x:v>4860</x:v>
      </x:c>
      <x:c r="H360" s="53" t="n">
        <x:f>MIN(E360+F360,G360)</x:f>
        <x:v>0</x:v>
      </x:c>
      <x:c r="I360" s="53" t="n">
        <x:f>E360+F360-H360</x:f>
        <x:v>0</x:v>
      </x:c>
      <x:c r="J360" s="45" t="str">
        <x:f>IF(I360=0,"CLEAR","QUEUED")</x:f>
        <x:v>CLEAR</x:v>
      </x:c>
      <x:c r="K360" s="72"/>
      <x:c r="L360" s="72"/>
      <x:c r="M360" s="72"/>
      <x:c r="N360" s="72"/>
    </x:row>
    <x:row r="361">
      <x:c r="C361" s="45" t="str">
        <x:f>'Path Daily'!C361</x:f>
        <x:v>P3</x:v>
      </x:c>
      <x:c r="D361" s="45" t="n">
        <x:f>'Path Daily'!D361</x:f>
        <x:v>81</x:v>
      </x:c>
      <x:c r="E361" s="53" t="n">
        <x:f>IF(D361=0,SUMIFS('Cargo Records'!$T$7:$T$70,'Cargo Records'!$J$7:$J$70,C361),0)</x:f>
        <x:v>0</x:v>
      </x:c>
      <x:c r="F361" s="53" t="n">
        <x:f>I360</x:f>
        <x:v>0</x:v>
      </x:c>
      <x:c r="G361" s="53" t="n">
        <x:f>'Path Daily'!M361</x:f>
        <x:v>4860</x:v>
      </x:c>
      <x:c r="H361" s="53" t="n">
        <x:f>MIN(E361+F361,G361)</x:f>
        <x:v>0</x:v>
      </x:c>
      <x:c r="I361" s="53" t="n">
        <x:f>E361+F361-H361</x:f>
        <x:v>0</x:v>
      </x:c>
      <x:c r="J361" s="45" t="str">
        <x:f>IF(I361=0,"CLEAR","QUEUED")</x:f>
        <x:v>CLEAR</x:v>
      </x:c>
      <x:c r="K361" s="72"/>
      <x:c r="L361" s="72"/>
      <x:c r="M361" s="72"/>
      <x:c r="N361" s="72"/>
    </x:row>
    <x:row r="362">
      <x:c r="C362" s="45" t="str">
        <x:f>'Path Daily'!C362</x:f>
        <x:v>P3</x:v>
      </x:c>
      <x:c r="D362" s="45" t="n">
        <x:f>'Path Daily'!D362</x:f>
        <x:v>82</x:v>
      </x:c>
      <x:c r="E362" s="53" t="n">
        <x:f>IF(D362=0,SUMIFS('Cargo Records'!$T$7:$T$70,'Cargo Records'!$J$7:$J$70,C362),0)</x:f>
        <x:v>0</x:v>
      </x:c>
      <x:c r="F362" s="53" t="n">
        <x:f>I361</x:f>
        <x:v>0</x:v>
      </x:c>
      <x:c r="G362" s="53" t="n">
        <x:f>'Path Daily'!M362</x:f>
        <x:v>4860</x:v>
      </x:c>
      <x:c r="H362" s="53" t="n">
        <x:f>MIN(E362+F362,G362)</x:f>
        <x:v>0</x:v>
      </x:c>
      <x:c r="I362" s="53" t="n">
        <x:f>E362+F362-H362</x:f>
        <x:v>0</x:v>
      </x:c>
      <x:c r="J362" s="45" t="str">
        <x:f>IF(I362=0,"CLEAR","QUEUED")</x:f>
        <x:v>CLEAR</x:v>
      </x:c>
      <x:c r="K362" s="72"/>
      <x:c r="L362" s="72"/>
      <x:c r="M362" s="72"/>
      <x:c r="N362" s="72"/>
    </x:row>
    <x:row r="363">
      <x:c r="C363" s="45" t="str">
        <x:f>'Path Daily'!C363</x:f>
        <x:v>P3</x:v>
      </x:c>
      <x:c r="D363" s="45" t="n">
        <x:f>'Path Daily'!D363</x:f>
        <x:v>83</x:v>
      </x:c>
      <x:c r="E363" s="53" t="n">
        <x:f>IF(D363=0,SUMIFS('Cargo Records'!$T$7:$T$70,'Cargo Records'!$J$7:$J$70,C363),0)</x:f>
        <x:v>0</x:v>
      </x:c>
      <x:c r="F363" s="53" t="n">
        <x:f>I362</x:f>
        <x:v>0</x:v>
      </x:c>
      <x:c r="G363" s="53" t="n">
        <x:f>'Path Daily'!M363</x:f>
        <x:v>4860</x:v>
      </x:c>
      <x:c r="H363" s="53" t="n">
        <x:f>MIN(E363+F363,G363)</x:f>
        <x:v>0</x:v>
      </x:c>
      <x:c r="I363" s="53" t="n">
        <x:f>E363+F363-H363</x:f>
        <x:v>0</x:v>
      </x:c>
      <x:c r="J363" s="45" t="str">
        <x:f>IF(I363=0,"CLEAR","QUEUED")</x:f>
        <x:v>CLEAR</x:v>
      </x:c>
      <x:c r="K363" s="72"/>
      <x:c r="L363" s="72"/>
      <x:c r="M363" s="72"/>
      <x:c r="N363" s="72"/>
    </x:row>
    <x:row r="364">
      <x:c r="C364" s="45" t="str">
        <x:f>'Path Daily'!C364</x:f>
        <x:v>P3</x:v>
      </x:c>
      <x:c r="D364" s="45" t="n">
        <x:f>'Path Daily'!D364</x:f>
        <x:v>84</x:v>
      </x:c>
      <x:c r="E364" s="53" t="n">
        <x:f>IF(D364=0,SUMIFS('Cargo Records'!$T$7:$T$70,'Cargo Records'!$J$7:$J$70,C364),0)</x:f>
        <x:v>0</x:v>
      </x:c>
      <x:c r="F364" s="53" t="n">
        <x:f>I363</x:f>
        <x:v>0</x:v>
      </x:c>
      <x:c r="G364" s="53" t="n">
        <x:f>'Path Daily'!M364</x:f>
        <x:v>4860</x:v>
      </x:c>
      <x:c r="H364" s="53" t="n">
        <x:f>MIN(E364+F364,G364)</x:f>
        <x:v>0</x:v>
      </x:c>
      <x:c r="I364" s="53" t="n">
        <x:f>E364+F364-H364</x:f>
        <x:v>0</x:v>
      </x:c>
      <x:c r="J364" s="45" t="str">
        <x:f>IF(I364=0,"CLEAR","QUEUED")</x:f>
        <x:v>CLEAR</x:v>
      </x:c>
      <x:c r="K364" s="72"/>
      <x:c r="L364" s="72"/>
      <x:c r="M364" s="72"/>
      <x:c r="N364" s="72"/>
    </x:row>
    <x:row r="365">
      <x:c r="C365" s="45" t="str">
        <x:f>'Path Daily'!C365</x:f>
        <x:v>P3</x:v>
      </x:c>
      <x:c r="D365" s="45" t="n">
        <x:f>'Path Daily'!D365</x:f>
        <x:v>85</x:v>
      </x:c>
      <x:c r="E365" s="53" t="n">
        <x:f>IF(D365=0,SUMIFS('Cargo Records'!$T$7:$T$70,'Cargo Records'!$J$7:$J$70,C365),0)</x:f>
        <x:v>0</x:v>
      </x:c>
      <x:c r="F365" s="53" t="n">
        <x:f>I364</x:f>
        <x:v>0</x:v>
      </x:c>
      <x:c r="G365" s="53" t="n">
        <x:f>'Path Daily'!M365</x:f>
        <x:v>4860</x:v>
      </x:c>
      <x:c r="H365" s="53" t="n">
        <x:f>MIN(E365+F365,G365)</x:f>
        <x:v>0</x:v>
      </x:c>
      <x:c r="I365" s="53" t="n">
        <x:f>E365+F365-H365</x:f>
        <x:v>0</x:v>
      </x:c>
      <x:c r="J365" s="45" t="str">
        <x:f>IF(I365=0,"CLEAR","QUEUED")</x:f>
        <x:v>CLEAR</x:v>
      </x:c>
      <x:c r="K365" s="72"/>
      <x:c r="L365" s="72"/>
      <x:c r="M365" s="72"/>
      <x:c r="N365" s="72"/>
    </x:row>
    <x:row r="366">
      <x:c r="C366" s="45" t="str">
        <x:f>'Path Daily'!C366</x:f>
        <x:v>P3</x:v>
      </x:c>
      <x:c r="D366" s="45" t="n">
        <x:f>'Path Daily'!D366</x:f>
        <x:v>86</x:v>
      </x:c>
      <x:c r="E366" s="53" t="n">
        <x:f>IF(D366=0,SUMIFS('Cargo Records'!$T$7:$T$70,'Cargo Records'!$J$7:$J$70,C366),0)</x:f>
        <x:v>0</x:v>
      </x:c>
      <x:c r="F366" s="53" t="n">
        <x:f>I365</x:f>
        <x:v>0</x:v>
      </x:c>
      <x:c r="G366" s="53" t="n">
        <x:f>'Path Daily'!M366</x:f>
        <x:v>4860</x:v>
      </x:c>
      <x:c r="H366" s="53" t="n">
        <x:f>MIN(E366+F366,G366)</x:f>
        <x:v>0</x:v>
      </x:c>
      <x:c r="I366" s="53" t="n">
        <x:f>E366+F366-H366</x:f>
        <x:v>0</x:v>
      </x:c>
      <x:c r="J366" s="45" t="str">
        <x:f>IF(I366=0,"CLEAR","QUEUED")</x:f>
        <x:v>CLEAR</x:v>
      </x:c>
      <x:c r="K366" s="72"/>
      <x:c r="L366" s="72"/>
      <x:c r="M366" s="72"/>
      <x:c r="N366" s="72"/>
    </x:row>
    <x:row r="367">
      <x:c r="C367" s="45" t="str">
        <x:f>'Path Daily'!C367</x:f>
        <x:v>P3</x:v>
      </x:c>
      <x:c r="D367" s="45" t="n">
        <x:f>'Path Daily'!D367</x:f>
        <x:v>87</x:v>
      </x:c>
      <x:c r="E367" s="53" t="n">
        <x:f>IF(D367=0,SUMIFS('Cargo Records'!$T$7:$T$70,'Cargo Records'!$J$7:$J$70,C367),0)</x:f>
        <x:v>0</x:v>
      </x:c>
      <x:c r="F367" s="53" t="n">
        <x:f>I366</x:f>
        <x:v>0</x:v>
      </x:c>
      <x:c r="G367" s="53" t="n">
        <x:f>'Path Daily'!M367</x:f>
        <x:v>4860</x:v>
      </x:c>
      <x:c r="H367" s="53" t="n">
        <x:f>MIN(E367+F367,G367)</x:f>
        <x:v>0</x:v>
      </x:c>
      <x:c r="I367" s="53" t="n">
        <x:f>E367+F367-H367</x:f>
        <x:v>0</x:v>
      </x:c>
      <x:c r="J367" s="45" t="str">
        <x:f>IF(I367=0,"CLEAR","QUEUED")</x:f>
        <x:v>CLEAR</x:v>
      </x:c>
      <x:c r="K367" s="72"/>
      <x:c r="L367" s="72"/>
      <x:c r="M367" s="72"/>
      <x:c r="N367" s="72"/>
    </x:row>
    <x:row r="368">
      <x:c r="C368" s="45" t="str">
        <x:f>'Path Daily'!C368</x:f>
        <x:v>P3</x:v>
      </x:c>
      <x:c r="D368" s="45" t="n">
        <x:f>'Path Daily'!D368</x:f>
        <x:v>88</x:v>
      </x:c>
      <x:c r="E368" s="53" t="n">
        <x:f>IF(D368=0,SUMIFS('Cargo Records'!$T$7:$T$70,'Cargo Records'!$J$7:$J$70,C368),0)</x:f>
        <x:v>0</x:v>
      </x:c>
      <x:c r="F368" s="53" t="n">
        <x:f>I367</x:f>
        <x:v>0</x:v>
      </x:c>
      <x:c r="G368" s="53" t="n">
        <x:f>'Path Daily'!M368</x:f>
        <x:v>4860</x:v>
      </x:c>
      <x:c r="H368" s="53" t="n">
        <x:f>MIN(E368+F368,G368)</x:f>
        <x:v>0</x:v>
      </x:c>
      <x:c r="I368" s="53" t="n">
        <x:f>E368+F368-H368</x:f>
        <x:v>0</x:v>
      </x:c>
      <x:c r="J368" s="45" t="str">
        <x:f>IF(I368=0,"CLEAR","QUEUED")</x:f>
        <x:v>CLEAR</x:v>
      </x:c>
      <x:c r="K368" s="72"/>
      <x:c r="L368" s="72"/>
      <x:c r="M368" s="72"/>
      <x:c r="N368" s="72"/>
    </x:row>
    <x:row r="369">
      <x:c r="C369" s="45" t="str">
        <x:f>'Path Daily'!C369</x:f>
        <x:v>P3</x:v>
      </x:c>
      <x:c r="D369" s="45" t="n">
        <x:f>'Path Daily'!D369</x:f>
        <x:v>89</x:v>
      </x:c>
      <x:c r="E369" s="53" t="n">
        <x:f>IF(D369=0,SUMIFS('Cargo Records'!$T$7:$T$70,'Cargo Records'!$J$7:$J$70,C369),0)</x:f>
        <x:v>0</x:v>
      </x:c>
      <x:c r="F369" s="53" t="n">
        <x:f>I368</x:f>
        <x:v>0</x:v>
      </x:c>
      <x:c r="G369" s="53" t="n">
        <x:f>'Path Daily'!M369</x:f>
        <x:v>4860</x:v>
      </x:c>
      <x:c r="H369" s="53" t="n">
        <x:f>MIN(E369+F369,G369)</x:f>
        <x:v>0</x:v>
      </x:c>
      <x:c r="I369" s="53" t="n">
        <x:f>E369+F369-H369</x:f>
        <x:v>0</x:v>
      </x:c>
      <x:c r="J369" s="45" t="str">
        <x:f>IF(I369=0,"CLEAR","QUEUED")</x:f>
        <x:v>CLEAR</x:v>
      </x:c>
      <x:c r="K369" s="72"/>
      <x:c r="L369" s="72"/>
      <x:c r="M369" s="72"/>
      <x:c r="N369" s="72"/>
    </x:row>
    <x:row r="370">
      <x:c r="C370" s="45" t="str">
        <x:f>'Path Daily'!C370</x:f>
        <x:v>P3</x:v>
      </x:c>
      <x:c r="D370" s="45" t="n">
        <x:f>'Path Daily'!D370</x:f>
        <x:v>90</x:v>
      </x:c>
      <x:c r="E370" s="53" t="n">
        <x:f>IF(D370=0,SUMIFS('Cargo Records'!$T$7:$T$70,'Cargo Records'!$J$7:$J$70,C370),0)</x:f>
        <x:v>0</x:v>
      </x:c>
      <x:c r="F370" s="53" t="n">
        <x:f>I369</x:f>
        <x:v>0</x:v>
      </x:c>
      <x:c r="G370" s="53" t="n">
        <x:f>'Path Daily'!M370</x:f>
        <x:v>4860</x:v>
      </x:c>
      <x:c r="H370" s="53" t="n">
        <x:f>MIN(E370+F370,G370)</x:f>
        <x:v>0</x:v>
      </x:c>
      <x:c r="I370" s="53" t="n">
        <x:f>E370+F370-H370</x:f>
        <x:v>0</x:v>
      </x:c>
      <x:c r="J370" s="45" t="str">
        <x:f>IF(I370=0,"CLEAR","QUEUED")</x:f>
        <x:v>CLEAR</x:v>
      </x:c>
      <x:c r="K370" s="72"/>
      <x:c r="L370" s="72"/>
      <x:c r="M370" s="72"/>
      <x:c r="N370" s="72"/>
    </x:row>
    <x:row r="371">
      <x:c r="C371" s="45" t="str">
        <x:f>'Path Daily'!C371</x:f>
        <x:v>P4</x:v>
      </x:c>
      <x:c r="D371" s="45" t="n">
        <x:f>'Path Daily'!D371</x:f>
        <x:v>0</x:v>
      </x:c>
      <x:c r="E371" s="53" t="n">
        <x:f>IF(D371=0,SUMIFS('Cargo Records'!$T$7:$T$70,'Cargo Records'!$J$7:$J$70,C371),0)</x:f>
        <x:v>64363.63636363637</x:v>
      </x:c>
      <x:c r="F371" s="53" t="n">
        <x:f>0</x:f>
        <x:v>0</x:v>
      </x:c>
      <x:c r="G371" s="53" t="n">
        <x:f>'Path Daily'!M371</x:f>
        <x:v>0</x:v>
      </x:c>
      <x:c r="H371" s="53" t="n">
        <x:f>MIN(E371+F371,G371)</x:f>
        <x:v>0</x:v>
      </x:c>
      <x:c r="I371" s="53" t="n">
        <x:f>E371+F371-H371</x:f>
        <x:v>64363.63636363637</x:v>
      </x:c>
      <x:c r="J371" s="45" t="str">
        <x:f>IF(I371=0,"CLEAR","QUEUED")</x:f>
        <x:v>QUEUED</x:v>
      </x:c>
      <x:c r="K371" s="72"/>
      <x:c r="L371" s="72"/>
      <x:c r="M371" s="72"/>
      <x:c r="N371" s="72"/>
    </x:row>
    <x:row r="372">
      <x:c r="C372" s="45" t="str">
        <x:f>'Path Daily'!C372</x:f>
        <x:v>P4</x:v>
      </x:c>
      <x:c r="D372" s="45" t="n">
        <x:f>'Path Daily'!D372</x:f>
        <x:v>1</x:v>
      </x:c>
      <x:c r="E372" s="53" t="n">
        <x:f>IF(D372=0,SUMIFS('Cargo Records'!$T$7:$T$70,'Cargo Records'!$J$7:$J$70,C372),0)</x:f>
        <x:v>0</x:v>
      </x:c>
      <x:c r="F372" s="53" t="n">
        <x:f>I371</x:f>
        <x:v>64363.63636363637</x:v>
      </x:c>
      <x:c r="G372" s="53" t="n">
        <x:f>'Path Daily'!M372</x:f>
        <x:v>0</x:v>
      </x:c>
      <x:c r="H372" s="53" t="n">
        <x:f>MIN(E372+F372,G372)</x:f>
        <x:v>0</x:v>
      </x:c>
      <x:c r="I372" s="53" t="n">
        <x:f>E372+F372-H372</x:f>
        <x:v>64363.63636363637</x:v>
      </x:c>
      <x:c r="J372" s="45" t="str">
        <x:f>IF(I372=0,"CLEAR","QUEUED")</x:f>
        <x:v>QUEUED</x:v>
      </x:c>
      <x:c r="K372" s="72"/>
      <x:c r="L372" s="72"/>
      <x:c r="M372" s="72"/>
      <x:c r="N372" s="72"/>
    </x:row>
    <x:row r="373">
      <x:c r="C373" s="45" t="str">
        <x:f>'Path Daily'!C373</x:f>
        <x:v>P4</x:v>
      </x:c>
      <x:c r="D373" s="45" t="n">
        <x:f>'Path Daily'!D373</x:f>
        <x:v>2</x:v>
      </x:c>
      <x:c r="E373" s="53" t="n">
        <x:f>IF(D373=0,SUMIFS('Cargo Records'!$T$7:$T$70,'Cargo Records'!$J$7:$J$70,C373),0)</x:f>
        <x:v>0</x:v>
      </x:c>
      <x:c r="F373" s="53" t="n">
        <x:f>I372</x:f>
        <x:v>64363.63636363637</x:v>
      </x:c>
      <x:c r="G373" s="53" t="n">
        <x:f>'Path Daily'!M373</x:f>
        <x:v>0</x:v>
      </x:c>
      <x:c r="H373" s="53" t="n">
        <x:f>MIN(E373+F373,G373)</x:f>
        <x:v>0</x:v>
      </x:c>
      <x:c r="I373" s="53" t="n">
        <x:f>E373+F373-H373</x:f>
        <x:v>64363.63636363637</x:v>
      </x:c>
      <x:c r="J373" s="45" t="str">
        <x:f>IF(I373=0,"CLEAR","QUEUED")</x:f>
        <x:v>QUEUED</x:v>
      </x:c>
      <x:c r="K373" s="72"/>
      <x:c r="L373" s="72"/>
      <x:c r="M373" s="72"/>
      <x:c r="N373" s="72"/>
    </x:row>
    <x:row r="374">
      <x:c r="C374" s="45" t="str">
        <x:f>'Path Daily'!C374</x:f>
        <x:v>P4</x:v>
      </x:c>
      <x:c r="D374" s="45" t="n">
        <x:f>'Path Daily'!D374</x:f>
        <x:v>3</x:v>
      </x:c>
      <x:c r="E374" s="53" t="n">
        <x:f>IF(D374=0,SUMIFS('Cargo Records'!$T$7:$T$70,'Cargo Records'!$J$7:$J$70,C374),0)</x:f>
        <x:v>0</x:v>
      </x:c>
      <x:c r="F374" s="53" t="n">
        <x:f>I373</x:f>
        <x:v>64363.63636363637</x:v>
      </x:c>
      <x:c r="G374" s="53" t="n">
        <x:f>'Path Daily'!M374</x:f>
        <x:v>11264</x:v>
      </x:c>
      <x:c r="H374" s="53" t="n">
        <x:f>MIN(E374+F374,G374)</x:f>
        <x:v>11264</x:v>
      </x:c>
      <x:c r="I374" s="53" t="n">
        <x:f>E374+F374-H374</x:f>
        <x:v>53099.63636363637</x:v>
      </x:c>
      <x:c r="J374" s="45" t="str">
        <x:f>IF(I374=0,"CLEAR","QUEUED")</x:f>
        <x:v>QUEUED</x:v>
      </x:c>
      <x:c r="K374" s="72"/>
      <x:c r="L374" s="72"/>
      <x:c r="M374" s="72"/>
      <x:c r="N374" s="72"/>
    </x:row>
    <x:row r="375">
      <x:c r="C375" s="45" t="str">
        <x:f>'Path Daily'!C375</x:f>
        <x:v>P4</x:v>
      </x:c>
      <x:c r="D375" s="45" t="n">
        <x:f>'Path Daily'!D375</x:f>
        <x:v>4</x:v>
      </x:c>
      <x:c r="E375" s="53" t="n">
        <x:f>IF(D375=0,SUMIFS('Cargo Records'!$T$7:$T$70,'Cargo Records'!$J$7:$J$70,C375),0)</x:f>
        <x:v>0</x:v>
      </x:c>
      <x:c r="F375" s="53" t="n">
        <x:f>I374</x:f>
        <x:v>53099.63636363637</x:v>
      </x:c>
      <x:c r="G375" s="53" t="n">
        <x:f>'Path Daily'!M375</x:f>
        <x:v>9152</x:v>
      </x:c>
      <x:c r="H375" s="53" t="n">
        <x:f>MIN(E375+F375,G375)</x:f>
        <x:v>9152</x:v>
      </x:c>
      <x:c r="I375" s="53" t="n">
        <x:f>E375+F375-H375</x:f>
        <x:v>43947.63636363637</x:v>
      </x:c>
      <x:c r="J375" s="45" t="str">
        <x:f>IF(I375=0,"CLEAR","QUEUED")</x:f>
        <x:v>QUEUED</x:v>
      </x:c>
      <x:c r="K375" s="72"/>
      <x:c r="L375" s="72"/>
      <x:c r="M375" s="72"/>
      <x:c r="N375" s="72"/>
    </x:row>
    <x:row r="376">
      <x:c r="C376" s="45" t="str">
        <x:f>'Path Daily'!C376</x:f>
        <x:v>P4</x:v>
      </x:c>
      <x:c r="D376" s="45" t="n">
        <x:f>'Path Daily'!D376</x:f>
        <x:v>5</x:v>
      </x:c>
      <x:c r="E376" s="53" t="n">
        <x:f>IF(D376=0,SUMIFS('Cargo Records'!$T$7:$T$70,'Cargo Records'!$J$7:$J$70,C376),0)</x:f>
        <x:v>0</x:v>
      </x:c>
      <x:c r="F376" s="53" t="n">
        <x:f>I375</x:f>
        <x:v>43947.63636363637</x:v>
      </x:c>
      <x:c r="G376" s="53" t="n">
        <x:f>'Path Daily'!M376</x:f>
        <x:v>9152</x:v>
      </x:c>
      <x:c r="H376" s="53" t="n">
        <x:f>MIN(E376+F376,G376)</x:f>
        <x:v>9152</x:v>
      </x:c>
      <x:c r="I376" s="53" t="n">
        <x:f>E376+F376-H376</x:f>
        <x:v>34795.63636363637</x:v>
      </x:c>
      <x:c r="J376" s="45" t="str">
        <x:f>IF(I376=0,"CLEAR","QUEUED")</x:f>
        <x:v>QUEUED</x:v>
      </x:c>
      <x:c r="K376" s="72"/>
      <x:c r="L376" s="72"/>
      <x:c r="M376" s="72"/>
      <x:c r="N376" s="72"/>
    </x:row>
    <x:row r="377">
      <x:c r="C377" s="45" t="str">
        <x:f>'Path Daily'!C377</x:f>
        <x:v>P4</x:v>
      </x:c>
      <x:c r="D377" s="45" t="n">
        <x:f>'Path Daily'!D377</x:f>
        <x:v>6</x:v>
      </x:c>
      <x:c r="E377" s="53" t="n">
        <x:f>IF(D377=0,SUMIFS('Cargo Records'!$T$7:$T$70,'Cargo Records'!$J$7:$J$70,C377),0)</x:f>
        <x:v>0</x:v>
      </x:c>
      <x:c r="F377" s="53" t="n">
        <x:f>I376</x:f>
        <x:v>34795.63636363637</x:v>
      </x:c>
      <x:c r="G377" s="53" t="n">
        <x:f>'Path Daily'!M377</x:f>
        <x:v>5948.8</x:v>
      </x:c>
      <x:c r="H377" s="53" t="n">
        <x:f>MIN(E377+F377,G377)</x:f>
        <x:v>5948.8</x:v>
      </x:c>
      <x:c r="I377" s="53" t="n">
        <x:f>E377+F377-H377</x:f>
        <x:v>28846.83636363637</x:v>
      </x:c>
      <x:c r="J377" s="45" t="str">
        <x:f>IF(I377=0,"CLEAR","QUEUED")</x:f>
        <x:v>QUEUED</x:v>
      </x:c>
      <x:c r="K377" s="72"/>
      <x:c r="L377" s="72"/>
      <x:c r="M377" s="72"/>
      <x:c r="N377" s="72"/>
    </x:row>
    <x:row r="378">
      <x:c r="C378" s="45" t="str">
        <x:f>'Path Daily'!C378</x:f>
        <x:v>P4</x:v>
      </x:c>
      <x:c r="D378" s="45" t="n">
        <x:f>'Path Daily'!D378</x:f>
        <x:v>7</x:v>
      </x:c>
      <x:c r="E378" s="53" t="n">
        <x:f>IF(D378=0,SUMIFS('Cargo Records'!$T$7:$T$70,'Cargo Records'!$J$7:$J$70,C378),0)</x:f>
        <x:v>0</x:v>
      </x:c>
      <x:c r="F378" s="53" t="n">
        <x:f>I377</x:f>
        <x:v>28846.83636363637</x:v>
      </x:c>
      <x:c r="G378" s="53" t="n">
        <x:f>'Path Daily'!M378</x:f>
        <x:v>5948.8</x:v>
      </x:c>
      <x:c r="H378" s="53" t="n">
        <x:f>MIN(E378+F378,G378)</x:f>
        <x:v>5948.8</x:v>
      </x:c>
      <x:c r="I378" s="53" t="n">
        <x:f>E378+F378-H378</x:f>
        <x:v>22898.03636363637</x:v>
      </x:c>
      <x:c r="J378" s="45" t="str">
        <x:f>IF(I378=0,"CLEAR","QUEUED")</x:f>
        <x:v>QUEUED</x:v>
      </x:c>
      <x:c r="K378" s="72"/>
      <x:c r="L378" s="72"/>
      <x:c r="M378" s="72"/>
      <x:c r="N378" s="72"/>
    </x:row>
    <x:row r="379">
      <x:c r="C379" s="45" t="str">
        <x:f>'Path Daily'!C379</x:f>
        <x:v>P4</x:v>
      </x:c>
      <x:c r="D379" s="45" t="n">
        <x:f>'Path Daily'!D379</x:f>
        <x:v>8</x:v>
      </x:c>
      <x:c r="E379" s="53" t="n">
        <x:f>IF(D379=0,SUMIFS('Cargo Records'!$T$7:$T$70,'Cargo Records'!$J$7:$J$70,C379),0)</x:f>
        <x:v>0</x:v>
      </x:c>
      <x:c r="F379" s="53" t="n">
        <x:f>I378</x:f>
        <x:v>22898.03636363637</x:v>
      </x:c>
      <x:c r="G379" s="53" t="n">
        <x:f>'Path Daily'!M379</x:f>
        <x:v>9152</x:v>
      </x:c>
      <x:c r="H379" s="53" t="n">
        <x:f>MIN(E379+F379,G379)</x:f>
        <x:v>9152</x:v>
      </x:c>
      <x:c r="I379" s="53" t="n">
        <x:f>E379+F379-H379</x:f>
        <x:v>13746.036363636369</x:v>
      </x:c>
      <x:c r="J379" s="45" t="str">
        <x:f>IF(I379=0,"CLEAR","QUEUED")</x:f>
        <x:v>QUEUED</x:v>
      </x:c>
      <x:c r="K379" s="72"/>
      <x:c r="L379" s="72"/>
      <x:c r="M379" s="72"/>
      <x:c r="N379" s="72"/>
    </x:row>
    <x:row r="380">
      <x:c r="C380" s="45" t="str">
        <x:f>'Path Daily'!C380</x:f>
        <x:v>P4</x:v>
      </x:c>
      <x:c r="D380" s="45" t="n">
        <x:f>'Path Daily'!D380</x:f>
        <x:v>9</x:v>
      </x:c>
      <x:c r="E380" s="53" t="n">
        <x:f>IF(D380=0,SUMIFS('Cargo Records'!$T$7:$T$70,'Cargo Records'!$J$7:$J$70,C380),0)</x:f>
        <x:v>0</x:v>
      </x:c>
      <x:c r="F380" s="53" t="n">
        <x:f>I379</x:f>
        <x:v>13746.036363636369</x:v>
      </x:c>
      <x:c r="G380" s="53" t="n">
        <x:f>'Path Daily'!M380</x:f>
        <x:v>9152</x:v>
      </x:c>
      <x:c r="H380" s="53" t="n">
        <x:f>MIN(E380+F380,G380)</x:f>
        <x:v>9152</x:v>
      </x:c>
      <x:c r="I380" s="53" t="n">
        <x:f>E380+F380-H380</x:f>
        <x:v>4594.036363636369</x:v>
      </x:c>
      <x:c r="J380" s="45" t="str">
        <x:f>IF(I380=0,"CLEAR","QUEUED")</x:f>
        <x:v>QUEUED</x:v>
      </x:c>
      <x:c r="K380" s="72"/>
      <x:c r="L380" s="72"/>
      <x:c r="M380" s="72"/>
      <x:c r="N380" s="72"/>
    </x:row>
    <x:row r="381">
      <x:c r="C381" s="45" t="str">
        <x:f>'Path Daily'!C381</x:f>
        <x:v>P4</x:v>
      </x:c>
      <x:c r="D381" s="45" t="n">
        <x:f>'Path Daily'!D381</x:f>
        <x:v>10</x:v>
      </x:c>
      <x:c r="E381" s="53" t="n">
        <x:f>IF(D381=0,SUMIFS('Cargo Records'!$T$7:$T$70,'Cargo Records'!$J$7:$J$70,C381),0)</x:f>
        <x:v>0</x:v>
      </x:c>
      <x:c r="F381" s="53" t="n">
        <x:f>I380</x:f>
        <x:v>4594.036363636369</x:v>
      </x:c>
      <x:c r="G381" s="53" t="n">
        <x:f>'Path Daily'!M381</x:f>
        <x:v>13728</x:v>
      </x:c>
      <x:c r="H381" s="53" t="n">
        <x:f>MIN(E381+F381,G381)</x:f>
        <x:v>4594.036363636369</x:v>
      </x:c>
      <x:c r="I381" s="53" t="n">
        <x:f>E381+F381-H381</x:f>
        <x:v>0</x:v>
      </x:c>
      <x:c r="J381" s="45" t="str">
        <x:f>IF(I381=0,"CLEAR","QUEUED")</x:f>
        <x:v>CLEAR</x:v>
      </x:c>
      <x:c r="K381" s="72"/>
      <x:c r="L381" s="72"/>
      <x:c r="M381" s="72"/>
      <x:c r="N381" s="72"/>
    </x:row>
    <x:row r="382">
      <x:c r="C382" s="45" t="str">
        <x:f>'Path Daily'!C382</x:f>
        <x:v>P4</x:v>
      </x:c>
      <x:c r="D382" s="45" t="n">
        <x:f>'Path Daily'!D382</x:f>
        <x:v>11</x:v>
      </x:c>
      <x:c r="E382" s="53" t="n">
        <x:f>IF(D382=0,SUMIFS('Cargo Records'!$T$7:$T$70,'Cargo Records'!$J$7:$J$70,C382),0)</x:f>
        <x:v>0</x:v>
      </x:c>
      <x:c r="F382" s="53" t="n">
        <x:f>I381</x:f>
        <x:v>0</x:v>
      </x:c>
      <x:c r="G382" s="53" t="n">
        <x:f>'Path Daily'!M382</x:f>
        <x:v>13728</x:v>
      </x:c>
      <x:c r="H382" s="53" t="n">
        <x:f>MIN(E382+F382,G382)</x:f>
        <x:v>0</x:v>
      </x:c>
      <x:c r="I382" s="53" t="n">
        <x:f>E382+F382-H382</x:f>
        <x:v>0</x:v>
      </x:c>
      <x:c r="J382" s="45" t="str">
        <x:f>IF(I382=0,"CLEAR","QUEUED")</x:f>
        <x:v>CLEAR</x:v>
      </x:c>
      <x:c r="K382" s="72"/>
      <x:c r="L382" s="72"/>
      <x:c r="M382" s="72"/>
      <x:c r="N382" s="72"/>
    </x:row>
    <x:row r="383">
      <x:c r="C383" s="45" t="str">
        <x:f>'Path Daily'!C383</x:f>
        <x:v>P4</x:v>
      </x:c>
      <x:c r="D383" s="45" t="n">
        <x:f>'Path Daily'!D383</x:f>
        <x:v>12</x:v>
      </x:c>
      <x:c r="E383" s="53" t="n">
        <x:f>IF(D383=0,SUMIFS('Cargo Records'!$T$7:$T$70,'Cargo Records'!$J$7:$J$70,C383),0)</x:f>
        <x:v>0</x:v>
      </x:c>
      <x:c r="F383" s="53" t="n">
        <x:f>I382</x:f>
        <x:v>0</x:v>
      </x:c>
      <x:c r="G383" s="53" t="n">
        <x:f>'Path Daily'!M383</x:f>
        <x:v>13728</x:v>
      </x:c>
      <x:c r="H383" s="53" t="n">
        <x:f>MIN(E383+F383,G383)</x:f>
        <x:v>0</x:v>
      </x:c>
      <x:c r="I383" s="53" t="n">
        <x:f>E383+F383-H383</x:f>
        <x:v>0</x:v>
      </x:c>
      <x:c r="J383" s="45" t="str">
        <x:f>IF(I383=0,"CLEAR","QUEUED")</x:f>
        <x:v>CLEAR</x:v>
      </x:c>
      <x:c r="K383" s="72"/>
      <x:c r="L383" s="72"/>
      <x:c r="M383" s="72"/>
      <x:c r="N383" s="72"/>
    </x:row>
    <x:row r="384">
      <x:c r="C384" s="45" t="str">
        <x:f>'Path Daily'!C384</x:f>
        <x:v>P4</x:v>
      </x:c>
      <x:c r="D384" s="45" t="n">
        <x:f>'Path Daily'!D384</x:f>
        <x:v>13</x:v>
      </x:c>
      <x:c r="E384" s="53" t="n">
        <x:f>IF(D384=0,SUMIFS('Cargo Records'!$T$7:$T$70,'Cargo Records'!$J$7:$J$70,C384),0)</x:f>
        <x:v>0</x:v>
      </x:c>
      <x:c r="F384" s="53" t="n">
        <x:f>I383</x:f>
        <x:v>0</x:v>
      </x:c>
      <x:c r="G384" s="53" t="n">
        <x:f>'Path Daily'!M384</x:f>
        <x:v>13728</x:v>
      </x:c>
      <x:c r="H384" s="53" t="n">
        <x:f>MIN(E384+F384,G384)</x:f>
        <x:v>0</x:v>
      </x:c>
      <x:c r="I384" s="53" t="n">
        <x:f>E384+F384-H384</x:f>
        <x:v>0</x:v>
      </x:c>
      <x:c r="J384" s="45" t="str">
        <x:f>IF(I384=0,"CLEAR","QUEUED")</x:f>
        <x:v>CLEAR</x:v>
      </x:c>
      <x:c r="K384" s="72"/>
      <x:c r="L384" s="72"/>
      <x:c r="M384" s="72"/>
      <x:c r="N384" s="72"/>
    </x:row>
    <x:row r="385">
      <x:c r="C385" s="45" t="str">
        <x:f>'Path Daily'!C385</x:f>
        <x:v>P4</x:v>
      </x:c>
      <x:c r="D385" s="45" t="n">
        <x:f>'Path Daily'!D385</x:f>
        <x:v>14</x:v>
      </x:c>
      <x:c r="E385" s="53" t="n">
        <x:f>IF(D385=0,SUMIFS('Cargo Records'!$T$7:$T$70,'Cargo Records'!$J$7:$J$70,C385),0)</x:f>
        <x:v>0</x:v>
      </x:c>
      <x:c r="F385" s="53" t="n">
        <x:f>I384</x:f>
        <x:v>0</x:v>
      </x:c>
      <x:c r="G385" s="53" t="n">
        <x:f>'Path Daily'!M385</x:f>
        <x:v>8236.800000000001</x:v>
      </x:c>
      <x:c r="H385" s="53" t="n">
        <x:f>MIN(E385+F385,G385)</x:f>
        <x:v>0</x:v>
      </x:c>
      <x:c r="I385" s="53" t="n">
        <x:f>E385+F385-H385</x:f>
        <x:v>0</x:v>
      </x:c>
      <x:c r="J385" s="45" t="str">
        <x:f>IF(I385=0,"CLEAR","QUEUED")</x:f>
        <x:v>CLEAR</x:v>
      </x:c>
      <x:c r="K385" s="72"/>
      <x:c r="L385" s="72"/>
      <x:c r="M385" s="72"/>
      <x:c r="N385" s="72"/>
    </x:row>
    <x:row r="386">
      <x:c r="C386" s="45" t="str">
        <x:f>'Path Daily'!C386</x:f>
        <x:v>P4</x:v>
      </x:c>
      <x:c r="D386" s="45" t="n">
        <x:f>'Path Daily'!D386</x:f>
        <x:v>15</x:v>
      </x:c>
      <x:c r="E386" s="53" t="n">
        <x:f>IF(D386=0,SUMIFS('Cargo Records'!$T$7:$T$70,'Cargo Records'!$J$7:$J$70,C386),0)</x:f>
        <x:v>0</x:v>
      </x:c>
      <x:c r="F386" s="53" t="n">
        <x:f>I385</x:f>
        <x:v>0</x:v>
      </x:c>
      <x:c r="G386" s="53" t="n">
        <x:f>'Path Daily'!M386</x:f>
        <x:v>6336</x:v>
      </x:c>
      <x:c r="H386" s="53" t="n">
        <x:f>MIN(E386+F386,G386)</x:f>
        <x:v>0</x:v>
      </x:c>
      <x:c r="I386" s="53" t="n">
        <x:f>E386+F386-H386</x:f>
        <x:v>0</x:v>
      </x:c>
      <x:c r="J386" s="45" t="str">
        <x:f>IF(I386=0,"CLEAR","QUEUED")</x:f>
        <x:v>CLEAR</x:v>
      </x:c>
      <x:c r="K386" s="72"/>
      <x:c r="L386" s="72"/>
      <x:c r="M386" s="72"/>
      <x:c r="N386" s="72"/>
    </x:row>
    <x:row r="387">
      <x:c r="C387" s="45" t="str">
        <x:f>'Path Daily'!C387</x:f>
        <x:v>P4</x:v>
      </x:c>
      <x:c r="D387" s="45" t="n">
        <x:f>'Path Daily'!D387</x:f>
        <x:v>16</x:v>
      </x:c>
      <x:c r="E387" s="53" t="n">
        <x:f>IF(D387=0,SUMIFS('Cargo Records'!$T$7:$T$70,'Cargo Records'!$J$7:$J$70,C387),0)</x:f>
        <x:v>0</x:v>
      </x:c>
      <x:c r="F387" s="53" t="n">
        <x:f>I386</x:f>
        <x:v>0</x:v>
      </x:c>
      <x:c r="G387" s="53" t="n">
        <x:f>'Path Daily'!M387</x:f>
        <x:v>6336</x:v>
      </x:c>
      <x:c r="H387" s="53" t="n">
        <x:f>MIN(E387+F387,G387)</x:f>
        <x:v>0</x:v>
      </x:c>
      <x:c r="I387" s="53" t="n">
        <x:f>E387+F387-H387</x:f>
        <x:v>0</x:v>
      </x:c>
      <x:c r="J387" s="45" t="str">
        <x:f>IF(I387=0,"CLEAR","QUEUED")</x:f>
        <x:v>CLEAR</x:v>
      </x:c>
      <x:c r="K387" s="72"/>
      <x:c r="L387" s="72"/>
      <x:c r="M387" s="72"/>
      <x:c r="N387" s="72"/>
    </x:row>
    <x:row r="388">
      <x:c r="C388" s="45" t="str">
        <x:f>'Path Daily'!C388</x:f>
        <x:v>P4</x:v>
      </x:c>
      <x:c r="D388" s="45" t="n">
        <x:f>'Path Daily'!D388</x:f>
        <x:v>17</x:v>
      </x:c>
      <x:c r="E388" s="53" t="n">
        <x:f>IF(D388=0,SUMIFS('Cargo Records'!$T$7:$T$70,'Cargo Records'!$J$7:$J$70,C388),0)</x:f>
        <x:v>0</x:v>
      </x:c>
      <x:c r="F388" s="53" t="n">
        <x:f>I387</x:f>
        <x:v>0</x:v>
      </x:c>
      <x:c r="G388" s="53" t="n">
        <x:f>'Path Daily'!M388</x:f>
        <x:v>10560</x:v>
      </x:c>
      <x:c r="H388" s="53" t="n">
        <x:f>MIN(E388+F388,G388)</x:f>
        <x:v>0</x:v>
      </x:c>
      <x:c r="I388" s="53" t="n">
        <x:f>E388+F388-H388</x:f>
        <x:v>0</x:v>
      </x:c>
      <x:c r="J388" s="45" t="str">
        <x:f>IF(I388=0,"CLEAR","QUEUED")</x:f>
        <x:v>CLEAR</x:v>
      </x:c>
      <x:c r="K388" s="72"/>
      <x:c r="L388" s="72"/>
      <x:c r="M388" s="72"/>
      <x:c r="N388" s="72"/>
    </x:row>
    <x:row r="389">
      <x:c r="C389" s="45" t="str">
        <x:f>'Path Daily'!C389</x:f>
        <x:v>P4</x:v>
      </x:c>
      <x:c r="D389" s="45" t="n">
        <x:f>'Path Daily'!D389</x:f>
        <x:v>18</x:v>
      </x:c>
      <x:c r="E389" s="53" t="n">
        <x:f>IF(D389=0,SUMIFS('Cargo Records'!$T$7:$T$70,'Cargo Records'!$J$7:$J$70,C389),0)</x:f>
        <x:v>0</x:v>
      </x:c>
      <x:c r="F389" s="53" t="n">
        <x:f>I388</x:f>
        <x:v>0</x:v>
      </x:c>
      <x:c r="G389" s="53" t="n">
        <x:f>'Path Daily'!M389</x:f>
        <x:v>10560</x:v>
      </x:c>
      <x:c r="H389" s="53" t="n">
        <x:f>MIN(E389+F389,G389)</x:f>
        <x:v>0</x:v>
      </x:c>
      <x:c r="I389" s="53" t="n">
        <x:f>E389+F389-H389</x:f>
        <x:v>0</x:v>
      </x:c>
      <x:c r="J389" s="45" t="str">
        <x:f>IF(I389=0,"CLEAR","QUEUED")</x:f>
        <x:v>CLEAR</x:v>
      </x:c>
      <x:c r="K389" s="72"/>
      <x:c r="L389" s="72"/>
      <x:c r="M389" s="72"/>
      <x:c r="N389" s="72"/>
    </x:row>
    <x:row r="390">
      <x:c r="C390" s="45" t="str">
        <x:f>'Path Daily'!C390</x:f>
        <x:v>P4</x:v>
      </x:c>
      <x:c r="D390" s="45" t="n">
        <x:f>'Path Daily'!D390</x:f>
        <x:v>19</x:v>
      </x:c>
      <x:c r="E390" s="53" t="n">
        <x:f>IF(D390=0,SUMIFS('Cargo Records'!$T$7:$T$70,'Cargo Records'!$J$7:$J$70,C390),0)</x:f>
        <x:v>0</x:v>
      </x:c>
      <x:c r="F390" s="53" t="n">
        <x:f>I389</x:f>
        <x:v>0</x:v>
      </x:c>
      <x:c r="G390" s="53" t="n">
        <x:f>'Path Daily'!M390</x:f>
        <x:v>10560</x:v>
      </x:c>
      <x:c r="H390" s="53" t="n">
        <x:f>MIN(E390+F390,G390)</x:f>
        <x:v>0</x:v>
      </x:c>
      <x:c r="I390" s="53" t="n">
        <x:f>E390+F390-H390</x:f>
        <x:v>0</x:v>
      </x:c>
      <x:c r="J390" s="45" t="str">
        <x:f>IF(I390=0,"CLEAR","QUEUED")</x:f>
        <x:v>CLEAR</x:v>
      </x:c>
      <x:c r="K390" s="72"/>
      <x:c r="L390" s="72"/>
      <x:c r="M390" s="72"/>
      <x:c r="N390" s="72"/>
    </x:row>
    <x:row r="391">
      <x:c r="C391" s="45" t="str">
        <x:f>'Path Daily'!C391</x:f>
        <x:v>P4</x:v>
      </x:c>
      <x:c r="D391" s="45" t="n">
        <x:f>'Path Daily'!D391</x:f>
        <x:v>20</x:v>
      </x:c>
      <x:c r="E391" s="53" t="n">
        <x:f>IF(D391=0,SUMIFS('Cargo Records'!$T$7:$T$70,'Cargo Records'!$J$7:$J$70,C391),0)</x:f>
        <x:v>0</x:v>
      </x:c>
      <x:c r="F391" s="53" t="n">
        <x:f>I390</x:f>
        <x:v>0</x:v>
      </x:c>
      <x:c r="G391" s="53" t="n">
        <x:f>'Path Daily'!M391</x:f>
        <x:v>10560</x:v>
      </x:c>
      <x:c r="H391" s="53" t="n">
        <x:f>MIN(E391+F391,G391)</x:f>
        <x:v>0</x:v>
      </x:c>
      <x:c r="I391" s="53" t="n">
        <x:f>E391+F391-H391</x:f>
        <x:v>0</x:v>
      </x:c>
      <x:c r="J391" s="45" t="str">
        <x:f>IF(I391=0,"CLEAR","QUEUED")</x:f>
        <x:v>CLEAR</x:v>
      </x:c>
      <x:c r="K391" s="72"/>
      <x:c r="L391" s="72"/>
      <x:c r="M391" s="72"/>
      <x:c r="N391" s="72"/>
    </x:row>
    <x:row r="392">
      <x:c r="C392" s="45" t="str">
        <x:f>'Path Daily'!C392</x:f>
        <x:v>P4</x:v>
      </x:c>
      <x:c r="D392" s="45" t="n">
        <x:f>'Path Daily'!D392</x:f>
        <x:v>21</x:v>
      </x:c>
      <x:c r="E392" s="53" t="n">
        <x:f>IF(D392=0,SUMIFS('Cargo Records'!$T$7:$T$70,'Cargo Records'!$J$7:$J$70,C392),0)</x:f>
        <x:v>0</x:v>
      </x:c>
      <x:c r="F392" s="53" t="n">
        <x:f>I391</x:f>
        <x:v>0</x:v>
      </x:c>
      <x:c r="G392" s="53" t="n">
        <x:f>'Path Daily'!M392</x:f>
        <x:v>6864</x:v>
      </x:c>
      <x:c r="H392" s="53" t="n">
        <x:f>MIN(E392+F392,G392)</x:f>
        <x:v>0</x:v>
      </x:c>
      <x:c r="I392" s="53" t="n">
        <x:f>E392+F392-H392</x:f>
        <x:v>0</x:v>
      </x:c>
      <x:c r="J392" s="45" t="str">
        <x:f>IF(I392=0,"CLEAR","QUEUED")</x:f>
        <x:v>CLEAR</x:v>
      </x:c>
      <x:c r="K392" s="72"/>
      <x:c r="L392" s="72"/>
      <x:c r="M392" s="72"/>
      <x:c r="N392" s="72"/>
    </x:row>
    <x:row r="393">
      <x:c r="C393" s="45" t="str">
        <x:f>'Path Daily'!C393</x:f>
        <x:v>P4</x:v>
      </x:c>
      <x:c r="D393" s="45" t="n">
        <x:f>'Path Daily'!D393</x:f>
        <x:v>22</x:v>
      </x:c>
      <x:c r="E393" s="53" t="n">
        <x:f>IF(D393=0,SUMIFS('Cargo Records'!$T$7:$T$70,'Cargo Records'!$J$7:$J$70,C393),0)</x:f>
        <x:v>0</x:v>
      </x:c>
      <x:c r="F393" s="53" t="n">
        <x:f>I392</x:f>
        <x:v>0</x:v>
      </x:c>
      <x:c r="G393" s="53" t="n">
        <x:f>'Path Daily'!M393</x:f>
        <x:v>10560</x:v>
      </x:c>
      <x:c r="H393" s="53" t="n">
        <x:f>MIN(E393+F393,G393)</x:f>
        <x:v>0</x:v>
      </x:c>
      <x:c r="I393" s="53" t="n">
        <x:f>E393+F393-H393</x:f>
        <x:v>0</x:v>
      </x:c>
      <x:c r="J393" s="45" t="str">
        <x:f>IF(I393=0,"CLEAR","QUEUED")</x:f>
        <x:v>CLEAR</x:v>
      </x:c>
      <x:c r="K393" s="72"/>
      <x:c r="L393" s="72"/>
      <x:c r="M393" s="72"/>
      <x:c r="N393" s="72"/>
    </x:row>
    <x:row r="394">
      <x:c r="C394" s="45" t="str">
        <x:f>'Path Daily'!C394</x:f>
        <x:v>P4</x:v>
      </x:c>
      <x:c r="D394" s="45" t="n">
        <x:f>'Path Daily'!D394</x:f>
        <x:v>23</x:v>
      </x:c>
      <x:c r="E394" s="53" t="n">
        <x:f>IF(D394=0,SUMIFS('Cargo Records'!$T$7:$T$70,'Cargo Records'!$J$7:$J$70,C394),0)</x:f>
        <x:v>0</x:v>
      </x:c>
      <x:c r="F394" s="53" t="n">
        <x:f>I393</x:f>
        <x:v>0</x:v>
      </x:c>
      <x:c r="G394" s="53" t="n">
        <x:f>'Path Daily'!M394</x:f>
        <x:v>10560</x:v>
      </x:c>
      <x:c r="H394" s="53" t="n">
        <x:f>MIN(E394+F394,G394)</x:f>
        <x:v>0</x:v>
      </x:c>
      <x:c r="I394" s="53" t="n">
        <x:f>E394+F394-H394</x:f>
        <x:v>0</x:v>
      </x:c>
      <x:c r="J394" s="45" t="str">
        <x:f>IF(I394=0,"CLEAR","QUEUED")</x:f>
        <x:v>CLEAR</x:v>
      </x:c>
      <x:c r="K394" s="72"/>
      <x:c r="L394" s="72"/>
      <x:c r="M394" s="72"/>
      <x:c r="N394" s="72"/>
    </x:row>
    <x:row r="395">
      <x:c r="C395" s="45" t="str">
        <x:f>'Path Daily'!C395</x:f>
        <x:v>P4</x:v>
      </x:c>
      <x:c r="D395" s="45" t="n">
        <x:f>'Path Daily'!D395</x:f>
        <x:v>24</x:v>
      </x:c>
      <x:c r="E395" s="53" t="n">
        <x:f>IF(D395=0,SUMIFS('Cargo Records'!$T$7:$T$70,'Cargo Records'!$J$7:$J$70,C395),0)</x:f>
        <x:v>0</x:v>
      </x:c>
      <x:c r="F395" s="53" t="n">
        <x:f>I394</x:f>
        <x:v>0</x:v>
      </x:c>
      <x:c r="G395" s="53" t="n">
        <x:f>'Path Daily'!M395</x:f>
        <x:v>10560</x:v>
      </x:c>
      <x:c r="H395" s="53" t="n">
        <x:f>MIN(E395+F395,G395)</x:f>
        <x:v>0</x:v>
      </x:c>
      <x:c r="I395" s="53" t="n">
        <x:f>E395+F395-H395</x:f>
        <x:v>0</x:v>
      </x:c>
      <x:c r="J395" s="45" t="str">
        <x:f>IF(I395=0,"CLEAR","QUEUED")</x:f>
        <x:v>CLEAR</x:v>
      </x:c>
      <x:c r="K395" s="72"/>
      <x:c r="L395" s="72"/>
      <x:c r="M395" s="72"/>
      <x:c r="N395" s="72"/>
    </x:row>
    <x:row r="396">
      <x:c r="C396" s="45" t="str">
        <x:f>'Path Daily'!C396</x:f>
        <x:v>P4</x:v>
      </x:c>
      <x:c r="D396" s="45" t="n">
        <x:f>'Path Daily'!D396</x:f>
        <x:v>25</x:v>
      </x:c>
      <x:c r="E396" s="53" t="n">
        <x:f>IF(D396=0,SUMIFS('Cargo Records'!$T$7:$T$70,'Cargo Records'!$J$7:$J$70,C396),0)</x:f>
        <x:v>0</x:v>
      </x:c>
      <x:c r="F396" s="53" t="n">
        <x:f>I395</x:f>
        <x:v>0</x:v>
      </x:c>
      <x:c r="G396" s="53" t="n">
        <x:f>'Path Daily'!M396</x:f>
        <x:v>10560</x:v>
      </x:c>
      <x:c r="H396" s="53" t="n">
        <x:f>MIN(E396+F396,G396)</x:f>
        <x:v>0</x:v>
      </x:c>
      <x:c r="I396" s="53" t="n">
        <x:f>E396+F396-H396</x:f>
        <x:v>0</x:v>
      </x:c>
      <x:c r="J396" s="45" t="str">
        <x:f>IF(I396=0,"CLEAR","QUEUED")</x:f>
        <x:v>CLEAR</x:v>
      </x:c>
      <x:c r="K396" s="72"/>
      <x:c r="L396" s="72"/>
      <x:c r="M396" s="72"/>
      <x:c r="N396" s="72"/>
    </x:row>
    <x:row r="397">
      <x:c r="C397" s="45" t="str">
        <x:f>'Path Daily'!C397</x:f>
        <x:v>P4</x:v>
      </x:c>
      <x:c r="D397" s="45" t="n">
        <x:f>'Path Daily'!D397</x:f>
        <x:v>26</x:v>
      </x:c>
      <x:c r="E397" s="53" t="n">
        <x:f>IF(D397=0,SUMIFS('Cargo Records'!$T$7:$T$70,'Cargo Records'!$J$7:$J$70,C397),0)</x:f>
        <x:v>0</x:v>
      </x:c>
      <x:c r="F397" s="53" t="n">
        <x:f>I396</x:f>
        <x:v>0</x:v>
      </x:c>
      <x:c r="G397" s="53" t="n">
        <x:f>'Path Daily'!M397</x:f>
        <x:v>10560</x:v>
      </x:c>
      <x:c r="H397" s="53" t="n">
        <x:f>MIN(E397+F397,G397)</x:f>
        <x:v>0</x:v>
      </x:c>
      <x:c r="I397" s="53" t="n">
        <x:f>E397+F397-H397</x:f>
        <x:v>0</x:v>
      </x:c>
      <x:c r="J397" s="45" t="str">
        <x:f>IF(I397=0,"CLEAR","QUEUED")</x:f>
        <x:v>CLEAR</x:v>
      </x:c>
      <x:c r="K397" s="72"/>
      <x:c r="L397" s="72"/>
      <x:c r="M397" s="72"/>
      <x:c r="N397" s="72"/>
    </x:row>
    <x:row r="398">
      <x:c r="C398" s="45" t="str">
        <x:f>'Path Daily'!C398</x:f>
        <x:v>P4</x:v>
      </x:c>
      <x:c r="D398" s="45" t="n">
        <x:f>'Path Daily'!D398</x:f>
        <x:v>27</x:v>
      </x:c>
      <x:c r="E398" s="53" t="n">
        <x:f>IF(D398=0,SUMIFS('Cargo Records'!$T$7:$T$70,'Cargo Records'!$J$7:$J$70,C398),0)</x:f>
        <x:v>0</x:v>
      </x:c>
      <x:c r="F398" s="53" t="n">
        <x:f>I397</x:f>
        <x:v>0</x:v>
      </x:c>
      <x:c r="G398" s="53" t="n">
        <x:f>'Path Daily'!M398</x:f>
        <x:v>10560</x:v>
      </x:c>
      <x:c r="H398" s="53" t="n">
        <x:f>MIN(E398+F398,G398)</x:f>
        <x:v>0</x:v>
      </x:c>
      <x:c r="I398" s="53" t="n">
        <x:f>E398+F398-H398</x:f>
        <x:v>0</x:v>
      </x:c>
      <x:c r="J398" s="45" t="str">
        <x:f>IF(I398=0,"CLEAR","QUEUED")</x:f>
        <x:v>CLEAR</x:v>
      </x:c>
      <x:c r="K398" s="72"/>
      <x:c r="L398" s="72"/>
      <x:c r="M398" s="72"/>
      <x:c r="N398" s="72"/>
    </x:row>
    <x:row r="399">
      <x:c r="C399" s="45" t="str">
        <x:f>'Path Daily'!C399</x:f>
        <x:v>P4</x:v>
      </x:c>
      <x:c r="D399" s="45" t="n">
        <x:f>'Path Daily'!D399</x:f>
        <x:v>28</x:v>
      </x:c>
      <x:c r="E399" s="53" t="n">
        <x:f>IF(D399=0,SUMIFS('Cargo Records'!$T$7:$T$70,'Cargo Records'!$J$7:$J$70,C399),0)</x:f>
        <x:v>0</x:v>
      </x:c>
      <x:c r="F399" s="53" t="n">
        <x:f>I398</x:f>
        <x:v>0</x:v>
      </x:c>
      <x:c r="G399" s="53" t="n">
        <x:f>'Path Daily'!M399</x:f>
        <x:v>10560</x:v>
      </x:c>
      <x:c r="H399" s="53" t="n">
        <x:f>MIN(E399+F399,G399)</x:f>
        <x:v>0</x:v>
      </x:c>
      <x:c r="I399" s="53" t="n">
        <x:f>E399+F399-H399</x:f>
        <x:v>0</x:v>
      </x:c>
      <x:c r="J399" s="45" t="str">
        <x:f>IF(I399=0,"CLEAR","QUEUED")</x:f>
        <x:v>CLEAR</x:v>
      </x:c>
      <x:c r="K399" s="72"/>
      <x:c r="L399" s="72"/>
      <x:c r="M399" s="72"/>
      <x:c r="N399" s="72"/>
    </x:row>
    <x:row r="400">
      <x:c r="C400" s="45" t="str">
        <x:f>'Path Daily'!C400</x:f>
        <x:v>P4</x:v>
      </x:c>
      <x:c r="D400" s="45" t="n">
        <x:f>'Path Daily'!D400</x:f>
        <x:v>29</x:v>
      </x:c>
      <x:c r="E400" s="53" t="n">
        <x:f>IF(D400=0,SUMIFS('Cargo Records'!$T$7:$T$70,'Cargo Records'!$J$7:$J$70,C400),0)</x:f>
        <x:v>0</x:v>
      </x:c>
      <x:c r="F400" s="53" t="n">
        <x:f>I399</x:f>
        <x:v>0</x:v>
      </x:c>
      <x:c r="G400" s="53" t="n">
        <x:f>'Path Daily'!M400</x:f>
        <x:v>10560</x:v>
      </x:c>
      <x:c r="H400" s="53" t="n">
        <x:f>MIN(E400+F400,G400)</x:f>
        <x:v>0</x:v>
      </x:c>
      <x:c r="I400" s="53" t="n">
        <x:f>E400+F400-H400</x:f>
        <x:v>0</x:v>
      </x:c>
      <x:c r="J400" s="45" t="str">
        <x:f>IF(I400=0,"CLEAR","QUEUED")</x:f>
        <x:v>CLEAR</x:v>
      </x:c>
      <x:c r="K400" s="72"/>
      <x:c r="L400" s="72"/>
      <x:c r="M400" s="72"/>
      <x:c r="N400" s="72"/>
    </x:row>
    <x:row r="401">
      <x:c r="C401" s="45" t="str">
        <x:f>'Path Daily'!C401</x:f>
        <x:v>P4</x:v>
      </x:c>
      <x:c r="D401" s="45" t="n">
        <x:f>'Path Daily'!D401</x:f>
        <x:v>30</x:v>
      </x:c>
      <x:c r="E401" s="53" t="n">
        <x:f>IF(D401=0,SUMIFS('Cargo Records'!$T$7:$T$70,'Cargo Records'!$J$7:$J$70,C401),0)</x:f>
        <x:v>0</x:v>
      </x:c>
      <x:c r="F401" s="53" t="n">
        <x:f>I400</x:f>
        <x:v>0</x:v>
      </x:c>
      <x:c r="G401" s="53" t="n">
        <x:f>'Path Daily'!M401</x:f>
        <x:v>10560</x:v>
      </x:c>
      <x:c r="H401" s="53" t="n">
        <x:f>MIN(E401+F401,G401)</x:f>
        <x:v>0</x:v>
      </x:c>
      <x:c r="I401" s="53" t="n">
        <x:f>E401+F401-H401</x:f>
        <x:v>0</x:v>
      </x:c>
      <x:c r="J401" s="45" t="str">
        <x:f>IF(I401=0,"CLEAR","QUEUED")</x:f>
        <x:v>CLEAR</x:v>
      </x:c>
      <x:c r="K401" s="72"/>
      <x:c r="L401" s="72"/>
      <x:c r="M401" s="72"/>
      <x:c r="N401" s="72"/>
    </x:row>
    <x:row r="402">
      <x:c r="C402" s="45" t="str">
        <x:f>'Path Daily'!C402</x:f>
        <x:v>P4</x:v>
      </x:c>
      <x:c r="D402" s="45" t="n">
        <x:f>'Path Daily'!D402</x:f>
        <x:v>31</x:v>
      </x:c>
      <x:c r="E402" s="53" t="n">
        <x:f>IF(D402=0,SUMIFS('Cargo Records'!$T$7:$T$70,'Cargo Records'!$J$7:$J$70,C402),0)</x:f>
        <x:v>0</x:v>
      </x:c>
      <x:c r="F402" s="53" t="n">
        <x:f>I401</x:f>
        <x:v>0</x:v>
      </x:c>
      <x:c r="G402" s="53" t="n">
        <x:f>'Path Daily'!M402</x:f>
        <x:v>10560</x:v>
      </x:c>
      <x:c r="H402" s="53" t="n">
        <x:f>MIN(E402+F402,G402)</x:f>
        <x:v>0</x:v>
      </x:c>
      <x:c r="I402" s="53" t="n">
        <x:f>E402+F402-H402</x:f>
        <x:v>0</x:v>
      </x:c>
      <x:c r="J402" s="45" t="str">
        <x:f>IF(I402=0,"CLEAR","QUEUED")</x:f>
        <x:v>CLEAR</x:v>
      </x:c>
      <x:c r="K402" s="72"/>
      <x:c r="L402" s="72"/>
      <x:c r="M402" s="72"/>
      <x:c r="N402" s="72"/>
    </x:row>
    <x:row r="403">
      <x:c r="C403" s="45" t="str">
        <x:f>'Path Daily'!C403</x:f>
        <x:v>P4</x:v>
      </x:c>
      <x:c r="D403" s="45" t="n">
        <x:f>'Path Daily'!D403</x:f>
        <x:v>32</x:v>
      </x:c>
      <x:c r="E403" s="53" t="n">
        <x:f>IF(D403=0,SUMIFS('Cargo Records'!$T$7:$T$70,'Cargo Records'!$J$7:$J$70,C403),0)</x:f>
        <x:v>0</x:v>
      </x:c>
      <x:c r="F403" s="53" t="n">
        <x:f>I402</x:f>
        <x:v>0</x:v>
      </x:c>
      <x:c r="G403" s="53" t="n">
        <x:f>'Path Daily'!M403</x:f>
        <x:v>10560</x:v>
      </x:c>
      <x:c r="H403" s="53" t="n">
        <x:f>MIN(E403+F403,G403)</x:f>
        <x:v>0</x:v>
      </x:c>
      <x:c r="I403" s="53" t="n">
        <x:f>E403+F403-H403</x:f>
        <x:v>0</x:v>
      </x:c>
      <x:c r="J403" s="45" t="str">
        <x:f>IF(I403=0,"CLEAR","QUEUED")</x:f>
        <x:v>CLEAR</x:v>
      </x:c>
      <x:c r="K403" s="72"/>
      <x:c r="L403" s="72"/>
      <x:c r="M403" s="72"/>
      <x:c r="N403" s="72"/>
    </x:row>
    <x:row r="404">
      <x:c r="C404" s="45" t="str">
        <x:f>'Path Daily'!C404</x:f>
        <x:v>P4</x:v>
      </x:c>
      <x:c r="D404" s="45" t="n">
        <x:f>'Path Daily'!D404</x:f>
        <x:v>33</x:v>
      </x:c>
      <x:c r="E404" s="53" t="n">
        <x:f>IF(D404=0,SUMIFS('Cargo Records'!$T$7:$T$70,'Cargo Records'!$J$7:$J$70,C404),0)</x:f>
        <x:v>0</x:v>
      </x:c>
      <x:c r="F404" s="53" t="n">
        <x:f>I403</x:f>
        <x:v>0</x:v>
      </x:c>
      <x:c r="G404" s="53" t="n">
        <x:f>'Path Daily'!M404</x:f>
        <x:v>10560</x:v>
      </x:c>
      <x:c r="H404" s="53" t="n">
        <x:f>MIN(E404+F404,G404)</x:f>
        <x:v>0</x:v>
      </x:c>
      <x:c r="I404" s="53" t="n">
        <x:f>E404+F404-H404</x:f>
        <x:v>0</x:v>
      </x:c>
      <x:c r="J404" s="45" t="str">
        <x:f>IF(I404=0,"CLEAR","QUEUED")</x:f>
        <x:v>CLEAR</x:v>
      </x:c>
      <x:c r="K404" s="72"/>
      <x:c r="L404" s="72"/>
      <x:c r="M404" s="72"/>
      <x:c r="N404" s="72"/>
    </x:row>
    <x:row r="405">
      <x:c r="C405" s="45" t="str">
        <x:f>'Path Daily'!C405</x:f>
        <x:v>P4</x:v>
      </x:c>
      <x:c r="D405" s="45" t="n">
        <x:f>'Path Daily'!D405</x:f>
        <x:v>34</x:v>
      </x:c>
      <x:c r="E405" s="53" t="n">
        <x:f>IF(D405=0,SUMIFS('Cargo Records'!$T$7:$T$70,'Cargo Records'!$J$7:$J$70,C405),0)</x:f>
        <x:v>0</x:v>
      </x:c>
      <x:c r="F405" s="53" t="n">
        <x:f>I404</x:f>
        <x:v>0</x:v>
      </x:c>
      <x:c r="G405" s="53" t="n">
        <x:f>'Path Daily'!M405</x:f>
        <x:v>6336</x:v>
      </x:c>
      <x:c r="H405" s="53" t="n">
        <x:f>MIN(E405+F405,G405)</x:f>
        <x:v>0</x:v>
      </x:c>
      <x:c r="I405" s="53" t="n">
        <x:f>E405+F405-H405</x:f>
        <x:v>0</x:v>
      </x:c>
      <x:c r="J405" s="45" t="str">
        <x:f>IF(I405=0,"CLEAR","QUEUED")</x:f>
        <x:v>CLEAR</x:v>
      </x:c>
      <x:c r="K405" s="72"/>
      <x:c r="L405" s="72"/>
      <x:c r="M405" s="72"/>
      <x:c r="N405" s="72"/>
    </x:row>
    <x:row r="406">
      <x:c r="C406" s="45" t="str">
        <x:f>'Path Daily'!C406</x:f>
        <x:v>P4</x:v>
      </x:c>
      <x:c r="D406" s="45" t="n">
        <x:f>'Path Daily'!D406</x:f>
        <x:v>35</x:v>
      </x:c>
      <x:c r="E406" s="53" t="n">
        <x:f>IF(D406=0,SUMIFS('Cargo Records'!$T$7:$T$70,'Cargo Records'!$J$7:$J$70,C406),0)</x:f>
        <x:v>0</x:v>
      </x:c>
      <x:c r="F406" s="53" t="n">
        <x:f>I405</x:f>
        <x:v>0</x:v>
      </x:c>
      <x:c r="G406" s="53" t="n">
        <x:f>'Path Daily'!M406</x:f>
        <x:v>6336</x:v>
      </x:c>
      <x:c r="H406" s="53" t="n">
        <x:f>MIN(E406+F406,G406)</x:f>
        <x:v>0</x:v>
      </x:c>
      <x:c r="I406" s="53" t="n">
        <x:f>E406+F406-H406</x:f>
        <x:v>0</x:v>
      </x:c>
      <x:c r="J406" s="45" t="str">
        <x:f>IF(I406=0,"CLEAR","QUEUED")</x:f>
        <x:v>CLEAR</x:v>
      </x:c>
      <x:c r="K406" s="72"/>
      <x:c r="L406" s="72"/>
      <x:c r="M406" s="72"/>
      <x:c r="N406" s="72"/>
    </x:row>
    <x:row r="407">
      <x:c r="C407" s="45" t="str">
        <x:f>'Path Daily'!C407</x:f>
        <x:v>P4</x:v>
      </x:c>
      <x:c r="D407" s="45" t="n">
        <x:f>'Path Daily'!D407</x:f>
        <x:v>36</x:v>
      </x:c>
      <x:c r="E407" s="53" t="n">
        <x:f>IF(D407=0,SUMIFS('Cargo Records'!$T$7:$T$70,'Cargo Records'!$J$7:$J$70,C407),0)</x:f>
        <x:v>0</x:v>
      </x:c>
      <x:c r="F407" s="53" t="n">
        <x:f>I406</x:f>
        <x:v>0</x:v>
      </x:c>
      <x:c r="G407" s="53" t="n">
        <x:f>'Path Daily'!M407</x:f>
        <x:v>10560</x:v>
      </x:c>
      <x:c r="H407" s="53" t="n">
        <x:f>MIN(E407+F407,G407)</x:f>
        <x:v>0</x:v>
      </x:c>
      <x:c r="I407" s="53" t="n">
        <x:f>E407+F407-H407</x:f>
        <x:v>0</x:v>
      </x:c>
      <x:c r="J407" s="45" t="str">
        <x:f>IF(I407=0,"CLEAR","QUEUED")</x:f>
        <x:v>CLEAR</x:v>
      </x:c>
      <x:c r="K407" s="72"/>
      <x:c r="L407" s="72"/>
      <x:c r="M407" s="72"/>
      <x:c r="N407" s="72"/>
    </x:row>
    <x:row r="408">
      <x:c r="C408" s="45" t="str">
        <x:f>'Path Daily'!C408</x:f>
        <x:v>P4</x:v>
      </x:c>
      <x:c r="D408" s="45" t="n">
        <x:f>'Path Daily'!D408</x:f>
        <x:v>37</x:v>
      </x:c>
      <x:c r="E408" s="53" t="n">
        <x:f>IF(D408=0,SUMIFS('Cargo Records'!$T$7:$T$70,'Cargo Records'!$J$7:$J$70,C408),0)</x:f>
        <x:v>0</x:v>
      </x:c>
      <x:c r="F408" s="53" t="n">
        <x:f>I407</x:f>
        <x:v>0</x:v>
      </x:c>
      <x:c r="G408" s="53" t="n">
        <x:f>'Path Daily'!M408</x:f>
        <x:v>10560</x:v>
      </x:c>
      <x:c r="H408" s="53" t="n">
        <x:f>MIN(E408+F408,G408)</x:f>
        <x:v>0</x:v>
      </x:c>
      <x:c r="I408" s="53" t="n">
        <x:f>E408+F408-H408</x:f>
        <x:v>0</x:v>
      </x:c>
      <x:c r="J408" s="45" t="str">
        <x:f>IF(I408=0,"CLEAR","QUEUED")</x:f>
        <x:v>CLEAR</x:v>
      </x:c>
      <x:c r="K408" s="72"/>
      <x:c r="L408" s="72"/>
      <x:c r="M408" s="72"/>
      <x:c r="N408" s="72"/>
    </x:row>
    <x:row r="409">
      <x:c r="C409" s="45" t="str">
        <x:f>'Path Daily'!C409</x:f>
        <x:v>P4</x:v>
      </x:c>
      <x:c r="D409" s="45" t="n">
        <x:f>'Path Daily'!D409</x:f>
        <x:v>38</x:v>
      </x:c>
      <x:c r="E409" s="53" t="n">
        <x:f>IF(D409=0,SUMIFS('Cargo Records'!$T$7:$T$70,'Cargo Records'!$J$7:$J$70,C409),0)</x:f>
        <x:v>0</x:v>
      </x:c>
      <x:c r="F409" s="53" t="n">
        <x:f>I408</x:f>
        <x:v>0</x:v>
      </x:c>
      <x:c r="G409" s="53" t="n">
        <x:f>'Path Daily'!M409</x:f>
        <x:v>10560</x:v>
      </x:c>
      <x:c r="H409" s="53" t="n">
        <x:f>MIN(E409+F409,G409)</x:f>
        <x:v>0</x:v>
      </x:c>
      <x:c r="I409" s="53" t="n">
        <x:f>E409+F409-H409</x:f>
        <x:v>0</x:v>
      </x:c>
      <x:c r="J409" s="45" t="str">
        <x:f>IF(I409=0,"CLEAR","QUEUED")</x:f>
        <x:v>CLEAR</x:v>
      </x:c>
      <x:c r="K409" s="72"/>
      <x:c r="L409" s="72"/>
      <x:c r="M409" s="72"/>
      <x:c r="N409" s="72"/>
    </x:row>
    <x:row r="410">
      <x:c r="C410" s="45" t="str">
        <x:f>'Path Daily'!C410</x:f>
        <x:v>P4</x:v>
      </x:c>
      <x:c r="D410" s="45" t="n">
        <x:f>'Path Daily'!D410</x:f>
        <x:v>39</x:v>
      </x:c>
      <x:c r="E410" s="53" t="n">
        <x:f>IF(D410=0,SUMIFS('Cargo Records'!$T$7:$T$70,'Cargo Records'!$J$7:$J$70,C410),0)</x:f>
        <x:v>0</x:v>
      </x:c>
      <x:c r="F410" s="53" t="n">
        <x:f>I409</x:f>
        <x:v>0</x:v>
      </x:c>
      <x:c r="G410" s="53" t="n">
        <x:f>'Path Daily'!M410</x:f>
        <x:v>10560</x:v>
      </x:c>
      <x:c r="H410" s="53" t="n">
        <x:f>MIN(E410+F410,G410)</x:f>
        <x:v>0</x:v>
      </x:c>
      <x:c r="I410" s="53" t="n">
        <x:f>E410+F410-H410</x:f>
        <x:v>0</x:v>
      </x:c>
      <x:c r="J410" s="45" t="str">
        <x:f>IF(I410=0,"CLEAR","QUEUED")</x:f>
        <x:v>CLEAR</x:v>
      </x:c>
      <x:c r="K410" s="72"/>
      <x:c r="L410" s="72"/>
      <x:c r="M410" s="72"/>
      <x:c r="N410" s="72"/>
    </x:row>
    <x:row r="411">
      <x:c r="C411" s="45" t="str">
        <x:f>'Path Daily'!C411</x:f>
        <x:v>P4</x:v>
      </x:c>
      <x:c r="D411" s="45" t="n">
        <x:f>'Path Daily'!D411</x:f>
        <x:v>40</x:v>
      </x:c>
      <x:c r="E411" s="53" t="n">
        <x:f>IF(D411=0,SUMIFS('Cargo Records'!$T$7:$T$70,'Cargo Records'!$J$7:$J$70,C411),0)</x:f>
        <x:v>0</x:v>
      </x:c>
      <x:c r="F411" s="53" t="n">
        <x:f>I410</x:f>
        <x:v>0</x:v>
      </x:c>
      <x:c r="G411" s="53" t="n">
        <x:f>'Path Daily'!M411</x:f>
        <x:v>10560</x:v>
      </x:c>
      <x:c r="H411" s="53" t="n">
        <x:f>MIN(E411+F411,G411)</x:f>
        <x:v>0</x:v>
      </x:c>
      <x:c r="I411" s="53" t="n">
        <x:f>E411+F411-H411</x:f>
        <x:v>0</x:v>
      </x:c>
      <x:c r="J411" s="45" t="str">
        <x:f>IF(I411=0,"CLEAR","QUEUED")</x:f>
        <x:v>CLEAR</x:v>
      </x:c>
      <x:c r="K411" s="72"/>
      <x:c r="L411" s="72"/>
      <x:c r="M411" s="72"/>
      <x:c r="N411" s="72"/>
    </x:row>
    <x:row r="412">
      <x:c r="C412" s="45" t="str">
        <x:f>'Path Daily'!C412</x:f>
        <x:v>P4</x:v>
      </x:c>
      <x:c r="D412" s="45" t="n">
        <x:f>'Path Daily'!D412</x:f>
        <x:v>41</x:v>
      </x:c>
      <x:c r="E412" s="53" t="n">
        <x:f>IF(D412=0,SUMIFS('Cargo Records'!$T$7:$T$70,'Cargo Records'!$J$7:$J$70,C412),0)</x:f>
        <x:v>0</x:v>
      </x:c>
      <x:c r="F412" s="53" t="n">
        <x:f>I411</x:f>
        <x:v>0</x:v>
      </x:c>
      <x:c r="G412" s="53" t="n">
        <x:f>'Path Daily'!M412</x:f>
        <x:v>10560</x:v>
      </x:c>
      <x:c r="H412" s="53" t="n">
        <x:f>MIN(E412+F412,G412)</x:f>
        <x:v>0</x:v>
      </x:c>
      <x:c r="I412" s="53" t="n">
        <x:f>E412+F412-H412</x:f>
        <x:v>0</x:v>
      </x:c>
      <x:c r="J412" s="45" t="str">
        <x:f>IF(I412=0,"CLEAR","QUEUED")</x:f>
        <x:v>CLEAR</x:v>
      </x:c>
      <x:c r="K412" s="72"/>
      <x:c r="L412" s="72"/>
      <x:c r="M412" s="72"/>
      <x:c r="N412" s="72"/>
    </x:row>
    <x:row r="413">
      <x:c r="C413" s="45" t="str">
        <x:f>'Path Daily'!C413</x:f>
        <x:v>P4</x:v>
      </x:c>
      <x:c r="D413" s="45" t="n">
        <x:f>'Path Daily'!D413</x:f>
        <x:v>42</x:v>
      </x:c>
      <x:c r="E413" s="53" t="n">
        <x:f>IF(D413=0,SUMIFS('Cargo Records'!$T$7:$T$70,'Cargo Records'!$J$7:$J$70,C413),0)</x:f>
        <x:v>0</x:v>
      </x:c>
      <x:c r="F413" s="53" t="n">
        <x:f>I412</x:f>
        <x:v>0</x:v>
      </x:c>
      <x:c r="G413" s="53" t="n">
        <x:f>'Path Daily'!M413</x:f>
        <x:v>10560</x:v>
      </x:c>
      <x:c r="H413" s="53" t="n">
        <x:f>MIN(E413+F413,G413)</x:f>
        <x:v>0</x:v>
      </x:c>
      <x:c r="I413" s="53" t="n">
        <x:f>E413+F413-H413</x:f>
        <x:v>0</x:v>
      </x:c>
      <x:c r="J413" s="45" t="str">
        <x:f>IF(I413=0,"CLEAR","QUEUED")</x:f>
        <x:v>CLEAR</x:v>
      </x:c>
      <x:c r="K413" s="72"/>
      <x:c r="L413" s="72"/>
      <x:c r="M413" s="72"/>
      <x:c r="N413" s="72"/>
    </x:row>
    <x:row r="414">
      <x:c r="C414" s="45" t="str">
        <x:f>'Path Daily'!C414</x:f>
        <x:v>P4</x:v>
      </x:c>
      <x:c r="D414" s="45" t="n">
        <x:f>'Path Daily'!D414</x:f>
        <x:v>43</x:v>
      </x:c>
      <x:c r="E414" s="53" t="n">
        <x:f>IF(D414=0,SUMIFS('Cargo Records'!$T$7:$T$70,'Cargo Records'!$J$7:$J$70,C414),0)</x:f>
        <x:v>0</x:v>
      </x:c>
      <x:c r="F414" s="53" t="n">
        <x:f>I413</x:f>
        <x:v>0</x:v>
      </x:c>
      <x:c r="G414" s="53" t="n">
        <x:f>'Path Daily'!M414</x:f>
        <x:v>10560</x:v>
      </x:c>
      <x:c r="H414" s="53" t="n">
        <x:f>MIN(E414+F414,G414)</x:f>
        <x:v>0</x:v>
      </x:c>
      <x:c r="I414" s="53" t="n">
        <x:f>E414+F414-H414</x:f>
        <x:v>0</x:v>
      </x:c>
      <x:c r="J414" s="45" t="str">
        <x:f>IF(I414=0,"CLEAR","QUEUED")</x:f>
        <x:v>CLEAR</x:v>
      </x:c>
      <x:c r="K414" s="72"/>
      <x:c r="L414" s="72"/>
      <x:c r="M414" s="72"/>
      <x:c r="N414" s="72"/>
    </x:row>
    <x:row r="415">
      <x:c r="C415" s="45" t="str">
        <x:f>'Path Daily'!C415</x:f>
        <x:v>P4</x:v>
      </x:c>
      <x:c r="D415" s="45" t="n">
        <x:f>'Path Daily'!D415</x:f>
        <x:v>44</x:v>
      </x:c>
      <x:c r="E415" s="53" t="n">
        <x:f>IF(D415=0,SUMIFS('Cargo Records'!$T$7:$T$70,'Cargo Records'!$J$7:$J$70,C415),0)</x:f>
        <x:v>0</x:v>
      </x:c>
      <x:c r="F415" s="53" t="n">
        <x:f>I414</x:f>
        <x:v>0</x:v>
      </x:c>
      <x:c r="G415" s="53" t="n">
        <x:f>'Path Daily'!M415</x:f>
        <x:v>10560</x:v>
      </x:c>
      <x:c r="H415" s="53" t="n">
        <x:f>MIN(E415+F415,G415)</x:f>
        <x:v>0</x:v>
      </x:c>
      <x:c r="I415" s="53" t="n">
        <x:f>E415+F415-H415</x:f>
        <x:v>0</x:v>
      </x:c>
      <x:c r="J415" s="45" t="str">
        <x:f>IF(I415=0,"CLEAR","QUEUED")</x:f>
        <x:v>CLEAR</x:v>
      </x:c>
      <x:c r="K415" s="72"/>
      <x:c r="L415" s="72"/>
      <x:c r="M415" s="72"/>
      <x:c r="N415" s="72"/>
    </x:row>
    <x:row r="416">
      <x:c r="C416" s="45" t="str">
        <x:f>'Path Daily'!C416</x:f>
        <x:v>P4</x:v>
      </x:c>
      <x:c r="D416" s="45" t="n">
        <x:f>'Path Daily'!D416</x:f>
        <x:v>45</x:v>
      </x:c>
      <x:c r="E416" s="53" t="n">
        <x:f>IF(D416=0,SUMIFS('Cargo Records'!$T$7:$T$70,'Cargo Records'!$J$7:$J$70,C416),0)</x:f>
        <x:v>0</x:v>
      </x:c>
      <x:c r="F416" s="53" t="n">
        <x:f>I415</x:f>
        <x:v>0</x:v>
      </x:c>
      <x:c r="G416" s="53" t="n">
        <x:f>'Path Daily'!M416</x:f>
        <x:v>10560</x:v>
      </x:c>
      <x:c r="H416" s="53" t="n">
        <x:f>MIN(E416+F416,G416)</x:f>
        <x:v>0</x:v>
      </x:c>
      <x:c r="I416" s="53" t="n">
        <x:f>E416+F416-H416</x:f>
        <x:v>0</x:v>
      </x:c>
      <x:c r="J416" s="45" t="str">
        <x:f>IF(I416=0,"CLEAR","QUEUED")</x:f>
        <x:v>CLEAR</x:v>
      </x:c>
      <x:c r="K416" s="72"/>
      <x:c r="L416" s="72"/>
      <x:c r="M416" s="72"/>
      <x:c r="N416" s="72"/>
    </x:row>
    <x:row r="417">
      <x:c r="C417" s="45" t="str">
        <x:f>'Path Daily'!C417</x:f>
        <x:v>P4</x:v>
      </x:c>
      <x:c r="D417" s="45" t="n">
        <x:f>'Path Daily'!D417</x:f>
        <x:v>46</x:v>
      </x:c>
      <x:c r="E417" s="53" t="n">
        <x:f>IF(D417=0,SUMIFS('Cargo Records'!$T$7:$T$70,'Cargo Records'!$J$7:$J$70,C417),0)</x:f>
        <x:v>0</x:v>
      </x:c>
      <x:c r="F417" s="53" t="n">
        <x:f>I416</x:f>
        <x:v>0</x:v>
      </x:c>
      <x:c r="G417" s="53" t="n">
        <x:f>'Path Daily'!M417</x:f>
        <x:v>4118.4</x:v>
      </x:c>
      <x:c r="H417" s="53" t="n">
        <x:f>MIN(E417+F417,G417)</x:f>
        <x:v>0</x:v>
      </x:c>
      <x:c r="I417" s="53" t="n">
        <x:f>E417+F417-H417</x:f>
        <x:v>0</x:v>
      </x:c>
      <x:c r="J417" s="45" t="str">
        <x:f>IF(I417=0,"CLEAR","QUEUED")</x:f>
        <x:v>CLEAR</x:v>
      </x:c>
      <x:c r="K417" s="72"/>
      <x:c r="L417" s="72"/>
      <x:c r="M417" s="72"/>
      <x:c r="N417" s="72"/>
    </x:row>
    <x:row r="418">
      <x:c r="C418" s="45" t="str">
        <x:f>'Path Daily'!C418</x:f>
        <x:v>P4</x:v>
      </x:c>
      <x:c r="D418" s="45" t="n">
        <x:f>'Path Daily'!D418</x:f>
        <x:v>47</x:v>
      </x:c>
      <x:c r="E418" s="53" t="n">
        <x:f>IF(D418=0,SUMIFS('Cargo Records'!$T$7:$T$70,'Cargo Records'!$J$7:$J$70,C418),0)</x:f>
        <x:v>0</x:v>
      </x:c>
      <x:c r="F418" s="53" t="n">
        <x:f>I417</x:f>
        <x:v>0</x:v>
      </x:c>
      <x:c r="G418" s="53" t="n">
        <x:f>'Path Daily'!M418</x:f>
        <x:v>6336</x:v>
      </x:c>
      <x:c r="H418" s="53" t="n">
        <x:f>MIN(E418+F418,G418)</x:f>
        <x:v>0</x:v>
      </x:c>
      <x:c r="I418" s="53" t="n">
        <x:f>E418+F418-H418</x:f>
        <x:v>0</x:v>
      </x:c>
      <x:c r="J418" s="45" t="str">
        <x:f>IF(I418=0,"CLEAR","QUEUED")</x:f>
        <x:v>CLEAR</x:v>
      </x:c>
      <x:c r="K418" s="72"/>
      <x:c r="L418" s="72"/>
      <x:c r="M418" s="72"/>
      <x:c r="N418" s="72"/>
    </x:row>
    <x:row r="419">
      <x:c r="C419" s="45" t="str">
        <x:f>'Path Daily'!C419</x:f>
        <x:v>P4</x:v>
      </x:c>
      <x:c r="D419" s="45" t="n">
        <x:f>'Path Daily'!D419</x:f>
        <x:v>48</x:v>
      </x:c>
      <x:c r="E419" s="53" t="n">
        <x:f>IF(D419=0,SUMIFS('Cargo Records'!$T$7:$T$70,'Cargo Records'!$J$7:$J$70,C419),0)</x:f>
        <x:v>0</x:v>
      </x:c>
      <x:c r="F419" s="53" t="n">
        <x:f>I418</x:f>
        <x:v>0</x:v>
      </x:c>
      <x:c r="G419" s="53" t="n">
        <x:f>'Path Daily'!M419</x:f>
        <x:v>6336</x:v>
      </x:c>
      <x:c r="H419" s="53" t="n">
        <x:f>MIN(E419+F419,G419)</x:f>
        <x:v>0</x:v>
      </x:c>
      <x:c r="I419" s="53" t="n">
        <x:f>E419+F419-H419</x:f>
        <x:v>0</x:v>
      </x:c>
      <x:c r="J419" s="45" t="str">
        <x:f>IF(I419=0,"CLEAR","QUEUED")</x:f>
        <x:v>CLEAR</x:v>
      </x:c>
      <x:c r="K419" s="72"/>
      <x:c r="L419" s="72"/>
      <x:c r="M419" s="72"/>
      <x:c r="N419" s="72"/>
    </x:row>
    <x:row r="420">
      <x:c r="C420" s="45" t="str">
        <x:f>'Path Daily'!C420</x:f>
        <x:v>P4</x:v>
      </x:c>
      <x:c r="D420" s="45" t="n">
        <x:f>'Path Daily'!D420</x:f>
        <x:v>49</x:v>
      </x:c>
      <x:c r="E420" s="53" t="n">
        <x:f>IF(D420=0,SUMIFS('Cargo Records'!$T$7:$T$70,'Cargo Records'!$J$7:$J$70,C420),0)</x:f>
        <x:v>0</x:v>
      </x:c>
      <x:c r="F420" s="53" t="n">
        <x:f>I419</x:f>
        <x:v>0</x:v>
      </x:c>
      <x:c r="G420" s="53" t="n">
        <x:f>'Path Daily'!M420</x:f>
        <x:v>6336</x:v>
      </x:c>
      <x:c r="H420" s="53" t="n">
        <x:f>MIN(E420+F420,G420)</x:f>
        <x:v>0</x:v>
      </x:c>
      <x:c r="I420" s="53" t="n">
        <x:f>E420+F420-H420</x:f>
        <x:v>0</x:v>
      </x:c>
      <x:c r="J420" s="45" t="str">
        <x:f>IF(I420=0,"CLEAR","QUEUED")</x:f>
        <x:v>CLEAR</x:v>
      </x:c>
      <x:c r="K420" s="72"/>
      <x:c r="L420" s="72"/>
      <x:c r="M420" s="72"/>
      <x:c r="N420" s="72"/>
    </x:row>
    <x:row r="421">
      <x:c r="C421" s="45" t="str">
        <x:f>'Path Daily'!C421</x:f>
        <x:v>P4</x:v>
      </x:c>
      <x:c r="D421" s="45" t="n">
        <x:f>'Path Daily'!D421</x:f>
        <x:v>50</x:v>
      </x:c>
      <x:c r="E421" s="53" t="n">
        <x:f>IF(D421=0,SUMIFS('Cargo Records'!$T$7:$T$70,'Cargo Records'!$J$7:$J$70,C421),0)</x:f>
        <x:v>0</x:v>
      </x:c>
      <x:c r="F421" s="53" t="n">
        <x:f>I420</x:f>
        <x:v>0</x:v>
      </x:c>
      <x:c r="G421" s="53" t="n">
        <x:f>'Path Daily'!M421</x:f>
        <x:v>6336</x:v>
      </x:c>
      <x:c r="H421" s="53" t="n">
        <x:f>MIN(E421+F421,G421)</x:f>
        <x:v>0</x:v>
      </x:c>
      <x:c r="I421" s="53" t="n">
        <x:f>E421+F421-H421</x:f>
        <x:v>0</x:v>
      </x:c>
      <x:c r="J421" s="45" t="str">
        <x:f>IF(I421=0,"CLEAR","QUEUED")</x:f>
        <x:v>CLEAR</x:v>
      </x:c>
      <x:c r="K421" s="72"/>
      <x:c r="L421" s="72"/>
      <x:c r="M421" s="72"/>
      <x:c r="N421" s="72"/>
    </x:row>
    <x:row r="422">
      <x:c r="C422" s="45" t="str">
        <x:f>'Path Daily'!C422</x:f>
        <x:v>P4</x:v>
      </x:c>
      <x:c r="D422" s="45" t="n">
        <x:f>'Path Daily'!D422</x:f>
        <x:v>51</x:v>
      </x:c>
      <x:c r="E422" s="53" t="n">
        <x:f>IF(D422=0,SUMIFS('Cargo Records'!$T$7:$T$70,'Cargo Records'!$J$7:$J$70,C422),0)</x:f>
        <x:v>0</x:v>
      </x:c>
      <x:c r="F422" s="53" t="n">
        <x:f>I421</x:f>
        <x:v>0</x:v>
      </x:c>
      <x:c r="G422" s="53" t="n">
        <x:f>'Path Daily'!M422</x:f>
        <x:v>6336</x:v>
      </x:c>
      <x:c r="H422" s="53" t="n">
        <x:f>MIN(E422+F422,G422)</x:f>
        <x:v>0</x:v>
      </x:c>
      <x:c r="I422" s="53" t="n">
        <x:f>E422+F422-H422</x:f>
        <x:v>0</x:v>
      </x:c>
      <x:c r="J422" s="45" t="str">
        <x:f>IF(I422=0,"CLEAR","QUEUED")</x:f>
        <x:v>CLEAR</x:v>
      </x:c>
      <x:c r="K422" s="72"/>
      <x:c r="L422" s="72"/>
      <x:c r="M422" s="72"/>
      <x:c r="N422" s="72"/>
    </x:row>
    <x:row r="423">
      <x:c r="C423" s="45" t="str">
        <x:f>'Path Daily'!C423</x:f>
        <x:v>P4</x:v>
      </x:c>
      <x:c r="D423" s="45" t="n">
        <x:f>'Path Daily'!D423</x:f>
        <x:v>52</x:v>
      </x:c>
      <x:c r="E423" s="53" t="n">
        <x:f>IF(D423=0,SUMIFS('Cargo Records'!$T$7:$T$70,'Cargo Records'!$J$7:$J$70,C423),0)</x:f>
        <x:v>0</x:v>
      </x:c>
      <x:c r="F423" s="53" t="n">
        <x:f>I422</x:f>
        <x:v>0</x:v>
      </x:c>
      <x:c r="G423" s="53" t="n">
        <x:f>'Path Daily'!M423</x:f>
        <x:v>6336</x:v>
      </x:c>
      <x:c r="H423" s="53" t="n">
        <x:f>MIN(E423+F423,G423)</x:f>
        <x:v>0</x:v>
      </x:c>
      <x:c r="I423" s="53" t="n">
        <x:f>E423+F423-H423</x:f>
        <x:v>0</x:v>
      </x:c>
      <x:c r="J423" s="45" t="str">
        <x:f>IF(I423=0,"CLEAR","QUEUED")</x:f>
        <x:v>CLEAR</x:v>
      </x:c>
      <x:c r="K423" s="72"/>
      <x:c r="L423" s="72"/>
      <x:c r="M423" s="72"/>
      <x:c r="N423" s="72"/>
    </x:row>
    <x:row r="424">
      <x:c r="C424" s="45" t="str">
        <x:f>'Path Daily'!C424</x:f>
        <x:v>P4</x:v>
      </x:c>
      <x:c r="D424" s="45" t="n">
        <x:f>'Path Daily'!D424</x:f>
        <x:v>53</x:v>
      </x:c>
      <x:c r="E424" s="53" t="n">
        <x:f>IF(D424=0,SUMIFS('Cargo Records'!$T$7:$T$70,'Cargo Records'!$J$7:$J$70,C424),0)</x:f>
        <x:v>0</x:v>
      </x:c>
      <x:c r="F424" s="53" t="n">
        <x:f>I423</x:f>
        <x:v>0</x:v>
      </x:c>
      <x:c r="G424" s="53" t="n">
        <x:f>'Path Daily'!M424</x:f>
        <x:v>6336</x:v>
      </x:c>
      <x:c r="H424" s="53" t="n">
        <x:f>MIN(E424+F424,G424)</x:f>
        <x:v>0</x:v>
      </x:c>
      <x:c r="I424" s="53" t="n">
        <x:f>E424+F424-H424</x:f>
        <x:v>0</x:v>
      </x:c>
      <x:c r="J424" s="45" t="str">
        <x:f>IF(I424=0,"CLEAR","QUEUED")</x:f>
        <x:v>CLEAR</x:v>
      </x:c>
      <x:c r="K424" s="72"/>
      <x:c r="L424" s="72"/>
      <x:c r="M424" s="72"/>
      <x:c r="N424" s="72"/>
    </x:row>
    <x:row r="425">
      <x:c r="C425" s="45" t="str">
        <x:f>'Path Daily'!C425</x:f>
        <x:v>P4</x:v>
      </x:c>
      <x:c r="D425" s="45" t="n">
        <x:f>'Path Daily'!D425</x:f>
        <x:v>54</x:v>
      </x:c>
      <x:c r="E425" s="53" t="n">
        <x:f>IF(D425=0,SUMIFS('Cargo Records'!$T$7:$T$70,'Cargo Records'!$J$7:$J$70,C425),0)</x:f>
        <x:v>0</x:v>
      </x:c>
      <x:c r="F425" s="53" t="n">
        <x:f>I424</x:f>
        <x:v>0</x:v>
      </x:c>
      <x:c r="G425" s="53" t="n">
        <x:f>'Path Daily'!M425</x:f>
        <x:v>6336</x:v>
      </x:c>
      <x:c r="H425" s="53" t="n">
        <x:f>MIN(E425+F425,G425)</x:f>
        <x:v>0</x:v>
      </x:c>
      <x:c r="I425" s="53" t="n">
        <x:f>E425+F425-H425</x:f>
        <x:v>0</x:v>
      </x:c>
      <x:c r="J425" s="45" t="str">
        <x:f>IF(I425=0,"CLEAR","QUEUED")</x:f>
        <x:v>CLEAR</x:v>
      </x:c>
      <x:c r="K425" s="72"/>
      <x:c r="L425" s="72"/>
      <x:c r="M425" s="72"/>
      <x:c r="N425" s="72"/>
    </x:row>
    <x:row r="426">
      <x:c r="C426" s="45" t="str">
        <x:f>'Path Daily'!C426</x:f>
        <x:v>P4</x:v>
      </x:c>
      <x:c r="D426" s="45" t="n">
        <x:f>'Path Daily'!D426</x:f>
        <x:v>55</x:v>
      </x:c>
      <x:c r="E426" s="53" t="n">
        <x:f>IF(D426=0,SUMIFS('Cargo Records'!$T$7:$T$70,'Cargo Records'!$J$7:$J$70,C426),0)</x:f>
        <x:v>0</x:v>
      </x:c>
      <x:c r="F426" s="53" t="n">
        <x:f>I425</x:f>
        <x:v>0</x:v>
      </x:c>
      <x:c r="G426" s="53" t="n">
        <x:f>'Path Daily'!M426</x:f>
        <x:v>6336</x:v>
      </x:c>
      <x:c r="H426" s="53" t="n">
        <x:f>MIN(E426+F426,G426)</x:f>
        <x:v>0</x:v>
      </x:c>
      <x:c r="I426" s="53" t="n">
        <x:f>E426+F426-H426</x:f>
        <x:v>0</x:v>
      </x:c>
      <x:c r="J426" s="45" t="str">
        <x:f>IF(I426=0,"CLEAR","QUEUED")</x:f>
        <x:v>CLEAR</x:v>
      </x:c>
      <x:c r="K426" s="72"/>
      <x:c r="L426" s="72"/>
      <x:c r="M426" s="72"/>
      <x:c r="N426" s="72"/>
    </x:row>
    <x:row r="427">
      <x:c r="C427" s="45" t="str">
        <x:f>'Path Daily'!C427</x:f>
        <x:v>P4</x:v>
      </x:c>
      <x:c r="D427" s="45" t="n">
        <x:f>'Path Daily'!D427</x:f>
        <x:v>56</x:v>
      </x:c>
      <x:c r="E427" s="53" t="n">
        <x:f>IF(D427=0,SUMIFS('Cargo Records'!$T$7:$T$70,'Cargo Records'!$J$7:$J$70,C427),0)</x:f>
        <x:v>0</x:v>
      </x:c>
      <x:c r="F427" s="53" t="n">
        <x:f>I426</x:f>
        <x:v>0</x:v>
      </x:c>
      <x:c r="G427" s="53" t="n">
        <x:f>'Path Daily'!M427</x:f>
        <x:v>6336</x:v>
      </x:c>
      <x:c r="H427" s="53" t="n">
        <x:f>MIN(E427+F427,G427)</x:f>
        <x:v>0</x:v>
      </x:c>
      <x:c r="I427" s="53" t="n">
        <x:f>E427+F427-H427</x:f>
        <x:v>0</x:v>
      </x:c>
      <x:c r="J427" s="45" t="str">
        <x:f>IF(I427=0,"CLEAR","QUEUED")</x:f>
        <x:v>CLEAR</x:v>
      </x:c>
      <x:c r="K427" s="72"/>
      <x:c r="L427" s="72"/>
      <x:c r="M427" s="72"/>
      <x:c r="N427" s="72"/>
    </x:row>
    <x:row r="428">
      <x:c r="C428" s="45" t="str">
        <x:f>'Path Daily'!C428</x:f>
        <x:v>P4</x:v>
      </x:c>
      <x:c r="D428" s="45" t="n">
        <x:f>'Path Daily'!D428</x:f>
        <x:v>57</x:v>
      </x:c>
      <x:c r="E428" s="53" t="n">
        <x:f>IF(D428=0,SUMIFS('Cargo Records'!$T$7:$T$70,'Cargo Records'!$J$7:$J$70,C428),0)</x:f>
        <x:v>0</x:v>
      </x:c>
      <x:c r="F428" s="53" t="n">
        <x:f>I427</x:f>
        <x:v>0</x:v>
      </x:c>
      <x:c r="G428" s="53" t="n">
        <x:f>'Path Daily'!M428</x:f>
        <x:v>6336</x:v>
      </x:c>
      <x:c r="H428" s="53" t="n">
        <x:f>MIN(E428+F428,G428)</x:f>
        <x:v>0</x:v>
      </x:c>
      <x:c r="I428" s="53" t="n">
        <x:f>E428+F428-H428</x:f>
        <x:v>0</x:v>
      </x:c>
      <x:c r="J428" s="45" t="str">
        <x:f>IF(I428=0,"CLEAR","QUEUED")</x:f>
        <x:v>CLEAR</x:v>
      </x:c>
      <x:c r="K428" s="72"/>
      <x:c r="L428" s="72"/>
      <x:c r="M428" s="72"/>
      <x:c r="N428" s="72"/>
    </x:row>
    <x:row r="429">
      <x:c r="C429" s="45" t="str">
        <x:f>'Path Daily'!C429</x:f>
        <x:v>P4</x:v>
      </x:c>
      <x:c r="D429" s="45" t="n">
        <x:f>'Path Daily'!D429</x:f>
        <x:v>58</x:v>
      </x:c>
      <x:c r="E429" s="53" t="n">
        <x:f>IF(D429=0,SUMIFS('Cargo Records'!$T$7:$T$70,'Cargo Records'!$J$7:$J$70,C429),0)</x:f>
        <x:v>0</x:v>
      </x:c>
      <x:c r="F429" s="53" t="n">
        <x:f>I428</x:f>
        <x:v>0</x:v>
      </x:c>
      <x:c r="G429" s="53" t="n">
        <x:f>'Path Daily'!M429</x:f>
        <x:v>6336</x:v>
      </x:c>
      <x:c r="H429" s="53" t="n">
        <x:f>MIN(E429+F429,G429)</x:f>
        <x:v>0</x:v>
      </x:c>
      <x:c r="I429" s="53" t="n">
        <x:f>E429+F429-H429</x:f>
        <x:v>0</x:v>
      </x:c>
      <x:c r="J429" s="45" t="str">
        <x:f>IF(I429=0,"CLEAR","QUEUED")</x:f>
        <x:v>CLEAR</x:v>
      </x:c>
      <x:c r="K429" s="72"/>
      <x:c r="L429" s="72"/>
      <x:c r="M429" s="72"/>
      <x:c r="N429" s="72"/>
    </x:row>
    <x:row r="430">
      <x:c r="C430" s="45" t="str">
        <x:f>'Path Daily'!C430</x:f>
        <x:v>P4</x:v>
      </x:c>
      <x:c r="D430" s="45" t="n">
        <x:f>'Path Daily'!D430</x:f>
        <x:v>59</x:v>
      </x:c>
      <x:c r="E430" s="53" t="n">
        <x:f>IF(D430=0,SUMIFS('Cargo Records'!$T$7:$T$70,'Cargo Records'!$J$7:$J$70,C430),0)</x:f>
        <x:v>0</x:v>
      </x:c>
      <x:c r="F430" s="53" t="n">
        <x:f>I429</x:f>
        <x:v>0</x:v>
      </x:c>
      <x:c r="G430" s="53" t="n">
        <x:f>'Path Daily'!M430</x:f>
        <x:v>6336</x:v>
      </x:c>
      <x:c r="H430" s="53" t="n">
        <x:f>MIN(E430+F430,G430)</x:f>
        <x:v>0</x:v>
      </x:c>
      <x:c r="I430" s="53" t="n">
        <x:f>E430+F430-H430</x:f>
        <x:v>0</x:v>
      </x:c>
      <x:c r="J430" s="45" t="str">
        <x:f>IF(I430=0,"CLEAR","QUEUED")</x:f>
        <x:v>CLEAR</x:v>
      </x:c>
      <x:c r="K430" s="72"/>
      <x:c r="L430" s="72"/>
      <x:c r="M430" s="72"/>
      <x:c r="N430" s="72"/>
    </x:row>
    <x:row r="431">
      <x:c r="C431" s="45" t="str">
        <x:f>'Path Daily'!C431</x:f>
        <x:v>P4</x:v>
      </x:c>
      <x:c r="D431" s="45" t="n">
        <x:f>'Path Daily'!D431</x:f>
        <x:v>60</x:v>
      </x:c>
      <x:c r="E431" s="53" t="n">
        <x:f>IF(D431=0,SUMIFS('Cargo Records'!$T$7:$T$70,'Cargo Records'!$J$7:$J$70,C431),0)</x:f>
        <x:v>0</x:v>
      </x:c>
      <x:c r="F431" s="53" t="n">
        <x:f>I430</x:f>
        <x:v>0</x:v>
      </x:c>
      <x:c r="G431" s="53" t="n">
        <x:f>'Path Daily'!M431</x:f>
        <x:v>6336</x:v>
      </x:c>
      <x:c r="H431" s="53" t="n">
        <x:f>MIN(E431+F431,G431)</x:f>
        <x:v>0</x:v>
      </x:c>
      <x:c r="I431" s="53" t="n">
        <x:f>E431+F431-H431</x:f>
        <x:v>0</x:v>
      </x:c>
      <x:c r="J431" s="45" t="str">
        <x:f>IF(I431=0,"CLEAR","QUEUED")</x:f>
        <x:v>CLEAR</x:v>
      </x:c>
      <x:c r="K431" s="72"/>
      <x:c r="L431" s="72"/>
      <x:c r="M431" s="72"/>
      <x:c r="N431" s="72"/>
    </x:row>
    <x:row r="432">
      <x:c r="C432" s="45" t="str">
        <x:f>'Path Daily'!C432</x:f>
        <x:v>P4</x:v>
      </x:c>
      <x:c r="D432" s="45" t="n">
        <x:f>'Path Daily'!D432</x:f>
        <x:v>61</x:v>
      </x:c>
      <x:c r="E432" s="53" t="n">
        <x:f>IF(D432=0,SUMIFS('Cargo Records'!$T$7:$T$70,'Cargo Records'!$J$7:$J$70,C432),0)</x:f>
        <x:v>0</x:v>
      </x:c>
      <x:c r="F432" s="53" t="n">
        <x:f>I431</x:f>
        <x:v>0</x:v>
      </x:c>
      <x:c r="G432" s="53" t="n">
        <x:f>'Path Daily'!M432</x:f>
        <x:v>3801.6</x:v>
      </x:c>
      <x:c r="H432" s="53" t="n">
        <x:f>MIN(E432+F432,G432)</x:f>
        <x:v>0</x:v>
      </x:c>
      <x:c r="I432" s="53" t="n">
        <x:f>E432+F432-H432</x:f>
        <x:v>0</x:v>
      </x:c>
      <x:c r="J432" s="45" t="str">
        <x:f>IF(I432=0,"CLEAR","QUEUED")</x:f>
        <x:v>CLEAR</x:v>
      </x:c>
      <x:c r="K432" s="72"/>
      <x:c r="L432" s="72"/>
      <x:c r="M432" s="72"/>
      <x:c r="N432" s="72"/>
    </x:row>
    <x:row r="433">
      <x:c r="C433" s="45" t="str">
        <x:f>'Path Daily'!C433</x:f>
        <x:v>P4</x:v>
      </x:c>
      <x:c r="D433" s="45" t="n">
        <x:f>'Path Daily'!D433</x:f>
        <x:v>62</x:v>
      </x:c>
      <x:c r="E433" s="53" t="n">
        <x:f>IF(D433=0,SUMIFS('Cargo Records'!$T$7:$T$70,'Cargo Records'!$J$7:$J$70,C433),0)</x:f>
        <x:v>0</x:v>
      </x:c>
      <x:c r="F433" s="53" t="n">
        <x:f>I432</x:f>
        <x:v>0</x:v>
      </x:c>
      <x:c r="G433" s="53" t="n">
        <x:f>'Path Daily'!M433</x:f>
        <x:v>3801.6</x:v>
      </x:c>
      <x:c r="H433" s="53" t="n">
        <x:f>MIN(E433+F433,G433)</x:f>
        <x:v>0</x:v>
      </x:c>
      <x:c r="I433" s="53" t="n">
        <x:f>E433+F433-H433</x:f>
        <x:v>0</x:v>
      </x:c>
      <x:c r="J433" s="45" t="str">
        <x:f>IF(I433=0,"CLEAR","QUEUED")</x:f>
        <x:v>CLEAR</x:v>
      </x:c>
      <x:c r="K433" s="72"/>
      <x:c r="L433" s="72"/>
      <x:c r="M433" s="72"/>
      <x:c r="N433" s="72"/>
    </x:row>
    <x:row r="434">
      <x:c r="C434" s="45" t="str">
        <x:f>'Path Daily'!C434</x:f>
        <x:v>P4</x:v>
      </x:c>
      <x:c r="D434" s="45" t="n">
        <x:f>'Path Daily'!D434</x:f>
        <x:v>63</x:v>
      </x:c>
      <x:c r="E434" s="53" t="n">
        <x:f>IF(D434=0,SUMIFS('Cargo Records'!$T$7:$T$70,'Cargo Records'!$J$7:$J$70,C434),0)</x:f>
        <x:v>0</x:v>
      </x:c>
      <x:c r="F434" s="53" t="n">
        <x:f>I433</x:f>
        <x:v>0</x:v>
      </x:c>
      <x:c r="G434" s="53" t="n">
        <x:f>'Path Daily'!M434</x:f>
        <x:v>3801.6</x:v>
      </x:c>
      <x:c r="H434" s="53" t="n">
        <x:f>MIN(E434+F434,G434)</x:f>
        <x:v>0</x:v>
      </x:c>
      <x:c r="I434" s="53" t="n">
        <x:f>E434+F434-H434</x:f>
        <x:v>0</x:v>
      </x:c>
      <x:c r="J434" s="45" t="str">
        <x:f>IF(I434=0,"CLEAR","QUEUED")</x:f>
        <x:v>CLEAR</x:v>
      </x:c>
      <x:c r="K434" s="72"/>
      <x:c r="L434" s="72"/>
      <x:c r="M434" s="72"/>
      <x:c r="N434" s="72"/>
    </x:row>
    <x:row r="435">
      <x:c r="C435" s="45" t="str">
        <x:f>'Path Daily'!C435</x:f>
        <x:v>P4</x:v>
      </x:c>
      <x:c r="D435" s="45" t="n">
        <x:f>'Path Daily'!D435</x:f>
        <x:v>64</x:v>
      </x:c>
      <x:c r="E435" s="53" t="n">
        <x:f>IF(D435=0,SUMIFS('Cargo Records'!$T$7:$T$70,'Cargo Records'!$J$7:$J$70,C435),0)</x:f>
        <x:v>0</x:v>
      </x:c>
      <x:c r="F435" s="53" t="n">
        <x:f>I434</x:f>
        <x:v>0</x:v>
      </x:c>
      <x:c r="G435" s="53" t="n">
        <x:f>'Path Daily'!M435</x:f>
        <x:v>6336</x:v>
      </x:c>
      <x:c r="H435" s="53" t="n">
        <x:f>MIN(E435+F435,G435)</x:f>
        <x:v>0</x:v>
      </x:c>
      <x:c r="I435" s="53" t="n">
        <x:f>E435+F435-H435</x:f>
        <x:v>0</x:v>
      </x:c>
      <x:c r="J435" s="45" t="str">
        <x:f>IF(I435=0,"CLEAR","QUEUED")</x:f>
        <x:v>CLEAR</x:v>
      </x:c>
      <x:c r="K435" s="72"/>
      <x:c r="L435" s="72"/>
      <x:c r="M435" s="72"/>
      <x:c r="N435" s="72"/>
    </x:row>
    <x:row r="436">
      <x:c r="C436" s="45" t="str">
        <x:f>'Path Daily'!C436</x:f>
        <x:v>P4</x:v>
      </x:c>
      <x:c r="D436" s="45" t="n">
        <x:f>'Path Daily'!D436</x:f>
        <x:v>65</x:v>
      </x:c>
      <x:c r="E436" s="53" t="n">
        <x:f>IF(D436=0,SUMIFS('Cargo Records'!$T$7:$T$70,'Cargo Records'!$J$7:$J$70,C436),0)</x:f>
        <x:v>0</x:v>
      </x:c>
      <x:c r="F436" s="53" t="n">
        <x:f>I435</x:f>
        <x:v>0</x:v>
      </x:c>
      <x:c r="G436" s="53" t="n">
        <x:f>'Path Daily'!M436</x:f>
        <x:v>6336</x:v>
      </x:c>
      <x:c r="H436" s="53" t="n">
        <x:f>MIN(E436+F436,G436)</x:f>
        <x:v>0</x:v>
      </x:c>
      <x:c r="I436" s="53" t="n">
        <x:f>E436+F436-H436</x:f>
        <x:v>0</x:v>
      </x:c>
      <x:c r="J436" s="45" t="str">
        <x:f>IF(I436=0,"CLEAR","QUEUED")</x:f>
        <x:v>CLEAR</x:v>
      </x:c>
      <x:c r="K436" s="72"/>
      <x:c r="L436" s="72"/>
      <x:c r="M436" s="72"/>
      <x:c r="N436" s="72"/>
    </x:row>
    <x:row r="437">
      <x:c r="C437" s="45" t="str">
        <x:f>'Path Daily'!C437</x:f>
        <x:v>P4</x:v>
      </x:c>
      <x:c r="D437" s="45" t="n">
        <x:f>'Path Daily'!D437</x:f>
        <x:v>66</x:v>
      </x:c>
      <x:c r="E437" s="53" t="n">
        <x:f>IF(D437=0,SUMIFS('Cargo Records'!$T$7:$T$70,'Cargo Records'!$J$7:$J$70,C437),0)</x:f>
        <x:v>0</x:v>
      </x:c>
      <x:c r="F437" s="53" t="n">
        <x:f>I436</x:f>
        <x:v>0</x:v>
      </x:c>
      <x:c r="G437" s="53" t="n">
        <x:f>'Path Daily'!M437</x:f>
        <x:v>6336</x:v>
      </x:c>
      <x:c r="H437" s="53" t="n">
        <x:f>MIN(E437+F437,G437)</x:f>
        <x:v>0</x:v>
      </x:c>
      <x:c r="I437" s="53" t="n">
        <x:f>E437+F437-H437</x:f>
        <x:v>0</x:v>
      </x:c>
      <x:c r="J437" s="45" t="str">
        <x:f>IF(I437=0,"CLEAR","QUEUED")</x:f>
        <x:v>CLEAR</x:v>
      </x:c>
      <x:c r="K437" s="72"/>
      <x:c r="L437" s="72"/>
      <x:c r="M437" s="72"/>
      <x:c r="N437" s="72"/>
    </x:row>
    <x:row r="438">
      <x:c r="C438" s="45" t="str">
        <x:f>'Path Daily'!C438</x:f>
        <x:v>P4</x:v>
      </x:c>
      <x:c r="D438" s="45" t="n">
        <x:f>'Path Daily'!D438</x:f>
        <x:v>67</x:v>
      </x:c>
      <x:c r="E438" s="53" t="n">
        <x:f>IF(D438=0,SUMIFS('Cargo Records'!$T$7:$T$70,'Cargo Records'!$J$7:$J$70,C438),0)</x:f>
        <x:v>0</x:v>
      </x:c>
      <x:c r="F438" s="53" t="n">
        <x:f>I437</x:f>
        <x:v>0</x:v>
      </x:c>
      <x:c r="G438" s="53" t="n">
        <x:f>'Path Daily'!M438</x:f>
        <x:v>6336</x:v>
      </x:c>
      <x:c r="H438" s="53" t="n">
        <x:f>MIN(E438+F438,G438)</x:f>
        <x:v>0</x:v>
      </x:c>
      <x:c r="I438" s="53" t="n">
        <x:f>E438+F438-H438</x:f>
        <x:v>0</x:v>
      </x:c>
      <x:c r="J438" s="45" t="str">
        <x:f>IF(I438=0,"CLEAR","QUEUED")</x:f>
        <x:v>CLEAR</x:v>
      </x:c>
      <x:c r="K438" s="72"/>
      <x:c r="L438" s="72"/>
      <x:c r="M438" s="72"/>
      <x:c r="N438" s="72"/>
    </x:row>
    <x:row r="439">
      <x:c r="C439" s="45" t="str">
        <x:f>'Path Daily'!C439</x:f>
        <x:v>P4</x:v>
      </x:c>
      <x:c r="D439" s="45" t="n">
        <x:f>'Path Daily'!D439</x:f>
        <x:v>68</x:v>
      </x:c>
      <x:c r="E439" s="53" t="n">
        <x:f>IF(D439=0,SUMIFS('Cargo Records'!$T$7:$T$70,'Cargo Records'!$J$7:$J$70,C439),0)</x:f>
        <x:v>0</x:v>
      </x:c>
      <x:c r="F439" s="53" t="n">
        <x:f>I438</x:f>
        <x:v>0</x:v>
      </x:c>
      <x:c r="G439" s="53" t="n">
        <x:f>'Path Daily'!M439</x:f>
        <x:v>6336</x:v>
      </x:c>
      <x:c r="H439" s="53" t="n">
        <x:f>MIN(E439+F439,G439)</x:f>
        <x:v>0</x:v>
      </x:c>
      <x:c r="I439" s="53" t="n">
        <x:f>E439+F439-H439</x:f>
        <x:v>0</x:v>
      </x:c>
      <x:c r="J439" s="45" t="str">
        <x:f>IF(I439=0,"CLEAR","QUEUED")</x:f>
        <x:v>CLEAR</x:v>
      </x:c>
      <x:c r="K439" s="72"/>
      <x:c r="L439" s="72"/>
      <x:c r="M439" s="72"/>
      <x:c r="N439" s="72"/>
    </x:row>
    <x:row r="440">
      <x:c r="C440" s="45" t="str">
        <x:f>'Path Daily'!C440</x:f>
        <x:v>P4</x:v>
      </x:c>
      <x:c r="D440" s="45" t="n">
        <x:f>'Path Daily'!D440</x:f>
        <x:v>69</x:v>
      </x:c>
      <x:c r="E440" s="53" t="n">
        <x:f>IF(D440=0,SUMIFS('Cargo Records'!$T$7:$T$70,'Cargo Records'!$J$7:$J$70,C440),0)</x:f>
        <x:v>0</x:v>
      </x:c>
      <x:c r="F440" s="53" t="n">
        <x:f>I439</x:f>
        <x:v>0</x:v>
      </x:c>
      <x:c r="G440" s="53" t="n">
        <x:f>'Path Daily'!M440</x:f>
        <x:v>6336</x:v>
      </x:c>
      <x:c r="H440" s="53" t="n">
        <x:f>MIN(E440+F440,G440)</x:f>
        <x:v>0</x:v>
      </x:c>
      <x:c r="I440" s="53" t="n">
        <x:f>E440+F440-H440</x:f>
        <x:v>0</x:v>
      </x:c>
      <x:c r="J440" s="45" t="str">
        <x:f>IF(I440=0,"CLEAR","QUEUED")</x:f>
        <x:v>CLEAR</x:v>
      </x:c>
      <x:c r="K440" s="72"/>
      <x:c r="L440" s="72"/>
      <x:c r="M440" s="72"/>
      <x:c r="N440" s="72"/>
    </x:row>
    <x:row r="441">
      <x:c r="C441" s="45" t="str">
        <x:f>'Path Daily'!C441</x:f>
        <x:v>P4</x:v>
      </x:c>
      <x:c r="D441" s="45" t="n">
        <x:f>'Path Daily'!D441</x:f>
        <x:v>70</x:v>
      </x:c>
      <x:c r="E441" s="53" t="n">
        <x:f>IF(D441=0,SUMIFS('Cargo Records'!$T$7:$T$70,'Cargo Records'!$J$7:$J$70,C441),0)</x:f>
        <x:v>0</x:v>
      </x:c>
      <x:c r="F441" s="53" t="n">
        <x:f>I440</x:f>
        <x:v>0</x:v>
      </x:c>
      <x:c r="G441" s="53" t="n">
        <x:f>'Path Daily'!M441</x:f>
        <x:v>6336</x:v>
      </x:c>
      <x:c r="H441" s="53" t="n">
        <x:f>MIN(E441+F441,G441)</x:f>
        <x:v>0</x:v>
      </x:c>
      <x:c r="I441" s="53" t="n">
        <x:f>E441+F441-H441</x:f>
        <x:v>0</x:v>
      </x:c>
      <x:c r="J441" s="45" t="str">
        <x:f>IF(I441=0,"CLEAR","QUEUED")</x:f>
        <x:v>CLEAR</x:v>
      </x:c>
      <x:c r="K441" s="72"/>
      <x:c r="L441" s="72"/>
      <x:c r="M441" s="72"/>
      <x:c r="N441" s="72"/>
    </x:row>
    <x:row r="442">
      <x:c r="C442" s="45" t="str">
        <x:f>'Path Daily'!C442</x:f>
        <x:v>P4</x:v>
      </x:c>
      <x:c r="D442" s="45" t="n">
        <x:f>'Path Daily'!D442</x:f>
        <x:v>71</x:v>
      </x:c>
      <x:c r="E442" s="53" t="n">
        <x:f>IF(D442=0,SUMIFS('Cargo Records'!$T$7:$T$70,'Cargo Records'!$J$7:$J$70,C442),0)</x:f>
        <x:v>0</x:v>
      </x:c>
      <x:c r="F442" s="53" t="n">
        <x:f>I441</x:f>
        <x:v>0</x:v>
      </x:c>
      <x:c r="G442" s="53" t="n">
        <x:f>'Path Daily'!M442</x:f>
        <x:v>6336</x:v>
      </x:c>
      <x:c r="H442" s="53" t="n">
        <x:f>MIN(E442+F442,G442)</x:f>
        <x:v>0</x:v>
      </x:c>
      <x:c r="I442" s="53" t="n">
        <x:f>E442+F442-H442</x:f>
        <x:v>0</x:v>
      </x:c>
      <x:c r="J442" s="45" t="str">
        <x:f>IF(I442=0,"CLEAR","QUEUED")</x:f>
        <x:v>CLEAR</x:v>
      </x:c>
      <x:c r="K442" s="72"/>
      <x:c r="L442" s="72"/>
      <x:c r="M442" s="72"/>
      <x:c r="N442" s="72"/>
    </x:row>
    <x:row r="443">
      <x:c r="C443" s="45" t="str">
        <x:f>'Path Daily'!C443</x:f>
        <x:v>P4</x:v>
      </x:c>
      <x:c r="D443" s="45" t="n">
        <x:f>'Path Daily'!D443</x:f>
        <x:v>72</x:v>
      </x:c>
      <x:c r="E443" s="53" t="n">
        <x:f>IF(D443=0,SUMIFS('Cargo Records'!$T$7:$T$70,'Cargo Records'!$J$7:$J$70,C443),0)</x:f>
        <x:v>0</x:v>
      </x:c>
      <x:c r="F443" s="53" t="n">
        <x:f>I442</x:f>
        <x:v>0</x:v>
      </x:c>
      <x:c r="G443" s="53" t="n">
        <x:f>'Path Daily'!M443</x:f>
        <x:v>6336</x:v>
      </x:c>
      <x:c r="H443" s="53" t="n">
        <x:f>MIN(E443+F443,G443)</x:f>
        <x:v>0</x:v>
      </x:c>
      <x:c r="I443" s="53" t="n">
        <x:f>E443+F443-H443</x:f>
        <x:v>0</x:v>
      </x:c>
      <x:c r="J443" s="45" t="str">
        <x:f>IF(I443=0,"CLEAR","QUEUED")</x:f>
        <x:v>CLEAR</x:v>
      </x:c>
      <x:c r="K443" s="72"/>
      <x:c r="L443" s="72"/>
      <x:c r="M443" s="72"/>
      <x:c r="N443" s="72"/>
    </x:row>
    <x:row r="444">
      <x:c r="C444" s="45" t="str">
        <x:f>'Path Daily'!C444</x:f>
        <x:v>P4</x:v>
      </x:c>
      <x:c r="D444" s="45" t="n">
        <x:f>'Path Daily'!D444</x:f>
        <x:v>73</x:v>
      </x:c>
      <x:c r="E444" s="53" t="n">
        <x:f>IF(D444=0,SUMIFS('Cargo Records'!$T$7:$T$70,'Cargo Records'!$J$7:$J$70,C444),0)</x:f>
        <x:v>0</x:v>
      </x:c>
      <x:c r="F444" s="53" t="n">
        <x:f>I443</x:f>
        <x:v>0</x:v>
      </x:c>
      <x:c r="G444" s="53" t="n">
        <x:f>'Path Daily'!M444</x:f>
        <x:v>6336</x:v>
      </x:c>
      <x:c r="H444" s="53" t="n">
        <x:f>MIN(E444+F444,G444)</x:f>
        <x:v>0</x:v>
      </x:c>
      <x:c r="I444" s="53" t="n">
        <x:f>E444+F444-H444</x:f>
        <x:v>0</x:v>
      </x:c>
      <x:c r="J444" s="45" t="str">
        <x:f>IF(I444=0,"CLEAR","QUEUED")</x:f>
        <x:v>CLEAR</x:v>
      </x:c>
      <x:c r="K444" s="72"/>
      <x:c r="L444" s="72"/>
      <x:c r="M444" s="72"/>
      <x:c r="N444" s="72"/>
    </x:row>
    <x:row r="445">
      <x:c r="C445" s="45" t="str">
        <x:f>'Path Daily'!C445</x:f>
        <x:v>P4</x:v>
      </x:c>
      <x:c r="D445" s="45" t="n">
        <x:f>'Path Daily'!D445</x:f>
        <x:v>74</x:v>
      </x:c>
      <x:c r="E445" s="53" t="n">
        <x:f>IF(D445=0,SUMIFS('Cargo Records'!$T$7:$T$70,'Cargo Records'!$J$7:$J$70,C445),0)</x:f>
        <x:v>0</x:v>
      </x:c>
      <x:c r="F445" s="53" t="n">
        <x:f>I444</x:f>
        <x:v>0</x:v>
      </x:c>
      <x:c r="G445" s="53" t="n">
        <x:f>'Path Daily'!M445</x:f>
        <x:v>6336</x:v>
      </x:c>
      <x:c r="H445" s="53" t="n">
        <x:f>MIN(E445+F445,G445)</x:f>
        <x:v>0</x:v>
      </x:c>
      <x:c r="I445" s="53" t="n">
        <x:f>E445+F445-H445</x:f>
        <x:v>0</x:v>
      </x:c>
      <x:c r="J445" s="45" t="str">
        <x:f>IF(I445=0,"CLEAR","QUEUED")</x:f>
        <x:v>CLEAR</x:v>
      </x:c>
      <x:c r="K445" s="72"/>
      <x:c r="L445" s="72"/>
      <x:c r="M445" s="72"/>
      <x:c r="N445" s="72"/>
    </x:row>
    <x:row r="446">
      <x:c r="C446" s="45" t="str">
        <x:f>'Path Daily'!C446</x:f>
        <x:v>P4</x:v>
      </x:c>
      <x:c r="D446" s="45" t="n">
        <x:f>'Path Daily'!D446</x:f>
        <x:v>75</x:v>
      </x:c>
      <x:c r="E446" s="53" t="n">
        <x:f>IF(D446=0,SUMIFS('Cargo Records'!$T$7:$T$70,'Cargo Records'!$J$7:$J$70,C446),0)</x:f>
        <x:v>0</x:v>
      </x:c>
      <x:c r="F446" s="53" t="n">
        <x:f>I445</x:f>
        <x:v>0</x:v>
      </x:c>
      <x:c r="G446" s="53" t="n">
        <x:f>'Path Daily'!M446</x:f>
        <x:v>6336</x:v>
      </x:c>
      <x:c r="H446" s="53" t="n">
        <x:f>MIN(E446+F446,G446)</x:f>
        <x:v>0</x:v>
      </x:c>
      <x:c r="I446" s="53" t="n">
        <x:f>E446+F446-H446</x:f>
        <x:v>0</x:v>
      </x:c>
      <x:c r="J446" s="45" t="str">
        <x:f>IF(I446=0,"CLEAR","QUEUED")</x:f>
        <x:v>CLEAR</x:v>
      </x:c>
      <x:c r="K446" s="72"/>
      <x:c r="L446" s="72"/>
      <x:c r="M446" s="72"/>
      <x:c r="N446" s="72"/>
    </x:row>
    <x:row r="447">
      <x:c r="C447" s="45" t="str">
        <x:f>'Path Daily'!C447</x:f>
        <x:v>P4</x:v>
      </x:c>
      <x:c r="D447" s="45" t="n">
        <x:f>'Path Daily'!D447</x:f>
        <x:v>76</x:v>
      </x:c>
      <x:c r="E447" s="53" t="n">
        <x:f>IF(D447=0,SUMIFS('Cargo Records'!$T$7:$T$70,'Cargo Records'!$J$7:$J$70,C447),0)</x:f>
        <x:v>0</x:v>
      </x:c>
      <x:c r="F447" s="53" t="n">
        <x:f>I446</x:f>
        <x:v>0</x:v>
      </x:c>
      <x:c r="G447" s="53" t="n">
        <x:f>'Path Daily'!M447</x:f>
        <x:v>6336</x:v>
      </x:c>
      <x:c r="H447" s="53" t="n">
        <x:f>MIN(E447+F447,G447)</x:f>
        <x:v>0</x:v>
      </x:c>
      <x:c r="I447" s="53" t="n">
        <x:f>E447+F447-H447</x:f>
        <x:v>0</x:v>
      </x:c>
      <x:c r="J447" s="45" t="str">
        <x:f>IF(I447=0,"CLEAR","QUEUED")</x:f>
        <x:v>CLEAR</x:v>
      </x:c>
      <x:c r="K447" s="72"/>
      <x:c r="L447" s="72"/>
      <x:c r="M447" s="72"/>
      <x:c r="N447" s="72"/>
    </x:row>
    <x:row r="448">
      <x:c r="C448" s="45" t="str">
        <x:f>'Path Daily'!C448</x:f>
        <x:v>P4</x:v>
      </x:c>
      <x:c r="D448" s="45" t="n">
        <x:f>'Path Daily'!D448</x:f>
        <x:v>77</x:v>
      </x:c>
      <x:c r="E448" s="53" t="n">
        <x:f>IF(D448=0,SUMIFS('Cargo Records'!$T$7:$T$70,'Cargo Records'!$J$7:$J$70,C448),0)</x:f>
        <x:v>0</x:v>
      </x:c>
      <x:c r="F448" s="53" t="n">
        <x:f>I447</x:f>
        <x:v>0</x:v>
      </x:c>
      <x:c r="G448" s="53" t="n">
        <x:f>'Path Daily'!M448</x:f>
        <x:v>6336</x:v>
      </x:c>
      <x:c r="H448" s="53" t="n">
        <x:f>MIN(E448+F448,G448)</x:f>
        <x:v>0</x:v>
      </x:c>
      <x:c r="I448" s="53" t="n">
        <x:f>E448+F448-H448</x:f>
        <x:v>0</x:v>
      </x:c>
      <x:c r="J448" s="45" t="str">
        <x:f>IF(I448=0,"CLEAR","QUEUED")</x:f>
        <x:v>CLEAR</x:v>
      </x:c>
      <x:c r="K448" s="72"/>
      <x:c r="L448" s="72"/>
      <x:c r="M448" s="72"/>
      <x:c r="N448" s="72"/>
    </x:row>
    <x:row r="449">
      <x:c r="C449" s="45" t="str">
        <x:f>'Path Daily'!C449</x:f>
        <x:v>P4</x:v>
      </x:c>
      <x:c r="D449" s="45" t="n">
        <x:f>'Path Daily'!D449</x:f>
        <x:v>78</x:v>
      </x:c>
      <x:c r="E449" s="53" t="n">
        <x:f>IF(D449=0,SUMIFS('Cargo Records'!$T$7:$T$70,'Cargo Records'!$J$7:$J$70,C449),0)</x:f>
        <x:v>0</x:v>
      </x:c>
      <x:c r="F449" s="53" t="n">
        <x:f>I448</x:f>
        <x:v>0</x:v>
      </x:c>
      <x:c r="G449" s="53" t="n">
        <x:f>'Path Daily'!M449</x:f>
        <x:v>6336</x:v>
      </x:c>
      <x:c r="H449" s="53" t="n">
        <x:f>MIN(E449+F449,G449)</x:f>
        <x:v>0</x:v>
      </x:c>
      <x:c r="I449" s="53" t="n">
        <x:f>E449+F449-H449</x:f>
        <x:v>0</x:v>
      </x:c>
      <x:c r="J449" s="45" t="str">
        <x:f>IF(I449=0,"CLEAR","QUEUED")</x:f>
        <x:v>CLEAR</x:v>
      </x:c>
      <x:c r="K449" s="72"/>
      <x:c r="L449" s="72"/>
      <x:c r="M449" s="72"/>
      <x:c r="N449" s="72"/>
    </x:row>
    <x:row r="450">
      <x:c r="C450" s="45" t="str">
        <x:f>'Path Daily'!C450</x:f>
        <x:v>P4</x:v>
      </x:c>
      <x:c r="D450" s="45" t="n">
        <x:f>'Path Daily'!D450</x:f>
        <x:v>79</x:v>
      </x:c>
      <x:c r="E450" s="53" t="n">
        <x:f>IF(D450=0,SUMIFS('Cargo Records'!$T$7:$T$70,'Cargo Records'!$J$7:$J$70,C450),0)</x:f>
        <x:v>0</x:v>
      </x:c>
      <x:c r="F450" s="53" t="n">
        <x:f>I449</x:f>
        <x:v>0</x:v>
      </x:c>
      <x:c r="G450" s="53" t="n">
        <x:f>'Path Daily'!M450</x:f>
        <x:v>6336</x:v>
      </x:c>
      <x:c r="H450" s="53" t="n">
        <x:f>MIN(E450+F450,G450)</x:f>
        <x:v>0</x:v>
      </x:c>
      <x:c r="I450" s="53" t="n">
        <x:f>E450+F450-H450</x:f>
        <x:v>0</x:v>
      </x:c>
      <x:c r="J450" s="45" t="str">
        <x:f>IF(I450=0,"CLEAR","QUEUED")</x:f>
        <x:v>CLEAR</x:v>
      </x:c>
      <x:c r="K450" s="72"/>
      <x:c r="L450" s="72"/>
      <x:c r="M450" s="72"/>
      <x:c r="N450" s="72"/>
    </x:row>
    <x:row r="451">
      <x:c r="C451" s="45" t="str">
        <x:f>'Path Daily'!C451</x:f>
        <x:v>P4</x:v>
      </x:c>
      <x:c r="D451" s="45" t="n">
        <x:f>'Path Daily'!D451</x:f>
        <x:v>80</x:v>
      </x:c>
      <x:c r="E451" s="53" t="n">
        <x:f>IF(D451=0,SUMIFS('Cargo Records'!$T$7:$T$70,'Cargo Records'!$J$7:$J$70,C451),0)</x:f>
        <x:v>0</x:v>
      </x:c>
      <x:c r="F451" s="53" t="n">
        <x:f>I450</x:f>
        <x:v>0</x:v>
      </x:c>
      <x:c r="G451" s="53" t="n">
        <x:f>'Path Daily'!M451</x:f>
        <x:v>6336</x:v>
      </x:c>
      <x:c r="H451" s="53" t="n">
        <x:f>MIN(E451+F451,G451)</x:f>
        <x:v>0</x:v>
      </x:c>
      <x:c r="I451" s="53" t="n">
        <x:f>E451+F451-H451</x:f>
        <x:v>0</x:v>
      </x:c>
      <x:c r="J451" s="45" t="str">
        <x:f>IF(I451=0,"CLEAR","QUEUED")</x:f>
        <x:v>CLEAR</x:v>
      </x:c>
      <x:c r="K451" s="72"/>
      <x:c r="L451" s="72"/>
      <x:c r="M451" s="72"/>
      <x:c r="N451" s="72"/>
    </x:row>
    <x:row r="452">
      <x:c r="C452" s="45" t="str">
        <x:f>'Path Daily'!C452</x:f>
        <x:v>P4</x:v>
      </x:c>
      <x:c r="D452" s="45" t="n">
        <x:f>'Path Daily'!D452</x:f>
        <x:v>81</x:v>
      </x:c>
      <x:c r="E452" s="53" t="n">
        <x:f>IF(D452=0,SUMIFS('Cargo Records'!$T$7:$T$70,'Cargo Records'!$J$7:$J$70,C452),0)</x:f>
        <x:v>0</x:v>
      </x:c>
      <x:c r="F452" s="53" t="n">
        <x:f>I451</x:f>
        <x:v>0</x:v>
      </x:c>
      <x:c r="G452" s="53" t="n">
        <x:f>'Path Daily'!M452</x:f>
        <x:v>6336</x:v>
      </x:c>
      <x:c r="H452" s="53" t="n">
        <x:f>MIN(E452+F452,G452)</x:f>
        <x:v>0</x:v>
      </x:c>
      <x:c r="I452" s="53" t="n">
        <x:f>E452+F452-H452</x:f>
        <x:v>0</x:v>
      </x:c>
      <x:c r="J452" s="45" t="str">
        <x:f>IF(I452=0,"CLEAR","QUEUED")</x:f>
        <x:v>CLEAR</x:v>
      </x:c>
      <x:c r="K452" s="72"/>
      <x:c r="L452" s="72"/>
      <x:c r="M452" s="72"/>
      <x:c r="N452" s="72"/>
    </x:row>
    <x:row r="453">
      <x:c r="C453" s="45" t="str">
        <x:f>'Path Daily'!C453</x:f>
        <x:v>P4</x:v>
      </x:c>
      <x:c r="D453" s="45" t="n">
        <x:f>'Path Daily'!D453</x:f>
        <x:v>82</x:v>
      </x:c>
      <x:c r="E453" s="53" t="n">
        <x:f>IF(D453=0,SUMIFS('Cargo Records'!$T$7:$T$70,'Cargo Records'!$J$7:$J$70,C453),0)</x:f>
        <x:v>0</x:v>
      </x:c>
      <x:c r="F453" s="53" t="n">
        <x:f>I452</x:f>
        <x:v>0</x:v>
      </x:c>
      <x:c r="G453" s="53" t="n">
        <x:f>'Path Daily'!M453</x:f>
        <x:v>6336</x:v>
      </x:c>
      <x:c r="H453" s="53" t="n">
        <x:f>MIN(E453+F453,G453)</x:f>
        <x:v>0</x:v>
      </x:c>
      <x:c r="I453" s="53" t="n">
        <x:f>E453+F453-H453</x:f>
        <x:v>0</x:v>
      </x:c>
      <x:c r="J453" s="45" t="str">
        <x:f>IF(I453=0,"CLEAR","QUEUED")</x:f>
        <x:v>CLEAR</x:v>
      </x:c>
      <x:c r="K453" s="72"/>
      <x:c r="L453" s="72"/>
      <x:c r="M453" s="72"/>
      <x:c r="N453" s="72"/>
    </x:row>
    <x:row r="454">
      <x:c r="C454" s="45" t="str">
        <x:f>'Path Daily'!C454</x:f>
        <x:v>P4</x:v>
      </x:c>
      <x:c r="D454" s="45" t="n">
        <x:f>'Path Daily'!D454</x:f>
        <x:v>83</x:v>
      </x:c>
      <x:c r="E454" s="53" t="n">
        <x:f>IF(D454=0,SUMIFS('Cargo Records'!$T$7:$T$70,'Cargo Records'!$J$7:$J$70,C454),0)</x:f>
        <x:v>0</x:v>
      </x:c>
      <x:c r="F454" s="53" t="n">
        <x:f>I453</x:f>
        <x:v>0</x:v>
      </x:c>
      <x:c r="G454" s="53" t="n">
        <x:f>'Path Daily'!M454</x:f>
        <x:v>6336</x:v>
      </x:c>
      <x:c r="H454" s="53" t="n">
        <x:f>MIN(E454+F454,G454)</x:f>
        <x:v>0</x:v>
      </x:c>
      <x:c r="I454" s="53" t="n">
        <x:f>E454+F454-H454</x:f>
        <x:v>0</x:v>
      </x:c>
      <x:c r="J454" s="45" t="str">
        <x:f>IF(I454=0,"CLEAR","QUEUED")</x:f>
        <x:v>CLEAR</x:v>
      </x:c>
      <x:c r="K454" s="72"/>
      <x:c r="L454" s="72"/>
      <x:c r="M454" s="72"/>
      <x:c r="N454" s="72"/>
    </x:row>
    <x:row r="455">
      <x:c r="C455" s="45" t="str">
        <x:f>'Path Daily'!C455</x:f>
        <x:v>P4</x:v>
      </x:c>
      <x:c r="D455" s="45" t="n">
        <x:f>'Path Daily'!D455</x:f>
        <x:v>84</x:v>
      </x:c>
      <x:c r="E455" s="53" t="n">
        <x:f>IF(D455=0,SUMIFS('Cargo Records'!$T$7:$T$70,'Cargo Records'!$J$7:$J$70,C455),0)</x:f>
        <x:v>0</x:v>
      </x:c>
      <x:c r="F455" s="53" t="n">
        <x:f>I454</x:f>
        <x:v>0</x:v>
      </x:c>
      <x:c r="G455" s="53" t="n">
        <x:f>'Path Daily'!M455</x:f>
        <x:v>6336</x:v>
      </x:c>
      <x:c r="H455" s="53" t="n">
        <x:f>MIN(E455+F455,G455)</x:f>
        <x:v>0</x:v>
      </x:c>
      <x:c r="I455" s="53" t="n">
        <x:f>E455+F455-H455</x:f>
        <x:v>0</x:v>
      </x:c>
      <x:c r="J455" s="45" t="str">
        <x:f>IF(I455=0,"CLEAR","QUEUED")</x:f>
        <x:v>CLEAR</x:v>
      </x:c>
      <x:c r="K455" s="72"/>
      <x:c r="L455" s="72"/>
      <x:c r="M455" s="72"/>
      <x:c r="N455" s="72"/>
    </x:row>
    <x:row r="456">
      <x:c r="C456" s="45" t="str">
        <x:f>'Path Daily'!C456</x:f>
        <x:v>P4</x:v>
      </x:c>
      <x:c r="D456" s="45" t="n">
        <x:f>'Path Daily'!D456</x:f>
        <x:v>85</x:v>
      </x:c>
      <x:c r="E456" s="53" t="n">
        <x:f>IF(D456=0,SUMIFS('Cargo Records'!$T$7:$T$70,'Cargo Records'!$J$7:$J$70,C456),0)</x:f>
        <x:v>0</x:v>
      </x:c>
      <x:c r="F456" s="53" t="n">
        <x:f>I455</x:f>
        <x:v>0</x:v>
      </x:c>
      <x:c r="G456" s="53" t="n">
        <x:f>'Path Daily'!M456</x:f>
        <x:v>6336</x:v>
      </x:c>
      <x:c r="H456" s="53" t="n">
        <x:f>MIN(E456+F456,G456)</x:f>
        <x:v>0</x:v>
      </x:c>
      <x:c r="I456" s="53" t="n">
        <x:f>E456+F456-H456</x:f>
        <x:v>0</x:v>
      </x:c>
      <x:c r="J456" s="45" t="str">
        <x:f>IF(I456=0,"CLEAR","QUEUED")</x:f>
        <x:v>CLEAR</x:v>
      </x:c>
      <x:c r="K456" s="72"/>
      <x:c r="L456" s="72"/>
      <x:c r="M456" s="72"/>
      <x:c r="N456" s="72"/>
    </x:row>
    <x:row r="457">
      <x:c r="C457" s="45" t="str">
        <x:f>'Path Daily'!C457</x:f>
        <x:v>P4</x:v>
      </x:c>
      <x:c r="D457" s="45" t="n">
        <x:f>'Path Daily'!D457</x:f>
        <x:v>86</x:v>
      </x:c>
      <x:c r="E457" s="53" t="n">
        <x:f>IF(D457=0,SUMIFS('Cargo Records'!$T$7:$T$70,'Cargo Records'!$J$7:$J$70,C457),0)</x:f>
        <x:v>0</x:v>
      </x:c>
      <x:c r="F457" s="53" t="n">
        <x:f>I456</x:f>
        <x:v>0</x:v>
      </x:c>
      <x:c r="G457" s="53" t="n">
        <x:f>'Path Daily'!M457</x:f>
        <x:v>6336</x:v>
      </x:c>
      <x:c r="H457" s="53" t="n">
        <x:f>MIN(E457+F457,G457)</x:f>
        <x:v>0</x:v>
      </x:c>
      <x:c r="I457" s="53" t="n">
        <x:f>E457+F457-H457</x:f>
        <x:v>0</x:v>
      </x:c>
      <x:c r="J457" s="45" t="str">
        <x:f>IF(I457=0,"CLEAR","QUEUED")</x:f>
        <x:v>CLEAR</x:v>
      </x:c>
      <x:c r="K457" s="72"/>
      <x:c r="L457" s="72"/>
      <x:c r="M457" s="72"/>
      <x:c r="N457" s="72"/>
    </x:row>
    <x:row r="458">
      <x:c r="C458" s="45" t="str">
        <x:f>'Path Daily'!C458</x:f>
        <x:v>P4</x:v>
      </x:c>
      <x:c r="D458" s="45" t="n">
        <x:f>'Path Daily'!D458</x:f>
        <x:v>87</x:v>
      </x:c>
      <x:c r="E458" s="53" t="n">
        <x:f>IF(D458=0,SUMIFS('Cargo Records'!$T$7:$T$70,'Cargo Records'!$J$7:$J$70,C458),0)</x:f>
        <x:v>0</x:v>
      </x:c>
      <x:c r="F458" s="53" t="n">
        <x:f>I457</x:f>
        <x:v>0</x:v>
      </x:c>
      <x:c r="G458" s="53" t="n">
        <x:f>'Path Daily'!M458</x:f>
        <x:v>6336</x:v>
      </x:c>
      <x:c r="H458" s="53" t="n">
        <x:f>MIN(E458+F458,G458)</x:f>
        <x:v>0</x:v>
      </x:c>
      <x:c r="I458" s="53" t="n">
        <x:f>E458+F458-H458</x:f>
        <x:v>0</x:v>
      </x:c>
      <x:c r="J458" s="45" t="str">
        <x:f>IF(I458=0,"CLEAR","QUEUED")</x:f>
        <x:v>CLEAR</x:v>
      </x:c>
      <x:c r="K458" s="72"/>
      <x:c r="L458" s="72"/>
      <x:c r="M458" s="72"/>
      <x:c r="N458" s="72"/>
    </x:row>
    <x:row r="459">
      <x:c r="C459" s="45" t="str">
        <x:f>'Path Daily'!C459</x:f>
        <x:v>P4</x:v>
      </x:c>
      <x:c r="D459" s="45" t="n">
        <x:f>'Path Daily'!D459</x:f>
        <x:v>88</x:v>
      </x:c>
      <x:c r="E459" s="53" t="n">
        <x:f>IF(D459=0,SUMIFS('Cargo Records'!$T$7:$T$70,'Cargo Records'!$J$7:$J$70,C459),0)</x:f>
        <x:v>0</x:v>
      </x:c>
      <x:c r="F459" s="53" t="n">
        <x:f>I458</x:f>
        <x:v>0</x:v>
      </x:c>
      <x:c r="G459" s="53" t="n">
        <x:f>'Path Daily'!M459</x:f>
        <x:v>6336</x:v>
      </x:c>
      <x:c r="H459" s="53" t="n">
        <x:f>MIN(E459+F459,G459)</x:f>
        <x:v>0</x:v>
      </x:c>
      <x:c r="I459" s="53" t="n">
        <x:f>E459+F459-H459</x:f>
        <x:v>0</x:v>
      </x:c>
      <x:c r="J459" s="45" t="str">
        <x:f>IF(I459=0,"CLEAR","QUEUED")</x:f>
        <x:v>CLEAR</x:v>
      </x:c>
      <x:c r="K459" s="72"/>
      <x:c r="L459" s="72"/>
      <x:c r="M459" s="72"/>
      <x:c r="N459" s="72"/>
    </x:row>
    <x:row r="460">
      <x:c r="C460" s="45" t="str">
        <x:f>'Path Daily'!C460</x:f>
        <x:v>P4</x:v>
      </x:c>
      <x:c r="D460" s="45" t="n">
        <x:f>'Path Daily'!D460</x:f>
        <x:v>89</x:v>
      </x:c>
      <x:c r="E460" s="53" t="n">
        <x:f>IF(D460=0,SUMIFS('Cargo Records'!$T$7:$T$70,'Cargo Records'!$J$7:$J$70,C460),0)</x:f>
        <x:v>0</x:v>
      </x:c>
      <x:c r="F460" s="53" t="n">
        <x:f>I459</x:f>
        <x:v>0</x:v>
      </x:c>
      <x:c r="G460" s="53" t="n">
        <x:f>'Path Daily'!M460</x:f>
        <x:v>6336</x:v>
      </x:c>
      <x:c r="H460" s="53" t="n">
        <x:f>MIN(E460+F460,G460)</x:f>
        <x:v>0</x:v>
      </x:c>
      <x:c r="I460" s="53" t="n">
        <x:f>E460+F460-H460</x:f>
        <x:v>0</x:v>
      </x:c>
      <x:c r="J460" s="45" t="str">
        <x:f>IF(I460=0,"CLEAR","QUEUED")</x:f>
        <x:v>CLEAR</x:v>
      </x:c>
      <x:c r="K460" s="72"/>
      <x:c r="L460" s="72"/>
      <x:c r="M460" s="72"/>
      <x:c r="N460" s="72"/>
    </x:row>
    <x:row r="461">
      <x:c r="C461" s="45" t="str">
        <x:f>'Path Daily'!C461</x:f>
        <x:v>P4</x:v>
      </x:c>
      <x:c r="D461" s="45" t="n">
        <x:f>'Path Daily'!D461</x:f>
        <x:v>90</x:v>
      </x:c>
      <x:c r="E461" s="53" t="n">
        <x:f>IF(D461=0,SUMIFS('Cargo Records'!$T$7:$T$70,'Cargo Records'!$J$7:$J$70,C461),0)</x:f>
        <x:v>0</x:v>
      </x:c>
      <x:c r="F461" s="53" t="n">
        <x:f>I460</x:f>
        <x:v>0</x:v>
      </x:c>
      <x:c r="G461" s="53" t="n">
        <x:f>'Path Daily'!M461</x:f>
        <x:v>6336</x:v>
      </x:c>
      <x:c r="H461" s="53" t="n">
        <x:f>MIN(E461+F461,G461)</x:f>
        <x:v>0</x:v>
      </x:c>
      <x:c r="I461" s="53" t="n">
        <x:f>E461+F461-H461</x:f>
        <x:v>0</x:v>
      </x:c>
      <x:c r="J461" s="45" t="str">
        <x:f>IF(I461=0,"CLEAR","QUEUED")</x:f>
        <x:v>CLEAR</x:v>
      </x:c>
      <x:c r="K461" s="72"/>
      <x:c r="L461" s="72"/>
      <x:c r="M461" s="72"/>
      <x:c r="N461" s="72"/>
    </x:row>
    <x:row r="462">
      <x:c r="C462" s="45" t="str">
        <x:f>'Path Daily'!C462</x:f>
        <x:v>P5</x:v>
      </x:c>
      <x:c r="D462" s="45" t="n">
        <x:f>'Path Daily'!D462</x:f>
        <x:v>0</x:v>
      </x:c>
      <x:c r="E462" s="53" t="n">
        <x:f>IF(D462=0,SUMIFS('Cargo Records'!$T$7:$T$70,'Cargo Records'!$J$7:$J$70,C462),0)</x:f>
        <x:v>447727.2727272727</x:v>
      </x:c>
      <x:c r="F462" s="53" t="n">
        <x:f>0</x:f>
        <x:v>0</x:v>
      </x:c>
      <x:c r="G462" s="53" t="n">
        <x:f>'Path Daily'!M462</x:f>
        <x:v>0</x:v>
      </x:c>
      <x:c r="H462" s="53" t="n">
        <x:f>MIN(E462+F462,G462)</x:f>
        <x:v>0</x:v>
      </x:c>
      <x:c r="I462" s="53" t="n">
        <x:f>E462+F462-H462</x:f>
        <x:v>447727.2727272727</x:v>
      </x:c>
      <x:c r="J462" s="45" t="str">
        <x:f>IF(I462=0,"CLEAR","QUEUED")</x:f>
        <x:v>QUEUED</x:v>
      </x:c>
      <x:c r="K462" s="72"/>
      <x:c r="L462" s="72"/>
      <x:c r="M462" s="72"/>
      <x:c r="N462" s="72"/>
    </x:row>
    <x:row r="463">
      <x:c r="C463" s="45" t="str">
        <x:f>'Path Daily'!C463</x:f>
        <x:v>P5</x:v>
      </x:c>
      <x:c r="D463" s="45" t="n">
        <x:f>'Path Daily'!D463</x:f>
        <x:v>1</x:v>
      </x:c>
      <x:c r="E463" s="53" t="n">
        <x:f>IF(D463=0,SUMIFS('Cargo Records'!$T$7:$T$70,'Cargo Records'!$J$7:$J$70,C463),0)</x:f>
        <x:v>0</x:v>
      </x:c>
      <x:c r="F463" s="53" t="n">
        <x:f>I462</x:f>
        <x:v>447727.2727272727</x:v>
      </x:c>
      <x:c r="G463" s="53" t="n">
        <x:f>'Path Daily'!M463</x:f>
        <x:v>0</x:v>
      </x:c>
      <x:c r="H463" s="53" t="n">
        <x:f>MIN(E463+F463,G463)</x:f>
        <x:v>0</x:v>
      </x:c>
      <x:c r="I463" s="53" t="n">
        <x:f>E463+F463-H463</x:f>
        <x:v>447727.2727272727</x:v>
      </x:c>
      <x:c r="J463" s="45" t="str">
        <x:f>IF(I463=0,"CLEAR","QUEUED")</x:f>
        <x:v>QUEUED</x:v>
      </x:c>
      <x:c r="K463" s="72"/>
      <x:c r="L463" s="72"/>
      <x:c r="M463" s="72"/>
      <x:c r="N463" s="72"/>
    </x:row>
    <x:row r="464">
      <x:c r="C464" s="45" t="str">
        <x:f>'Path Daily'!C464</x:f>
        <x:v>P5</x:v>
      </x:c>
      <x:c r="D464" s="45" t="n">
        <x:f>'Path Daily'!D464</x:f>
        <x:v>2</x:v>
      </x:c>
      <x:c r="E464" s="53" t="n">
        <x:f>IF(D464=0,SUMIFS('Cargo Records'!$T$7:$T$70,'Cargo Records'!$J$7:$J$70,C464),0)</x:f>
        <x:v>0</x:v>
      </x:c>
      <x:c r="F464" s="53" t="n">
        <x:f>I463</x:f>
        <x:v>447727.2727272727</x:v>
      </x:c>
      <x:c r="G464" s="53" t="n">
        <x:f>'Path Daily'!M464</x:f>
        <x:v>0</x:v>
      </x:c>
      <x:c r="H464" s="53" t="n">
        <x:f>MIN(E464+F464,G464)</x:f>
        <x:v>0</x:v>
      </x:c>
      <x:c r="I464" s="53" t="n">
        <x:f>E464+F464-H464</x:f>
        <x:v>447727.2727272727</x:v>
      </x:c>
      <x:c r="J464" s="45" t="str">
        <x:f>IF(I464=0,"CLEAR","QUEUED")</x:f>
        <x:v>QUEUED</x:v>
      </x:c>
      <x:c r="K464" s="72"/>
      <x:c r="L464" s="72"/>
      <x:c r="M464" s="72"/>
      <x:c r="N464" s="72"/>
    </x:row>
    <x:row r="465">
      <x:c r="C465" s="45" t="str">
        <x:f>'Path Daily'!C465</x:f>
        <x:v>P5</x:v>
      </x:c>
      <x:c r="D465" s="45" t="n">
        <x:f>'Path Daily'!D465</x:f>
        <x:v>3</x:v>
      </x:c>
      <x:c r="E465" s="53" t="n">
        <x:f>IF(D465=0,SUMIFS('Cargo Records'!$T$7:$T$70,'Cargo Records'!$J$7:$J$70,C465),0)</x:f>
        <x:v>0</x:v>
      </x:c>
      <x:c r="F465" s="53" t="n">
        <x:f>I464</x:f>
        <x:v>447727.2727272727</x:v>
      </x:c>
      <x:c r="G465" s="53" t="n">
        <x:f>'Path Daily'!M465</x:f>
        <x:v>15488</x:v>
      </x:c>
      <x:c r="H465" s="53" t="n">
        <x:f>MIN(E465+F465,G465)</x:f>
        <x:v>15488</x:v>
      </x:c>
      <x:c r="I465" s="53" t="n">
        <x:f>E465+F465-H465</x:f>
        <x:v>432239.2727272727</x:v>
      </x:c>
      <x:c r="J465" s="45" t="str">
        <x:f>IF(I465=0,"CLEAR","QUEUED")</x:f>
        <x:v>QUEUED</x:v>
      </x:c>
      <x:c r="K465" s="72"/>
      <x:c r="L465" s="72"/>
      <x:c r="M465" s="72"/>
      <x:c r="N465" s="72"/>
    </x:row>
    <x:row r="466">
      <x:c r="C466" s="45" t="str">
        <x:f>'Path Daily'!C466</x:f>
        <x:v>P5</x:v>
      </x:c>
      <x:c r="D466" s="45" t="n">
        <x:f>'Path Daily'!D466</x:f>
        <x:v>4</x:v>
      </x:c>
      <x:c r="E466" s="53" t="n">
        <x:f>IF(D466=0,SUMIFS('Cargo Records'!$T$7:$T$70,'Cargo Records'!$J$7:$J$70,C466),0)</x:f>
        <x:v>0</x:v>
      </x:c>
      <x:c r="F466" s="53" t="n">
        <x:f>I465</x:f>
        <x:v>432239.2727272727</x:v>
      </x:c>
      <x:c r="G466" s="53" t="n">
        <x:f>'Path Daily'!M466</x:f>
        <x:v>12584</x:v>
      </x:c>
      <x:c r="H466" s="53" t="n">
        <x:f>MIN(E466+F466,G466)</x:f>
        <x:v>12584</x:v>
      </x:c>
      <x:c r="I466" s="53" t="n">
        <x:f>E466+F466-H466</x:f>
        <x:v>419655.2727272727</x:v>
      </x:c>
      <x:c r="J466" s="45" t="str">
        <x:f>IF(I466=0,"CLEAR","QUEUED")</x:f>
        <x:v>QUEUED</x:v>
      </x:c>
      <x:c r="K466" s="72"/>
      <x:c r="L466" s="72"/>
      <x:c r="M466" s="72"/>
      <x:c r="N466" s="72"/>
    </x:row>
    <x:row r="467">
      <x:c r="C467" s="45" t="str">
        <x:f>'Path Daily'!C467</x:f>
        <x:v>P5</x:v>
      </x:c>
      <x:c r="D467" s="45" t="n">
        <x:f>'Path Daily'!D467</x:f>
        <x:v>5</x:v>
      </x:c>
      <x:c r="E467" s="53" t="n">
        <x:f>IF(D467=0,SUMIFS('Cargo Records'!$T$7:$T$70,'Cargo Records'!$J$7:$J$70,C467),0)</x:f>
        <x:v>0</x:v>
      </x:c>
      <x:c r="F467" s="53" t="n">
        <x:f>I466</x:f>
        <x:v>419655.2727272727</x:v>
      </x:c>
      <x:c r="G467" s="53" t="n">
        <x:f>'Path Daily'!M467</x:f>
        <x:v>12584</x:v>
      </x:c>
      <x:c r="H467" s="53" t="n">
        <x:f>MIN(E467+F467,G467)</x:f>
        <x:v>12584</x:v>
      </x:c>
      <x:c r="I467" s="53" t="n">
        <x:f>E467+F467-H467</x:f>
        <x:v>407071.2727272727</x:v>
      </x:c>
      <x:c r="J467" s="45" t="str">
        <x:f>IF(I467=0,"CLEAR","QUEUED")</x:f>
        <x:v>QUEUED</x:v>
      </x:c>
      <x:c r="K467" s="72"/>
      <x:c r="L467" s="72"/>
      <x:c r="M467" s="72"/>
      <x:c r="N467" s="72"/>
    </x:row>
    <x:row r="468">
      <x:c r="C468" s="45" t="str">
        <x:f>'Path Daily'!C468</x:f>
        <x:v>P5</x:v>
      </x:c>
      <x:c r="D468" s="45" t="n">
        <x:f>'Path Daily'!D468</x:f>
        <x:v>6</x:v>
      </x:c>
      <x:c r="E468" s="53" t="n">
        <x:f>IF(D468=0,SUMIFS('Cargo Records'!$T$7:$T$70,'Cargo Records'!$J$7:$J$70,C468),0)</x:f>
        <x:v>0</x:v>
      </x:c>
      <x:c r="F468" s="53" t="n">
        <x:f>I467</x:f>
        <x:v>407071.2727272727</x:v>
      </x:c>
      <x:c r="G468" s="53" t="n">
        <x:f>'Path Daily'!M468</x:f>
        <x:v>8179.6</x:v>
      </x:c>
      <x:c r="H468" s="53" t="n">
        <x:f>MIN(E468+F468,G468)</x:f>
        <x:v>8179.6</x:v>
      </x:c>
      <x:c r="I468" s="53" t="n">
        <x:f>E468+F468-H468</x:f>
        <x:v>398891.67272727273</x:v>
      </x:c>
      <x:c r="J468" s="45" t="str">
        <x:f>IF(I468=0,"CLEAR","QUEUED")</x:f>
        <x:v>QUEUED</x:v>
      </x:c>
      <x:c r="K468" s="72"/>
      <x:c r="L468" s="72"/>
      <x:c r="M468" s="72"/>
      <x:c r="N468" s="72"/>
    </x:row>
    <x:row r="469">
      <x:c r="C469" s="45" t="str">
        <x:f>'Path Daily'!C469</x:f>
        <x:v>P5</x:v>
      </x:c>
      <x:c r="D469" s="45" t="n">
        <x:f>'Path Daily'!D469</x:f>
        <x:v>7</x:v>
      </x:c>
      <x:c r="E469" s="53" t="n">
        <x:f>IF(D469=0,SUMIFS('Cargo Records'!$T$7:$T$70,'Cargo Records'!$J$7:$J$70,C469),0)</x:f>
        <x:v>0</x:v>
      </x:c>
      <x:c r="F469" s="53" t="n">
        <x:f>I468</x:f>
        <x:v>398891.67272727273</x:v>
      </x:c>
      <x:c r="G469" s="53" t="n">
        <x:f>'Path Daily'!M469</x:f>
        <x:v>8179.6</x:v>
      </x:c>
      <x:c r="H469" s="53" t="n">
        <x:f>MIN(E469+F469,G469)</x:f>
        <x:v>8179.6</x:v>
      </x:c>
      <x:c r="I469" s="53" t="n">
        <x:f>E469+F469-H469</x:f>
        <x:v>390712.07272727275</x:v>
      </x:c>
      <x:c r="J469" s="45" t="str">
        <x:f>IF(I469=0,"CLEAR","QUEUED")</x:f>
        <x:v>QUEUED</x:v>
      </x:c>
      <x:c r="K469" s="72"/>
      <x:c r="L469" s="72"/>
      <x:c r="M469" s="72"/>
      <x:c r="N469" s="72"/>
    </x:row>
    <x:row r="470">
      <x:c r="C470" s="45" t="str">
        <x:f>'Path Daily'!C470</x:f>
        <x:v>P5</x:v>
      </x:c>
      <x:c r="D470" s="45" t="n">
        <x:f>'Path Daily'!D470</x:f>
        <x:v>8</x:v>
      </x:c>
      <x:c r="E470" s="53" t="n">
        <x:f>IF(D470=0,SUMIFS('Cargo Records'!$T$7:$T$70,'Cargo Records'!$J$7:$J$70,C470),0)</x:f>
        <x:v>0</x:v>
      </x:c>
      <x:c r="F470" s="53" t="n">
        <x:f>I469</x:f>
        <x:v>390712.07272727275</x:v>
      </x:c>
      <x:c r="G470" s="53" t="n">
        <x:f>'Path Daily'!M470</x:f>
        <x:v>12584</x:v>
      </x:c>
      <x:c r="H470" s="53" t="n">
        <x:f>MIN(E470+F470,G470)</x:f>
        <x:v>12584</x:v>
      </x:c>
      <x:c r="I470" s="53" t="n">
        <x:f>E470+F470-H470</x:f>
        <x:v>378128.07272727275</x:v>
      </x:c>
      <x:c r="J470" s="45" t="str">
        <x:f>IF(I470=0,"CLEAR","QUEUED")</x:f>
        <x:v>QUEUED</x:v>
      </x:c>
      <x:c r="K470" s="72"/>
      <x:c r="L470" s="72"/>
      <x:c r="M470" s="72"/>
      <x:c r="N470" s="72"/>
    </x:row>
    <x:row r="471">
      <x:c r="C471" s="45" t="str">
        <x:f>'Path Daily'!C471</x:f>
        <x:v>P5</x:v>
      </x:c>
      <x:c r="D471" s="45" t="n">
        <x:f>'Path Daily'!D471</x:f>
        <x:v>9</x:v>
      </x:c>
      <x:c r="E471" s="53" t="n">
        <x:f>IF(D471=0,SUMIFS('Cargo Records'!$T$7:$T$70,'Cargo Records'!$J$7:$J$70,C471),0)</x:f>
        <x:v>0</x:v>
      </x:c>
      <x:c r="F471" s="53" t="n">
        <x:f>I470</x:f>
        <x:v>378128.07272727275</x:v>
      </x:c>
      <x:c r="G471" s="53" t="n">
        <x:f>'Path Daily'!M471</x:f>
        <x:v>12584</x:v>
      </x:c>
      <x:c r="H471" s="53" t="n">
        <x:f>MIN(E471+F471,G471)</x:f>
        <x:v>12584</x:v>
      </x:c>
      <x:c r="I471" s="53" t="n">
        <x:f>E471+F471-H471</x:f>
        <x:v>365544.07272727275</x:v>
      </x:c>
      <x:c r="J471" s="45" t="str">
        <x:f>IF(I471=0,"CLEAR","QUEUED")</x:f>
        <x:v>QUEUED</x:v>
      </x:c>
      <x:c r="K471" s="72"/>
      <x:c r="L471" s="72"/>
      <x:c r="M471" s="72"/>
      <x:c r="N471" s="72"/>
    </x:row>
    <x:row r="472">
      <x:c r="C472" s="45" t="str">
        <x:f>'Path Daily'!C472</x:f>
        <x:v>P5</x:v>
      </x:c>
      <x:c r="D472" s="45" t="n">
        <x:f>'Path Daily'!D472</x:f>
        <x:v>10</x:v>
      </x:c>
      <x:c r="E472" s="53" t="n">
        <x:f>IF(D472=0,SUMIFS('Cargo Records'!$T$7:$T$70,'Cargo Records'!$J$7:$J$70,C472),0)</x:f>
        <x:v>0</x:v>
      </x:c>
      <x:c r="F472" s="53" t="n">
        <x:f>I471</x:f>
        <x:v>365544.07272727275</x:v>
      </x:c>
      <x:c r="G472" s="53" t="n">
        <x:f>'Path Daily'!M472</x:f>
        <x:v>17160</x:v>
      </x:c>
      <x:c r="H472" s="53" t="n">
        <x:f>MIN(E472+F472,G472)</x:f>
        <x:v>17160</x:v>
      </x:c>
      <x:c r="I472" s="53" t="n">
        <x:f>E472+F472-H472</x:f>
        <x:v>348384.07272727275</x:v>
      </x:c>
      <x:c r="J472" s="45" t="str">
        <x:f>IF(I472=0,"CLEAR","QUEUED")</x:f>
        <x:v>QUEUED</x:v>
      </x:c>
      <x:c r="K472" s="72"/>
      <x:c r="L472" s="72"/>
      <x:c r="M472" s="72"/>
      <x:c r="N472" s="72"/>
    </x:row>
    <x:row r="473">
      <x:c r="C473" s="45" t="str">
        <x:f>'Path Daily'!C473</x:f>
        <x:v>P5</x:v>
      </x:c>
      <x:c r="D473" s="45" t="n">
        <x:f>'Path Daily'!D473</x:f>
        <x:v>11</x:v>
      </x:c>
      <x:c r="E473" s="53" t="n">
        <x:f>IF(D473=0,SUMIFS('Cargo Records'!$T$7:$T$70,'Cargo Records'!$J$7:$J$70,C473),0)</x:f>
        <x:v>0</x:v>
      </x:c>
      <x:c r="F473" s="53" t="n">
        <x:f>I472</x:f>
        <x:v>348384.07272727275</x:v>
      </x:c>
      <x:c r="G473" s="53" t="n">
        <x:f>'Path Daily'!M473</x:f>
        <x:v>17160</x:v>
      </x:c>
      <x:c r="H473" s="53" t="n">
        <x:f>MIN(E473+F473,G473)</x:f>
        <x:v>17160</x:v>
      </x:c>
      <x:c r="I473" s="53" t="n">
        <x:f>E473+F473-H473</x:f>
        <x:v>331224.07272727275</x:v>
      </x:c>
      <x:c r="J473" s="45" t="str">
        <x:f>IF(I473=0,"CLEAR","QUEUED")</x:f>
        <x:v>QUEUED</x:v>
      </x:c>
      <x:c r="K473" s="72"/>
      <x:c r="L473" s="72"/>
      <x:c r="M473" s="72"/>
      <x:c r="N473" s="72"/>
    </x:row>
    <x:row r="474">
      <x:c r="C474" s="45" t="str">
        <x:f>'Path Daily'!C474</x:f>
        <x:v>P5</x:v>
      </x:c>
      <x:c r="D474" s="45" t="n">
        <x:f>'Path Daily'!D474</x:f>
        <x:v>12</x:v>
      </x:c>
      <x:c r="E474" s="53" t="n">
        <x:f>IF(D474=0,SUMIFS('Cargo Records'!$T$7:$T$70,'Cargo Records'!$J$7:$J$70,C474),0)</x:f>
        <x:v>0</x:v>
      </x:c>
      <x:c r="F474" s="53" t="n">
        <x:f>I473</x:f>
        <x:v>331224.07272727275</x:v>
      </x:c>
      <x:c r="G474" s="53" t="n">
        <x:f>'Path Daily'!M474</x:f>
        <x:v>17160</x:v>
      </x:c>
      <x:c r="H474" s="53" t="n">
        <x:f>MIN(E474+F474,G474)</x:f>
        <x:v>17160</x:v>
      </x:c>
      <x:c r="I474" s="53" t="n">
        <x:f>E474+F474-H474</x:f>
        <x:v>314064.07272727275</x:v>
      </x:c>
      <x:c r="J474" s="45" t="str">
        <x:f>IF(I474=0,"CLEAR","QUEUED")</x:f>
        <x:v>QUEUED</x:v>
      </x:c>
      <x:c r="K474" s="72"/>
      <x:c r="L474" s="72"/>
      <x:c r="M474" s="72"/>
      <x:c r="N474" s="72"/>
    </x:row>
    <x:row r="475">
      <x:c r="C475" s="45" t="str">
        <x:f>'Path Daily'!C475</x:f>
        <x:v>P5</x:v>
      </x:c>
      <x:c r="D475" s="45" t="n">
        <x:f>'Path Daily'!D475</x:f>
        <x:v>13</x:v>
      </x:c>
      <x:c r="E475" s="53" t="n">
        <x:f>IF(D475=0,SUMIFS('Cargo Records'!$T$7:$T$70,'Cargo Records'!$J$7:$J$70,C475),0)</x:f>
        <x:v>0</x:v>
      </x:c>
      <x:c r="F475" s="53" t="n">
        <x:f>I474</x:f>
        <x:v>314064.07272727275</x:v>
      </x:c>
      <x:c r="G475" s="53" t="n">
        <x:f>'Path Daily'!M475</x:f>
        <x:v>17160</x:v>
      </x:c>
      <x:c r="H475" s="53" t="n">
        <x:f>MIN(E475+F475,G475)</x:f>
        <x:v>17160</x:v>
      </x:c>
      <x:c r="I475" s="53" t="n">
        <x:f>E475+F475-H475</x:f>
        <x:v>296904.07272727275</x:v>
      </x:c>
      <x:c r="J475" s="45" t="str">
        <x:f>IF(I475=0,"CLEAR","QUEUED")</x:f>
        <x:v>QUEUED</x:v>
      </x:c>
      <x:c r="K475" s="72"/>
      <x:c r="L475" s="72"/>
      <x:c r="M475" s="72"/>
      <x:c r="N475" s="72"/>
    </x:row>
    <x:row r="476">
      <x:c r="C476" s="45" t="str">
        <x:f>'Path Daily'!C476</x:f>
        <x:v>P5</x:v>
      </x:c>
      <x:c r="D476" s="45" t="n">
        <x:f>'Path Daily'!D476</x:f>
        <x:v>14</x:v>
      </x:c>
      <x:c r="E476" s="53" t="n">
        <x:f>IF(D476=0,SUMIFS('Cargo Records'!$T$7:$T$70,'Cargo Records'!$J$7:$J$70,C476),0)</x:f>
        <x:v>0</x:v>
      </x:c>
      <x:c r="F476" s="53" t="n">
        <x:f>I475</x:f>
        <x:v>296904.07272727275</x:v>
      </x:c>
      <x:c r="G476" s="53" t="n">
        <x:f>'Path Daily'!M476</x:f>
        <x:v>9438</x:v>
      </x:c>
      <x:c r="H476" s="53" t="n">
        <x:f>MIN(E476+F476,G476)</x:f>
        <x:v>9438</x:v>
      </x:c>
      <x:c r="I476" s="53" t="n">
        <x:f>E476+F476-H476</x:f>
        <x:v>287466.07272727275</x:v>
      </x:c>
      <x:c r="J476" s="45" t="str">
        <x:f>IF(I476=0,"CLEAR","QUEUED")</x:f>
        <x:v>QUEUED</x:v>
      </x:c>
      <x:c r="K476" s="72"/>
      <x:c r="L476" s="72"/>
      <x:c r="M476" s="72"/>
      <x:c r="N476" s="72"/>
    </x:row>
    <x:row r="477">
      <x:c r="C477" s="45" t="str">
        <x:f>'Path Daily'!C477</x:f>
        <x:v>P5</x:v>
      </x:c>
      <x:c r="D477" s="45" t="n">
        <x:f>'Path Daily'!D477</x:f>
        <x:v>15</x:v>
      </x:c>
      <x:c r="E477" s="53" t="n">
        <x:f>IF(D477=0,SUMIFS('Cargo Records'!$T$7:$T$70,'Cargo Records'!$J$7:$J$70,C477),0)</x:f>
        <x:v>0</x:v>
      </x:c>
      <x:c r="F477" s="53" t="n">
        <x:f>I476</x:f>
        <x:v>287466.07272727275</x:v>
      </x:c>
      <x:c r="G477" s="53" t="n">
        <x:f>'Path Daily'!M477</x:f>
        <x:v>7260</x:v>
      </x:c>
      <x:c r="H477" s="53" t="n">
        <x:f>MIN(E477+F477,G477)</x:f>
        <x:v>7260</x:v>
      </x:c>
      <x:c r="I477" s="53" t="n">
        <x:f>E477+F477-H477</x:f>
        <x:v>280206.07272727275</x:v>
      </x:c>
      <x:c r="J477" s="45" t="str">
        <x:f>IF(I477=0,"CLEAR","QUEUED")</x:f>
        <x:v>QUEUED</x:v>
      </x:c>
      <x:c r="K477" s="72"/>
      <x:c r="L477" s="72"/>
      <x:c r="M477" s="72"/>
      <x:c r="N477" s="72"/>
    </x:row>
    <x:row r="478">
      <x:c r="C478" s="45" t="str">
        <x:f>'Path Daily'!C478</x:f>
        <x:v>P5</x:v>
      </x:c>
      <x:c r="D478" s="45" t="n">
        <x:f>'Path Daily'!D478</x:f>
        <x:v>16</x:v>
      </x:c>
      <x:c r="E478" s="53" t="n">
        <x:f>IF(D478=0,SUMIFS('Cargo Records'!$T$7:$T$70,'Cargo Records'!$J$7:$J$70,C478),0)</x:f>
        <x:v>0</x:v>
      </x:c>
      <x:c r="F478" s="53" t="n">
        <x:f>I477</x:f>
        <x:v>280206.07272727275</x:v>
      </x:c>
      <x:c r="G478" s="53" t="n">
        <x:f>'Path Daily'!M478</x:f>
        <x:v>7260</x:v>
      </x:c>
      <x:c r="H478" s="53" t="n">
        <x:f>MIN(E478+F478,G478)</x:f>
        <x:v>7260</x:v>
      </x:c>
      <x:c r="I478" s="53" t="n">
        <x:f>E478+F478-H478</x:f>
        <x:v>272946.07272727275</x:v>
      </x:c>
      <x:c r="J478" s="45" t="str">
        <x:f>IF(I478=0,"CLEAR","QUEUED")</x:f>
        <x:v>QUEUED</x:v>
      </x:c>
      <x:c r="K478" s="72"/>
      <x:c r="L478" s="72"/>
      <x:c r="M478" s="72"/>
      <x:c r="N478" s="72"/>
    </x:row>
    <x:row r="479">
      <x:c r="C479" s="45" t="str">
        <x:f>'Path Daily'!C479</x:f>
        <x:v>P5</x:v>
      </x:c>
      <x:c r="D479" s="45" t="n">
        <x:f>'Path Daily'!D479</x:f>
        <x:v>17</x:v>
      </x:c>
      <x:c r="E479" s="53" t="n">
        <x:f>IF(D479=0,SUMIFS('Cargo Records'!$T$7:$T$70,'Cargo Records'!$J$7:$J$70,C479),0)</x:f>
        <x:v>0</x:v>
      </x:c>
      <x:c r="F479" s="53" t="n">
        <x:f>I478</x:f>
        <x:v>272946.07272727275</x:v>
      </x:c>
      <x:c r="G479" s="53" t="n">
        <x:f>'Path Daily'!M479</x:f>
        <x:v>13200</x:v>
      </x:c>
      <x:c r="H479" s="53" t="n">
        <x:f>MIN(E479+F479,G479)</x:f>
        <x:v>13200</x:v>
      </x:c>
      <x:c r="I479" s="53" t="n">
        <x:f>E479+F479-H479</x:f>
        <x:v>259746.07272727275</x:v>
      </x:c>
      <x:c r="J479" s="45" t="str">
        <x:f>IF(I479=0,"CLEAR","QUEUED")</x:f>
        <x:v>QUEUED</x:v>
      </x:c>
      <x:c r="K479" s="72"/>
      <x:c r="L479" s="72"/>
      <x:c r="M479" s="72"/>
      <x:c r="N479" s="72"/>
    </x:row>
    <x:row r="480">
      <x:c r="C480" s="45" t="str">
        <x:f>'Path Daily'!C480</x:f>
        <x:v>P5</x:v>
      </x:c>
      <x:c r="D480" s="45" t="n">
        <x:f>'Path Daily'!D480</x:f>
        <x:v>18</x:v>
      </x:c>
      <x:c r="E480" s="53" t="n">
        <x:f>IF(D480=0,SUMIFS('Cargo Records'!$T$7:$T$70,'Cargo Records'!$J$7:$J$70,C480),0)</x:f>
        <x:v>0</x:v>
      </x:c>
      <x:c r="F480" s="53" t="n">
        <x:f>I479</x:f>
        <x:v>259746.07272727275</x:v>
      </x:c>
      <x:c r="G480" s="53" t="n">
        <x:f>'Path Daily'!M480</x:f>
        <x:v>13200</x:v>
      </x:c>
      <x:c r="H480" s="53" t="n">
        <x:f>MIN(E480+F480,G480)</x:f>
        <x:v>13200</x:v>
      </x:c>
      <x:c r="I480" s="53" t="n">
        <x:f>E480+F480-H480</x:f>
        <x:v>246546.07272727275</x:v>
      </x:c>
      <x:c r="J480" s="45" t="str">
        <x:f>IF(I480=0,"CLEAR","QUEUED")</x:f>
        <x:v>QUEUED</x:v>
      </x:c>
      <x:c r="K480" s="72"/>
      <x:c r="L480" s="72"/>
      <x:c r="M480" s="72"/>
      <x:c r="N480" s="72"/>
    </x:row>
    <x:row r="481">
      <x:c r="C481" s="45" t="str">
        <x:f>'Path Daily'!C481</x:f>
        <x:v>P5</x:v>
      </x:c>
      <x:c r="D481" s="45" t="n">
        <x:f>'Path Daily'!D481</x:f>
        <x:v>19</x:v>
      </x:c>
      <x:c r="E481" s="53" t="n">
        <x:f>IF(D481=0,SUMIFS('Cargo Records'!$T$7:$T$70,'Cargo Records'!$J$7:$J$70,C481),0)</x:f>
        <x:v>0</x:v>
      </x:c>
      <x:c r="F481" s="53" t="n">
        <x:f>I480</x:f>
        <x:v>246546.07272727275</x:v>
      </x:c>
      <x:c r="G481" s="53" t="n">
        <x:f>'Path Daily'!M481</x:f>
        <x:v>13200</x:v>
      </x:c>
      <x:c r="H481" s="53" t="n">
        <x:f>MIN(E481+F481,G481)</x:f>
        <x:v>13200</x:v>
      </x:c>
      <x:c r="I481" s="53" t="n">
        <x:f>E481+F481-H481</x:f>
        <x:v>233346.07272727275</x:v>
      </x:c>
      <x:c r="J481" s="45" t="str">
        <x:f>IF(I481=0,"CLEAR","QUEUED")</x:f>
        <x:v>QUEUED</x:v>
      </x:c>
      <x:c r="K481" s="72"/>
      <x:c r="L481" s="72"/>
      <x:c r="M481" s="72"/>
      <x:c r="N481" s="72"/>
    </x:row>
    <x:row r="482">
      <x:c r="C482" s="45" t="str">
        <x:f>'Path Daily'!C482</x:f>
        <x:v>P5</x:v>
      </x:c>
      <x:c r="D482" s="45" t="n">
        <x:f>'Path Daily'!D482</x:f>
        <x:v>20</x:v>
      </x:c>
      <x:c r="E482" s="53" t="n">
        <x:f>IF(D482=0,SUMIFS('Cargo Records'!$T$7:$T$70,'Cargo Records'!$J$7:$J$70,C482),0)</x:f>
        <x:v>0</x:v>
      </x:c>
      <x:c r="F482" s="53" t="n">
        <x:f>I481</x:f>
        <x:v>233346.07272727275</x:v>
      </x:c>
      <x:c r="G482" s="53" t="n">
        <x:f>'Path Daily'!M482</x:f>
        <x:v>13200</x:v>
      </x:c>
      <x:c r="H482" s="53" t="n">
        <x:f>MIN(E482+F482,G482)</x:f>
        <x:v>13200</x:v>
      </x:c>
      <x:c r="I482" s="53" t="n">
        <x:f>E482+F482-H482</x:f>
        <x:v>220146.07272727275</x:v>
      </x:c>
      <x:c r="J482" s="45" t="str">
        <x:f>IF(I482=0,"CLEAR","QUEUED")</x:f>
        <x:v>QUEUED</x:v>
      </x:c>
      <x:c r="K482" s="72"/>
      <x:c r="L482" s="72"/>
      <x:c r="M482" s="72"/>
      <x:c r="N482" s="72"/>
    </x:row>
    <x:row r="483">
      <x:c r="C483" s="45" t="str">
        <x:f>'Path Daily'!C483</x:f>
        <x:v>P5</x:v>
      </x:c>
      <x:c r="D483" s="45" t="n">
        <x:f>'Path Daily'!D483</x:f>
        <x:v>21</x:v>
      </x:c>
      <x:c r="E483" s="53" t="n">
        <x:f>IF(D483=0,SUMIFS('Cargo Records'!$T$7:$T$70,'Cargo Records'!$J$7:$J$70,C483),0)</x:f>
        <x:v>0</x:v>
      </x:c>
      <x:c r="F483" s="53" t="n">
        <x:f>I482</x:f>
        <x:v>220146.07272727275</x:v>
      </x:c>
      <x:c r="G483" s="53" t="n">
        <x:f>'Path Daily'!M483</x:f>
        <x:v>8580</x:v>
      </x:c>
      <x:c r="H483" s="53" t="n">
        <x:f>MIN(E483+F483,G483)</x:f>
        <x:v>8580</x:v>
      </x:c>
      <x:c r="I483" s="53" t="n">
        <x:f>E483+F483-H483</x:f>
        <x:v>211566.07272727275</x:v>
      </x:c>
      <x:c r="J483" s="45" t="str">
        <x:f>IF(I483=0,"CLEAR","QUEUED")</x:f>
        <x:v>QUEUED</x:v>
      </x:c>
      <x:c r="K483" s="72"/>
      <x:c r="L483" s="72"/>
      <x:c r="M483" s="72"/>
      <x:c r="N483" s="72"/>
    </x:row>
    <x:row r="484">
      <x:c r="C484" s="45" t="str">
        <x:f>'Path Daily'!C484</x:f>
        <x:v>P5</x:v>
      </x:c>
      <x:c r="D484" s="45" t="n">
        <x:f>'Path Daily'!D484</x:f>
        <x:v>22</x:v>
      </x:c>
      <x:c r="E484" s="53" t="n">
        <x:f>IF(D484=0,SUMIFS('Cargo Records'!$T$7:$T$70,'Cargo Records'!$J$7:$J$70,C484),0)</x:f>
        <x:v>0</x:v>
      </x:c>
      <x:c r="F484" s="53" t="n">
        <x:f>I483</x:f>
        <x:v>211566.07272727275</x:v>
      </x:c>
      <x:c r="G484" s="53" t="n">
        <x:f>'Path Daily'!M484</x:f>
        <x:v>13200</x:v>
      </x:c>
      <x:c r="H484" s="53" t="n">
        <x:f>MIN(E484+F484,G484)</x:f>
        <x:v>13200</x:v>
      </x:c>
      <x:c r="I484" s="53" t="n">
        <x:f>E484+F484-H484</x:f>
        <x:v>198366.07272727275</x:v>
      </x:c>
      <x:c r="J484" s="45" t="str">
        <x:f>IF(I484=0,"CLEAR","QUEUED")</x:f>
        <x:v>QUEUED</x:v>
      </x:c>
      <x:c r="K484" s="72"/>
      <x:c r="L484" s="72"/>
      <x:c r="M484" s="72"/>
      <x:c r="N484" s="72"/>
    </x:row>
    <x:row r="485">
      <x:c r="C485" s="45" t="str">
        <x:f>'Path Daily'!C485</x:f>
        <x:v>P5</x:v>
      </x:c>
      <x:c r="D485" s="45" t="n">
        <x:f>'Path Daily'!D485</x:f>
        <x:v>23</x:v>
      </x:c>
      <x:c r="E485" s="53" t="n">
        <x:f>IF(D485=0,SUMIFS('Cargo Records'!$T$7:$T$70,'Cargo Records'!$J$7:$J$70,C485),0)</x:f>
        <x:v>0</x:v>
      </x:c>
      <x:c r="F485" s="53" t="n">
        <x:f>I484</x:f>
        <x:v>198366.07272727275</x:v>
      </x:c>
      <x:c r="G485" s="53" t="n">
        <x:f>'Path Daily'!M485</x:f>
        <x:v>13200</x:v>
      </x:c>
      <x:c r="H485" s="53" t="n">
        <x:f>MIN(E485+F485,G485)</x:f>
        <x:v>13200</x:v>
      </x:c>
      <x:c r="I485" s="53" t="n">
        <x:f>E485+F485-H485</x:f>
        <x:v>185166.07272727275</x:v>
      </x:c>
      <x:c r="J485" s="45" t="str">
        <x:f>IF(I485=0,"CLEAR","QUEUED")</x:f>
        <x:v>QUEUED</x:v>
      </x:c>
      <x:c r="K485" s="72"/>
      <x:c r="L485" s="72"/>
      <x:c r="M485" s="72"/>
      <x:c r="N485" s="72"/>
    </x:row>
    <x:row r="486">
      <x:c r="C486" s="45" t="str">
        <x:f>'Path Daily'!C486</x:f>
        <x:v>P5</x:v>
      </x:c>
      <x:c r="D486" s="45" t="n">
        <x:f>'Path Daily'!D486</x:f>
        <x:v>24</x:v>
      </x:c>
      <x:c r="E486" s="53" t="n">
        <x:f>IF(D486=0,SUMIFS('Cargo Records'!$T$7:$T$70,'Cargo Records'!$J$7:$J$70,C486),0)</x:f>
        <x:v>0</x:v>
      </x:c>
      <x:c r="F486" s="53" t="n">
        <x:f>I485</x:f>
        <x:v>185166.07272727275</x:v>
      </x:c>
      <x:c r="G486" s="53" t="n">
        <x:f>'Path Daily'!M486</x:f>
        <x:v>13200</x:v>
      </x:c>
      <x:c r="H486" s="53" t="n">
        <x:f>MIN(E486+F486,G486)</x:f>
        <x:v>13200</x:v>
      </x:c>
      <x:c r="I486" s="53" t="n">
        <x:f>E486+F486-H486</x:f>
        <x:v>171966.07272727275</x:v>
      </x:c>
      <x:c r="J486" s="45" t="str">
        <x:f>IF(I486=0,"CLEAR","QUEUED")</x:f>
        <x:v>QUEUED</x:v>
      </x:c>
      <x:c r="K486" s="72"/>
      <x:c r="L486" s="72"/>
      <x:c r="M486" s="72"/>
      <x:c r="N486" s="72"/>
    </x:row>
    <x:row r="487">
      <x:c r="C487" s="45" t="str">
        <x:f>'Path Daily'!C487</x:f>
        <x:v>P5</x:v>
      </x:c>
      <x:c r="D487" s="45" t="n">
        <x:f>'Path Daily'!D487</x:f>
        <x:v>25</x:v>
      </x:c>
      <x:c r="E487" s="53" t="n">
        <x:f>IF(D487=0,SUMIFS('Cargo Records'!$T$7:$T$70,'Cargo Records'!$J$7:$J$70,C487),0)</x:f>
        <x:v>0</x:v>
      </x:c>
      <x:c r="F487" s="53" t="n">
        <x:f>I486</x:f>
        <x:v>171966.07272727275</x:v>
      </x:c>
      <x:c r="G487" s="53" t="n">
        <x:f>'Path Daily'!M487</x:f>
        <x:v>13200</x:v>
      </x:c>
      <x:c r="H487" s="53" t="n">
        <x:f>MIN(E487+F487,G487)</x:f>
        <x:v>13200</x:v>
      </x:c>
      <x:c r="I487" s="53" t="n">
        <x:f>E487+F487-H487</x:f>
        <x:v>158766.07272727275</x:v>
      </x:c>
      <x:c r="J487" s="45" t="str">
        <x:f>IF(I487=0,"CLEAR","QUEUED")</x:f>
        <x:v>QUEUED</x:v>
      </x:c>
      <x:c r="K487" s="72"/>
      <x:c r="L487" s="72"/>
      <x:c r="M487" s="72"/>
      <x:c r="N487" s="72"/>
    </x:row>
    <x:row r="488">
      <x:c r="C488" s="45" t="str">
        <x:f>'Path Daily'!C488</x:f>
        <x:v>P5</x:v>
      </x:c>
      <x:c r="D488" s="45" t="n">
        <x:f>'Path Daily'!D488</x:f>
        <x:v>26</x:v>
      </x:c>
      <x:c r="E488" s="53" t="n">
        <x:f>IF(D488=0,SUMIFS('Cargo Records'!$T$7:$T$70,'Cargo Records'!$J$7:$J$70,C488),0)</x:f>
        <x:v>0</x:v>
      </x:c>
      <x:c r="F488" s="53" t="n">
        <x:f>I487</x:f>
        <x:v>158766.07272727275</x:v>
      </x:c>
      <x:c r="G488" s="53" t="n">
        <x:f>'Path Daily'!M488</x:f>
        <x:v>13200</x:v>
      </x:c>
      <x:c r="H488" s="53" t="n">
        <x:f>MIN(E488+F488,G488)</x:f>
        <x:v>13200</x:v>
      </x:c>
      <x:c r="I488" s="53" t="n">
        <x:f>E488+F488-H488</x:f>
        <x:v>145566.07272727275</x:v>
      </x:c>
      <x:c r="J488" s="45" t="str">
        <x:f>IF(I488=0,"CLEAR","QUEUED")</x:f>
        <x:v>QUEUED</x:v>
      </x:c>
      <x:c r="K488" s="72"/>
      <x:c r="L488" s="72"/>
      <x:c r="M488" s="72"/>
      <x:c r="N488" s="72"/>
    </x:row>
    <x:row r="489">
      <x:c r="C489" s="45" t="str">
        <x:f>'Path Daily'!C489</x:f>
        <x:v>P5</x:v>
      </x:c>
      <x:c r="D489" s="45" t="n">
        <x:f>'Path Daily'!D489</x:f>
        <x:v>27</x:v>
      </x:c>
      <x:c r="E489" s="53" t="n">
        <x:f>IF(D489=0,SUMIFS('Cargo Records'!$T$7:$T$70,'Cargo Records'!$J$7:$J$70,C489),0)</x:f>
        <x:v>0</x:v>
      </x:c>
      <x:c r="F489" s="53" t="n">
        <x:f>I488</x:f>
        <x:v>145566.07272727275</x:v>
      </x:c>
      <x:c r="G489" s="53" t="n">
        <x:f>'Path Daily'!M489</x:f>
        <x:v>13200</x:v>
      </x:c>
      <x:c r="H489" s="53" t="n">
        <x:f>MIN(E489+F489,G489)</x:f>
        <x:v>13200</x:v>
      </x:c>
      <x:c r="I489" s="53" t="n">
        <x:f>E489+F489-H489</x:f>
        <x:v>132366.07272727275</x:v>
      </x:c>
      <x:c r="J489" s="45" t="str">
        <x:f>IF(I489=0,"CLEAR","QUEUED")</x:f>
        <x:v>QUEUED</x:v>
      </x:c>
      <x:c r="K489" s="72"/>
      <x:c r="L489" s="72"/>
      <x:c r="M489" s="72"/>
      <x:c r="N489" s="72"/>
    </x:row>
    <x:row r="490">
      <x:c r="C490" s="45" t="str">
        <x:f>'Path Daily'!C490</x:f>
        <x:v>P5</x:v>
      </x:c>
      <x:c r="D490" s="45" t="n">
        <x:f>'Path Daily'!D490</x:f>
        <x:v>28</x:v>
      </x:c>
      <x:c r="E490" s="53" t="n">
        <x:f>IF(D490=0,SUMIFS('Cargo Records'!$T$7:$T$70,'Cargo Records'!$J$7:$J$70,C490),0)</x:f>
        <x:v>0</x:v>
      </x:c>
      <x:c r="F490" s="53" t="n">
        <x:f>I489</x:f>
        <x:v>132366.07272727275</x:v>
      </x:c>
      <x:c r="G490" s="53" t="n">
        <x:f>'Path Daily'!M490</x:f>
        <x:v>13200</x:v>
      </x:c>
      <x:c r="H490" s="53" t="n">
        <x:f>MIN(E490+F490,G490)</x:f>
        <x:v>13200</x:v>
      </x:c>
      <x:c r="I490" s="53" t="n">
        <x:f>E490+F490-H490</x:f>
        <x:v>119166.07272727275</x:v>
      </x:c>
      <x:c r="J490" s="45" t="str">
        <x:f>IF(I490=0,"CLEAR","QUEUED")</x:f>
        <x:v>QUEUED</x:v>
      </x:c>
      <x:c r="K490" s="72"/>
      <x:c r="L490" s="72"/>
      <x:c r="M490" s="72"/>
      <x:c r="N490" s="72"/>
    </x:row>
    <x:row r="491">
      <x:c r="C491" s="45" t="str">
        <x:f>'Path Daily'!C491</x:f>
        <x:v>P5</x:v>
      </x:c>
      <x:c r="D491" s="45" t="n">
        <x:f>'Path Daily'!D491</x:f>
        <x:v>29</x:v>
      </x:c>
      <x:c r="E491" s="53" t="n">
        <x:f>IF(D491=0,SUMIFS('Cargo Records'!$T$7:$T$70,'Cargo Records'!$J$7:$J$70,C491),0)</x:f>
        <x:v>0</x:v>
      </x:c>
      <x:c r="F491" s="53" t="n">
        <x:f>I490</x:f>
        <x:v>119166.07272727275</x:v>
      </x:c>
      <x:c r="G491" s="53" t="n">
        <x:f>'Path Daily'!M491</x:f>
        <x:v>13200</x:v>
      </x:c>
      <x:c r="H491" s="53" t="n">
        <x:f>MIN(E491+F491,G491)</x:f>
        <x:v>13200</x:v>
      </x:c>
      <x:c r="I491" s="53" t="n">
        <x:f>E491+F491-H491</x:f>
        <x:v>105966.07272727275</x:v>
      </x:c>
      <x:c r="J491" s="45" t="str">
        <x:f>IF(I491=0,"CLEAR","QUEUED")</x:f>
        <x:v>QUEUED</x:v>
      </x:c>
      <x:c r="K491" s="72"/>
      <x:c r="L491" s="72"/>
      <x:c r="M491" s="72"/>
      <x:c r="N491" s="72"/>
    </x:row>
    <x:row r="492">
      <x:c r="C492" s="45" t="str">
        <x:f>'Path Daily'!C492</x:f>
        <x:v>P5</x:v>
      </x:c>
      <x:c r="D492" s="45" t="n">
        <x:f>'Path Daily'!D492</x:f>
        <x:v>30</x:v>
      </x:c>
      <x:c r="E492" s="53" t="n">
        <x:f>IF(D492=0,SUMIFS('Cargo Records'!$T$7:$T$70,'Cargo Records'!$J$7:$J$70,C492),0)</x:f>
        <x:v>0</x:v>
      </x:c>
      <x:c r="F492" s="53" t="n">
        <x:f>I491</x:f>
        <x:v>105966.07272727275</x:v>
      </x:c>
      <x:c r="G492" s="53" t="n">
        <x:f>'Path Daily'!M492</x:f>
        <x:v>13200</x:v>
      </x:c>
      <x:c r="H492" s="53" t="n">
        <x:f>MIN(E492+F492,G492)</x:f>
        <x:v>13200</x:v>
      </x:c>
      <x:c r="I492" s="53" t="n">
        <x:f>E492+F492-H492</x:f>
        <x:v>92766.07272727275</x:v>
      </x:c>
      <x:c r="J492" s="45" t="str">
        <x:f>IF(I492=0,"CLEAR","QUEUED")</x:f>
        <x:v>QUEUED</x:v>
      </x:c>
      <x:c r="K492" s="72"/>
      <x:c r="L492" s="72"/>
      <x:c r="M492" s="72"/>
      <x:c r="N492" s="72"/>
    </x:row>
    <x:row r="493">
      <x:c r="C493" s="45" t="str">
        <x:f>'Path Daily'!C493</x:f>
        <x:v>P5</x:v>
      </x:c>
      <x:c r="D493" s="45" t="n">
        <x:f>'Path Daily'!D493</x:f>
        <x:v>31</x:v>
      </x:c>
      <x:c r="E493" s="53" t="n">
        <x:f>IF(D493=0,SUMIFS('Cargo Records'!$T$7:$T$70,'Cargo Records'!$J$7:$J$70,C493),0)</x:f>
        <x:v>0</x:v>
      </x:c>
      <x:c r="F493" s="53" t="n">
        <x:f>I492</x:f>
        <x:v>92766.07272727275</x:v>
      </x:c>
      <x:c r="G493" s="53" t="n">
        <x:f>'Path Daily'!M493</x:f>
        <x:v>13200</x:v>
      </x:c>
      <x:c r="H493" s="53" t="n">
        <x:f>MIN(E493+F493,G493)</x:f>
        <x:v>13200</x:v>
      </x:c>
      <x:c r="I493" s="53" t="n">
        <x:f>E493+F493-H493</x:f>
        <x:v>79566.07272727275</x:v>
      </x:c>
      <x:c r="J493" s="45" t="str">
        <x:f>IF(I493=0,"CLEAR","QUEUED")</x:f>
        <x:v>QUEUED</x:v>
      </x:c>
      <x:c r="K493" s="72"/>
      <x:c r="L493" s="72"/>
      <x:c r="M493" s="72"/>
      <x:c r="N493" s="72"/>
    </x:row>
    <x:row r="494">
      <x:c r="C494" s="45" t="str">
        <x:f>'Path Daily'!C494</x:f>
        <x:v>P5</x:v>
      </x:c>
      <x:c r="D494" s="45" t="n">
        <x:f>'Path Daily'!D494</x:f>
        <x:v>32</x:v>
      </x:c>
      <x:c r="E494" s="53" t="n">
        <x:f>IF(D494=0,SUMIFS('Cargo Records'!$T$7:$T$70,'Cargo Records'!$J$7:$J$70,C494),0)</x:f>
        <x:v>0</x:v>
      </x:c>
      <x:c r="F494" s="53" t="n">
        <x:f>I493</x:f>
        <x:v>79566.07272727275</x:v>
      </x:c>
      <x:c r="G494" s="53" t="n">
        <x:f>'Path Daily'!M494</x:f>
        <x:v>13200</x:v>
      </x:c>
      <x:c r="H494" s="53" t="n">
        <x:f>MIN(E494+F494,G494)</x:f>
        <x:v>13200</x:v>
      </x:c>
      <x:c r="I494" s="53" t="n">
        <x:f>E494+F494-H494</x:f>
        <x:v>66366.07272727275</x:v>
      </x:c>
      <x:c r="J494" s="45" t="str">
        <x:f>IF(I494=0,"CLEAR","QUEUED")</x:f>
        <x:v>QUEUED</x:v>
      </x:c>
      <x:c r="K494" s="72"/>
      <x:c r="L494" s="72"/>
      <x:c r="M494" s="72"/>
      <x:c r="N494" s="72"/>
    </x:row>
    <x:row r="495">
      <x:c r="C495" s="45" t="str">
        <x:f>'Path Daily'!C495</x:f>
        <x:v>P5</x:v>
      </x:c>
      <x:c r="D495" s="45" t="n">
        <x:f>'Path Daily'!D495</x:f>
        <x:v>33</x:v>
      </x:c>
      <x:c r="E495" s="53" t="n">
        <x:f>IF(D495=0,SUMIFS('Cargo Records'!$T$7:$T$70,'Cargo Records'!$J$7:$J$70,C495),0)</x:f>
        <x:v>0</x:v>
      </x:c>
      <x:c r="F495" s="53" t="n">
        <x:f>I494</x:f>
        <x:v>66366.07272727275</x:v>
      </x:c>
      <x:c r="G495" s="53" t="n">
        <x:f>'Path Daily'!M495</x:f>
        <x:v>13200</x:v>
      </x:c>
      <x:c r="H495" s="53" t="n">
        <x:f>MIN(E495+F495,G495)</x:f>
        <x:v>13200</x:v>
      </x:c>
      <x:c r="I495" s="53" t="n">
        <x:f>E495+F495-H495</x:f>
        <x:v>53166.07272727275</x:v>
      </x:c>
      <x:c r="J495" s="45" t="str">
        <x:f>IF(I495=0,"CLEAR","QUEUED")</x:f>
        <x:v>QUEUED</x:v>
      </x:c>
      <x:c r="K495" s="72"/>
      <x:c r="L495" s="72"/>
      <x:c r="M495" s="72"/>
      <x:c r="N495" s="72"/>
    </x:row>
    <x:row r="496">
      <x:c r="C496" s="45" t="str">
        <x:f>'Path Daily'!C496</x:f>
        <x:v>P5</x:v>
      </x:c>
      <x:c r="D496" s="45" t="n">
        <x:f>'Path Daily'!D496</x:f>
        <x:v>34</x:v>
      </x:c>
      <x:c r="E496" s="53" t="n">
        <x:f>IF(D496=0,SUMIFS('Cargo Records'!$T$7:$T$70,'Cargo Records'!$J$7:$J$70,C496),0)</x:f>
        <x:v>0</x:v>
      </x:c>
      <x:c r="F496" s="53" t="n">
        <x:f>I495</x:f>
        <x:v>53166.07272727275</x:v>
      </x:c>
      <x:c r="G496" s="53" t="n">
        <x:f>'Path Daily'!M496</x:f>
        <x:v>7260</x:v>
      </x:c>
      <x:c r="H496" s="53" t="n">
        <x:f>MIN(E496+F496,G496)</x:f>
        <x:v>7260</x:v>
      </x:c>
      <x:c r="I496" s="53" t="n">
        <x:f>E496+F496-H496</x:f>
        <x:v>45906.07272727275</x:v>
      </x:c>
      <x:c r="J496" s="45" t="str">
        <x:f>IF(I496=0,"CLEAR","QUEUED")</x:f>
        <x:v>QUEUED</x:v>
      </x:c>
      <x:c r="K496" s="72"/>
      <x:c r="L496" s="72"/>
      <x:c r="M496" s="72"/>
      <x:c r="N496" s="72"/>
    </x:row>
    <x:row r="497">
      <x:c r="C497" s="45" t="str">
        <x:f>'Path Daily'!C497</x:f>
        <x:v>P5</x:v>
      </x:c>
      <x:c r="D497" s="45" t="n">
        <x:f>'Path Daily'!D497</x:f>
        <x:v>35</x:v>
      </x:c>
      <x:c r="E497" s="53" t="n">
        <x:f>IF(D497=0,SUMIFS('Cargo Records'!$T$7:$T$70,'Cargo Records'!$J$7:$J$70,C497),0)</x:f>
        <x:v>0</x:v>
      </x:c>
      <x:c r="F497" s="53" t="n">
        <x:f>I496</x:f>
        <x:v>45906.07272727275</x:v>
      </x:c>
      <x:c r="G497" s="53" t="n">
        <x:f>'Path Daily'!M497</x:f>
        <x:v>7260</x:v>
      </x:c>
      <x:c r="H497" s="53" t="n">
        <x:f>MIN(E497+F497,G497)</x:f>
        <x:v>7260</x:v>
      </x:c>
      <x:c r="I497" s="53" t="n">
        <x:f>E497+F497-H497</x:f>
        <x:v>38646.07272727275</x:v>
      </x:c>
      <x:c r="J497" s="45" t="str">
        <x:f>IF(I497=0,"CLEAR","QUEUED")</x:f>
        <x:v>QUEUED</x:v>
      </x:c>
      <x:c r="K497" s="72"/>
      <x:c r="L497" s="72"/>
      <x:c r="M497" s="72"/>
      <x:c r="N497" s="72"/>
    </x:row>
    <x:row r="498">
      <x:c r="C498" s="45" t="str">
        <x:f>'Path Daily'!C498</x:f>
        <x:v>P5</x:v>
      </x:c>
      <x:c r="D498" s="45" t="n">
        <x:f>'Path Daily'!D498</x:f>
        <x:v>36</x:v>
      </x:c>
      <x:c r="E498" s="53" t="n">
        <x:f>IF(D498=0,SUMIFS('Cargo Records'!$T$7:$T$70,'Cargo Records'!$J$7:$J$70,C498),0)</x:f>
        <x:v>0</x:v>
      </x:c>
      <x:c r="F498" s="53" t="n">
        <x:f>I497</x:f>
        <x:v>38646.07272727275</x:v>
      </x:c>
      <x:c r="G498" s="53" t="n">
        <x:f>'Path Daily'!M498</x:f>
        <x:v>13200</x:v>
      </x:c>
      <x:c r="H498" s="53" t="n">
        <x:f>MIN(E498+F498,G498)</x:f>
        <x:v>13200</x:v>
      </x:c>
      <x:c r="I498" s="53" t="n">
        <x:f>E498+F498-H498</x:f>
        <x:v>25446.072727272753</x:v>
      </x:c>
      <x:c r="J498" s="45" t="str">
        <x:f>IF(I498=0,"CLEAR","QUEUED")</x:f>
        <x:v>QUEUED</x:v>
      </x:c>
      <x:c r="K498" s="72"/>
      <x:c r="L498" s="72"/>
      <x:c r="M498" s="72"/>
      <x:c r="N498" s="72"/>
    </x:row>
    <x:row r="499">
      <x:c r="C499" s="45" t="str">
        <x:f>'Path Daily'!C499</x:f>
        <x:v>P5</x:v>
      </x:c>
      <x:c r="D499" s="45" t="n">
        <x:f>'Path Daily'!D499</x:f>
        <x:v>37</x:v>
      </x:c>
      <x:c r="E499" s="53" t="n">
        <x:f>IF(D499=0,SUMIFS('Cargo Records'!$T$7:$T$70,'Cargo Records'!$J$7:$J$70,C499),0)</x:f>
        <x:v>0</x:v>
      </x:c>
      <x:c r="F499" s="53" t="n">
        <x:f>I498</x:f>
        <x:v>25446.072727272753</x:v>
      </x:c>
      <x:c r="G499" s="53" t="n">
        <x:f>'Path Daily'!M499</x:f>
        <x:v>13200</x:v>
      </x:c>
      <x:c r="H499" s="53" t="n">
        <x:f>MIN(E499+F499,G499)</x:f>
        <x:v>13200</x:v>
      </x:c>
      <x:c r="I499" s="53" t="n">
        <x:f>E499+F499-H499</x:f>
        <x:v>12246.072727272753</x:v>
      </x:c>
      <x:c r="J499" s="45" t="str">
        <x:f>IF(I499=0,"CLEAR","QUEUED")</x:f>
        <x:v>QUEUED</x:v>
      </x:c>
      <x:c r="K499" s="72"/>
      <x:c r="L499" s="72"/>
      <x:c r="M499" s="72"/>
      <x:c r="N499" s="72"/>
    </x:row>
    <x:row r="500">
      <x:c r="C500" s="45" t="str">
        <x:f>'Path Daily'!C500</x:f>
        <x:v>P5</x:v>
      </x:c>
      <x:c r="D500" s="45" t="n">
        <x:f>'Path Daily'!D500</x:f>
        <x:v>38</x:v>
      </x:c>
      <x:c r="E500" s="53" t="n">
        <x:f>IF(D500=0,SUMIFS('Cargo Records'!$T$7:$T$70,'Cargo Records'!$J$7:$J$70,C500),0)</x:f>
        <x:v>0</x:v>
      </x:c>
      <x:c r="F500" s="53" t="n">
        <x:f>I499</x:f>
        <x:v>12246.072727272753</x:v>
      </x:c>
      <x:c r="G500" s="53" t="n">
        <x:f>'Path Daily'!M500</x:f>
        <x:v>13200</x:v>
      </x:c>
      <x:c r="H500" s="53" t="n">
        <x:f>MIN(E500+F500,G500)</x:f>
        <x:v>12246.072727272753</x:v>
      </x:c>
      <x:c r="I500" s="53" t="n">
        <x:f>E500+F500-H500</x:f>
        <x:v>0</x:v>
      </x:c>
      <x:c r="J500" s="45" t="str">
        <x:f>IF(I500=0,"CLEAR","QUEUED")</x:f>
        <x:v>CLEAR</x:v>
      </x:c>
      <x:c r="K500" s="72"/>
      <x:c r="L500" s="72"/>
      <x:c r="M500" s="72"/>
      <x:c r="N500" s="72"/>
    </x:row>
    <x:row r="501">
      <x:c r="C501" s="45" t="str">
        <x:f>'Path Daily'!C501</x:f>
        <x:v>P5</x:v>
      </x:c>
      <x:c r="D501" s="45" t="n">
        <x:f>'Path Daily'!D501</x:f>
        <x:v>39</x:v>
      </x:c>
      <x:c r="E501" s="53" t="n">
        <x:f>IF(D501=0,SUMIFS('Cargo Records'!$T$7:$T$70,'Cargo Records'!$J$7:$J$70,C501),0)</x:f>
        <x:v>0</x:v>
      </x:c>
      <x:c r="F501" s="53" t="n">
        <x:f>I500</x:f>
        <x:v>0</x:v>
      </x:c>
      <x:c r="G501" s="53" t="n">
        <x:f>'Path Daily'!M501</x:f>
        <x:v>13200</x:v>
      </x:c>
      <x:c r="H501" s="53" t="n">
        <x:f>MIN(E501+F501,G501)</x:f>
        <x:v>0</x:v>
      </x:c>
      <x:c r="I501" s="53" t="n">
        <x:f>E501+F501-H501</x:f>
        <x:v>0</x:v>
      </x:c>
      <x:c r="J501" s="45" t="str">
        <x:f>IF(I501=0,"CLEAR","QUEUED")</x:f>
        <x:v>CLEAR</x:v>
      </x:c>
      <x:c r="K501" s="72"/>
      <x:c r="L501" s="72"/>
      <x:c r="M501" s="72"/>
      <x:c r="N501" s="72"/>
    </x:row>
    <x:row r="502">
      <x:c r="C502" s="45" t="str">
        <x:f>'Path Daily'!C502</x:f>
        <x:v>P5</x:v>
      </x:c>
      <x:c r="D502" s="45" t="n">
        <x:f>'Path Daily'!D502</x:f>
        <x:v>40</x:v>
      </x:c>
      <x:c r="E502" s="53" t="n">
        <x:f>IF(D502=0,SUMIFS('Cargo Records'!$T$7:$T$70,'Cargo Records'!$J$7:$J$70,C502),0)</x:f>
        <x:v>0</x:v>
      </x:c>
      <x:c r="F502" s="53" t="n">
        <x:f>I501</x:f>
        <x:v>0</x:v>
      </x:c>
      <x:c r="G502" s="53" t="n">
        <x:f>'Path Daily'!M502</x:f>
        <x:v>13200</x:v>
      </x:c>
      <x:c r="H502" s="53" t="n">
        <x:f>MIN(E502+F502,G502)</x:f>
        <x:v>0</x:v>
      </x:c>
      <x:c r="I502" s="53" t="n">
        <x:f>E502+F502-H502</x:f>
        <x:v>0</x:v>
      </x:c>
      <x:c r="J502" s="45" t="str">
        <x:f>IF(I502=0,"CLEAR","QUEUED")</x:f>
        <x:v>CLEAR</x:v>
      </x:c>
      <x:c r="K502" s="72"/>
      <x:c r="L502" s="72"/>
      <x:c r="M502" s="72"/>
      <x:c r="N502" s="72"/>
    </x:row>
    <x:row r="503">
      <x:c r="C503" s="45" t="str">
        <x:f>'Path Daily'!C503</x:f>
        <x:v>P5</x:v>
      </x:c>
      <x:c r="D503" s="45" t="n">
        <x:f>'Path Daily'!D503</x:f>
        <x:v>41</x:v>
      </x:c>
      <x:c r="E503" s="53" t="n">
        <x:f>IF(D503=0,SUMIFS('Cargo Records'!$T$7:$T$70,'Cargo Records'!$J$7:$J$70,C503),0)</x:f>
        <x:v>0</x:v>
      </x:c>
      <x:c r="F503" s="53" t="n">
        <x:f>I502</x:f>
        <x:v>0</x:v>
      </x:c>
      <x:c r="G503" s="53" t="n">
        <x:f>'Path Daily'!M503</x:f>
        <x:v>13200</x:v>
      </x:c>
      <x:c r="H503" s="53" t="n">
        <x:f>MIN(E503+F503,G503)</x:f>
        <x:v>0</x:v>
      </x:c>
      <x:c r="I503" s="53" t="n">
        <x:f>E503+F503-H503</x:f>
        <x:v>0</x:v>
      </x:c>
      <x:c r="J503" s="45" t="str">
        <x:f>IF(I503=0,"CLEAR","QUEUED")</x:f>
        <x:v>CLEAR</x:v>
      </x:c>
      <x:c r="K503" s="72"/>
      <x:c r="L503" s="72"/>
      <x:c r="M503" s="72"/>
      <x:c r="N503" s="72"/>
    </x:row>
    <x:row r="504">
      <x:c r="C504" s="45" t="str">
        <x:f>'Path Daily'!C504</x:f>
        <x:v>P5</x:v>
      </x:c>
      <x:c r="D504" s="45" t="n">
        <x:f>'Path Daily'!D504</x:f>
        <x:v>42</x:v>
      </x:c>
      <x:c r="E504" s="53" t="n">
        <x:f>IF(D504=0,SUMIFS('Cargo Records'!$T$7:$T$70,'Cargo Records'!$J$7:$J$70,C504),0)</x:f>
        <x:v>0</x:v>
      </x:c>
      <x:c r="F504" s="53" t="n">
        <x:f>I503</x:f>
        <x:v>0</x:v>
      </x:c>
      <x:c r="G504" s="53" t="n">
        <x:f>'Path Daily'!M504</x:f>
        <x:v>13200</x:v>
      </x:c>
      <x:c r="H504" s="53" t="n">
        <x:f>MIN(E504+F504,G504)</x:f>
        <x:v>0</x:v>
      </x:c>
      <x:c r="I504" s="53" t="n">
        <x:f>E504+F504-H504</x:f>
        <x:v>0</x:v>
      </x:c>
      <x:c r="J504" s="45" t="str">
        <x:f>IF(I504=0,"CLEAR","QUEUED")</x:f>
        <x:v>CLEAR</x:v>
      </x:c>
      <x:c r="K504" s="72"/>
      <x:c r="L504" s="72"/>
      <x:c r="M504" s="72"/>
      <x:c r="N504" s="72"/>
    </x:row>
    <x:row r="505">
      <x:c r="C505" s="45" t="str">
        <x:f>'Path Daily'!C505</x:f>
        <x:v>P5</x:v>
      </x:c>
      <x:c r="D505" s="45" t="n">
        <x:f>'Path Daily'!D505</x:f>
        <x:v>43</x:v>
      </x:c>
      <x:c r="E505" s="53" t="n">
        <x:f>IF(D505=0,SUMIFS('Cargo Records'!$T$7:$T$70,'Cargo Records'!$J$7:$J$70,C505),0)</x:f>
        <x:v>0</x:v>
      </x:c>
      <x:c r="F505" s="53" t="n">
        <x:f>I504</x:f>
        <x:v>0</x:v>
      </x:c>
      <x:c r="G505" s="53" t="n">
        <x:f>'Path Daily'!M505</x:f>
        <x:v>13200</x:v>
      </x:c>
      <x:c r="H505" s="53" t="n">
        <x:f>MIN(E505+F505,G505)</x:f>
        <x:v>0</x:v>
      </x:c>
      <x:c r="I505" s="53" t="n">
        <x:f>E505+F505-H505</x:f>
        <x:v>0</x:v>
      </x:c>
      <x:c r="J505" s="45" t="str">
        <x:f>IF(I505=0,"CLEAR","QUEUED")</x:f>
        <x:v>CLEAR</x:v>
      </x:c>
      <x:c r="K505" s="72"/>
      <x:c r="L505" s="72"/>
      <x:c r="M505" s="72"/>
      <x:c r="N505" s="72"/>
    </x:row>
    <x:row r="506">
      <x:c r="C506" s="45" t="str">
        <x:f>'Path Daily'!C506</x:f>
        <x:v>P5</x:v>
      </x:c>
      <x:c r="D506" s="45" t="n">
        <x:f>'Path Daily'!D506</x:f>
        <x:v>44</x:v>
      </x:c>
      <x:c r="E506" s="53" t="n">
        <x:f>IF(D506=0,SUMIFS('Cargo Records'!$T$7:$T$70,'Cargo Records'!$J$7:$J$70,C506),0)</x:f>
        <x:v>0</x:v>
      </x:c>
      <x:c r="F506" s="53" t="n">
        <x:f>I505</x:f>
        <x:v>0</x:v>
      </x:c>
      <x:c r="G506" s="53" t="n">
        <x:f>'Path Daily'!M506</x:f>
        <x:v>13200</x:v>
      </x:c>
      <x:c r="H506" s="53" t="n">
        <x:f>MIN(E506+F506,G506)</x:f>
        <x:v>0</x:v>
      </x:c>
      <x:c r="I506" s="53" t="n">
        <x:f>E506+F506-H506</x:f>
        <x:v>0</x:v>
      </x:c>
      <x:c r="J506" s="45" t="str">
        <x:f>IF(I506=0,"CLEAR","QUEUED")</x:f>
        <x:v>CLEAR</x:v>
      </x:c>
      <x:c r="K506" s="72"/>
      <x:c r="L506" s="72"/>
      <x:c r="M506" s="72"/>
      <x:c r="N506" s="72"/>
    </x:row>
    <x:row r="507">
      <x:c r="C507" s="45" t="str">
        <x:f>'Path Daily'!C507</x:f>
        <x:v>P5</x:v>
      </x:c>
      <x:c r="D507" s="45" t="n">
        <x:f>'Path Daily'!D507</x:f>
        <x:v>45</x:v>
      </x:c>
      <x:c r="E507" s="53" t="n">
        <x:f>IF(D507=0,SUMIFS('Cargo Records'!$T$7:$T$70,'Cargo Records'!$J$7:$J$70,C507),0)</x:f>
        <x:v>0</x:v>
      </x:c>
      <x:c r="F507" s="53" t="n">
        <x:f>I506</x:f>
        <x:v>0</x:v>
      </x:c>
      <x:c r="G507" s="53" t="n">
        <x:f>'Path Daily'!M507</x:f>
        <x:v>13200</x:v>
      </x:c>
      <x:c r="H507" s="53" t="n">
        <x:f>MIN(E507+F507,G507)</x:f>
        <x:v>0</x:v>
      </x:c>
      <x:c r="I507" s="53" t="n">
        <x:f>E507+F507-H507</x:f>
        <x:v>0</x:v>
      </x:c>
      <x:c r="J507" s="45" t="str">
        <x:f>IF(I507=0,"CLEAR","QUEUED")</x:f>
        <x:v>CLEAR</x:v>
      </x:c>
      <x:c r="K507" s="72"/>
      <x:c r="L507" s="72"/>
      <x:c r="M507" s="72"/>
      <x:c r="N507" s="72"/>
    </x:row>
    <x:row r="508">
      <x:c r="C508" s="45" t="str">
        <x:f>'Path Daily'!C508</x:f>
        <x:v>P5</x:v>
      </x:c>
      <x:c r="D508" s="45" t="n">
        <x:f>'Path Daily'!D508</x:f>
        <x:v>46</x:v>
      </x:c>
      <x:c r="E508" s="53" t="n">
        <x:f>IF(D508=0,SUMIFS('Cargo Records'!$T$7:$T$70,'Cargo Records'!$J$7:$J$70,C508),0)</x:f>
        <x:v>0</x:v>
      </x:c>
      <x:c r="F508" s="53" t="n">
        <x:f>I507</x:f>
        <x:v>0</x:v>
      </x:c>
      <x:c r="G508" s="53" t="n">
        <x:f>'Path Daily'!M508</x:f>
        <x:v>5148</x:v>
      </x:c>
      <x:c r="H508" s="53" t="n">
        <x:f>MIN(E508+F508,G508)</x:f>
        <x:v>0</x:v>
      </x:c>
      <x:c r="I508" s="53" t="n">
        <x:f>E508+F508-H508</x:f>
        <x:v>0</x:v>
      </x:c>
      <x:c r="J508" s="45" t="str">
        <x:f>IF(I508=0,"CLEAR","QUEUED")</x:f>
        <x:v>CLEAR</x:v>
      </x:c>
      <x:c r="K508" s="72"/>
      <x:c r="L508" s="72"/>
      <x:c r="M508" s="72"/>
      <x:c r="N508" s="72"/>
    </x:row>
    <x:row r="509">
      <x:c r="C509" s="45" t="str">
        <x:f>'Path Daily'!C509</x:f>
        <x:v>P5</x:v>
      </x:c>
      <x:c r="D509" s="45" t="n">
        <x:f>'Path Daily'!D509</x:f>
        <x:v>47</x:v>
      </x:c>
      <x:c r="E509" s="53" t="n">
        <x:f>IF(D509=0,SUMIFS('Cargo Records'!$T$7:$T$70,'Cargo Records'!$J$7:$J$70,C509),0)</x:f>
        <x:v>0</x:v>
      </x:c>
      <x:c r="F509" s="53" t="n">
        <x:f>I508</x:f>
        <x:v>0</x:v>
      </x:c>
      <x:c r="G509" s="53" t="n">
        <x:f>'Path Daily'!M509</x:f>
        <x:v>7920</x:v>
      </x:c>
      <x:c r="H509" s="53" t="n">
        <x:f>MIN(E509+F509,G509)</x:f>
        <x:v>0</x:v>
      </x:c>
      <x:c r="I509" s="53" t="n">
        <x:f>E509+F509-H509</x:f>
        <x:v>0</x:v>
      </x:c>
      <x:c r="J509" s="45" t="str">
        <x:f>IF(I509=0,"CLEAR","QUEUED")</x:f>
        <x:v>CLEAR</x:v>
      </x:c>
      <x:c r="K509" s="72"/>
      <x:c r="L509" s="72"/>
      <x:c r="M509" s="72"/>
      <x:c r="N509" s="72"/>
    </x:row>
    <x:row r="510">
      <x:c r="C510" s="45" t="str">
        <x:f>'Path Daily'!C510</x:f>
        <x:v>P5</x:v>
      </x:c>
      <x:c r="D510" s="45" t="n">
        <x:f>'Path Daily'!D510</x:f>
        <x:v>48</x:v>
      </x:c>
      <x:c r="E510" s="53" t="n">
        <x:f>IF(D510=0,SUMIFS('Cargo Records'!$T$7:$T$70,'Cargo Records'!$J$7:$J$70,C510),0)</x:f>
        <x:v>0</x:v>
      </x:c>
      <x:c r="F510" s="53" t="n">
        <x:f>I509</x:f>
        <x:v>0</x:v>
      </x:c>
      <x:c r="G510" s="53" t="n">
        <x:f>'Path Daily'!M510</x:f>
        <x:v>7920</x:v>
      </x:c>
      <x:c r="H510" s="53" t="n">
        <x:f>MIN(E510+F510,G510)</x:f>
        <x:v>0</x:v>
      </x:c>
      <x:c r="I510" s="53" t="n">
        <x:f>E510+F510-H510</x:f>
        <x:v>0</x:v>
      </x:c>
      <x:c r="J510" s="45" t="str">
        <x:f>IF(I510=0,"CLEAR","QUEUED")</x:f>
        <x:v>CLEAR</x:v>
      </x:c>
      <x:c r="K510" s="72"/>
      <x:c r="L510" s="72"/>
      <x:c r="M510" s="72"/>
      <x:c r="N510" s="72"/>
    </x:row>
    <x:row r="511">
      <x:c r="C511" s="45" t="str">
        <x:f>'Path Daily'!C511</x:f>
        <x:v>P5</x:v>
      </x:c>
      <x:c r="D511" s="45" t="n">
        <x:f>'Path Daily'!D511</x:f>
        <x:v>49</x:v>
      </x:c>
      <x:c r="E511" s="53" t="n">
        <x:f>IF(D511=0,SUMIFS('Cargo Records'!$T$7:$T$70,'Cargo Records'!$J$7:$J$70,C511),0)</x:f>
        <x:v>0</x:v>
      </x:c>
      <x:c r="F511" s="53" t="n">
        <x:f>I510</x:f>
        <x:v>0</x:v>
      </x:c>
      <x:c r="G511" s="53" t="n">
        <x:f>'Path Daily'!M511</x:f>
        <x:v>7920</x:v>
      </x:c>
      <x:c r="H511" s="53" t="n">
        <x:f>MIN(E511+F511,G511)</x:f>
        <x:v>0</x:v>
      </x:c>
      <x:c r="I511" s="53" t="n">
        <x:f>E511+F511-H511</x:f>
        <x:v>0</x:v>
      </x:c>
      <x:c r="J511" s="45" t="str">
        <x:f>IF(I511=0,"CLEAR","QUEUED")</x:f>
        <x:v>CLEAR</x:v>
      </x:c>
      <x:c r="K511" s="72"/>
      <x:c r="L511" s="72"/>
      <x:c r="M511" s="72"/>
      <x:c r="N511" s="72"/>
    </x:row>
    <x:row r="512">
      <x:c r="C512" s="45" t="str">
        <x:f>'Path Daily'!C512</x:f>
        <x:v>P5</x:v>
      </x:c>
      <x:c r="D512" s="45" t="n">
        <x:f>'Path Daily'!D512</x:f>
        <x:v>50</x:v>
      </x:c>
      <x:c r="E512" s="53" t="n">
        <x:f>IF(D512=0,SUMIFS('Cargo Records'!$T$7:$T$70,'Cargo Records'!$J$7:$J$70,C512),0)</x:f>
        <x:v>0</x:v>
      </x:c>
      <x:c r="F512" s="53" t="n">
        <x:f>I511</x:f>
        <x:v>0</x:v>
      </x:c>
      <x:c r="G512" s="53" t="n">
        <x:f>'Path Daily'!M512</x:f>
        <x:v>7920</x:v>
      </x:c>
      <x:c r="H512" s="53" t="n">
        <x:f>MIN(E512+F512,G512)</x:f>
        <x:v>0</x:v>
      </x:c>
      <x:c r="I512" s="53" t="n">
        <x:f>E512+F512-H512</x:f>
        <x:v>0</x:v>
      </x:c>
      <x:c r="J512" s="45" t="str">
        <x:f>IF(I512=0,"CLEAR","QUEUED")</x:f>
        <x:v>CLEAR</x:v>
      </x:c>
      <x:c r="K512" s="72"/>
      <x:c r="L512" s="72"/>
      <x:c r="M512" s="72"/>
      <x:c r="N512" s="72"/>
    </x:row>
    <x:row r="513">
      <x:c r="C513" s="45" t="str">
        <x:f>'Path Daily'!C513</x:f>
        <x:v>P5</x:v>
      </x:c>
      <x:c r="D513" s="45" t="n">
        <x:f>'Path Daily'!D513</x:f>
        <x:v>51</x:v>
      </x:c>
      <x:c r="E513" s="53" t="n">
        <x:f>IF(D513=0,SUMIFS('Cargo Records'!$T$7:$T$70,'Cargo Records'!$J$7:$J$70,C513),0)</x:f>
        <x:v>0</x:v>
      </x:c>
      <x:c r="F513" s="53" t="n">
        <x:f>I512</x:f>
        <x:v>0</x:v>
      </x:c>
      <x:c r="G513" s="53" t="n">
        <x:f>'Path Daily'!M513</x:f>
        <x:v>7920</x:v>
      </x:c>
      <x:c r="H513" s="53" t="n">
        <x:f>MIN(E513+F513,G513)</x:f>
        <x:v>0</x:v>
      </x:c>
      <x:c r="I513" s="53" t="n">
        <x:f>E513+F513-H513</x:f>
        <x:v>0</x:v>
      </x:c>
      <x:c r="J513" s="45" t="str">
        <x:f>IF(I513=0,"CLEAR","QUEUED")</x:f>
        <x:v>CLEAR</x:v>
      </x:c>
      <x:c r="K513" s="72"/>
      <x:c r="L513" s="72"/>
      <x:c r="M513" s="72"/>
      <x:c r="N513" s="72"/>
    </x:row>
    <x:row r="514">
      <x:c r="C514" s="45" t="str">
        <x:f>'Path Daily'!C514</x:f>
        <x:v>P5</x:v>
      </x:c>
      <x:c r="D514" s="45" t="n">
        <x:f>'Path Daily'!D514</x:f>
        <x:v>52</x:v>
      </x:c>
      <x:c r="E514" s="53" t="n">
        <x:f>IF(D514=0,SUMIFS('Cargo Records'!$T$7:$T$70,'Cargo Records'!$J$7:$J$70,C514),0)</x:f>
        <x:v>0</x:v>
      </x:c>
      <x:c r="F514" s="53" t="n">
        <x:f>I513</x:f>
        <x:v>0</x:v>
      </x:c>
      <x:c r="G514" s="53" t="n">
        <x:f>'Path Daily'!M514</x:f>
        <x:v>7920</x:v>
      </x:c>
      <x:c r="H514" s="53" t="n">
        <x:f>MIN(E514+F514,G514)</x:f>
        <x:v>0</x:v>
      </x:c>
      <x:c r="I514" s="53" t="n">
        <x:f>E514+F514-H514</x:f>
        <x:v>0</x:v>
      </x:c>
      <x:c r="J514" s="45" t="str">
        <x:f>IF(I514=0,"CLEAR","QUEUED")</x:f>
        <x:v>CLEAR</x:v>
      </x:c>
      <x:c r="K514" s="72"/>
      <x:c r="L514" s="72"/>
      <x:c r="M514" s="72"/>
      <x:c r="N514" s="72"/>
    </x:row>
    <x:row r="515">
      <x:c r="C515" s="45" t="str">
        <x:f>'Path Daily'!C515</x:f>
        <x:v>P5</x:v>
      </x:c>
      <x:c r="D515" s="45" t="n">
        <x:f>'Path Daily'!D515</x:f>
        <x:v>53</x:v>
      </x:c>
      <x:c r="E515" s="53" t="n">
        <x:f>IF(D515=0,SUMIFS('Cargo Records'!$T$7:$T$70,'Cargo Records'!$J$7:$J$70,C515),0)</x:f>
        <x:v>0</x:v>
      </x:c>
      <x:c r="F515" s="53" t="n">
        <x:f>I514</x:f>
        <x:v>0</x:v>
      </x:c>
      <x:c r="G515" s="53" t="n">
        <x:f>'Path Daily'!M515</x:f>
        <x:v>7920</x:v>
      </x:c>
      <x:c r="H515" s="53" t="n">
        <x:f>MIN(E515+F515,G515)</x:f>
        <x:v>0</x:v>
      </x:c>
      <x:c r="I515" s="53" t="n">
        <x:f>E515+F515-H515</x:f>
        <x:v>0</x:v>
      </x:c>
      <x:c r="J515" s="45" t="str">
        <x:f>IF(I515=0,"CLEAR","QUEUED")</x:f>
        <x:v>CLEAR</x:v>
      </x:c>
      <x:c r="K515" s="72"/>
      <x:c r="L515" s="72"/>
      <x:c r="M515" s="72"/>
      <x:c r="N515" s="72"/>
    </x:row>
    <x:row r="516">
      <x:c r="C516" s="45" t="str">
        <x:f>'Path Daily'!C516</x:f>
        <x:v>P5</x:v>
      </x:c>
      <x:c r="D516" s="45" t="n">
        <x:f>'Path Daily'!D516</x:f>
        <x:v>54</x:v>
      </x:c>
      <x:c r="E516" s="53" t="n">
        <x:f>IF(D516=0,SUMIFS('Cargo Records'!$T$7:$T$70,'Cargo Records'!$J$7:$J$70,C516),0)</x:f>
        <x:v>0</x:v>
      </x:c>
      <x:c r="F516" s="53" t="n">
        <x:f>I515</x:f>
        <x:v>0</x:v>
      </x:c>
      <x:c r="G516" s="53" t="n">
        <x:f>'Path Daily'!M516</x:f>
        <x:v>7920</x:v>
      </x:c>
      <x:c r="H516" s="53" t="n">
        <x:f>MIN(E516+F516,G516)</x:f>
        <x:v>0</x:v>
      </x:c>
      <x:c r="I516" s="53" t="n">
        <x:f>E516+F516-H516</x:f>
        <x:v>0</x:v>
      </x:c>
      <x:c r="J516" s="45" t="str">
        <x:f>IF(I516=0,"CLEAR","QUEUED")</x:f>
        <x:v>CLEAR</x:v>
      </x:c>
      <x:c r="K516" s="72"/>
      <x:c r="L516" s="72"/>
      <x:c r="M516" s="72"/>
      <x:c r="N516" s="72"/>
    </x:row>
    <x:row r="517">
      <x:c r="C517" s="45" t="str">
        <x:f>'Path Daily'!C517</x:f>
        <x:v>P5</x:v>
      </x:c>
      <x:c r="D517" s="45" t="n">
        <x:f>'Path Daily'!D517</x:f>
        <x:v>55</x:v>
      </x:c>
      <x:c r="E517" s="53" t="n">
        <x:f>IF(D517=0,SUMIFS('Cargo Records'!$T$7:$T$70,'Cargo Records'!$J$7:$J$70,C517),0)</x:f>
        <x:v>0</x:v>
      </x:c>
      <x:c r="F517" s="53" t="n">
        <x:f>I516</x:f>
        <x:v>0</x:v>
      </x:c>
      <x:c r="G517" s="53" t="n">
        <x:f>'Path Daily'!M517</x:f>
        <x:v>7920</x:v>
      </x:c>
      <x:c r="H517" s="53" t="n">
        <x:f>MIN(E517+F517,G517)</x:f>
        <x:v>0</x:v>
      </x:c>
      <x:c r="I517" s="53" t="n">
        <x:f>E517+F517-H517</x:f>
        <x:v>0</x:v>
      </x:c>
      <x:c r="J517" s="45" t="str">
        <x:f>IF(I517=0,"CLEAR","QUEUED")</x:f>
        <x:v>CLEAR</x:v>
      </x:c>
      <x:c r="K517" s="72"/>
      <x:c r="L517" s="72"/>
      <x:c r="M517" s="72"/>
      <x:c r="N517" s="72"/>
    </x:row>
    <x:row r="518">
      <x:c r="C518" s="45" t="str">
        <x:f>'Path Daily'!C518</x:f>
        <x:v>P5</x:v>
      </x:c>
      <x:c r="D518" s="45" t="n">
        <x:f>'Path Daily'!D518</x:f>
        <x:v>56</x:v>
      </x:c>
      <x:c r="E518" s="53" t="n">
        <x:f>IF(D518=0,SUMIFS('Cargo Records'!$T$7:$T$70,'Cargo Records'!$J$7:$J$70,C518),0)</x:f>
        <x:v>0</x:v>
      </x:c>
      <x:c r="F518" s="53" t="n">
        <x:f>I517</x:f>
        <x:v>0</x:v>
      </x:c>
      <x:c r="G518" s="53" t="n">
        <x:f>'Path Daily'!M518</x:f>
        <x:v>7920</x:v>
      </x:c>
      <x:c r="H518" s="53" t="n">
        <x:f>MIN(E518+F518,G518)</x:f>
        <x:v>0</x:v>
      </x:c>
      <x:c r="I518" s="53" t="n">
        <x:f>E518+F518-H518</x:f>
        <x:v>0</x:v>
      </x:c>
      <x:c r="J518" s="45" t="str">
        <x:f>IF(I518=0,"CLEAR","QUEUED")</x:f>
        <x:v>CLEAR</x:v>
      </x:c>
      <x:c r="K518" s="72"/>
      <x:c r="L518" s="72"/>
      <x:c r="M518" s="72"/>
      <x:c r="N518" s="72"/>
    </x:row>
    <x:row r="519">
      <x:c r="C519" s="45" t="str">
        <x:f>'Path Daily'!C519</x:f>
        <x:v>P5</x:v>
      </x:c>
      <x:c r="D519" s="45" t="n">
        <x:f>'Path Daily'!D519</x:f>
        <x:v>57</x:v>
      </x:c>
      <x:c r="E519" s="53" t="n">
        <x:f>IF(D519=0,SUMIFS('Cargo Records'!$T$7:$T$70,'Cargo Records'!$J$7:$J$70,C519),0)</x:f>
        <x:v>0</x:v>
      </x:c>
      <x:c r="F519" s="53" t="n">
        <x:f>I518</x:f>
        <x:v>0</x:v>
      </x:c>
      <x:c r="G519" s="53" t="n">
        <x:f>'Path Daily'!M519</x:f>
        <x:v>7920</x:v>
      </x:c>
      <x:c r="H519" s="53" t="n">
        <x:f>MIN(E519+F519,G519)</x:f>
        <x:v>0</x:v>
      </x:c>
      <x:c r="I519" s="53" t="n">
        <x:f>E519+F519-H519</x:f>
        <x:v>0</x:v>
      </x:c>
      <x:c r="J519" s="45" t="str">
        <x:f>IF(I519=0,"CLEAR","QUEUED")</x:f>
        <x:v>CLEAR</x:v>
      </x:c>
      <x:c r="K519" s="72"/>
      <x:c r="L519" s="72"/>
      <x:c r="M519" s="72"/>
      <x:c r="N519" s="72"/>
    </x:row>
    <x:row r="520">
      <x:c r="C520" s="45" t="str">
        <x:f>'Path Daily'!C520</x:f>
        <x:v>P5</x:v>
      </x:c>
      <x:c r="D520" s="45" t="n">
        <x:f>'Path Daily'!D520</x:f>
        <x:v>58</x:v>
      </x:c>
      <x:c r="E520" s="53" t="n">
        <x:f>IF(D520=0,SUMIFS('Cargo Records'!$T$7:$T$70,'Cargo Records'!$J$7:$J$70,C520),0)</x:f>
        <x:v>0</x:v>
      </x:c>
      <x:c r="F520" s="53" t="n">
        <x:f>I519</x:f>
        <x:v>0</x:v>
      </x:c>
      <x:c r="G520" s="53" t="n">
        <x:f>'Path Daily'!M520</x:f>
        <x:v>7920</x:v>
      </x:c>
      <x:c r="H520" s="53" t="n">
        <x:f>MIN(E520+F520,G520)</x:f>
        <x:v>0</x:v>
      </x:c>
      <x:c r="I520" s="53" t="n">
        <x:f>E520+F520-H520</x:f>
        <x:v>0</x:v>
      </x:c>
      <x:c r="J520" s="45" t="str">
        <x:f>IF(I520=0,"CLEAR","QUEUED")</x:f>
        <x:v>CLEAR</x:v>
      </x:c>
      <x:c r="K520" s="72"/>
      <x:c r="L520" s="72"/>
      <x:c r="M520" s="72"/>
      <x:c r="N520" s="72"/>
    </x:row>
    <x:row r="521">
      <x:c r="C521" s="45" t="str">
        <x:f>'Path Daily'!C521</x:f>
        <x:v>P5</x:v>
      </x:c>
      <x:c r="D521" s="45" t="n">
        <x:f>'Path Daily'!D521</x:f>
        <x:v>59</x:v>
      </x:c>
      <x:c r="E521" s="53" t="n">
        <x:f>IF(D521=0,SUMIFS('Cargo Records'!$T$7:$T$70,'Cargo Records'!$J$7:$J$70,C521),0)</x:f>
        <x:v>0</x:v>
      </x:c>
      <x:c r="F521" s="53" t="n">
        <x:f>I520</x:f>
        <x:v>0</x:v>
      </x:c>
      <x:c r="G521" s="53" t="n">
        <x:f>'Path Daily'!M521</x:f>
        <x:v>7920</x:v>
      </x:c>
      <x:c r="H521" s="53" t="n">
        <x:f>MIN(E521+F521,G521)</x:f>
        <x:v>0</x:v>
      </x:c>
      <x:c r="I521" s="53" t="n">
        <x:f>E521+F521-H521</x:f>
        <x:v>0</x:v>
      </x:c>
      <x:c r="J521" s="45" t="str">
        <x:f>IF(I521=0,"CLEAR","QUEUED")</x:f>
        <x:v>CLEAR</x:v>
      </x:c>
      <x:c r="K521" s="72"/>
      <x:c r="L521" s="72"/>
      <x:c r="M521" s="72"/>
      <x:c r="N521" s="72"/>
    </x:row>
    <x:row r="522">
      <x:c r="C522" s="45" t="str">
        <x:f>'Path Daily'!C522</x:f>
        <x:v>P5</x:v>
      </x:c>
      <x:c r="D522" s="45" t="n">
        <x:f>'Path Daily'!D522</x:f>
        <x:v>60</x:v>
      </x:c>
      <x:c r="E522" s="53" t="n">
        <x:f>IF(D522=0,SUMIFS('Cargo Records'!$T$7:$T$70,'Cargo Records'!$J$7:$J$70,C522),0)</x:f>
        <x:v>0</x:v>
      </x:c>
      <x:c r="F522" s="53" t="n">
        <x:f>I521</x:f>
        <x:v>0</x:v>
      </x:c>
      <x:c r="G522" s="53" t="n">
        <x:f>'Path Daily'!M522</x:f>
        <x:v>7920</x:v>
      </x:c>
      <x:c r="H522" s="53" t="n">
        <x:f>MIN(E522+F522,G522)</x:f>
        <x:v>0</x:v>
      </x:c>
      <x:c r="I522" s="53" t="n">
        <x:f>E522+F522-H522</x:f>
        <x:v>0</x:v>
      </x:c>
      <x:c r="J522" s="45" t="str">
        <x:f>IF(I522=0,"CLEAR","QUEUED")</x:f>
        <x:v>CLEAR</x:v>
      </x:c>
      <x:c r="K522" s="72"/>
      <x:c r="L522" s="72"/>
      <x:c r="M522" s="72"/>
      <x:c r="N522" s="72"/>
    </x:row>
    <x:row r="523">
      <x:c r="C523" s="45" t="str">
        <x:f>'Path Daily'!C523</x:f>
        <x:v>P5</x:v>
      </x:c>
      <x:c r="D523" s="45" t="n">
        <x:f>'Path Daily'!D523</x:f>
        <x:v>61</x:v>
      </x:c>
      <x:c r="E523" s="53" t="n">
        <x:f>IF(D523=0,SUMIFS('Cargo Records'!$T$7:$T$70,'Cargo Records'!$J$7:$J$70,C523),0)</x:f>
        <x:v>0</x:v>
      </x:c>
      <x:c r="F523" s="53" t="n">
        <x:f>I522</x:f>
        <x:v>0</x:v>
      </x:c>
      <x:c r="G523" s="53" t="n">
        <x:f>'Path Daily'!M523</x:f>
        <x:v>4356</x:v>
      </x:c>
      <x:c r="H523" s="53" t="n">
        <x:f>MIN(E523+F523,G523)</x:f>
        <x:v>0</x:v>
      </x:c>
      <x:c r="I523" s="53" t="n">
        <x:f>E523+F523-H523</x:f>
        <x:v>0</x:v>
      </x:c>
      <x:c r="J523" s="45" t="str">
        <x:f>IF(I523=0,"CLEAR","QUEUED")</x:f>
        <x:v>CLEAR</x:v>
      </x:c>
      <x:c r="K523" s="72"/>
      <x:c r="L523" s="72"/>
      <x:c r="M523" s="72"/>
      <x:c r="N523" s="72"/>
    </x:row>
    <x:row r="524">
      <x:c r="C524" s="45" t="str">
        <x:f>'Path Daily'!C524</x:f>
        <x:v>P5</x:v>
      </x:c>
      <x:c r="D524" s="45" t="n">
        <x:f>'Path Daily'!D524</x:f>
        <x:v>62</x:v>
      </x:c>
      <x:c r="E524" s="53" t="n">
        <x:f>IF(D524=0,SUMIFS('Cargo Records'!$T$7:$T$70,'Cargo Records'!$J$7:$J$70,C524),0)</x:f>
        <x:v>0</x:v>
      </x:c>
      <x:c r="F524" s="53" t="n">
        <x:f>I523</x:f>
        <x:v>0</x:v>
      </x:c>
      <x:c r="G524" s="53" t="n">
        <x:f>'Path Daily'!M524</x:f>
        <x:v>4356</x:v>
      </x:c>
      <x:c r="H524" s="53" t="n">
        <x:f>MIN(E524+F524,G524)</x:f>
        <x:v>0</x:v>
      </x:c>
      <x:c r="I524" s="53" t="n">
        <x:f>E524+F524-H524</x:f>
        <x:v>0</x:v>
      </x:c>
      <x:c r="J524" s="45" t="str">
        <x:f>IF(I524=0,"CLEAR","QUEUED")</x:f>
        <x:v>CLEAR</x:v>
      </x:c>
      <x:c r="K524" s="72"/>
      <x:c r="L524" s="72"/>
      <x:c r="M524" s="72"/>
      <x:c r="N524" s="72"/>
    </x:row>
    <x:row r="525">
      <x:c r="C525" s="45" t="str">
        <x:f>'Path Daily'!C525</x:f>
        <x:v>P5</x:v>
      </x:c>
      <x:c r="D525" s="45" t="n">
        <x:f>'Path Daily'!D525</x:f>
        <x:v>63</x:v>
      </x:c>
      <x:c r="E525" s="53" t="n">
        <x:f>IF(D525=0,SUMIFS('Cargo Records'!$T$7:$T$70,'Cargo Records'!$J$7:$J$70,C525),0)</x:f>
        <x:v>0</x:v>
      </x:c>
      <x:c r="F525" s="53" t="n">
        <x:f>I524</x:f>
        <x:v>0</x:v>
      </x:c>
      <x:c r="G525" s="53" t="n">
        <x:f>'Path Daily'!M525</x:f>
        <x:v>4356</x:v>
      </x:c>
      <x:c r="H525" s="53" t="n">
        <x:f>MIN(E525+F525,G525)</x:f>
        <x:v>0</x:v>
      </x:c>
      <x:c r="I525" s="53" t="n">
        <x:f>E525+F525-H525</x:f>
        <x:v>0</x:v>
      </x:c>
      <x:c r="J525" s="45" t="str">
        <x:f>IF(I525=0,"CLEAR","QUEUED")</x:f>
        <x:v>CLEAR</x:v>
      </x:c>
      <x:c r="K525" s="72"/>
      <x:c r="L525" s="72"/>
      <x:c r="M525" s="72"/>
      <x:c r="N525" s="72"/>
    </x:row>
    <x:row r="526">
      <x:c r="C526" s="45" t="str">
        <x:f>'Path Daily'!C526</x:f>
        <x:v>P5</x:v>
      </x:c>
      <x:c r="D526" s="45" t="n">
        <x:f>'Path Daily'!D526</x:f>
        <x:v>64</x:v>
      </x:c>
      <x:c r="E526" s="53" t="n">
        <x:f>IF(D526=0,SUMIFS('Cargo Records'!$T$7:$T$70,'Cargo Records'!$J$7:$J$70,C526),0)</x:f>
        <x:v>0</x:v>
      </x:c>
      <x:c r="F526" s="53" t="n">
        <x:f>I525</x:f>
        <x:v>0</x:v>
      </x:c>
      <x:c r="G526" s="53" t="n">
        <x:f>'Path Daily'!M526</x:f>
        <x:v>7920</x:v>
      </x:c>
      <x:c r="H526" s="53" t="n">
        <x:f>MIN(E526+F526,G526)</x:f>
        <x:v>0</x:v>
      </x:c>
      <x:c r="I526" s="53" t="n">
        <x:f>E526+F526-H526</x:f>
        <x:v>0</x:v>
      </x:c>
      <x:c r="J526" s="45" t="str">
        <x:f>IF(I526=0,"CLEAR","QUEUED")</x:f>
        <x:v>CLEAR</x:v>
      </x:c>
      <x:c r="K526" s="72"/>
      <x:c r="L526" s="72"/>
      <x:c r="M526" s="72"/>
      <x:c r="N526" s="72"/>
    </x:row>
    <x:row r="527">
      <x:c r="C527" s="45" t="str">
        <x:f>'Path Daily'!C527</x:f>
        <x:v>P5</x:v>
      </x:c>
      <x:c r="D527" s="45" t="n">
        <x:f>'Path Daily'!D527</x:f>
        <x:v>65</x:v>
      </x:c>
      <x:c r="E527" s="53" t="n">
        <x:f>IF(D527=0,SUMIFS('Cargo Records'!$T$7:$T$70,'Cargo Records'!$J$7:$J$70,C527),0)</x:f>
        <x:v>0</x:v>
      </x:c>
      <x:c r="F527" s="53" t="n">
        <x:f>I526</x:f>
        <x:v>0</x:v>
      </x:c>
      <x:c r="G527" s="53" t="n">
        <x:f>'Path Daily'!M527</x:f>
        <x:v>7920</x:v>
      </x:c>
      <x:c r="H527" s="53" t="n">
        <x:f>MIN(E527+F527,G527)</x:f>
        <x:v>0</x:v>
      </x:c>
      <x:c r="I527" s="53" t="n">
        <x:f>E527+F527-H527</x:f>
        <x:v>0</x:v>
      </x:c>
      <x:c r="J527" s="45" t="str">
        <x:f>IF(I527=0,"CLEAR","QUEUED")</x:f>
        <x:v>CLEAR</x:v>
      </x:c>
      <x:c r="K527" s="72"/>
      <x:c r="L527" s="72"/>
      <x:c r="M527" s="72"/>
      <x:c r="N527" s="72"/>
    </x:row>
    <x:row r="528">
      <x:c r="C528" s="45" t="str">
        <x:f>'Path Daily'!C528</x:f>
        <x:v>P5</x:v>
      </x:c>
      <x:c r="D528" s="45" t="n">
        <x:f>'Path Daily'!D528</x:f>
        <x:v>66</x:v>
      </x:c>
      <x:c r="E528" s="53" t="n">
        <x:f>IF(D528=0,SUMIFS('Cargo Records'!$T$7:$T$70,'Cargo Records'!$J$7:$J$70,C528),0)</x:f>
        <x:v>0</x:v>
      </x:c>
      <x:c r="F528" s="53" t="n">
        <x:f>I527</x:f>
        <x:v>0</x:v>
      </x:c>
      <x:c r="G528" s="53" t="n">
        <x:f>'Path Daily'!M528</x:f>
        <x:v>7920</x:v>
      </x:c>
      <x:c r="H528" s="53" t="n">
        <x:f>MIN(E528+F528,G528)</x:f>
        <x:v>0</x:v>
      </x:c>
      <x:c r="I528" s="53" t="n">
        <x:f>E528+F528-H528</x:f>
        <x:v>0</x:v>
      </x:c>
      <x:c r="J528" s="45" t="str">
        <x:f>IF(I528=0,"CLEAR","QUEUED")</x:f>
        <x:v>CLEAR</x:v>
      </x:c>
      <x:c r="K528" s="72"/>
      <x:c r="L528" s="72"/>
      <x:c r="M528" s="72"/>
      <x:c r="N528" s="72"/>
    </x:row>
    <x:row r="529">
      <x:c r="C529" s="45" t="str">
        <x:f>'Path Daily'!C529</x:f>
        <x:v>P5</x:v>
      </x:c>
      <x:c r="D529" s="45" t="n">
        <x:f>'Path Daily'!D529</x:f>
        <x:v>67</x:v>
      </x:c>
      <x:c r="E529" s="53" t="n">
        <x:f>IF(D529=0,SUMIFS('Cargo Records'!$T$7:$T$70,'Cargo Records'!$J$7:$J$70,C529),0)</x:f>
        <x:v>0</x:v>
      </x:c>
      <x:c r="F529" s="53" t="n">
        <x:f>I528</x:f>
        <x:v>0</x:v>
      </x:c>
      <x:c r="G529" s="53" t="n">
        <x:f>'Path Daily'!M529</x:f>
        <x:v>7920</x:v>
      </x:c>
      <x:c r="H529" s="53" t="n">
        <x:f>MIN(E529+F529,G529)</x:f>
        <x:v>0</x:v>
      </x:c>
      <x:c r="I529" s="53" t="n">
        <x:f>E529+F529-H529</x:f>
        <x:v>0</x:v>
      </x:c>
      <x:c r="J529" s="45" t="str">
        <x:f>IF(I529=0,"CLEAR","QUEUED")</x:f>
        <x:v>CLEAR</x:v>
      </x:c>
      <x:c r="K529" s="72"/>
      <x:c r="L529" s="72"/>
      <x:c r="M529" s="72"/>
      <x:c r="N529" s="72"/>
    </x:row>
    <x:row r="530">
      <x:c r="C530" s="45" t="str">
        <x:f>'Path Daily'!C530</x:f>
        <x:v>P5</x:v>
      </x:c>
      <x:c r="D530" s="45" t="n">
        <x:f>'Path Daily'!D530</x:f>
        <x:v>68</x:v>
      </x:c>
      <x:c r="E530" s="53" t="n">
        <x:f>IF(D530=0,SUMIFS('Cargo Records'!$T$7:$T$70,'Cargo Records'!$J$7:$J$70,C530),0)</x:f>
        <x:v>0</x:v>
      </x:c>
      <x:c r="F530" s="53" t="n">
        <x:f>I529</x:f>
        <x:v>0</x:v>
      </x:c>
      <x:c r="G530" s="53" t="n">
        <x:f>'Path Daily'!M530</x:f>
        <x:v>7920</x:v>
      </x:c>
      <x:c r="H530" s="53" t="n">
        <x:f>MIN(E530+F530,G530)</x:f>
        <x:v>0</x:v>
      </x:c>
      <x:c r="I530" s="53" t="n">
        <x:f>E530+F530-H530</x:f>
        <x:v>0</x:v>
      </x:c>
      <x:c r="J530" s="45" t="str">
        <x:f>IF(I530=0,"CLEAR","QUEUED")</x:f>
        <x:v>CLEAR</x:v>
      </x:c>
      <x:c r="K530" s="72"/>
      <x:c r="L530" s="72"/>
      <x:c r="M530" s="72"/>
      <x:c r="N530" s="72"/>
    </x:row>
    <x:row r="531">
      <x:c r="C531" s="45" t="str">
        <x:f>'Path Daily'!C531</x:f>
        <x:v>P5</x:v>
      </x:c>
      <x:c r="D531" s="45" t="n">
        <x:f>'Path Daily'!D531</x:f>
        <x:v>69</x:v>
      </x:c>
      <x:c r="E531" s="53" t="n">
        <x:f>IF(D531=0,SUMIFS('Cargo Records'!$T$7:$T$70,'Cargo Records'!$J$7:$J$70,C531),0)</x:f>
        <x:v>0</x:v>
      </x:c>
      <x:c r="F531" s="53" t="n">
        <x:f>I530</x:f>
        <x:v>0</x:v>
      </x:c>
      <x:c r="G531" s="53" t="n">
        <x:f>'Path Daily'!M531</x:f>
        <x:v>7920</x:v>
      </x:c>
      <x:c r="H531" s="53" t="n">
        <x:f>MIN(E531+F531,G531)</x:f>
        <x:v>0</x:v>
      </x:c>
      <x:c r="I531" s="53" t="n">
        <x:f>E531+F531-H531</x:f>
        <x:v>0</x:v>
      </x:c>
      <x:c r="J531" s="45" t="str">
        <x:f>IF(I531=0,"CLEAR","QUEUED")</x:f>
        <x:v>CLEAR</x:v>
      </x:c>
      <x:c r="K531" s="72"/>
      <x:c r="L531" s="72"/>
      <x:c r="M531" s="72"/>
      <x:c r="N531" s="72"/>
    </x:row>
    <x:row r="532">
      <x:c r="C532" s="45" t="str">
        <x:f>'Path Daily'!C532</x:f>
        <x:v>P5</x:v>
      </x:c>
      <x:c r="D532" s="45" t="n">
        <x:f>'Path Daily'!D532</x:f>
        <x:v>70</x:v>
      </x:c>
      <x:c r="E532" s="53" t="n">
        <x:f>IF(D532=0,SUMIFS('Cargo Records'!$T$7:$T$70,'Cargo Records'!$J$7:$J$70,C532),0)</x:f>
        <x:v>0</x:v>
      </x:c>
      <x:c r="F532" s="53" t="n">
        <x:f>I531</x:f>
        <x:v>0</x:v>
      </x:c>
      <x:c r="G532" s="53" t="n">
        <x:f>'Path Daily'!M532</x:f>
        <x:v>7920</x:v>
      </x:c>
      <x:c r="H532" s="53" t="n">
        <x:f>MIN(E532+F532,G532)</x:f>
        <x:v>0</x:v>
      </x:c>
      <x:c r="I532" s="53" t="n">
        <x:f>E532+F532-H532</x:f>
        <x:v>0</x:v>
      </x:c>
      <x:c r="J532" s="45" t="str">
        <x:f>IF(I532=0,"CLEAR","QUEUED")</x:f>
        <x:v>CLEAR</x:v>
      </x:c>
      <x:c r="K532" s="72"/>
      <x:c r="L532" s="72"/>
      <x:c r="M532" s="72"/>
      <x:c r="N532" s="72"/>
    </x:row>
    <x:row r="533">
      <x:c r="C533" s="45" t="str">
        <x:f>'Path Daily'!C533</x:f>
        <x:v>P5</x:v>
      </x:c>
      <x:c r="D533" s="45" t="n">
        <x:f>'Path Daily'!D533</x:f>
        <x:v>71</x:v>
      </x:c>
      <x:c r="E533" s="53" t="n">
        <x:f>IF(D533=0,SUMIFS('Cargo Records'!$T$7:$T$70,'Cargo Records'!$J$7:$J$70,C533),0)</x:f>
        <x:v>0</x:v>
      </x:c>
      <x:c r="F533" s="53" t="n">
        <x:f>I532</x:f>
        <x:v>0</x:v>
      </x:c>
      <x:c r="G533" s="53" t="n">
        <x:f>'Path Daily'!M533</x:f>
        <x:v>7920</x:v>
      </x:c>
      <x:c r="H533" s="53" t="n">
        <x:f>MIN(E533+F533,G533)</x:f>
        <x:v>0</x:v>
      </x:c>
      <x:c r="I533" s="53" t="n">
        <x:f>E533+F533-H533</x:f>
        <x:v>0</x:v>
      </x:c>
      <x:c r="J533" s="45" t="str">
        <x:f>IF(I533=0,"CLEAR","QUEUED")</x:f>
        <x:v>CLEAR</x:v>
      </x:c>
      <x:c r="K533" s="72"/>
      <x:c r="L533" s="72"/>
      <x:c r="M533" s="72"/>
      <x:c r="N533" s="72"/>
    </x:row>
    <x:row r="534">
      <x:c r="C534" s="45" t="str">
        <x:f>'Path Daily'!C534</x:f>
        <x:v>P5</x:v>
      </x:c>
      <x:c r="D534" s="45" t="n">
        <x:f>'Path Daily'!D534</x:f>
        <x:v>72</x:v>
      </x:c>
      <x:c r="E534" s="53" t="n">
        <x:f>IF(D534=0,SUMIFS('Cargo Records'!$T$7:$T$70,'Cargo Records'!$J$7:$J$70,C534),0)</x:f>
        <x:v>0</x:v>
      </x:c>
      <x:c r="F534" s="53" t="n">
        <x:f>I533</x:f>
        <x:v>0</x:v>
      </x:c>
      <x:c r="G534" s="53" t="n">
        <x:f>'Path Daily'!M534</x:f>
        <x:v>7920</x:v>
      </x:c>
      <x:c r="H534" s="53" t="n">
        <x:f>MIN(E534+F534,G534)</x:f>
        <x:v>0</x:v>
      </x:c>
      <x:c r="I534" s="53" t="n">
        <x:f>E534+F534-H534</x:f>
        <x:v>0</x:v>
      </x:c>
      <x:c r="J534" s="45" t="str">
        <x:f>IF(I534=0,"CLEAR","QUEUED")</x:f>
        <x:v>CLEAR</x:v>
      </x:c>
      <x:c r="K534" s="72"/>
      <x:c r="L534" s="72"/>
      <x:c r="M534" s="72"/>
      <x:c r="N534" s="72"/>
    </x:row>
    <x:row r="535">
      <x:c r="C535" s="45" t="str">
        <x:f>'Path Daily'!C535</x:f>
        <x:v>P5</x:v>
      </x:c>
      <x:c r="D535" s="45" t="n">
        <x:f>'Path Daily'!D535</x:f>
        <x:v>73</x:v>
      </x:c>
      <x:c r="E535" s="53" t="n">
        <x:f>IF(D535=0,SUMIFS('Cargo Records'!$T$7:$T$70,'Cargo Records'!$J$7:$J$70,C535),0)</x:f>
        <x:v>0</x:v>
      </x:c>
      <x:c r="F535" s="53" t="n">
        <x:f>I534</x:f>
        <x:v>0</x:v>
      </x:c>
      <x:c r="G535" s="53" t="n">
        <x:f>'Path Daily'!M535</x:f>
        <x:v>7920</x:v>
      </x:c>
      <x:c r="H535" s="53" t="n">
        <x:f>MIN(E535+F535,G535)</x:f>
        <x:v>0</x:v>
      </x:c>
      <x:c r="I535" s="53" t="n">
        <x:f>E535+F535-H535</x:f>
        <x:v>0</x:v>
      </x:c>
      <x:c r="J535" s="45" t="str">
        <x:f>IF(I535=0,"CLEAR","QUEUED")</x:f>
        <x:v>CLEAR</x:v>
      </x:c>
      <x:c r="K535" s="72"/>
      <x:c r="L535" s="72"/>
      <x:c r="M535" s="72"/>
      <x:c r="N535" s="72"/>
    </x:row>
    <x:row r="536">
      <x:c r="C536" s="45" t="str">
        <x:f>'Path Daily'!C536</x:f>
        <x:v>P5</x:v>
      </x:c>
      <x:c r="D536" s="45" t="n">
        <x:f>'Path Daily'!D536</x:f>
        <x:v>74</x:v>
      </x:c>
      <x:c r="E536" s="53" t="n">
        <x:f>IF(D536=0,SUMIFS('Cargo Records'!$T$7:$T$70,'Cargo Records'!$J$7:$J$70,C536),0)</x:f>
        <x:v>0</x:v>
      </x:c>
      <x:c r="F536" s="53" t="n">
        <x:f>I535</x:f>
        <x:v>0</x:v>
      </x:c>
      <x:c r="G536" s="53" t="n">
        <x:f>'Path Daily'!M536</x:f>
        <x:v>7920</x:v>
      </x:c>
      <x:c r="H536" s="53" t="n">
        <x:f>MIN(E536+F536,G536)</x:f>
        <x:v>0</x:v>
      </x:c>
      <x:c r="I536" s="53" t="n">
        <x:f>E536+F536-H536</x:f>
        <x:v>0</x:v>
      </x:c>
      <x:c r="J536" s="45" t="str">
        <x:f>IF(I536=0,"CLEAR","QUEUED")</x:f>
        <x:v>CLEAR</x:v>
      </x:c>
      <x:c r="K536" s="72"/>
      <x:c r="L536" s="72"/>
      <x:c r="M536" s="72"/>
      <x:c r="N536" s="72"/>
    </x:row>
    <x:row r="537">
      <x:c r="C537" s="45" t="str">
        <x:f>'Path Daily'!C537</x:f>
        <x:v>P5</x:v>
      </x:c>
      <x:c r="D537" s="45" t="n">
        <x:f>'Path Daily'!D537</x:f>
        <x:v>75</x:v>
      </x:c>
      <x:c r="E537" s="53" t="n">
        <x:f>IF(D537=0,SUMIFS('Cargo Records'!$T$7:$T$70,'Cargo Records'!$J$7:$J$70,C537),0)</x:f>
        <x:v>0</x:v>
      </x:c>
      <x:c r="F537" s="53" t="n">
        <x:f>I536</x:f>
        <x:v>0</x:v>
      </x:c>
      <x:c r="G537" s="53" t="n">
        <x:f>'Path Daily'!M537</x:f>
        <x:v>7920</x:v>
      </x:c>
      <x:c r="H537" s="53" t="n">
        <x:f>MIN(E537+F537,G537)</x:f>
        <x:v>0</x:v>
      </x:c>
      <x:c r="I537" s="53" t="n">
        <x:f>E537+F537-H537</x:f>
        <x:v>0</x:v>
      </x:c>
      <x:c r="J537" s="45" t="str">
        <x:f>IF(I537=0,"CLEAR","QUEUED")</x:f>
        <x:v>CLEAR</x:v>
      </x:c>
      <x:c r="K537" s="72"/>
      <x:c r="L537" s="72"/>
      <x:c r="M537" s="72"/>
      <x:c r="N537" s="72"/>
    </x:row>
    <x:row r="538">
      <x:c r="C538" s="45" t="str">
        <x:f>'Path Daily'!C538</x:f>
        <x:v>P5</x:v>
      </x:c>
      <x:c r="D538" s="45" t="n">
        <x:f>'Path Daily'!D538</x:f>
        <x:v>76</x:v>
      </x:c>
      <x:c r="E538" s="53" t="n">
        <x:f>IF(D538=0,SUMIFS('Cargo Records'!$T$7:$T$70,'Cargo Records'!$J$7:$J$70,C538),0)</x:f>
        <x:v>0</x:v>
      </x:c>
      <x:c r="F538" s="53" t="n">
        <x:f>I537</x:f>
        <x:v>0</x:v>
      </x:c>
      <x:c r="G538" s="53" t="n">
        <x:f>'Path Daily'!M538</x:f>
        <x:v>7920</x:v>
      </x:c>
      <x:c r="H538" s="53" t="n">
        <x:f>MIN(E538+F538,G538)</x:f>
        <x:v>0</x:v>
      </x:c>
      <x:c r="I538" s="53" t="n">
        <x:f>E538+F538-H538</x:f>
        <x:v>0</x:v>
      </x:c>
      <x:c r="J538" s="45" t="str">
        <x:f>IF(I538=0,"CLEAR","QUEUED")</x:f>
        <x:v>CLEAR</x:v>
      </x:c>
      <x:c r="K538" s="72"/>
      <x:c r="L538" s="72"/>
      <x:c r="M538" s="72"/>
      <x:c r="N538" s="72"/>
    </x:row>
    <x:row r="539">
      <x:c r="C539" s="45" t="str">
        <x:f>'Path Daily'!C539</x:f>
        <x:v>P5</x:v>
      </x:c>
      <x:c r="D539" s="45" t="n">
        <x:f>'Path Daily'!D539</x:f>
        <x:v>77</x:v>
      </x:c>
      <x:c r="E539" s="53" t="n">
        <x:f>IF(D539=0,SUMIFS('Cargo Records'!$T$7:$T$70,'Cargo Records'!$J$7:$J$70,C539),0)</x:f>
        <x:v>0</x:v>
      </x:c>
      <x:c r="F539" s="53" t="n">
        <x:f>I538</x:f>
        <x:v>0</x:v>
      </x:c>
      <x:c r="G539" s="53" t="n">
        <x:f>'Path Daily'!M539</x:f>
        <x:v>7920</x:v>
      </x:c>
      <x:c r="H539" s="53" t="n">
        <x:f>MIN(E539+F539,G539)</x:f>
        <x:v>0</x:v>
      </x:c>
      <x:c r="I539" s="53" t="n">
        <x:f>E539+F539-H539</x:f>
        <x:v>0</x:v>
      </x:c>
      <x:c r="J539" s="45" t="str">
        <x:f>IF(I539=0,"CLEAR","QUEUED")</x:f>
        <x:v>CLEAR</x:v>
      </x:c>
      <x:c r="K539" s="72"/>
      <x:c r="L539" s="72"/>
      <x:c r="M539" s="72"/>
      <x:c r="N539" s="72"/>
    </x:row>
    <x:row r="540">
      <x:c r="C540" s="45" t="str">
        <x:f>'Path Daily'!C540</x:f>
        <x:v>P5</x:v>
      </x:c>
      <x:c r="D540" s="45" t="n">
        <x:f>'Path Daily'!D540</x:f>
        <x:v>78</x:v>
      </x:c>
      <x:c r="E540" s="53" t="n">
        <x:f>IF(D540=0,SUMIFS('Cargo Records'!$T$7:$T$70,'Cargo Records'!$J$7:$J$70,C540),0)</x:f>
        <x:v>0</x:v>
      </x:c>
      <x:c r="F540" s="53" t="n">
        <x:f>I539</x:f>
        <x:v>0</x:v>
      </x:c>
      <x:c r="G540" s="53" t="n">
        <x:f>'Path Daily'!M540</x:f>
        <x:v>7920</x:v>
      </x:c>
      <x:c r="H540" s="53" t="n">
        <x:f>MIN(E540+F540,G540)</x:f>
        <x:v>0</x:v>
      </x:c>
      <x:c r="I540" s="53" t="n">
        <x:f>E540+F540-H540</x:f>
        <x:v>0</x:v>
      </x:c>
      <x:c r="J540" s="45" t="str">
        <x:f>IF(I540=0,"CLEAR","QUEUED")</x:f>
        <x:v>CLEAR</x:v>
      </x:c>
      <x:c r="K540" s="72"/>
      <x:c r="L540" s="72"/>
      <x:c r="M540" s="72"/>
      <x:c r="N540" s="72"/>
    </x:row>
    <x:row r="541">
      <x:c r="C541" s="45" t="str">
        <x:f>'Path Daily'!C541</x:f>
        <x:v>P5</x:v>
      </x:c>
      <x:c r="D541" s="45" t="n">
        <x:f>'Path Daily'!D541</x:f>
        <x:v>79</x:v>
      </x:c>
      <x:c r="E541" s="53" t="n">
        <x:f>IF(D541=0,SUMIFS('Cargo Records'!$T$7:$T$70,'Cargo Records'!$J$7:$J$70,C541),0)</x:f>
        <x:v>0</x:v>
      </x:c>
      <x:c r="F541" s="53" t="n">
        <x:f>I540</x:f>
        <x:v>0</x:v>
      </x:c>
      <x:c r="G541" s="53" t="n">
        <x:f>'Path Daily'!M541</x:f>
        <x:v>7920</x:v>
      </x:c>
      <x:c r="H541" s="53" t="n">
        <x:f>MIN(E541+F541,G541)</x:f>
        <x:v>0</x:v>
      </x:c>
      <x:c r="I541" s="53" t="n">
        <x:f>E541+F541-H541</x:f>
        <x:v>0</x:v>
      </x:c>
      <x:c r="J541" s="45" t="str">
        <x:f>IF(I541=0,"CLEAR","QUEUED")</x:f>
        <x:v>CLEAR</x:v>
      </x:c>
      <x:c r="K541" s="72"/>
      <x:c r="L541" s="72"/>
      <x:c r="M541" s="72"/>
      <x:c r="N541" s="72"/>
    </x:row>
    <x:row r="542">
      <x:c r="C542" s="45" t="str">
        <x:f>'Path Daily'!C542</x:f>
        <x:v>P5</x:v>
      </x:c>
      <x:c r="D542" s="45" t="n">
        <x:f>'Path Daily'!D542</x:f>
        <x:v>80</x:v>
      </x:c>
      <x:c r="E542" s="53" t="n">
        <x:f>IF(D542=0,SUMIFS('Cargo Records'!$T$7:$T$70,'Cargo Records'!$J$7:$J$70,C542),0)</x:f>
        <x:v>0</x:v>
      </x:c>
      <x:c r="F542" s="53" t="n">
        <x:f>I541</x:f>
        <x:v>0</x:v>
      </x:c>
      <x:c r="G542" s="53" t="n">
        <x:f>'Path Daily'!M542</x:f>
        <x:v>7920</x:v>
      </x:c>
      <x:c r="H542" s="53" t="n">
        <x:f>MIN(E542+F542,G542)</x:f>
        <x:v>0</x:v>
      </x:c>
      <x:c r="I542" s="53" t="n">
        <x:f>E542+F542-H542</x:f>
        <x:v>0</x:v>
      </x:c>
      <x:c r="J542" s="45" t="str">
        <x:f>IF(I542=0,"CLEAR","QUEUED")</x:f>
        <x:v>CLEAR</x:v>
      </x:c>
      <x:c r="K542" s="72"/>
      <x:c r="L542" s="72"/>
      <x:c r="M542" s="72"/>
      <x:c r="N542" s="72"/>
    </x:row>
    <x:row r="543">
      <x:c r="C543" s="45" t="str">
        <x:f>'Path Daily'!C543</x:f>
        <x:v>P5</x:v>
      </x:c>
      <x:c r="D543" s="45" t="n">
        <x:f>'Path Daily'!D543</x:f>
        <x:v>81</x:v>
      </x:c>
      <x:c r="E543" s="53" t="n">
        <x:f>IF(D543=0,SUMIFS('Cargo Records'!$T$7:$T$70,'Cargo Records'!$J$7:$J$70,C543),0)</x:f>
        <x:v>0</x:v>
      </x:c>
      <x:c r="F543" s="53" t="n">
        <x:f>I542</x:f>
        <x:v>0</x:v>
      </x:c>
      <x:c r="G543" s="53" t="n">
        <x:f>'Path Daily'!M543</x:f>
        <x:v>7920</x:v>
      </x:c>
      <x:c r="H543" s="53" t="n">
        <x:f>MIN(E543+F543,G543)</x:f>
        <x:v>0</x:v>
      </x:c>
      <x:c r="I543" s="53" t="n">
        <x:f>E543+F543-H543</x:f>
        <x:v>0</x:v>
      </x:c>
      <x:c r="J543" s="45" t="str">
        <x:f>IF(I543=0,"CLEAR","QUEUED")</x:f>
        <x:v>CLEAR</x:v>
      </x:c>
      <x:c r="K543" s="72"/>
      <x:c r="L543" s="72"/>
      <x:c r="M543" s="72"/>
      <x:c r="N543" s="72"/>
    </x:row>
    <x:row r="544">
      <x:c r="C544" s="45" t="str">
        <x:f>'Path Daily'!C544</x:f>
        <x:v>P5</x:v>
      </x:c>
      <x:c r="D544" s="45" t="n">
        <x:f>'Path Daily'!D544</x:f>
        <x:v>82</x:v>
      </x:c>
      <x:c r="E544" s="53" t="n">
        <x:f>IF(D544=0,SUMIFS('Cargo Records'!$T$7:$T$70,'Cargo Records'!$J$7:$J$70,C544),0)</x:f>
        <x:v>0</x:v>
      </x:c>
      <x:c r="F544" s="53" t="n">
        <x:f>I543</x:f>
        <x:v>0</x:v>
      </x:c>
      <x:c r="G544" s="53" t="n">
        <x:f>'Path Daily'!M544</x:f>
        <x:v>7920</x:v>
      </x:c>
      <x:c r="H544" s="53" t="n">
        <x:f>MIN(E544+F544,G544)</x:f>
        <x:v>0</x:v>
      </x:c>
      <x:c r="I544" s="53" t="n">
        <x:f>E544+F544-H544</x:f>
        <x:v>0</x:v>
      </x:c>
      <x:c r="J544" s="45" t="str">
        <x:f>IF(I544=0,"CLEAR","QUEUED")</x:f>
        <x:v>CLEAR</x:v>
      </x:c>
      <x:c r="K544" s="72"/>
      <x:c r="L544" s="72"/>
      <x:c r="M544" s="72"/>
      <x:c r="N544" s="72"/>
    </x:row>
    <x:row r="545">
      <x:c r="C545" s="45" t="str">
        <x:f>'Path Daily'!C545</x:f>
        <x:v>P5</x:v>
      </x:c>
      <x:c r="D545" s="45" t="n">
        <x:f>'Path Daily'!D545</x:f>
        <x:v>83</x:v>
      </x:c>
      <x:c r="E545" s="53" t="n">
        <x:f>IF(D545=0,SUMIFS('Cargo Records'!$T$7:$T$70,'Cargo Records'!$J$7:$J$70,C545),0)</x:f>
        <x:v>0</x:v>
      </x:c>
      <x:c r="F545" s="53" t="n">
        <x:f>I544</x:f>
        <x:v>0</x:v>
      </x:c>
      <x:c r="G545" s="53" t="n">
        <x:f>'Path Daily'!M545</x:f>
        <x:v>7920</x:v>
      </x:c>
      <x:c r="H545" s="53" t="n">
        <x:f>MIN(E545+F545,G545)</x:f>
        <x:v>0</x:v>
      </x:c>
      <x:c r="I545" s="53" t="n">
        <x:f>E545+F545-H545</x:f>
        <x:v>0</x:v>
      </x:c>
      <x:c r="J545" s="45" t="str">
        <x:f>IF(I545=0,"CLEAR","QUEUED")</x:f>
        <x:v>CLEAR</x:v>
      </x:c>
      <x:c r="K545" s="72"/>
      <x:c r="L545" s="72"/>
      <x:c r="M545" s="72"/>
      <x:c r="N545" s="72"/>
    </x:row>
    <x:row r="546">
      <x:c r="C546" s="45" t="str">
        <x:f>'Path Daily'!C546</x:f>
        <x:v>P5</x:v>
      </x:c>
      <x:c r="D546" s="45" t="n">
        <x:f>'Path Daily'!D546</x:f>
        <x:v>84</x:v>
      </x:c>
      <x:c r="E546" s="53" t="n">
        <x:f>IF(D546=0,SUMIFS('Cargo Records'!$T$7:$T$70,'Cargo Records'!$J$7:$J$70,C546),0)</x:f>
        <x:v>0</x:v>
      </x:c>
      <x:c r="F546" s="53" t="n">
        <x:f>I545</x:f>
        <x:v>0</x:v>
      </x:c>
      <x:c r="G546" s="53" t="n">
        <x:f>'Path Daily'!M546</x:f>
        <x:v>7920</x:v>
      </x:c>
      <x:c r="H546" s="53" t="n">
        <x:f>MIN(E546+F546,G546)</x:f>
        <x:v>0</x:v>
      </x:c>
      <x:c r="I546" s="53" t="n">
        <x:f>E546+F546-H546</x:f>
        <x:v>0</x:v>
      </x:c>
      <x:c r="J546" s="45" t="str">
        <x:f>IF(I546=0,"CLEAR","QUEUED")</x:f>
        <x:v>CLEAR</x:v>
      </x:c>
      <x:c r="K546" s="72"/>
      <x:c r="L546" s="72"/>
      <x:c r="M546" s="72"/>
      <x:c r="N546" s="72"/>
    </x:row>
    <x:row r="547">
      <x:c r="C547" s="45" t="str">
        <x:f>'Path Daily'!C547</x:f>
        <x:v>P5</x:v>
      </x:c>
      <x:c r="D547" s="45" t="n">
        <x:f>'Path Daily'!D547</x:f>
        <x:v>85</x:v>
      </x:c>
      <x:c r="E547" s="53" t="n">
        <x:f>IF(D547=0,SUMIFS('Cargo Records'!$T$7:$T$70,'Cargo Records'!$J$7:$J$70,C547),0)</x:f>
        <x:v>0</x:v>
      </x:c>
      <x:c r="F547" s="53" t="n">
        <x:f>I546</x:f>
        <x:v>0</x:v>
      </x:c>
      <x:c r="G547" s="53" t="n">
        <x:f>'Path Daily'!M547</x:f>
        <x:v>7920</x:v>
      </x:c>
      <x:c r="H547" s="53" t="n">
        <x:f>MIN(E547+F547,G547)</x:f>
        <x:v>0</x:v>
      </x:c>
      <x:c r="I547" s="53" t="n">
        <x:f>E547+F547-H547</x:f>
        <x:v>0</x:v>
      </x:c>
      <x:c r="J547" s="45" t="str">
        <x:f>IF(I547=0,"CLEAR","QUEUED")</x:f>
        <x:v>CLEAR</x:v>
      </x:c>
      <x:c r="K547" s="72"/>
      <x:c r="L547" s="72"/>
      <x:c r="M547" s="72"/>
      <x:c r="N547" s="72"/>
    </x:row>
    <x:row r="548">
      <x:c r="C548" s="45" t="str">
        <x:f>'Path Daily'!C548</x:f>
        <x:v>P5</x:v>
      </x:c>
      <x:c r="D548" s="45" t="n">
        <x:f>'Path Daily'!D548</x:f>
        <x:v>86</x:v>
      </x:c>
      <x:c r="E548" s="53" t="n">
        <x:f>IF(D548=0,SUMIFS('Cargo Records'!$T$7:$T$70,'Cargo Records'!$J$7:$J$70,C548),0)</x:f>
        <x:v>0</x:v>
      </x:c>
      <x:c r="F548" s="53" t="n">
        <x:f>I547</x:f>
        <x:v>0</x:v>
      </x:c>
      <x:c r="G548" s="53" t="n">
        <x:f>'Path Daily'!M548</x:f>
        <x:v>7920</x:v>
      </x:c>
      <x:c r="H548" s="53" t="n">
        <x:f>MIN(E548+F548,G548)</x:f>
        <x:v>0</x:v>
      </x:c>
      <x:c r="I548" s="53" t="n">
        <x:f>E548+F548-H548</x:f>
        <x:v>0</x:v>
      </x:c>
      <x:c r="J548" s="45" t="str">
        <x:f>IF(I548=0,"CLEAR","QUEUED")</x:f>
        <x:v>CLEAR</x:v>
      </x:c>
      <x:c r="K548" s="72"/>
      <x:c r="L548" s="72"/>
      <x:c r="M548" s="72"/>
      <x:c r="N548" s="72"/>
    </x:row>
    <x:row r="549">
      <x:c r="C549" s="45" t="str">
        <x:f>'Path Daily'!C549</x:f>
        <x:v>P5</x:v>
      </x:c>
      <x:c r="D549" s="45" t="n">
        <x:f>'Path Daily'!D549</x:f>
        <x:v>87</x:v>
      </x:c>
      <x:c r="E549" s="53" t="n">
        <x:f>IF(D549=0,SUMIFS('Cargo Records'!$T$7:$T$70,'Cargo Records'!$J$7:$J$70,C549),0)</x:f>
        <x:v>0</x:v>
      </x:c>
      <x:c r="F549" s="53" t="n">
        <x:f>I548</x:f>
        <x:v>0</x:v>
      </x:c>
      <x:c r="G549" s="53" t="n">
        <x:f>'Path Daily'!M549</x:f>
        <x:v>7920</x:v>
      </x:c>
      <x:c r="H549" s="53" t="n">
        <x:f>MIN(E549+F549,G549)</x:f>
        <x:v>0</x:v>
      </x:c>
      <x:c r="I549" s="53" t="n">
        <x:f>E549+F549-H549</x:f>
        <x:v>0</x:v>
      </x:c>
      <x:c r="J549" s="45" t="str">
        <x:f>IF(I549=0,"CLEAR","QUEUED")</x:f>
        <x:v>CLEAR</x:v>
      </x:c>
      <x:c r="K549" s="72"/>
      <x:c r="L549" s="72"/>
      <x:c r="M549" s="72"/>
      <x:c r="N549" s="72"/>
    </x:row>
    <x:row r="550">
      <x:c r="C550" s="45" t="str">
        <x:f>'Path Daily'!C550</x:f>
        <x:v>P5</x:v>
      </x:c>
      <x:c r="D550" s="45" t="n">
        <x:f>'Path Daily'!D550</x:f>
        <x:v>88</x:v>
      </x:c>
      <x:c r="E550" s="53" t="n">
        <x:f>IF(D550=0,SUMIFS('Cargo Records'!$T$7:$T$70,'Cargo Records'!$J$7:$J$70,C550),0)</x:f>
        <x:v>0</x:v>
      </x:c>
      <x:c r="F550" s="53" t="n">
        <x:f>I549</x:f>
        <x:v>0</x:v>
      </x:c>
      <x:c r="G550" s="53" t="n">
        <x:f>'Path Daily'!M550</x:f>
        <x:v>7920</x:v>
      </x:c>
      <x:c r="H550" s="53" t="n">
        <x:f>MIN(E550+F550,G550)</x:f>
        <x:v>0</x:v>
      </x:c>
      <x:c r="I550" s="53" t="n">
        <x:f>E550+F550-H550</x:f>
        <x:v>0</x:v>
      </x:c>
      <x:c r="J550" s="45" t="str">
        <x:f>IF(I550=0,"CLEAR","QUEUED")</x:f>
        <x:v>CLEAR</x:v>
      </x:c>
      <x:c r="K550" s="72"/>
      <x:c r="L550" s="72"/>
      <x:c r="M550" s="72"/>
      <x:c r="N550" s="72"/>
    </x:row>
    <x:row r="551">
      <x:c r="C551" s="45" t="str">
        <x:f>'Path Daily'!C551</x:f>
        <x:v>P5</x:v>
      </x:c>
      <x:c r="D551" s="45" t="n">
        <x:f>'Path Daily'!D551</x:f>
        <x:v>89</x:v>
      </x:c>
      <x:c r="E551" s="53" t="n">
        <x:f>IF(D551=0,SUMIFS('Cargo Records'!$T$7:$T$70,'Cargo Records'!$J$7:$J$70,C551),0)</x:f>
        <x:v>0</x:v>
      </x:c>
      <x:c r="F551" s="53" t="n">
        <x:f>I550</x:f>
        <x:v>0</x:v>
      </x:c>
      <x:c r="G551" s="53" t="n">
        <x:f>'Path Daily'!M551</x:f>
        <x:v>7920</x:v>
      </x:c>
      <x:c r="H551" s="53" t="n">
        <x:f>MIN(E551+F551,G551)</x:f>
        <x:v>0</x:v>
      </x:c>
      <x:c r="I551" s="53" t="n">
        <x:f>E551+F551-H551</x:f>
        <x:v>0</x:v>
      </x:c>
      <x:c r="J551" s="45" t="str">
        <x:f>IF(I551=0,"CLEAR","QUEUED")</x:f>
        <x:v>CLEAR</x:v>
      </x:c>
      <x:c r="K551" s="72"/>
      <x:c r="L551" s="72"/>
      <x:c r="M551" s="72"/>
      <x:c r="N551" s="72"/>
    </x:row>
    <x:row r="552">
      <x:c r="C552" s="45" t="str">
        <x:f>'Path Daily'!C552</x:f>
        <x:v>P5</x:v>
      </x:c>
      <x:c r="D552" s="45" t="n">
        <x:f>'Path Daily'!D552</x:f>
        <x:v>90</x:v>
      </x:c>
      <x:c r="E552" s="53" t="n">
        <x:f>IF(D552=0,SUMIFS('Cargo Records'!$T$7:$T$70,'Cargo Records'!$J$7:$J$70,C552),0)</x:f>
        <x:v>0</x:v>
      </x:c>
      <x:c r="F552" s="53" t="n">
        <x:f>I551</x:f>
        <x:v>0</x:v>
      </x:c>
      <x:c r="G552" s="53" t="n">
        <x:f>'Path Daily'!M552</x:f>
        <x:v>7920</x:v>
      </x:c>
      <x:c r="H552" s="53" t="n">
        <x:f>MIN(E552+F552,G552)</x:f>
        <x:v>0</x:v>
      </x:c>
      <x:c r="I552" s="53" t="n">
        <x:f>E552+F552-H552</x:f>
        <x:v>0</x:v>
      </x:c>
      <x:c r="J552" s="45" t="str">
        <x:f>IF(I552=0,"CLEAR","QUEUED")</x:f>
        <x:v>CLEAR</x:v>
      </x:c>
      <x:c r="K552" s="72"/>
      <x:c r="L552" s="72"/>
      <x:c r="M552" s="72"/>
      <x:c r="N552" s="72"/>
    </x:row>
    <x:row r="553">
      <x:c r="C553" s="45" t="str">
        <x:f>'Path Daily'!C553</x:f>
        <x:v>P6</x:v>
      </x:c>
      <x:c r="D553" s="45" t="n">
        <x:f>'Path Daily'!D553</x:f>
        <x:v>0</x:v>
      </x:c>
      <x:c r="E553" s="53" t="n">
        <x:f>IF(D553=0,SUMIFS('Cargo Records'!$T$7:$T$70,'Cargo Records'!$J$7:$J$70,C553),0)</x:f>
        <x:v>624645.4545454545</x:v>
      </x:c>
      <x:c r="F553" s="53" t="n">
        <x:f>0</x:f>
        <x:v>0</x:v>
      </x:c>
      <x:c r="G553" s="53" t="n">
        <x:f>'Path Daily'!M553</x:f>
        <x:v>0</x:v>
      </x:c>
      <x:c r="H553" s="53" t="n">
        <x:f>MIN(E553+F553,G553)</x:f>
        <x:v>0</x:v>
      </x:c>
      <x:c r="I553" s="53" t="n">
        <x:f>E553+F553-H553</x:f>
        <x:v>624645.4545454545</x:v>
      </x:c>
      <x:c r="J553" s="45" t="str">
        <x:f>IF(I553=0,"CLEAR","QUEUED")</x:f>
        <x:v>QUEUED</x:v>
      </x:c>
      <x:c r="K553" s="72"/>
      <x:c r="L553" s="72"/>
      <x:c r="M553" s="72"/>
      <x:c r="N553" s="72"/>
    </x:row>
    <x:row r="554">
      <x:c r="C554" s="45" t="str">
        <x:f>'Path Daily'!C554</x:f>
        <x:v>P6</x:v>
      </x:c>
      <x:c r="D554" s="45" t="n">
        <x:f>'Path Daily'!D554</x:f>
        <x:v>1</x:v>
      </x:c>
      <x:c r="E554" s="53" t="n">
        <x:f>IF(D554=0,SUMIFS('Cargo Records'!$T$7:$T$70,'Cargo Records'!$J$7:$J$70,C554),0)</x:f>
        <x:v>0</x:v>
      </x:c>
      <x:c r="F554" s="53" t="n">
        <x:f>I553</x:f>
        <x:v>624645.4545454545</x:v>
      </x:c>
      <x:c r="G554" s="53" t="n">
        <x:f>'Path Daily'!M554</x:f>
        <x:v>0</x:v>
      </x:c>
      <x:c r="H554" s="53" t="n">
        <x:f>MIN(E554+F554,G554)</x:f>
        <x:v>0</x:v>
      </x:c>
      <x:c r="I554" s="53" t="n">
        <x:f>E554+F554-H554</x:f>
        <x:v>624645.4545454545</x:v>
      </x:c>
      <x:c r="J554" s="45" t="str">
        <x:f>IF(I554=0,"CLEAR","QUEUED")</x:f>
        <x:v>QUEUED</x:v>
      </x:c>
      <x:c r="K554" s="72"/>
      <x:c r="L554" s="72"/>
      <x:c r="M554" s="72"/>
      <x:c r="N554" s="72"/>
    </x:row>
    <x:row r="555">
      <x:c r="C555" s="45" t="str">
        <x:f>'Path Daily'!C555</x:f>
        <x:v>P6</x:v>
      </x:c>
      <x:c r="D555" s="45" t="n">
        <x:f>'Path Daily'!D555</x:f>
        <x:v>2</x:v>
      </x:c>
      <x:c r="E555" s="53" t="n">
        <x:f>IF(D555=0,SUMIFS('Cargo Records'!$T$7:$T$70,'Cargo Records'!$J$7:$J$70,C555),0)</x:f>
        <x:v>0</x:v>
      </x:c>
      <x:c r="F555" s="53" t="n">
        <x:f>I554</x:f>
        <x:v>624645.4545454545</x:v>
      </x:c>
      <x:c r="G555" s="53" t="n">
        <x:f>'Path Daily'!M555</x:f>
        <x:v>0</x:v>
      </x:c>
      <x:c r="H555" s="53" t="n">
        <x:f>MIN(E555+F555,G555)</x:f>
        <x:v>0</x:v>
      </x:c>
      <x:c r="I555" s="53" t="n">
        <x:f>E555+F555-H555</x:f>
        <x:v>624645.4545454545</x:v>
      </x:c>
      <x:c r="J555" s="45" t="str">
        <x:f>IF(I555=0,"CLEAR","QUEUED")</x:f>
        <x:v>QUEUED</x:v>
      </x:c>
      <x:c r="K555" s="72"/>
      <x:c r="L555" s="72"/>
      <x:c r="M555" s="72"/>
      <x:c r="N555" s="72"/>
    </x:row>
    <x:row r="556">
      <x:c r="C556" s="45" t="str">
        <x:f>'Path Daily'!C556</x:f>
        <x:v>P6</x:v>
      </x:c>
      <x:c r="D556" s="45" t="n">
        <x:f>'Path Daily'!D556</x:f>
        <x:v>3</x:v>
      </x:c>
      <x:c r="E556" s="53" t="n">
        <x:f>IF(D556=0,SUMIFS('Cargo Records'!$T$7:$T$70,'Cargo Records'!$J$7:$J$70,C556),0)</x:f>
        <x:v>0</x:v>
      </x:c>
      <x:c r="F556" s="53" t="n">
        <x:f>I555</x:f>
        <x:v>624645.4545454545</x:v>
      </x:c>
      <x:c r="G556" s="53" t="n">
        <x:f>'Path Daily'!M556</x:f>
        <x:v>0</x:v>
      </x:c>
      <x:c r="H556" s="53" t="n">
        <x:f>MIN(E556+F556,G556)</x:f>
        <x:v>0</x:v>
      </x:c>
      <x:c r="I556" s="53" t="n">
        <x:f>E556+F556-H556</x:f>
        <x:v>624645.4545454545</x:v>
      </x:c>
      <x:c r="J556" s="45" t="str">
        <x:f>IF(I556=0,"CLEAR","QUEUED")</x:f>
        <x:v>QUEUED</x:v>
      </x:c>
      <x:c r="K556" s="72"/>
      <x:c r="L556" s="72"/>
      <x:c r="M556" s="72"/>
      <x:c r="N556" s="72"/>
    </x:row>
    <x:row r="557">
      <x:c r="C557" s="45" t="str">
        <x:f>'Path Daily'!C557</x:f>
        <x:v>P6</x:v>
      </x:c>
      <x:c r="D557" s="45" t="n">
        <x:f>'Path Daily'!D557</x:f>
        <x:v>4</x:v>
      </x:c>
      <x:c r="E557" s="53" t="n">
        <x:f>IF(D557=0,SUMIFS('Cargo Records'!$T$7:$T$70,'Cargo Records'!$J$7:$J$70,C557),0)</x:f>
        <x:v>0</x:v>
      </x:c>
      <x:c r="F557" s="53" t="n">
        <x:f>I556</x:f>
        <x:v>624645.4545454545</x:v>
      </x:c>
      <x:c r="G557" s="53" t="n">
        <x:f>'Path Daily'!M557</x:f>
        <x:v>0</x:v>
      </x:c>
      <x:c r="H557" s="53" t="n">
        <x:f>MIN(E557+F557,G557)</x:f>
        <x:v>0</x:v>
      </x:c>
      <x:c r="I557" s="53" t="n">
        <x:f>E557+F557-H557</x:f>
        <x:v>624645.4545454545</x:v>
      </x:c>
      <x:c r="J557" s="45" t="str">
        <x:f>IF(I557=0,"CLEAR","QUEUED")</x:f>
        <x:v>QUEUED</x:v>
      </x:c>
      <x:c r="K557" s="72"/>
      <x:c r="L557" s="72"/>
      <x:c r="M557" s="72"/>
      <x:c r="N557" s="72"/>
    </x:row>
    <x:row r="558">
      <x:c r="C558" s="45" t="str">
        <x:f>'Path Daily'!C558</x:f>
        <x:v>P6</x:v>
      </x:c>
      <x:c r="D558" s="45" t="n">
        <x:f>'Path Daily'!D558</x:f>
        <x:v>5</x:v>
      </x:c>
      <x:c r="E558" s="53" t="n">
        <x:f>IF(D558=0,SUMIFS('Cargo Records'!$T$7:$T$70,'Cargo Records'!$J$7:$J$70,C558),0)</x:f>
        <x:v>0</x:v>
      </x:c>
      <x:c r="F558" s="53" t="n">
        <x:f>I557</x:f>
        <x:v>624645.4545454545</x:v>
      </x:c>
      <x:c r="G558" s="53" t="n">
        <x:f>'Path Daily'!M558</x:f>
        <x:v>0</x:v>
      </x:c>
      <x:c r="H558" s="53" t="n">
        <x:f>MIN(E558+F558,G558)</x:f>
        <x:v>0</x:v>
      </x:c>
      <x:c r="I558" s="53" t="n">
        <x:f>E558+F558-H558</x:f>
        <x:v>624645.4545454545</x:v>
      </x:c>
      <x:c r="J558" s="45" t="str">
        <x:f>IF(I558=0,"CLEAR","QUEUED")</x:f>
        <x:v>QUEUED</x:v>
      </x:c>
      <x:c r="K558" s="72"/>
      <x:c r="L558" s="72"/>
      <x:c r="M558" s="72"/>
      <x:c r="N558" s="72"/>
    </x:row>
    <x:row r="559">
      <x:c r="C559" s="45" t="str">
        <x:f>'Path Daily'!C559</x:f>
        <x:v>P6</x:v>
      </x:c>
      <x:c r="D559" s="45" t="n">
        <x:f>'Path Daily'!D559</x:f>
        <x:v>6</x:v>
      </x:c>
      <x:c r="E559" s="53" t="n">
        <x:f>IF(D559=0,SUMIFS('Cargo Records'!$T$7:$T$70,'Cargo Records'!$J$7:$J$70,C559),0)</x:f>
        <x:v>0</x:v>
      </x:c>
      <x:c r="F559" s="53" t="n">
        <x:f>I558</x:f>
        <x:v>624645.4545454545</x:v>
      </x:c>
      <x:c r="G559" s="53" t="n">
        <x:f>'Path Daily'!M559</x:f>
        <x:v>0</x:v>
      </x:c>
      <x:c r="H559" s="53" t="n">
        <x:f>MIN(E559+F559,G559)</x:f>
        <x:v>0</x:v>
      </x:c>
      <x:c r="I559" s="53" t="n">
        <x:f>E559+F559-H559</x:f>
        <x:v>624645.4545454545</x:v>
      </x:c>
      <x:c r="J559" s="45" t="str">
        <x:f>IF(I559=0,"CLEAR","QUEUED")</x:f>
        <x:v>QUEUED</x:v>
      </x:c>
      <x:c r="K559" s="72"/>
      <x:c r="L559" s="72"/>
      <x:c r="M559" s="72"/>
      <x:c r="N559" s="72"/>
    </x:row>
    <x:row r="560">
      <x:c r="C560" s="45" t="str">
        <x:f>'Path Daily'!C560</x:f>
        <x:v>P6</x:v>
      </x:c>
      <x:c r="D560" s="45" t="n">
        <x:f>'Path Daily'!D560</x:f>
        <x:v>7</x:v>
      </x:c>
      <x:c r="E560" s="53" t="n">
        <x:f>IF(D560=0,SUMIFS('Cargo Records'!$T$7:$T$70,'Cargo Records'!$J$7:$J$70,C560),0)</x:f>
        <x:v>0</x:v>
      </x:c>
      <x:c r="F560" s="53" t="n">
        <x:f>I559</x:f>
        <x:v>624645.4545454545</x:v>
      </x:c>
      <x:c r="G560" s="53" t="n">
        <x:f>'Path Daily'!M560</x:f>
        <x:v>0</x:v>
      </x:c>
      <x:c r="H560" s="53" t="n">
        <x:f>MIN(E560+F560,G560)</x:f>
        <x:v>0</x:v>
      </x:c>
      <x:c r="I560" s="53" t="n">
        <x:f>E560+F560-H560</x:f>
        <x:v>624645.4545454545</x:v>
      </x:c>
      <x:c r="J560" s="45" t="str">
        <x:f>IF(I560=0,"CLEAR","QUEUED")</x:f>
        <x:v>QUEUED</x:v>
      </x:c>
      <x:c r="K560" s="72"/>
      <x:c r="L560" s="72"/>
      <x:c r="M560" s="72"/>
      <x:c r="N560" s="72"/>
    </x:row>
    <x:row r="561">
      <x:c r="C561" s="45" t="str">
        <x:f>'Path Daily'!C561</x:f>
        <x:v>P6</x:v>
      </x:c>
      <x:c r="D561" s="45" t="n">
        <x:f>'Path Daily'!D561</x:f>
        <x:v>8</x:v>
      </x:c>
      <x:c r="E561" s="53" t="n">
        <x:f>IF(D561=0,SUMIFS('Cargo Records'!$T$7:$T$70,'Cargo Records'!$J$7:$J$70,C561),0)</x:f>
        <x:v>0</x:v>
      </x:c>
      <x:c r="F561" s="53" t="n">
        <x:f>I560</x:f>
        <x:v>624645.4545454545</x:v>
      </x:c>
      <x:c r="G561" s="53" t="n">
        <x:f>'Path Daily'!M561</x:f>
        <x:v>10660</x:v>
      </x:c>
      <x:c r="H561" s="53" t="n">
        <x:f>MIN(E561+F561,G561)</x:f>
        <x:v>10660</x:v>
      </x:c>
      <x:c r="I561" s="53" t="n">
        <x:f>E561+F561-H561</x:f>
        <x:v>613985.4545454545</x:v>
      </x:c>
      <x:c r="J561" s="45" t="str">
        <x:f>IF(I561=0,"CLEAR","QUEUED")</x:f>
        <x:v>QUEUED</x:v>
      </x:c>
      <x:c r="K561" s="72"/>
      <x:c r="L561" s="72"/>
      <x:c r="M561" s="72"/>
      <x:c r="N561" s="72"/>
    </x:row>
    <x:row r="562">
      <x:c r="C562" s="45" t="str">
        <x:f>'Path Daily'!C562</x:f>
        <x:v>P6</x:v>
      </x:c>
      <x:c r="D562" s="45" t="n">
        <x:f>'Path Daily'!D562</x:f>
        <x:v>9</x:v>
      </x:c>
      <x:c r="E562" s="53" t="n">
        <x:f>IF(D562=0,SUMIFS('Cargo Records'!$T$7:$T$70,'Cargo Records'!$J$7:$J$70,C562),0)</x:f>
        <x:v>0</x:v>
      </x:c>
      <x:c r="F562" s="53" t="n">
        <x:f>I561</x:f>
        <x:v>613985.4545454545</x:v>
      </x:c>
      <x:c r="G562" s="53" t="n">
        <x:f>'Path Daily'!M562</x:f>
        <x:v>10660</x:v>
      </x:c>
      <x:c r="H562" s="53" t="n">
        <x:f>MIN(E562+F562,G562)</x:f>
        <x:v>10660</x:v>
      </x:c>
      <x:c r="I562" s="53" t="n">
        <x:f>E562+F562-H562</x:f>
        <x:v>603325.4545454545</x:v>
      </x:c>
      <x:c r="J562" s="45" t="str">
        <x:f>IF(I562=0,"CLEAR","QUEUED")</x:f>
        <x:v>QUEUED</x:v>
      </x:c>
      <x:c r="K562" s="72"/>
      <x:c r="L562" s="72"/>
      <x:c r="M562" s="72"/>
      <x:c r="N562" s="72"/>
    </x:row>
    <x:row r="563">
      <x:c r="C563" s="45" t="str">
        <x:f>'Path Daily'!C563</x:f>
        <x:v>P6</x:v>
      </x:c>
      <x:c r="D563" s="45" t="n">
        <x:f>'Path Daily'!D563</x:f>
        <x:v>10</x:v>
      </x:c>
      <x:c r="E563" s="53" t="n">
        <x:f>IF(D563=0,SUMIFS('Cargo Records'!$T$7:$T$70,'Cargo Records'!$J$7:$J$70,C563),0)</x:f>
        <x:v>0</x:v>
      </x:c>
      <x:c r="F563" s="53" t="n">
        <x:f>I562</x:f>
        <x:v>603325.4545454545</x:v>
      </x:c>
      <x:c r="G563" s="53" t="n">
        <x:f>'Path Daily'!M563</x:f>
        <x:v>10660</x:v>
      </x:c>
      <x:c r="H563" s="53" t="n">
        <x:f>MIN(E563+F563,G563)</x:f>
        <x:v>10660</x:v>
      </x:c>
      <x:c r="I563" s="53" t="n">
        <x:f>E563+F563-H563</x:f>
        <x:v>592665.4545454545</x:v>
      </x:c>
      <x:c r="J563" s="45" t="str">
        <x:f>IF(I563=0,"CLEAR","QUEUED")</x:f>
        <x:v>QUEUED</x:v>
      </x:c>
      <x:c r="K563" s="72"/>
      <x:c r="L563" s="72"/>
      <x:c r="M563" s="72"/>
      <x:c r="N563" s="72"/>
    </x:row>
    <x:row r="564">
      <x:c r="C564" s="45" t="str">
        <x:f>'Path Daily'!C564</x:f>
        <x:v>P6</x:v>
      </x:c>
      <x:c r="D564" s="45" t="n">
        <x:f>'Path Daily'!D564</x:f>
        <x:v>11</x:v>
      </x:c>
      <x:c r="E564" s="53" t="n">
        <x:f>IF(D564=0,SUMIFS('Cargo Records'!$T$7:$T$70,'Cargo Records'!$J$7:$J$70,C564),0)</x:f>
        <x:v>0</x:v>
      </x:c>
      <x:c r="F564" s="53" t="n">
        <x:f>I563</x:f>
        <x:v>592665.4545454545</x:v>
      </x:c>
      <x:c r="G564" s="53" t="n">
        <x:f>'Path Daily'!M564</x:f>
        <x:v>10660</x:v>
      </x:c>
      <x:c r="H564" s="53" t="n">
        <x:f>MIN(E564+F564,G564)</x:f>
        <x:v>10660</x:v>
      </x:c>
      <x:c r="I564" s="53" t="n">
        <x:f>E564+F564-H564</x:f>
        <x:v>582005.4545454545</x:v>
      </x:c>
      <x:c r="J564" s="45" t="str">
        <x:f>IF(I564=0,"CLEAR","QUEUED")</x:f>
        <x:v>QUEUED</x:v>
      </x:c>
      <x:c r="K564" s="72"/>
      <x:c r="L564" s="72"/>
      <x:c r="M564" s="72"/>
      <x:c r="N564" s="72"/>
    </x:row>
    <x:row r="565">
      <x:c r="C565" s="45" t="str">
        <x:f>'Path Daily'!C565</x:f>
        <x:v>P6</x:v>
      </x:c>
      <x:c r="D565" s="45" t="n">
        <x:f>'Path Daily'!D565</x:f>
        <x:v>12</x:v>
      </x:c>
      <x:c r="E565" s="53" t="n">
        <x:f>IF(D565=0,SUMIFS('Cargo Records'!$T$7:$T$70,'Cargo Records'!$J$7:$J$70,C565),0)</x:f>
        <x:v>0</x:v>
      </x:c>
      <x:c r="F565" s="53" t="n">
        <x:f>I564</x:f>
        <x:v>582005.4545454545</x:v>
      </x:c>
      <x:c r="G565" s="53" t="n">
        <x:f>'Path Daily'!M565</x:f>
        <x:v>10660</x:v>
      </x:c>
      <x:c r="H565" s="53" t="n">
        <x:f>MIN(E565+F565,G565)</x:f>
        <x:v>10660</x:v>
      </x:c>
      <x:c r="I565" s="53" t="n">
        <x:f>E565+F565-H565</x:f>
        <x:v>571345.4545454545</x:v>
      </x:c>
      <x:c r="J565" s="45" t="str">
        <x:f>IF(I565=0,"CLEAR","QUEUED")</x:f>
        <x:v>QUEUED</x:v>
      </x:c>
      <x:c r="K565" s="72"/>
      <x:c r="L565" s="72"/>
      <x:c r="M565" s="72"/>
      <x:c r="N565" s="72"/>
    </x:row>
    <x:row r="566">
      <x:c r="C566" s="45" t="str">
        <x:f>'Path Daily'!C566</x:f>
        <x:v>P6</x:v>
      </x:c>
      <x:c r="D566" s="45" t="n">
        <x:f>'Path Daily'!D566</x:f>
        <x:v>13</x:v>
      </x:c>
      <x:c r="E566" s="53" t="n">
        <x:f>IF(D566=0,SUMIFS('Cargo Records'!$T$7:$T$70,'Cargo Records'!$J$7:$J$70,C566),0)</x:f>
        <x:v>0</x:v>
      </x:c>
      <x:c r="F566" s="53" t="n">
        <x:f>I565</x:f>
        <x:v>571345.4545454545</x:v>
      </x:c>
      <x:c r="G566" s="53" t="n">
        <x:f>'Path Daily'!M566</x:f>
        <x:v>10660</x:v>
      </x:c>
      <x:c r="H566" s="53" t="n">
        <x:f>MIN(E566+F566,G566)</x:f>
        <x:v>10660</x:v>
      </x:c>
      <x:c r="I566" s="53" t="n">
        <x:f>E566+F566-H566</x:f>
        <x:v>560685.4545454545</x:v>
      </x:c>
      <x:c r="J566" s="45" t="str">
        <x:f>IF(I566=0,"CLEAR","QUEUED")</x:f>
        <x:v>QUEUED</x:v>
      </x:c>
      <x:c r="K566" s="72"/>
      <x:c r="L566" s="72"/>
      <x:c r="M566" s="72"/>
      <x:c r="N566" s="72"/>
    </x:row>
    <x:row r="567">
      <x:c r="C567" s="45" t="str">
        <x:f>'Path Daily'!C567</x:f>
        <x:v>P6</x:v>
      </x:c>
      <x:c r="D567" s="45" t="n">
        <x:f>'Path Daily'!D567</x:f>
        <x:v>14</x:v>
      </x:c>
      <x:c r="E567" s="53" t="n">
        <x:f>IF(D567=0,SUMIFS('Cargo Records'!$T$7:$T$70,'Cargo Records'!$J$7:$J$70,C567),0)</x:f>
        <x:v>0</x:v>
      </x:c>
      <x:c r="F567" s="53" t="n">
        <x:f>I566</x:f>
        <x:v>560685.4545454545</x:v>
      </x:c>
      <x:c r="G567" s="53" t="n">
        <x:f>'Path Daily'!M567</x:f>
        <x:v>6929</x:v>
      </x:c>
      <x:c r="H567" s="53" t="n">
        <x:f>MIN(E567+F567,G567)</x:f>
        <x:v>6929</x:v>
      </x:c>
      <x:c r="I567" s="53" t="n">
        <x:f>E567+F567-H567</x:f>
        <x:v>553756.4545454545</x:v>
      </x:c>
      <x:c r="J567" s="45" t="str">
        <x:f>IF(I567=0,"CLEAR","QUEUED")</x:f>
        <x:v>QUEUED</x:v>
      </x:c>
      <x:c r="K567" s="72"/>
      <x:c r="L567" s="72"/>
      <x:c r="M567" s="72"/>
      <x:c r="N567" s="72"/>
    </x:row>
    <x:row r="568">
      <x:c r="C568" s="45" t="str">
        <x:f>'Path Daily'!C568</x:f>
        <x:v>P6</x:v>
      </x:c>
      <x:c r="D568" s="45" t="n">
        <x:f>'Path Daily'!D568</x:f>
        <x:v>15</x:v>
      </x:c>
      <x:c r="E568" s="53" t="n">
        <x:f>IF(D568=0,SUMIFS('Cargo Records'!$T$7:$T$70,'Cargo Records'!$J$7:$J$70,C568),0)</x:f>
        <x:v>0</x:v>
      </x:c>
      <x:c r="F568" s="53" t="n">
        <x:f>I567</x:f>
        <x:v>553756.4545454545</x:v>
      </x:c>
      <x:c r="G568" s="53" t="n">
        <x:f>'Path Daily'!M568</x:f>
        <x:v>5330</x:v>
      </x:c>
      <x:c r="H568" s="53" t="n">
        <x:f>MIN(E568+F568,G568)</x:f>
        <x:v>5330</x:v>
      </x:c>
      <x:c r="I568" s="53" t="n">
        <x:f>E568+F568-H568</x:f>
        <x:v>548426.4545454545</x:v>
      </x:c>
      <x:c r="J568" s="45" t="str">
        <x:f>IF(I568=0,"CLEAR","QUEUED")</x:f>
        <x:v>QUEUED</x:v>
      </x:c>
      <x:c r="K568" s="72"/>
      <x:c r="L568" s="72"/>
      <x:c r="M568" s="72"/>
      <x:c r="N568" s="72"/>
    </x:row>
    <x:row r="569">
      <x:c r="C569" s="45" t="str">
        <x:f>'Path Daily'!C569</x:f>
        <x:v>P6</x:v>
      </x:c>
      <x:c r="D569" s="45" t="n">
        <x:f>'Path Daily'!D569</x:f>
        <x:v>16</x:v>
      </x:c>
      <x:c r="E569" s="53" t="n">
        <x:f>IF(D569=0,SUMIFS('Cargo Records'!$T$7:$T$70,'Cargo Records'!$J$7:$J$70,C569),0)</x:f>
        <x:v>0</x:v>
      </x:c>
      <x:c r="F569" s="53" t="n">
        <x:f>I568</x:f>
        <x:v>548426.4545454545</x:v>
      </x:c>
      <x:c r="G569" s="53" t="n">
        <x:f>'Path Daily'!M569</x:f>
        <x:v>5330</x:v>
      </x:c>
      <x:c r="H569" s="53" t="n">
        <x:f>MIN(E569+F569,G569)</x:f>
        <x:v>5330</x:v>
      </x:c>
      <x:c r="I569" s="53" t="n">
        <x:f>E569+F569-H569</x:f>
        <x:v>543096.4545454545</x:v>
      </x:c>
      <x:c r="J569" s="45" t="str">
        <x:f>IF(I569=0,"CLEAR","QUEUED")</x:f>
        <x:v>QUEUED</x:v>
      </x:c>
      <x:c r="K569" s="72"/>
      <x:c r="L569" s="72"/>
      <x:c r="M569" s="72"/>
      <x:c r="N569" s="72"/>
    </x:row>
    <x:row r="570">
      <x:c r="C570" s="45" t="str">
        <x:f>'Path Daily'!C570</x:f>
        <x:v>P6</x:v>
      </x:c>
      <x:c r="D570" s="45" t="n">
        <x:f>'Path Daily'!D570</x:f>
        <x:v>17</x:v>
      </x:c>
      <x:c r="E570" s="53" t="n">
        <x:f>IF(D570=0,SUMIFS('Cargo Records'!$T$7:$T$70,'Cargo Records'!$J$7:$J$70,C570),0)</x:f>
        <x:v>0</x:v>
      </x:c>
      <x:c r="F570" s="53" t="n">
        <x:f>I569</x:f>
        <x:v>543096.4545454545</x:v>
      </x:c>
      <x:c r="G570" s="53" t="n">
        <x:f>'Path Daily'!M570</x:f>
        <x:v>8200</x:v>
      </x:c>
      <x:c r="H570" s="53" t="n">
        <x:f>MIN(E570+F570,G570)</x:f>
        <x:v>8200</x:v>
      </x:c>
      <x:c r="I570" s="53" t="n">
        <x:f>E570+F570-H570</x:f>
        <x:v>534896.4545454545</x:v>
      </x:c>
      <x:c r="J570" s="45" t="str">
        <x:f>IF(I570=0,"CLEAR","QUEUED")</x:f>
        <x:v>QUEUED</x:v>
      </x:c>
      <x:c r="K570" s="72"/>
      <x:c r="L570" s="72"/>
      <x:c r="M570" s="72"/>
      <x:c r="N570" s="72"/>
    </x:row>
    <x:row r="571">
      <x:c r="C571" s="45" t="str">
        <x:f>'Path Daily'!C571</x:f>
        <x:v>P6</x:v>
      </x:c>
      <x:c r="D571" s="45" t="n">
        <x:f>'Path Daily'!D571</x:f>
        <x:v>18</x:v>
      </x:c>
      <x:c r="E571" s="53" t="n">
        <x:f>IF(D571=0,SUMIFS('Cargo Records'!$T$7:$T$70,'Cargo Records'!$J$7:$J$70,C571),0)</x:f>
        <x:v>0</x:v>
      </x:c>
      <x:c r="F571" s="53" t="n">
        <x:f>I570</x:f>
        <x:v>534896.4545454545</x:v>
      </x:c>
      <x:c r="G571" s="53" t="n">
        <x:f>'Path Daily'!M571</x:f>
        <x:v>8200</x:v>
      </x:c>
      <x:c r="H571" s="53" t="n">
        <x:f>MIN(E571+F571,G571)</x:f>
        <x:v>8200</x:v>
      </x:c>
      <x:c r="I571" s="53" t="n">
        <x:f>E571+F571-H571</x:f>
        <x:v>526696.4545454545</x:v>
      </x:c>
      <x:c r="J571" s="45" t="str">
        <x:f>IF(I571=0,"CLEAR","QUEUED")</x:f>
        <x:v>QUEUED</x:v>
      </x:c>
      <x:c r="K571" s="72"/>
      <x:c r="L571" s="72"/>
      <x:c r="M571" s="72"/>
      <x:c r="N571" s="72"/>
    </x:row>
    <x:row r="572">
      <x:c r="C572" s="45" t="str">
        <x:f>'Path Daily'!C572</x:f>
        <x:v>P6</x:v>
      </x:c>
      <x:c r="D572" s="45" t="n">
        <x:f>'Path Daily'!D572</x:f>
        <x:v>19</x:v>
      </x:c>
      <x:c r="E572" s="53" t="n">
        <x:f>IF(D572=0,SUMIFS('Cargo Records'!$T$7:$T$70,'Cargo Records'!$J$7:$J$70,C572),0)</x:f>
        <x:v>0</x:v>
      </x:c>
      <x:c r="F572" s="53" t="n">
        <x:f>I571</x:f>
        <x:v>526696.4545454545</x:v>
      </x:c>
      <x:c r="G572" s="53" t="n">
        <x:f>'Path Daily'!M572</x:f>
        <x:v>8200</x:v>
      </x:c>
      <x:c r="H572" s="53" t="n">
        <x:f>MIN(E572+F572,G572)</x:f>
        <x:v>8200</x:v>
      </x:c>
      <x:c r="I572" s="53" t="n">
        <x:f>E572+F572-H572</x:f>
        <x:v>518496.4545454545</x:v>
      </x:c>
      <x:c r="J572" s="45" t="str">
        <x:f>IF(I572=0,"CLEAR","QUEUED")</x:f>
        <x:v>QUEUED</x:v>
      </x:c>
      <x:c r="K572" s="72"/>
      <x:c r="L572" s="72"/>
      <x:c r="M572" s="72"/>
      <x:c r="N572" s="72"/>
    </x:row>
    <x:row r="573">
      <x:c r="C573" s="45" t="str">
        <x:f>'Path Daily'!C573</x:f>
        <x:v>P6</x:v>
      </x:c>
      <x:c r="D573" s="45" t="n">
        <x:f>'Path Daily'!D573</x:f>
        <x:v>20</x:v>
      </x:c>
      <x:c r="E573" s="53" t="n">
        <x:f>IF(D573=0,SUMIFS('Cargo Records'!$T$7:$T$70,'Cargo Records'!$J$7:$J$70,C573),0)</x:f>
        <x:v>0</x:v>
      </x:c>
      <x:c r="F573" s="53" t="n">
        <x:f>I572</x:f>
        <x:v>518496.4545454545</x:v>
      </x:c>
      <x:c r="G573" s="53" t="n">
        <x:f>'Path Daily'!M573</x:f>
        <x:v>16400</x:v>
      </x:c>
      <x:c r="H573" s="53" t="n">
        <x:f>MIN(E573+F573,G573)</x:f>
        <x:v>16400</x:v>
      </x:c>
      <x:c r="I573" s="53" t="n">
        <x:f>E573+F573-H573</x:f>
        <x:v>502096.4545454545</x:v>
      </x:c>
      <x:c r="J573" s="45" t="str">
        <x:f>IF(I573=0,"CLEAR","QUEUED")</x:f>
        <x:v>QUEUED</x:v>
      </x:c>
      <x:c r="K573" s="72"/>
      <x:c r="L573" s="72"/>
      <x:c r="M573" s="72"/>
      <x:c r="N573" s="72"/>
    </x:row>
    <x:row r="574">
      <x:c r="C574" s="45" t="str">
        <x:f>'Path Daily'!C574</x:f>
        <x:v>P6</x:v>
      </x:c>
      <x:c r="D574" s="45" t="n">
        <x:f>'Path Daily'!D574</x:f>
        <x:v>21</x:v>
      </x:c>
      <x:c r="E574" s="53" t="n">
        <x:f>IF(D574=0,SUMIFS('Cargo Records'!$T$7:$T$70,'Cargo Records'!$J$7:$J$70,C574),0)</x:f>
        <x:v>0</x:v>
      </x:c>
      <x:c r="F574" s="53" t="n">
        <x:f>I573</x:f>
        <x:v>502096.4545454545</x:v>
      </x:c>
      <x:c r="G574" s="53" t="n">
        <x:f>'Path Daily'!M574</x:f>
        <x:v>5740</x:v>
      </x:c>
      <x:c r="H574" s="53" t="n">
        <x:f>MIN(E574+F574,G574)</x:f>
        <x:v>5740</x:v>
      </x:c>
      <x:c r="I574" s="53" t="n">
        <x:f>E574+F574-H574</x:f>
        <x:v>496356.4545454545</x:v>
      </x:c>
      <x:c r="J574" s="45" t="str">
        <x:f>IF(I574=0,"CLEAR","QUEUED")</x:f>
        <x:v>QUEUED</x:v>
      </x:c>
      <x:c r="K574" s="72"/>
      <x:c r="L574" s="72"/>
      <x:c r="M574" s="72"/>
      <x:c r="N574" s="72"/>
    </x:row>
    <x:row r="575">
      <x:c r="C575" s="45" t="str">
        <x:f>'Path Daily'!C575</x:f>
        <x:v>P6</x:v>
      </x:c>
      <x:c r="D575" s="45" t="n">
        <x:f>'Path Daily'!D575</x:f>
        <x:v>22</x:v>
      </x:c>
      <x:c r="E575" s="53" t="n">
        <x:f>IF(D575=0,SUMIFS('Cargo Records'!$T$7:$T$70,'Cargo Records'!$J$7:$J$70,C575),0)</x:f>
        <x:v>0</x:v>
      </x:c>
      <x:c r="F575" s="53" t="n">
        <x:f>I574</x:f>
        <x:v>496356.4545454545</x:v>
      </x:c>
      <x:c r="G575" s="53" t="n">
        <x:f>'Path Daily'!M575</x:f>
        <x:v>16400</x:v>
      </x:c>
      <x:c r="H575" s="53" t="n">
        <x:f>MIN(E575+F575,G575)</x:f>
        <x:v>16400</x:v>
      </x:c>
      <x:c r="I575" s="53" t="n">
        <x:f>E575+F575-H575</x:f>
        <x:v>479956.4545454545</x:v>
      </x:c>
      <x:c r="J575" s="45" t="str">
        <x:f>IF(I575=0,"CLEAR","QUEUED")</x:f>
        <x:v>QUEUED</x:v>
      </x:c>
      <x:c r="K575" s="72"/>
      <x:c r="L575" s="72"/>
      <x:c r="M575" s="72"/>
      <x:c r="N575" s="72"/>
    </x:row>
    <x:row r="576">
      <x:c r="C576" s="45" t="str">
        <x:f>'Path Daily'!C576</x:f>
        <x:v>P6</x:v>
      </x:c>
      <x:c r="D576" s="45" t="n">
        <x:f>'Path Daily'!D576</x:f>
        <x:v>23</x:v>
      </x:c>
      <x:c r="E576" s="53" t="n">
        <x:f>IF(D576=0,SUMIFS('Cargo Records'!$T$7:$T$70,'Cargo Records'!$J$7:$J$70,C576),0)</x:f>
        <x:v>0</x:v>
      </x:c>
      <x:c r="F576" s="53" t="n">
        <x:f>I575</x:f>
        <x:v>479956.4545454545</x:v>
      </x:c>
      <x:c r="G576" s="53" t="n">
        <x:f>'Path Daily'!M576</x:f>
        <x:v>16400</x:v>
      </x:c>
      <x:c r="H576" s="53" t="n">
        <x:f>MIN(E576+F576,G576)</x:f>
        <x:v>16400</x:v>
      </x:c>
      <x:c r="I576" s="53" t="n">
        <x:f>E576+F576-H576</x:f>
        <x:v>463556.4545454545</x:v>
      </x:c>
      <x:c r="J576" s="45" t="str">
        <x:f>IF(I576=0,"CLEAR","QUEUED")</x:f>
        <x:v>QUEUED</x:v>
      </x:c>
      <x:c r="K576" s="72"/>
      <x:c r="L576" s="72"/>
      <x:c r="M576" s="72"/>
      <x:c r="N576" s="72"/>
    </x:row>
    <x:row r="577">
      <x:c r="C577" s="45" t="str">
        <x:f>'Path Daily'!C577</x:f>
        <x:v>P6</x:v>
      </x:c>
      <x:c r="D577" s="45" t="n">
        <x:f>'Path Daily'!D577</x:f>
        <x:v>24</x:v>
      </x:c>
      <x:c r="E577" s="53" t="n">
        <x:f>IF(D577=0,SUMIFS('Cargo Records'!$T$7:$T$70,'Cargo Records'!$J$7:$J$70,C577),0)</x:f>
        <x:v>0</x:v>
      </x:c>
      <x:c r="F577" s="53" t="n">
        <x:f>I576</x:f>
        <x:v>463556.4545454545</x:v>
      </x:c>
      <x:c r="G577" s="53" t="n">
        <x:f>'Path Daily'!M577</x:f>
        <x:v>16400</x:v>
      </x:c>
      <x:c r="H577" s="53" t="n">
        <x:f>MIN(E577+F577,G577)</x:f>
        <x:v>16400</x:v>
      </x:c>
      <x:c r="I577" s="53" t="n">
        <x:f>E577+F577-H577</x:f>
        <x:v>447156.4545454545</x:v>
      </x:c>
      <x:c r="J577" s="45" t="str">
        <x:f>IF(I577=0,"CLEAR","QUEUED")</x:f>
        <x:v>QUEUED</x:v>
      </x:c>
      <x:c r="K577" s="72"/>
      <x:c r="L577" s="72"/>
      <x:c r="M577" s="72"/>
      <x:c r="N577" s="72"/>
    </x:row>
    <x:row r="578">
      <x:c r="C578" s="45" t="str">
        <x:f>'Path Daily'!C578</x:f>
        <x:v>P6</x:v>
      </x:c>
      <x:c r="D578" s="45" t="n">
        <x:f>'Path Daily'!D578</x:f>
        <x:v>25</x:v>
      </x:c>
      <x:c r="E578" s="53" t="n">
        <x:f>IF(D578=0,SUMIFS('Cargo Records'!$T$7:$T$70,'Cargo Records'!$J$7:$J$70,C578),0)</x:f>
        <x:v>0</x:v>
      </x:c>
      <x:c r="F578" s="53" t="n">
        <x:f>I577</x:f>
        <x:v>447156.4545454545</x:v>
      </x:c>
      <x:c r="G578" s="53" t="n">
        <x:f>'Path Daily'!M578</x:f>
        <x:v>16400</x:v>
      </x:c>
      <x:c r="H578" s="53" t="n">
        <x:f>MIN(E578+F578,G578)</x:f>
        <x:v>16400</x:v>
      </x:c>
      <x:c r="I578" s="53" t="n">
        <x:f>E578+F578-H578</x:f>
        <x:v>430756.4545454545</x:v>
      </x:c>
      <x:c r="J578" s="45" t="str">
        <x:f>IF(I578=0,"CLEAR","QUEUED")</x:f>
        <x:v>QUEUED</x:v>
      </x:c>
      <x:c r="K578" s="72"/>
      <x:c r="L578" s="72"/>
      <x:c r="M578" s="72"/>
      <x:c r="N578" s="72"/>
    </x:row>
    <x:row r="579">
      <x:c r="C579" s="45" t="str">
        <x:f>'Path Daily'!C579</x:f>
        <x:v>P6</x:v>
      </x:c>
      <x:c r="D579" s="45" t="n">
        <x:f>'Path Daily'!D579</x:f>
        <x:v>26</x:v>
      </x:c>
      <x:c r="E579" s="53" t="n">
        <x:f>IF(D579=0,SUMIFS('Cargo Records'!$T$7:$T$70,'Cargo Records'!$J$7:$J$70,C579),0)</x:f>
        <x:v>0</x:v>
      </x:c>
      <x:c r="F579" s="53" t="n">
        <x:f>I578</x:f>
        <x:v>430756.4545454545</x:v>
      </x:c>
      <x:c r="G579" s="53" t="n">
        <x:f>'Path Daily'!M579</x:f>
        <x:v>16400</x:v>
      </x:c>
      <x:c r="H579" s="53" t="n">
        <x:f>MIN(E579+F579,G579)</x:f>
        <x:v>16400</x:v>
      </x:c>
      <x:c r="I579" s="53" t="n">
        <x:f>E579+F579-H579</x:f>
        <x:v>414356.4545454545</x:v>
      </x:c>
      <x:c r="J579" s="45" t="str">
        <x:f>IF(I579=0,"CLEAR","QUEUED")</x:f>
        <x:v>QUEUED</x:v>
      </x:c>
      <x:c r="K579" s="72"/>
      <x:c r="L579" s="72"/>
      <x:c r="M579" s="72"/>
      <x:c r="N579" s="72"/>
    </x:row>
    <x:row r="580">
      <x:c r="C580" s="45" t="str">
        <x:f>'Path Daily'!C580</x:f>
        <x:v>P6</x:v>
      </x:c>
      <x:c r="D580" s="45" t="n">
        <x:f>'Path Daily'!D580</x:f>
        <x:v>27</x:v>
      </x:c>
      <x:c r="E580" s="53" t="n">
        <x:f>IF(D580=0,SUMIFS('Cargo Records'!$T$7:$T$70,'Cargo Records'!$J$7:$J$70,C580),0)</x:f>
        <x:v>0</x:v>
      </x:c>
      <x:c r="F580" s="53" t="n">
        <x:f>I579</x:f>
        <x:v>414356.4545454545</x:v>
      </x:c>
      <x:c r="G580" s="53" t="n">
        <x:f>'Path Daily'!M580</x:f>
        <x:v>16400</x:v>
      </x:c>
      <x:c r="H580" s="53" t="n">
        <x:f>MIN(E580+F580,G580)</x:f>
        <x:v>16400</x:v>
      </x:c>
      <x:c r="I580" s="53" t="n">
        <x:f>E580+F580-H580</x:f>
        <x:v>397956.4545454545</x:v>
      </x:c>
      <x:c r="J580" s="45" t="str">
        <x:f>IF(I580=0,"CLEAR","QUEUED")</x:f>
        <x:v>QUEUED</x:v>
      </x:c>
      <x:c r="K580" s="72"/>
      <x:c r="L580" s="72"/>
      <x:c r="M580" s="72"/>
      <x:c r="N580" s="72"/>
    </x:row>
    <x:row r="581">
      <x:c r="C581" s="45" t="str">
        <x:f>'Path Daily'!C581</x:f>
        <x:v>P6</x:v>
      </x:c>
      <x:c r="D581" s="45" t="n">
        <x:f>'Path Daily'!D581</x:f>
        <x:v>28</x:v>
      </x:c>
      <x:c r="E581" s="53" t="n">
        <x:f>IF(D581=0,SUMIFS('Cargo Records'!$T$7:$T$70,'Cargo Records'!$J$7:$J$70,C581),0)</x:f>
        <x:v>0</x:v>
      </x:c>
      <x:c r="F581" s="53" t="n">
        <x:f>I580</x:f>
        <x:v>397956.4545454545</x:v>
      </x:c>
      <x:c r="G581" s="53" t="n">
        <x:f>'Path Daily'!M581</x:f>
        <x:v>16400</x:v>
      </x:c>
      <x:c r="H581" s="53" t="n">
        <x:f>MIN(E581+F581,G581)</x:f>
        <x:v>16400</x:v>
      </x:c>
      <x:c r="I581" s="53" t="n">
        <x:f>E581+F581-H581</x:f>
        <x:v>381556.4545454545</x:v>
      </x:c>
      <x:c r="J581" s="45" t="str">
        <x:f>IF(I581=0,"CLEAR","QUEUED")</x:f>
        <x:v>QUEUED</x:v>
      </x:c>
      <x:c r="K581" s="72"/>
      <x:c r="L581" s="72"/>
      <x:c r="M581" s="72"/>
      <x:c r="N581" s="72"/>
    </x:row>
    <x:row r="582">
      <x:c r="C582" s="45" t="str">
        <x:f>'Path Daily'!C582</x:f>
        <x:v>P6</x:v>
      </x:c>
      <x:c r="D582" s="45" t="n">
        <x:f>'Path Daily'!D582</x:f>
        <x:v>29</x:v>
      </x:c>
      <x:c r="E582" s="53" t="n">
        <x:f>IF(D582=0,SUMIFS('Cargo Records'!$T$7:$T$70,'Cargo Records'!$J$7:$J$70,C582),0)</x:f>
        <x:v>0</x:v>
      </x:c>
      <x:c r="F582" s="53" t="n">
        <x:f>I581</x:f>
        <x:v>381556.4545454545</x:v>
      </x:c>
      <x:c r="G582" s="53" t="n">
        <x:f>'Path Daily'!M582</x:f>
        <x:v>16400</x:v>
      </x:c>
      <x:c r="H582" s="53" t="n">
        <x:f>MIN(E582+F582,G582)</x:f>
        <x:v>16400</x:v>
      </x:c>
      <x:c r="I582" s="53" t="n">
        <x:f>E582+F582-H582</x:f>
        <x:v>365156.4545454545</x:v>
      </x:c>
      <x:c r="J582" s="45" t="str">
        <x:f>IF(I582=0,"CLEAR","QUEUED")</x:f>
        <x:v>QUEUED</x:v>
      </x:c>
      <x:c r="K582" s="72"/>
      <x:c r="L582" s="72"/>
      <x:c r="M582" s="72"/>
      <x:c r="N582" s="72"/>
    </x:row>
    <x:row r="583">
      <x:c r="C583" s="45" t="str">
        <x:f>'Path Daily'!C583</x:f>
        <x:v>P6</x:v>
      </x:c>
      <x:c r="D583" s="45" t="n">
        <x:f>'Path Daily'!D583</x:f>
        <x:v>30</x:v>
      </x:c>
      <x:c r="E583" s="53" t="n">
        <x:f>IF(D583=0,SUMIFS('Cargo Records'!$T$7:$T$70,'Cargo Records'!$J$7:$J$70,C583),0)</x:f>
        <x:v>0</x:v>
      </x:c>
      <x:c r="F583" s="53" t="n">
        <x:f>I582</x:f>
        <x:v>365156.4545454545</x:v>
      </x:c>
      <x:c r="G583" s="53" t="n">
        <x:f>'Path Daily'!M583</x:f>
        <x:v>16400</x:v>
      </x:c>
      <x:c r="H583" s="53" t="n">
        <x:f>MIN(E583+F583,G583)</x:f>
        <x:v>16400</x:v>
      </x:c>
      <x:c r="I583" s="53" t="n">
        <x:f>E583+F583-H583</x:f>
        <x:v>348756.4545454545</x:v>
      </x:c>
      <x:c r="J583" s="45" t="str">
        <x:f>IF(I583=0,"CLEAR","QUEUED")</x:f>
        <x:v>QUEUED</x:v>
      </x:c>
      <x:c r="K583" s="72"/>
      <x:c r="L583" s="72"/>
      <x:c r="M583" s="72"/>
      <x:c r="N583" s="72"/>
    </x:row>
    <x:row r="584">
      <x:c r="C584" s="45" t="str">
        <x:f>'Path Daily'!C584</x:f>
        <x:v>P6</x:v>
      </x:c>
      <x:c r="D584" s="45" t="n">
        <x:f>'Path Daily'!D584</x:f>
        <x:v>31</x:v>
      </x:c>
      <x:c r="E584" s="53" t="n">
        <x:f>IF(D584=0,SUMIFS('Cargo Records'!$T$7:$T$70,'Cargo Records'!$J$7:$J$70,C584),0)</x:f>
        <x:v>0</x:v>
      </x:c>
      <x:c r="F584" s="53" t="n">
        <x:f>I583</x:f>
        <x:v>348756.4545454545</x:v>
      </x:c>
      <x:c r="G584" s="53" t="n">
        <x:f>'Path Daily'!M584</x:f>
        <x:v>16400</x:v>
      </x:c>
      <x:c r="H584" s="53" t="n">
        <x:f>MIN(E584+F584,G584)</x:f>
        <x:v>16400</x:v>
      </x:c>
      <x:c r="I584" s="53" t="n">
        <x:f>E584+F584-H584</x:f>
        <x:v>332356.4545454545</x:v>
      </x:c>
      <x:c r="J584" s="45" t="str">
        <x:f>IF(I584=0,"CLEAR","QUEUED")</x:f>
        <x:v>QUEUED</x:v>
      </x:c>
      <x:c r="K584" s="72"/>
      <x:c r="L584" s="72"/>
      <x:c r="M584" s="72"/>
      <x:c r="N584" s="72"/>
    </x:row>
    <x:row r="585">
      <x:c r="C585" s="45" t="str">
        <x:f>'Path Daily'!C585</x:f>
        <x:v>P6</x:v>
      </x:c>
      <x:c r="D585" s="45" t="n">
        <x:f>'Path Daily'!D585</x:f>
        <x:v>32</x:v>
      </x:c>
      <x:c r="E585" s="53" t="n">
        <x:f>IF(D585=0,SUMIFS('Cargo Records'!$T$7:$T$70,'Cargo Records'!$J$7:$J$70,C585),0)</x:f>
        <x:v>0</x:v>
      </x:c>
      <x:c r="F585" s="53" t="n">
        <x:f>I584</x:f>
        <x:v>332356.4545454545</x:v>
      </x:c>
      <x:c r="G585" s="53" t="n">
        <x:f>'Path Daily'!M585</x:f>
        <x:v>16400</x:v>
      </x:c>
      <x:c r="H585" s="53" t="n">
        <x:f>MIN(E585+F585,G585)</x:f>
        <x:v>16400</x:v>
      </x:c>
      <x:c r="I585" s="53" t="n">
        <x:f>E585+F585-H585</x:f>
        <x:v>315956.4545454545</x:v>
      </x:c>
      <x:c r="J585" s="45" t="str">
        <x:f>IF(I585=0,"CLEAR","QUEUED")</x:f>
        <x:v>QUEUED</x:v>
      </x:c>
      <x:c r="K585" s="72"/>
      <x:c r="L585" s="72"/>
      <x:c r="M585" s="72"/>
      <x:c r="N585" s="72"/>
    </x:row>
    <x:row r="586">
      <x:c r="C586" s="45" t="str">
        <x:f>'Path Daily'!C586</x:f>
        <x:v>P6</x:v>
      </x:c>
      <x:c r="D586" s="45" t="n">
        <x:f>'Path Daily'!D586</x:f>
        <x:v>33</x:v>
      </x:c>
      <x:c r="E586" s="53" t="n">
        <x:f>IF(D586=0,SUMIFS('Cargo Records'!$T$7:$T$70,'Cargo Records'!$J$7:$J$70,C586),0)</x:f>
        <x:v>0</x:v>
      </x:c>
      <x:c r="F586" s="53" t="n">
        <x:f>I585</x:f>
        <x:v>315956.4545454545</x:v>
      </x:c>
      <x:c r="G586" s="53" t="n">
        <x:f>'Path Daily'!M586</x:f>
        <x:v>16400</x:v>
      </x:c>
      <x:c r="H586" s="53" t="n">
        <x:f>MIN(E586+F586,G586)</x:f>
        <x:v>16400</x:v>
      </x:c>
      <x:c r="I586" s="53" t="n">
        <x:f>E586+F586-H586</x:f>
        <x:v>299556.4545454545</x:v>
      </x:c>
      <x:c r="J586" s="45" t="str">
        <x:f>IF(I586=0,"CLEAR","QUEUED")</x:f>
        <x:v>QUEUED</x:v>
      </x:c>
      <x:c r="K586" s="72"/>
      <x:c r="L586" s="72"/>
      <x:c r="M586" s="72"/>
      <x:c r="N586" s="72"/>
    </x:row>
    <x:row r="587">
      <x:c r="C587" s="45" t="str">
        <x:f>'Path Daily'!C587</x:f>
        <x:v>P6</x:v>
      </x:c>
      <x:c r="D587" s="45" t="n">
        <x:f>'Path Daily'!D587</x:f>
        <x:v>34</x:v>
      </x:c>
      <x:c r="E587" s="53" t="n">
        <x:f>IF(D587=0,SUMIFS('Cargo Records'!$T$7:$T$70,'Cargo Records'!$J$7:$J$70,C587),0)</x:f>
        <x:v>0</x:v>
      </x:c>
      <x:c r="F587" s="53" t="n">
        <x:f>I586</x:f>
        <x:v>299556.4545454545</x:v>
      </x:c>
      <x:c r="G587" s="53" t="n">
        <x:f>'Path Daily'!M587</x:f>
        <x:v>10660</x:v>
      </x:c>
      <x:c r="H587" s="53" t="n">
        <x:f>MIN(E587+F587,G587)</x:f>
        <x:v>10660</x:v>
      </x:c>
      <x:c r="I587" s="53" t="n">
        <x:f>E587+F587-H587</x:f>
        <x:v>288896.4545454545</x:v>
      </x:c>
      <x:c r="J587" s="45" t="str">
        <x:f>IF(I587=0,"CLEAR","QUEUED")</x:f>
        <x:v>QUEUED</x:v>
      </x:c>
      <x:c r="K587" s="72"/>
      <x:c r="L587" s="72"/>
      <x:c r="M587" s="72"/>
      <x:c r="N587" s="72"/>
    </x:row>
    <x:row r="588">
      <x:c r="C588" s="45" t="str">
        <x:f>'Path Daily'!C588</x:f>
        <x:v>P6</x:v>
      </x:c>
      <x:c r="D588" s="45" t="n">
        <x:f>'Path Daily'!D588</x:f>
        <x:v>35</x:v>
      </x:c>
      <x:c r="E588" s="53" t="n">
        <x:f>IF(D588=0,SUMIFS('Cargo Records'!$T$7:$T$70,'Cargo Records'!$J$7:$J$70,C588),0)</x:f>
        <x:v>0</x:v>
      </x:c>
      <x:c r="F588" s="53" t="n">
        <x:f>I587</x:f>
        <x:v>288896.4545454545</x:v>
      </x:c>
      <x:c r="G588" s="53" t="n">
        <x:f>'Path Daily'!M588</x:f>
        <x:v>10660</x:v>
      </x:c>
      <x:c r="H588" s="53" t="n">
        <x:f>MIN(E588+F588,G588)</x:f>
        <x:v>10660</x:v>
      </x:c>
      <x:c r="I588" s="53" t="n">
        <x:f>E588+F588-H588</x:f>
        <x:v>278236.4545454545</x:v>
      </x:c>
      <x:c r="J588" s="45" t="str">
        <x:f>IF(I588=0,"CLEAR","QUEUED")</x:f>
        <x:v>QUEUED</x:v>
      </x:c>
      <x:c r="K588" s="72"/>
      <x:c r="L588" s="72"/>
      <x:c r="M588" s="72"/>
      <x:c r="N588" s="72"/>
    </x:row>
    <x:row r="589">
      <x:c r="C589" s="45" t="str">
        <x:f>'Path Daily'!C589</x:f>
        <x:v>P6</x:v>
      </x:c>
      <x:c r="D589" s="45" t="n">
        <x:f>'Path Daily'!D589</x:f>
        <x:v>36</x:v>
      </x:c>
      <x:c r="E589" s="53" t="n">
        <x:f>IF(D589=0,SUMIFS('Cargo Records'!$T$7:$T$70,'Cargo Records'!$J$7:$J$70,C589),0)</x:f>
        <x:v>0</x:v>
      </x:c>
      <x:c r="F589" s="53" t="n">
        <x:f>I588</x:f>
        <x:v>278236.4545454545</x:v>
      </x:c>
      <x:c r="G589" s="53" t="n">
        <x:f>'Path Daily'!M589</x:f>
        <x:v>16400</x:v>
      </x:c>
      <x:c r="H589" s="53" t="n">
        <x:f>MIN(E589+F589,G589)</x:f>
        <x:v>16400</x:v>
      </x:c>
      <x:c r="I589" s="53" t="n">
        <x:f>E589+F589-H589</x:f>
        <x:v>261836.45454545447</x:v>
      </x:c>
      <x:c r="J589" s="45" t="str">
        <x:f>IF(I589=0,"CLEAR","QUEUED")</x:f>
        <x:v>QUEUED</x:v>
      </x:c>
      <x:c r="K589" s="72"/>
      <x:c r="L589" s="72"/>
      <x:c r="M589" s="72"/>
      <x:c r="N589" s="72"/>
    </x:row>
    <x:row r="590">
      <x:c r="C590" s="45" t="str">
        <x:f>'Path Daily'!C590</x:f>
        <x:v>P6</x:v>
      </x:c>
      <x:c r="D590" s="45" t="n">
        <x:f>'Path Daily'!D590</x:f>
        <x:v>37</x:v>
      </x:c>
      <x:c r="E590" s="53" t="n">
        <x:f>IF(D590=0,SUMIFS('Cargo Records'!$T$7:$T$70,'Cargo Records'!$J$7:$J$70,C590),0)</x:f>
        <x:v>0</x:v>
      </x:c>
      <x:c r="F590" s="53" t="n">
        <x:f>I589</x:f>
        <x:v>261836.45454545447</x:v>
      </x:c>
      <x:c r="G590" s="53" t="n">
        <x:f>'Path Daily'!M590</x:f>
        <x:v>16400</x:v>
      </x:c>
      <x:c r="H590" s="53" t="n">
        <x:f>MIN(E590+F590,G590)</x:f>
        <x:v>16400</x:v>
      </x:c>
      <x:c r="I590" s="53" t="n">
        <x:f>E590+F590-H590</x:f>
        <x:v>245436.45454545447</x:v>
      </x:c>
      <x:c r="J590" s="45" t="str">
        <x:f>IF(I590=0,"CLEAR","QUEUED")</x:f>
        <x:v>QUEUED</x:v>
      </x:c>
      <x:c r="K590" s="72"/>
      <x:c r="L590" s="72"/>
      <x:c r="M590" s="72"/>
      <x:c r="N590" s="72"/>
    </x:row>
    <x:row r="591">
      <x:c r="C591" s="45" t="str">
        <x:f>'Path Daily'!C591</x:f>
        <x:v>P6</x:v>
      </x:c>
      <x:c r="D591" s="45" t="n">
        <x:f>'Path Daily'!D591</x:f>
        <x:v>38</x:v>
      </x:c>
      <x:c r="E591" s="53" t="n">
        <x:f>IF(D591=0,SUMIFS('Cargo Records'!$T$7:$T$70,'Cargo Records'!$J$7:$J$70,C591),0)</x:f>
        <x:v>0</x:v>
      </x:c>
      <x:c r="F591" s="53" t="n">
        <x:f>I590</x:f>
        <x:v>245436.45454545447</x:v>
      </x:c>
      <x:c r="G591" s="53" t="n">
        <x:f>'Path Daily'!M591</x:f>
        <x:v>16400</x:v>
      </x:c>
      <x:c r="H591" s="53" t="n">
        <x:f>MIN(E591+F591,G591)</x:f>
        <x:v>16400</x:v>
      </x:c>
      <x:c r="I591" s="53" t="n">
        <x:f>E591+F591-H591</x:f>
        <x:v>229036.45454545447</x:v>
      </x:c>
      <x:c r="J591" s="45" t="str">
        <x:f>IF(I591=0,"CLEAR","QUEUED")</x:f>
        <x:v>QUEUED</x:v>
      </x:c>
      <x:c r="K591" s="72"/>
      <x:c r="L591" s="72"/>
      <x:c r="M591" s="72"/>
      <x:c r="N591" s="72"/>
    </x:row>
    <x:row r="592">
      <x:c r="C592" s="45" t="str">
        <x:f>'Path Daily'!C592</x:f>
        <x:v>P6</x:v>
      </x:c>
      <x:c r="D592" s="45" t="n">
        <x:f>'Path Daily'!D592</x:f>
        <x:v>39</x:v>
      </x:c>
      <x:c r="E592" s="53" t="n">
        <x:f>IF(D592=0,SUMIFS('Cargo Records'!$T$7:$T$70,'Cargo Records'!$J$7:$J$70,C592),0)</x:f>
        <x:v>0</x:v>
      </x:c>
      <x:c r="F592" s="53" t="n">
        <x:f>I591</x:f>
        <x:v>229036.45454545447</x:v>
      </x:c>
      <x:c r="G592" s="53" t="n">
        <x:f>'Path Daily'!M592</x:f>
        <x:v>16400</x:v>
      </x:c>
      <x:c r="H592" s="53" t="n">
        <x:f>MIN(E592+F592,G592)</x:f>
        <x:v>16400</x:v>
      </x:c>
      <x:c r="I592" s="53" t="n">
        <x:f>E592+F592-H592</x:f>
        <x:v>212636.45454545447</x:v>
      </x:c>
      <x:c r="J592" s="45" t="str">
        <x:f>IF(I592=0,"CLEAR","QUEUED")</x:f>
        <x:v>QUEUED</x:v>
      </x:c>
      <x:c r="K592" s="72"/>
      <x:c r="L592" s="72"/>
      <x:c r="M592" s="72"/>
      <x:c r="N592" s="72"/>
    </x:row>
    <x:row r="593">
      <x:c r="C593" s="45" t="str">
        <x:f>'Path Daily'!C593</x:f>
        <x:v>P6</x:v>
      </x:c>
      <x:c r="D593" s="45" t="n">
        <x:f>'Path Daily'!D593</x:f>
        <x:v>40</x:v>
      </x:c>
      <x:c r="E593" s="53" t="n">
        <x:f>IF(D593=0,SUMIFS('Cargo Records'!$T$7:$T$70,'Cargo Records'!$J$7:$J$70,C593),0)</x:f>
        <x:v>0</x:v>
      </x:c>
      <x:c r="F593" s="53" t="n">
        <x:f>I592</x:f>
        <x:v>212636.45454545447</x:v>
      </x:c>
      <x:c r="G593" s="53" t="n">
        <x:f>'Path Daily'!M593</x:f>
        <x:v>16400</x:v>
      </x:c>
      <x:c r="H593" s="53" t="n">
        <x:f>MIN(E593+F593,G593)</x:f>
        <x:v>16400</x:v>
      </x:c>
      <x:c r="I593" s="53" t="n">
        <x:f>E593+F593-H593</x:f>
        <x:v>196236.45454545447</x:v>
      </x:c>
      <x:c r="J593" s="45" t="str">
        <x:f>IF(I593=0,"CLEAR","QUEUED")</x:f>
        <x:v>QUEUED</x:v>
      </x:c>
      <x:c r="K593" s="72"/>
      <x:c r="L593" s="72"/>
      <x:c r="M593" s="72"/>
      <x:c r="N593" s="72"/>
    </x:row>
    <x:row r="594">
      <x:c r="C594" s="45" t="str">
        <x:f>'Path Daily'!C594</x:f>
        <x:v>P6</x:v>
      </x:c>
      <x:c r="D594" s="45" t="n">
        <x:f>'Path Daily'!D594</x:f>
        <x:v>41</x:v>
      </x:c>
      <x:c r="E594" s="53" t="n">
        <x:f>IF(D594=0,SUMIFS('Cargo Records'!$T$7:$T$70,'Cargo Records'!$J$7:$J$70,C594),0)</x:f>
        <x:v>0</x:v>
      </x:c>
      <x:c r="F594" s="53" t="n">
        <x:f>I593</x:f>
        <x:v>196236.45454545447</x:v>
      </x:c>
      <x:c r="G594" s="53" t="n">
        <x:f>'Path Daily'!M594</x:f>
        <x:v>16400</x:v>
      </x:c>
      <x:c r="H594" s="53" t="n">
        <x:f>MIN(E594+F594,G594)</x:f>
        <x:v>16400</x:v>
      </x:c>
      <x:c r="I594" s="53" t="n">
        <x:f>E594+F594-H594</x:f>
        <x:v>179836.45454545447</x:v>
      </x:c>
      <x:c r="J594" s="45" t="str">
        <x:f>IF(I594=0,"CLEAR","QUEUED")</x:f>
        <x:v>QUEUED</x:v>
      </x:c>
      <x:c r="K594" s="72"/>
      <x:c r="L594" s="72"/>
      <x:c r="M594" s="72"/>
      <x:c r="N594" s="72"/>
    </x:row>
    <x:row r="595">
      <x:c r="C595" s="45" t="str">
        <x:f>'Path Daily'!C595</x:f>
        <x:v>P6</x:v>
      </x:c>
      <x:c r="D595" s="45" t="n">
        <x:f>'Path Daily'!D595</x:f>
        <x:v>42</x:v>
      </x:c>
      <x:c r="E595" s="53" t="n">
        <x:f>IF(D595=0,SUMIFS('Cargo Records'!$T$7:$T$70,'Cargo Records'!$J$7:$J$70,C595),0)</x:f>
        <x:v>0</x:v>
      </x:c>
      <x:c r="F595" s="53" t="n">
        <x:f>I594</x:f>
        <x:v>179836.45454545447</x:v>
      </x:c>
      <x:c r="G595" s="53" t="n">
        <x:f>'Path Daily'!M595</x:f>
        <x:v>16400</x:v>
      </x:c>
      <x:c r="H595" s="53" t="n">
        <x:f>MIN(E595+F595,G595)</x:f>
        <x:v>16400</x:v>
      </x:c>
      <x:c r="I595" s="53" t="n">
        <x:f>E595+F595-H595</x:f>
        <x:v>163436.45454545447</x:v>
      </x:c>
      <x:c r="J595" s="45" t="str">
        <x:f>IF(I595=0,"CLEAR","QUEUED")</x:f>
        <x:v>QUEUED</x:v>
      </x:c>
      <x:c r="K595" s="72"/>
      <x:c r="L595" s="72"/>
      <x:c r="M595" s="72"/>
      <x:c r="N595" s="72"/>
    </x:row>
    <x:row r="596">
      <x:c r="C596" s="45" t="str">
        <x:f>'Path Daily'!C596</x:f>
        <x:v>P6</x:v>
      </x:c>
      <x:c r="D596" s="45" t="n">
        <x:f>'Path Daily'!D596</x:f>
        <x:v>43</x:v>
      </x:c>
      <x:c r="E596" s="53" t="n">
        <x:f>IF(D596=0,SUMIFS('Cargo Records'!$T$7:$T$70,'Cargo Records'!$J$7:$J$70,C596),0)</x:f>
        <x:v>0</x:v>
      </x:c>
      <x:c r="F596" s="53" t="n">
        <x:f>I595</x:f>
        <x:v>163436.45454545447</x:v>
      </x:c>
      <x:c r="G596" s="53" t="n">
        <x:f>'Path Daily'!M596</x:f>
        <x:v>16400</x:v>
      </x:c>
      <x:c r="H596" s="53" t="n">
        <x:f>MIN(E596+F596,G596)</x:f>
        <x:v>16400</x:v>
      </x:c>
      <x:c r="I596" s="53" t="n">
        <x:f>E596+F596-H596</x:f>
        <x:v>147036.45454545447</x:v>
      </x:c>
      <x:c r="J596" s="45" t="str">
        <x:f>IF(I596=0,"CLEAR","QUEUED")</x:f>
        <x:v>QUEUED</x:v>
      </x:c>
      <x:c r="K596" s="72"/>
      <x:c r="L596" s="72"/>
      <x:c r="M596" s="72"/>
      <x:c r="N596" s="72"/>
    </x:row>
    <x:row r="597">
      <x:c r="C597" s="45" t="str">
        <x:f>'Path Daily'!C597</x:f>
        <x:v>P6</x:v>
      </x:c>
      <x:c r="D597" s="45" t="n">
        <x:f>'Path Daily'!D597</x:f>
        <x:v>44</x:v>
      </x:c>
      <x:c r="E597" s="53" t="n">
        <x:f>IF(D597=0,SUMIFS('Cargo Records'!$T$7:$T$70,'Cargo Records'!$J$7:$J$70,C597),0)</x:f>
        <x:v>0</x:v>
      </x:c>
      <x:c r="F597" s="53" t="n">
        <x:f>I596</x:f>
        <x:v>147036.45454545447</x:v>
      </x:c>
      <x:c r="G597" s="53" t="n">
        <x:f>'Path Daily'!M597</x:f>
        <x:v>16400</x:v>
      </x:c>
      <x:c r="H597" s="53" t="n">
        <x:f>MIN(E597+F597,G597)</x:f>
        <x:v>16400</x:v>
      </x:c>
      <x:c r="I597" s="53" t="n">
        <x:f>E597+F597-H597</x:f>
        <x:v>130636.45454545447</x:v>
      </x:c>
      <x:c r="J597" s="45" t="str">
        <x:f>IF(I597=0,"CLEAR","QUEUED")</x:f>
        <x:v>QUEUED</x:v>
      </x:c>
      <x:c r="K597" s="72"/>
      <x:c r="L597" s="72"/>
      <x:c r="M597" s="72"/>
      <x:c r="N597" s="72"/>
    </x:row>
    <x:row r="598">
      <x:c r="C598" s="45" t="str">
        <x:f>'Path Daily'!C598</x:f>
        <x:v>P6</x:v>
      </x:c>
      <x:c r="D598" s="45" t="n">
        <x:f>'Path Daily'!D598</x:f>
        <x:v>45</x:v>
      </x:c>
      <x:c r="E598" s="53" t="n">
        <x:f>IF(D598=0,SUMIFS('Cargo Records'!$T$7:$T$70,'Cargo Records'!$J$7:$J$70,C598),0)</x:f>
        <x:v>0</x:v>
      </x:c>
      <x:c r="F598" s="53" t="n">
        <x:f>I597</x:f>
        <x:v>130636.45454545447</x:v>
      </x:c>
      <x:c r="G598" s="53" t="n">
        <x:f>'Path Daily'!M598</x:f>
        <x:v>16400</x:v>
      </x:c>
      <x:c r="H598" s="53" t="n">
        <x:f>MIN(E598+F598,G598)</x:f>
        <x:v>16400</x:v>
      </x:c>
      <x:c r="I598" s="53" t="n">
        <x:f>E598+F598-H598</x:f>
        <x:v>114236.45454545447</x:v>
      </x:c>
      <x:c r="J598" s="45" t="str">
        <x:f>IF(I598=0,"CLEAR","QUEUED")</x:f>
        <x:v>QUEUED</x:v>
      </x:c>
      <x:c r="K598" s="72"/>
      <x:c r="L598" s="72"/>
      <x:c r="M598" s="72"/>
      <x:c r="N598" s="72"/>
    </x:row>
    <x:row r="599">
      <x:c r="C599" s="45" t="str">
        <x:f>'Path Daily'!C599</x:f>
        <x:v>P6</x:v>
      </x:c>
      <x:c r="D599" s="45" t="n">
        <x:f>'Path Daily'!D599</x:f>
        <x:v>46</x:v>
      </x:c>
      <x:c r="E599" s="53" t="n">
        <x:f>IF(D599=0,SUMIFS('Cargo Records'!$T$7:$T$70,'Cargo Records'!$J$7:$J$70,C599),0)</x:f>
        <x:v>0</x:v>
      </x:c>
      <x:c r="F599" s="53" t="n">
        <x:f>I598</x:f>
        <x:v>114236.45454545447</x:v>
      </x:c>
      <x:c r="G599" s="53" t="n">
        <x:f>'Path Daily'!M599</x:f>
        <x:v>3444</x:v>
      </x:c>
      <x:c r="H599" s="53" t="n">
        <x:f>MIN(E599+F599,G599)</x:f>
        <x:v>3444</x:v>
      </x:c>
      <x:c r="I599" s="53" t="n">
        <x:f>E599+F599-H599</x:f>
        <x:v>110792.45454545447</x:v>
      </x:c>
      <x:c r="J599" s="45" t="str">
        <x:f>IF(I599=0,"CLEAR","QUEUED")</x:f>
        <x:v>QUEUED</x:v>
      </x:c>
      <x:c r="K599" s="72"/>
      <x:c r="L599" s="72"/>
      <x:c r="M599" s="72"/>
      <x:c r="N599" s="72"/>
    </x:row>
    <x:row r="600">
      <x:c r="C600" s="45" t="str">
        <x:f>'Path Daily'!C600</x:f>
        <x:v>P6</x:v>
      </x:c>
      <x:c r="D600" s="45" t="n">
        <x:f>'Path Daily'!D600</x:f>
        <x:v>47</x:v>
      </x:c>
      <x:c r="E600" s="53" t="n">
        <x:f>IF(D600=0,SUMIFS('Cargo Records'!$T$7:$T$70,'Cargo Records'!$J$7:$J$70,C600),0)</x:f>
        <x:v>0</x:v>
      </x:c>
      <x:c r="F600" s="53" t="n">
        <x:f>I599</x:f>
        <x:v>110792.45454545447</x:v>
      </x:c>
      <x:c r="G600" s="53" t="n">
        <x:f>'Path Daily'!M600</x:f>
        <x:v>9840</x:v>
      </x:c>
      <x:c r="H600" s="53" t="n">
        <x:f>MIN(E600+F600,G600)</x:f>
        <x:v>9840</x:v>
      </x:c>
      <x:c r="I600" s="53" t="n">
        <x:f>E600+F600-H600</x:f>
        <x:v>100952.45454545447</x:v>
      </x:c>
      <x:c r="J600" s="45" t="str">
        <x:f>IF(I600=0,"CLEAR","QUEUED")</x:f>
        <x:v>QUEUED</x:v>
      </x:c>
      <x:c r="K600" s="72"/>
      <x:c r="L600" s="72"/>
      <x:c r="M600" s="72"/>
      <x:c r="N600" s="72"/>
    </x:row>
    <x:row r="601">
      <x:c r="C601" s="45" t="str">
        <x:f>'Path Daily'!C601</x:f>
        <x:v>P6</x:v>
      </x:c>
      <x:c r="D601" s="45" t="n">
        <x:f>'Path Daily'!D601</x:f>
        <x:v>48</x:v>
      </x:c>
      <x:c r="E601" s="53" t="n">
        <x:f>IF(D601=0,SUMIFS('Cargo Records'!$T$7:$T$70,'Cargo Records'!$J$7:$J$70,C601),0)</x:f>
        <x:v>0</x:v>
      </x:c>
      <x:c r="F601" s="53" t="n">
        <x:f>I600</x:f>
        <x:v>100952.45454545447</x:v>
      </x:c>
      <x:c r="G601" s="53" t="n">
        <x:f>'Path Daily'!M601</x:f>
        <x:v>9840</x:v>
      </x:c>
      <x:c r="H601" s="53" t="n">
        <x:f>MIN(E601+F601,G601)</x:f>
        <x:v>9840</x:v>
      </x:c>
      <x:c r="I601" s="53" t="n">
        <x:f>E601+F601-H601</x:f>
        <x:v>91112.45454545447</x:v>
      </x:c>
      <x:c r="J601" s="45" t="str">
        <x:f>IF(I601=0,"CLEAR","QUEUED")</x:f>
        <x:v>QUEUED</x:v>
      </x:c>
      <x:c r="K601" s="72"/>
      <x:c r="L601" s="72"/>
      <x:c r="M601" s="72"/>
      <x:c r="N601" s="72"/>
    </x:row>
    <x:row r="602">
      <x:c r="C602" s="45" t="str">
        <x:f>'Path Daily'!C602</x:f>
        <x:v>P6</x:v>
      </x:c>
      <x:c r="D602" s="45" t="n">
        <x:f>'Path Daily'!D602</x:f>
        <x:v>49</x:v>
      </x:c>
      <x:c r="E602" s="53" t="n">
        <x:f>IF(D602=0,SUMIFS('Cargo Records'!$T$7:$T$70,'Cargo Records'!$J$7:$J$70,C602),0)</x:f>
        <x:v>0</x:v>
      </x:c>
      <x:c r="F602" s="53" t="n">
        <x:f>I601</x:f>
        <x:v>91112.45454545447</x:v>
      </x:c>
      <x:c r="G602" s="53" t="n">
        <x:f>'Path Daily'!M602</x:f>
        <x:v>9840</x:v>
      </x:c>
      <x:c r="H602" s="53" t="n">
        <x:f>MIN(E602+F602,G602)</x:f>
        <x:v>9840</x:v>
      </x:c>
      <x:c r="I602" s="53" t="n">
        <x:f>E602+F602-H602</x:f>
        <x:v>81272.45454545447</x:v>
      </x:c>
      <x:c r="J602" s="45" t="str">
        <x:f>IF(I602=0,"CLEAR","QUEUED")</x:f>
        <x:v>QUEUED</x:v>
      </x:c>
      <x:c r="K602" s="72"/>
      <x:c r="L602" s="72"/>
      <x:c r="M602" s="72"/>
      <x:c r="N602" s="72"/>
    </x:row>
    <x:row r="603">
      <x:c r="C603" s="45" t="str">
        <x:f>'Path Daily'!C603</x:f>
        <x:v>P6</x:v>
      </x:c>
      <x:c r="D603" s="45" t="n">
        <x:f>'Path Daily'!D603</x:f>
        <x:v>50</x:v>
      </x:c>
      <x:c r="E603" s="53" t="n">
        <x:f>IF(D603=0,SUMIFS('Cargo Records'!$T$7:$T$70,'Cargo Records'!$J$7:$J$70,C603),0)</x:f>
        <x:v>0</x:v>
      </x:c>
      <x:c r="F603" s="53" t="n">
        <x:f>I602</x:f>
        <x:v>81272.45454545447</x:v>
      </x:c>
      <x:c r="G603" s="53" t="n">
        <x:f>'Path Daily'!M603</x:f>
        <x:v>9840</x:v>
      </x:c>
      <x:c r="H603" s="53" t="n">
        <x:f>MIN(E603+F603,G603)</x:f>
        <x:v>9840</x:v>
      </x:c>
      <x:c r="I603" s="53" t="n">
        <x:f>E603+F603-H603</x:f>
        <x:v>71432.45454545447</x:v>
      </x:c>
      <x:c r="J603" s="45" t="str">
        <x:f>IF(I603=0,"CLEAR","QUEUED")</x:f>
        <x:v>QUEUED</x:v>
      </x:c>
      <x:c r="K603" s="72"/>
      <x:c r="L603" s="72"/>
      <x:c r="M603" s="72"/>
      <x:c r="N603" s="72"/>
    </x:row>
    <x:row r="604">
      <x:c r="C604" s="45" t="str">
        <x:f>'Path Daily'!C604</x:f>
        <x:v>P6</x:v>
      </x:c>
      <x:c r="D604" s="45" t="n">
        <x:f>'Path Daily'!D604</x:f>
        <x:v>51</x:v>
      </x:c>
      <x:c r="E604" s="53" t="n">
        <x:f>IF(D604=0,SUMIFS('Cargo Records'!$T$7:$T$70,'Cargo Records'!$J$7:$J$70,C604),0)</x:f>
        <x:v>0</x:v>
      </x:c>
      <x:c r="F604" s="53" t="n">
        <x:f>I603</x:f>
        <x:v>71432.45454545447</x:v>
      </x:c>
      <x:c r="G604" s="53" t="n">
        <x:f>'Path Daily'!M604</x:f>
        <x:v>9840</x:v>
      </x:c>
      <x:c r="H604" s="53" t="n">
        <x:f>MIN(E604+F604,G604)</x:f>
        <x:v>9840</x:v>
      </x:c>
      <x:c r="I604" s="53" t="n">
        <x:f>E604+F604-H604</x:f>
        <x:v>61592.45454545447</x:v>
      </x:c>
      <x:c r="J604" s="45" t="str">
        <x:f>IF(I604=0,"CLEAR","QUEUED")</x:f>
        <x:v>QUEUED</x:v>
      </x:c>
      <x:c r="K604" s="72"/>
      <x:c r="L604" s="72"/>
      <x:c r="M604" s="72"/>
      <x:c r="N604" s="72"/>
    </x:row>
    <x:row r="605">
      <x:c r="C605" s="45" t="str">
        <x:f>'Path Daily'!C605</x:f>
        <x:v>P6</x:v>
      </x:c>
      <x:c r="D605" s="45" t="n">
        <x:f>'Path Daily'!D605</x:f>
        <x:v>52</x:v>
      </x:c>
      <x:c r="E605" s="53" t="n">
        <x:f>IF(D605=0,SUMIFS('Cargo Records'!$T$7:$T$70,'Cargo Records'!$J$7:$J$70,C605),0)</x:f>
        <x:v>0</x:v>
      </x:c>
      <x:c r="F605" s="53" t="n">
        <x:f>I604</x:f>
        <x:v>61592.45454545447</x:v>
      </x:c>
      <x:c r="G605" s="53" t="n">
        <x:f>'Path Daily'!M605</x:f>
        <x:v>9840</x:v>
      </x:c>
      <x:c r="H605" s="53" t="n">
        <x:f>MIN(E605+F605,G605)</x:f>
        <x:v>9840</x:v>
      </x:c>
      <x:c r="I605" s="53" t="n">
        <x:f>E605+F605-H605</x:f>
        <x:v>51752.45454545447</x:v>
      </x:c>
      <x:c r="J605" s="45" t="str">
        <x:f>IF(I605=0,"CLEAR","QUEUED")</x:f>
        <x:v>QUEUED</x:v>
      </x:c>
      <x:c r="K605" s="72"/>
      <x:c r="L605" s="72"/>
      <x:c r="M605" s="72"/>
      <x:c r="N605" s="72"/>
    </x:row>
    <x:row r="606">
      <x:c r="C606" s="45" t="str">
        <x:f>'Path Daily'!C606</x:f>
        <x:v>P6</x:v>
      </x:c>
      <x:c r="D606" s="45" t="n">
        <x:f>'Path Daily'!D606</x:f>
        <x:v>53</x:v>
      </x:c>
      <x:c r="E606" s="53" t="n">
        <x:f>IF(D606=0,SUMIFS('Cargo Records'!$T$7:$T$70,'Cargo Records'!$J$7:$J$70,C606),0)</x:f>
        <x:v>0</x:v>
      </x:c>
      <x:c r="F606" s="53" t="n">
        <x:f>I605</x:f>
        <x:v>51752.45454545447</x:v>
      </x:c>
      <x:c r="G606" s="53" t="n">
        <x:f>'Path Daily'!M606</x:f>
        <x:v>9840</x:v>
      </x:c>
      <x:c r="H606" s="53" t="n">
        <x:f>MIN(E606+F606,G606)</x:f>
        <x:v>9840</x:v>
      </x:c>
      <x:c r="I606" s="53" t="n">
        <x:f>E606+F606-H606</x:f>
        <x:v>41912.45454545447</x:v>
      </x:c>
      <x:c r="J606" s="45" t="str">
        <x:f>IF(I606=0,"CLEAR","QUEUED")</x:f>
        <x:v>QUEUED</x:v>
      </x:c>
      <x:c r="K606" s="72"/>
      <x:c r="L606" s="72"/>
      <x:c r="M606" s="72"/>
      <x:c r="N606" s="72"/>
    </x:row>
    <x:row r="607">
      <x:c r="C607" s="45" t="str">
        <x:f>'Path Daily'!C607</x:f>
        <x:v>P6</x:v>
      </x:c>
      <x:c r="D607" s="45" t="n">
        <x:f>'Path Daily'!D607</x:f>
        <x:v>54</x:v>
      </x:c>
      <x:c r="E607" s="53" t="n">
        <x:f>IF(D607=0,SUMIFS('Cargo Records'!$T$7:$T$70,'Cargo Records'!$J$7:$J$70,C607),0)</x:f>
        <x:v>0</x:v>
      </x:c>
      <x:c r="F607" s="53" t="n">
        <x:f>I606</x:f>
        <x:v>41912.45454545447</x:v>
      </x:c>
      <x:c r="G607" s="53" t="n">
        <x:f>'Path Daily'!M607</x:f>
        <x:v>9840</x:v>
      </x:c>
      <x:c r="H607" s="53" t="n">
        <x:f>MIN(E607+F607,G607)</x:f>
        <x:v>9840</x:v>
      </x:c>
      <x:c r="I607" s="53" t="n">
        <x:f>E607+F607-H607</x:f>
        <x:v>32072.45454545447</x:v>
      </x:c>
      <x:c r="J607" s="45" t="str">
        <x:f>IF(I607=0,"CLEAR","QUEUED")</x:f>
        <x:v>QUEUED</x:v>
      </x:c>
      <x:c r="K607" s="72"/>
      <x:c r="L607" s="72"/>
      <x:c r="M607" s="72"/>
      <x:c r="N607" s="72"/>
    </x:row>
    <x:row r="608">
      <x:c r="C608" s="45" t="str">
        <x:f>'Path Daily'!C608</x:f>
        <x:v>P6</x:v>
      </x:c>
      <x:c r="D608" s="45" t="n">
        <x:f>'Path Daily'!D608</x:f>
        <x:v>55</x:v>
      </x:c>
      <x:c r="E608" s="53" t="n">
        <x:f>IF(D608=0,SUMIFS('Cargo Records'!$T$7:$T$70,'Cargo Records'!$J$7:$J$70,C608),0)</x:f>
        <x:v>0</x:v>
      </x:c>
      <x:c r="F608" s="53" t="n">
        <x:f>I607</x:f>
        <x:v>32072.45454545447</x:v>
      </x:c>
      <x:c r="G608" s="53" t="n">
        <x:f>'Path Daily'!M608</x:f>
        <x:v>9840</x:v>
      </x:c>
      <x:c r="H608" s="53" t="n">
        <x:f>MIN(E608+F608,G608)</x:f>
        <x:v>9840</x:v>
      </x:c>
      <x:c r="I608" s="53" t="n">
        <x:f>E608+F608-H608</x:f>
        <x:v>22232.45454545447</x:v>
      </x:c>
      <x:c r="J608" s="45" t="str">
        <x:f>IF(I608=0,"CLEAR","QUEUED")</x:f>
        <x:v>QUEUED</x:v>
      </x:c>
      <x:c r="K608" s="72"/>
      <x:c r="L608" s="72"/>
      <x:c r="M608" s="72"/>
      <x:c r="N608" s="72"/>
    </x:row>
    <x:row r="609">
      <x:c r="C609" s="45" t="str">
        <x:f>'Path Daily'!C609</x:f>
        <x:v>P6</x:v>
      </x:c>
      <x:c r="D609" s="45" t="n">
        <x:f>'Path Daily'!D609</x:f>
        <x:v>56</x:v>
      </x:c>
      <x:c r="E609" s="53" t="n">
        <x:f>IF(D609=0,SUMIFS('Cargo Records'!$T$7:$T$70,'Cargo Records'!$J$7:$J$70,C609),0)</x:f>
        <x:v>0</x:v>
      </x:c>
      <x:c r="F609" s="53" t="n">
        <x:f>I608</x:f>
        <x:v>22232.45454545447</x:v>
      </x:c>
      <x:c r="G609" s="53" t="n">
        <x:f>'Path Daily'!M609</x:f>
        <x:v>9840</x:v>
      </x:c>
      <x:c r="H609" s="53" t="n">
        <x:f>MIN(E609+F609,G609)</x:f>
        <x:v>9840</x:v>
      </x:c>
      <x:c r="I609" s="53" t="n">
        <x:f>E609+F609-H609</x:f>
        <x:v>12392.454545454471</x:v>
      </x:c>
      <x:c r="J609" s="45" t="str">
        <x:f>IF(I609=0,"CLEAR","QUEUED")</x:f>
        <x:v>QUEUED</x:v>
      </x:c>
      <x:c r="K609" s="72"/>
      <x:c r="L609" s="72"/>
      <x:c r="M609" s="72"/>
      <x:c r="N609" s="72"/>
    </x:row>
    <x:row r="610">
      <x:c r="C610" s="45" t="str">
        <x:f>'Path Daily'!C610</x:f>
        <x:v>P6</x:v>
      </x:c>
      <x:c r="D610" s="45" t="n">
        <x:f>'Path Daily'!D610</x:f>
        <x:v>57</x:v>
      </x:c>
      <x:c r="E610" s="53" t="n">
        <x:f>IF(D610=0,SUMIFS('Cargo Records'!$T$7:$T$70,'Cargo Records'!$J$7:$J$70,C610),0)</x:f>
        <x:v>0</x:v>
      </x:c>
      <x:c r="F610" s="53" t="n">
        <x:f>I609</x:f>
        <x:v>12392.454545454471</x:v>
      </x:c>
      <x:c r="G610" s="53" t="n">
        <x:f>'Path Daily'!M610</x:f>
        <x:v>9840</x:v>
      </x:c>
      <x:c r="H610" s="53" t="n">
        <x:f>MIN(E610+F610,G610)</x:f>
        <x:v>9840</x:v>
      </x:c>
      <x:c r="I610" s="53" t="n">
        <x:f>E610+F610-H610</x:f>
        <x:v>2552.4545454544714</x:v>
      </x:c>
      <x:c r="J610" s="45" t="str">
        <x:f>IF(I610=0,"CLEAR","QUEUED")</x:f>
        <x:v>QUEUED</x:v>
      </x:c>
      <x:c r="K610" s="72"/>
      <x:c r="L610" s="72"/>
      <x:c r="M610" s="72"/>
      <x:c r="N610" s="72"/>
    </x:row>
    <x:row r="611">
      <x:c r="C611" s="45" t="str">
        <x:f>'Path Daily'!C611</x:f>
        <x:v>P6</x:v>
      </x:c>
      <x:c r="D611" s="45" t="n">
        <x:f>'Path Daily'!D611</x:f>
        <x:v>58</x:v>
      </x:c>
      <x:c r="E611" s="53" t="n">
        <x:f>IF(D611=0,SUMIFS('Cargo Records'!$T$7:$T$70,'Cargo Records'!$J$7:$J$70,C611),0)</x:f>
        <x:v>0</x:v>
      </x:c>
      <x:c r="F611" s="53" t="n">
        <x:f>I610</x:f>
        <x:v>2552.4545454544714</x:v>
      </x:c>
      <x:c r="G611" s="53" t="n">
        <x:f>'Path Daily'!M611</x:f>
        <x:v>9840</x:v>
      </x:c>
      <x:c r="H611" s="53" t="n">
        <x:f>MIN(E611+F611,G611)</x:f>
        <x:v>2552.4545454544714</x:v>
      </x:c>
      <x:c r="I611" s="53" t="n">
        <x:f>E611+F611-H611</x:f>
        <x:v>0</x:v>
      </x:c>
      <x:c r="J611" s="45" t="str">
        <x:f>IF(I611=0,"CLEAR","QUEUED")</x:f>
        <x:v>CLEAR</x:v>
      </x:c>
      <x:c r="K611" s="72"/>
      <x:c r="L611" s="72"/>
      <x:c r="M611" s="72"/>
      <x:c r="N611" s="72"/>
    </x:row>
    <x:row r="612">
      <x:c r="C612" s="45" t="str">
        <x:f>'Path Daily'!C612</x:f>
        <x:v>P6</x:v>
      </x:c>
      <x:c r="D612" s="45" t="n">
        <x:f>'Path Daily'!D612</x:f>
        <x:v>59</x:v>
      </x:c>
      <x:c r="E612" s="53" t="n">
        <x:f>IF(D612=0,SUMIFS('Cargo Records'!$T$7:$T$70,'Cargo Records'!$J$7:$J$70,C612),0)</x:f>
        <x:v>0</x:v>
      </x:c>
      <x:c r="F612" s="53" t="n">
        <x:f>I611</x:f>
        <x:v>0</x:v>
      </x:c>
      <x:c r="G612" s="53" t="n">
        <x:f>'Path Daily'!M612</x:f>
        <x:v>9840</x:v>
      </x:c>
      <x:c r="H612" s="53" t="n">
        <x:f>MIN(E612+F612,G612)</x:f>
        <x:v>0</x:v>
      </x:c>
      <x:c r="I612" s="53" t="n">
        <x:f>E612+F612-H612</x:f>
        <x:v>0</x:v>
      </x:c>
      <x:c r="J612" s="45" t="str">
        <x:f>IF(I612=0,"CLEAR","QUEUED")</x:f>
        <x:v>CLEAR</x:v>
      </x:c>
      <x:c r="K612" s="72"/>
      <x:c r="L612" s="72"/>
      <x:c r="M612" s="72"/>
      <x:c r="N612" s="72"/>
    </x:row>
    <x:row r="613">
      <x:c r="C613" s="45" t="str">
        <x:f>'Path Daily'!C613</x:f>
        <x:v>P6</x:v>
      </x:c>
      <x:c r="D613" s="45" t="n">
        <x:f>'Path Daily'!D613</x:f>
        <x:v>60</x:v>
      </x:c>
      <x:c r="E613" s="53" t="n">
        <x:f>IF(D613=0,SUMIFS('Cargo Records'!$T$7:$T$70,'Cargo Records'!$J$7:$J$70,C613),0)</x:f>
        <x:v>0</x:v>
      </x:c>
      <x:c r="F613" s="53" t="n">
        <x:f>I612</x:f>
        <x:v>0</x:v>
      </x:c>
      <x:c r="G613" s="53" t="n">
        <x:f>'Path Daily'!M613</x:f>
        <x:v>9840</x:v>
      </x:c>
      <x:c r="H613" s="53" t="n">
        <x:f>MIN(E613+F613,G613)</x:f>
        <x:v>0</x:v>
      </x:c>
      <x:c r="I613" s="53" t="n">
        <x:f>E613+F613-H613</x:f>
        <x:v>0</x:v>
      </x:c>
      <x:c r="J613" s="45" t="str">
        <x:f>IF(I613=0,"CLEAR","QUEUED")</x:f>
        <x:v>CLEAR</x:v>
      </x:c>
      <x:c r="K613" s="72"/>
      <x:c r="L613" s="72"/>
      <x:c r="M613" s="72"/>
      <x:c r="N613" s="72"/>
    </x:row>
    <x:row r="614">
      <x:c r="C614" s="45" t="str">
        <x:f>'Path Daily'!C614</x:f>
        <x:v>P6</x:v>
      </x:c>
      <x:c r="D614" s="45" t="n">
        <x:f>'Path Daily'!D614</x:f>
        <x:v>61</x:v>
      </x:c>
      <x:c r="E614" s="53" t="n">
        <x:f>IF(D614=0,SUMIFS('Cargo Records'!$T$7:$T$70,'Cargo Records'!$J$7:$J$70,C614),0)</x:f>
        <x:v>0</x:v>
      </x:c>
      <x:c r="F614" s="53" t="n">
        <x:f>I613</x:f>
        <x:v>0</x:v>
      </x:c>
      <x:c r="G614" s="53" t="n">
        <x:f>'Path Daily'!M614</x:f>
        <x:v>6396</x:v>
      </x:c>
      <x:c r="H614" s="53" t="n">
        <x:f>MIN(E614+F614,G614)</x:f>
        <x:v>0</x:v>
      </x:c>
      <x:c r="I614" s="53" t="n">
        <x:f>E614+F614-H614</x:f>
        <x:v>0</x:v>
      </x:c>
      <x:c r="J614" s="45" t="str">
        <x:f>IF(I614=0,"CLEAR","QUEUED")</x:f>
        <x:v>CLEAR</x:v>
      </x:c>
      <x:c r="K614" s="72"/>
      <x:c r="L614" s="72"/>
      <x:c r="M614" s="72"/>
      <x:c r="N614" s="72"/>
    </x:row>
    <x:row r="615">
      <x:c r="C615" s="45" t="str">
        <x:f>'Path Daily'!C615</x:f>
        <x:v>P6</x:v>
      </x:c>
      <x:c r="D615" s="45" t="n">
        <x:f>'Path Daily'!D615</x:f>
        <x:v>62</x:v>
      </x:c>
      <x:c r="E615" s="53" t="n">
        <x:f>IF(D615=0,SUMIFS('Cargo Records'!$T$7:$T$70,'Cargo Records'!$J$7:$J$70,C615),0)</x:f>
        <x:v>0</x:v>
      </x:c>
      <x:c r="F615" s="53" t="n">
        <x:f>I614</x:f>
        <x:v>0</x:v>
      </x:c>
      <x:c r="G615" s="53" t="n">
        <x:f>'Path Daily'!M615</x:f>
        <x:v>6396</x:v>
      </x:c>
      <x:c r="H615" s="53" t="n">
        <x:f>MIN(E615+F615,G615)</x:f>
        <x:v>0</x:v>
      </x:c>
      <x:c r="I615" s="53" t="n">
        <x:f>E615+F615-H615</x:f>
        <x:v>0</x:v>
      </x:c>
      <x:c r="J615" s="45" t="str">
        <x:f>IF(I615=0,"CLEAR","QUEUED")</x:f>
        <x:v>CLEAR</x:v>
      </x:c>
      <x:c r="K615" s="72"/>
      <x:c r="L615" s="72"/>
      <x:c r="M615" s="72"/>
      <x:c r="N615" s="72"/>
    </x:row>
    <x:row r="616">
      <x:c r="C616" s="45" t="str">
        <x:f>'Path Daily'!C616</x:f>
        <x:v>P6</x:v>
      </x:c>
      <x:c r="D616" s="45" t="n">
        <x:f>'Path Daily'!D616</x:f>
        <x:v>63</x:v>
      </x:c>
      <x:c r="E616" s="53" t="n">
        <x:f>IF(D616=0,SUMIFS('Cargo Records'!$T$7:$T$70,'Cargo Records'!$J$7:$J$70,C616),0)</x:f>
        <x:v>0</x:v>
      </x:c>
      <x:c r="F616" s="53" t="n">
        <x:f>I615</x:f>
        <x:v>0</x:v>
      </x:c>
      <x:c r="G616" s="53" t="n">
        <x:f>'Path Daily'!M616</x:f>
        <x:v>6396</x:v>
      </x:c>
      <x:c r="H616" s="53" t="n">
        <x:f>MIN(E616+F616,G616)</x:f>
        <x:v>0</x:v>
      </x:c>
      <x:c r="I616" s="53" t="n">
        <x:f>E616+F616-H616</x:f>
        <x:v>0</x:v>
      </x:c>
      <x:c r="J616" s="45" t="str">
        <x:f>IF(I616=0,"CLEAR","QUEUED")</x:f>
        <x:v>CLEAR</x:v>
      </x:c>
      <x:c r="K616" s="72"/>
      <x:c r="L616" s="72"/>
      <x:c r="M616" s="72"/>
      <x:c r="N616" s="72"/>
    </x:row>
    <x:row r="617">
      <x:c r="C617" s="45" t="str">
        <x:f>'Path Daily'!C617</x:f>
        <x:v>P6</x:v>
      </x:c>
      <x:c r="D617" s="45" t="n">
        <x:f>'Path Daily'!D617</x:f>
        <x:v>64</x:v>
      </x:c>
      <x:c r="E617" s="53" t="n">
        <x:f>IF(D617=0,SUMIFS('Cargo Records'!$T$7:$T$70,'Cargo Records'!$J$7:$J$70,C617),0)</x:f>
        <x:v>0</x:v>
      </x:c>
      <x:c r="F617" s="53" t="n">
        <x:f>I616</x:f>
        <x:v>0</x:v>
      </x:c>
      <x:c r="G617" s="53" t="n">
        <x:f>'Path Daily'!M617</x:f>
        <x:v>9840</x:v>
      </x:c>
      <x:c r="H617" s="53" t="n">
        <x:f>MIN(E617+F617,G617)</x:f>
        <x:v>0</x:v>
      </x:c>
      <x:c r="I617" s="53" t="n">
        <x:f>E617+F617-H617</x:f>
        <x:v>0</x:v>
      </x:c>
      <x:c r="J617" s="45" t="str">
        <x:f>IF(I617=0,"CLEAR","QUEUED")</x:f>
        <x:v>CLEAR</x:v>
      </x:c>
      <x:c r="K617" s="72"/>
      <x:c r="L617" s="72"/>
      <x:c r="M617" s="72"/>
      <x:c r="N617" s="72"/>
    </x:row>
    <x:row r="618">
      <x:c r="C618" s="45" t="str">
        <x:f>'Path Daily'!C618</x:f>
        <x:v>P6</x:v>
      </x:c>
      <x:c r="D618" s="45" t="n">
        <x:f>'Path Daily'!D618</x:f>
        <x:v>65</x:v>
      </x:c>
      <x:c r="E618" s="53" t="n">
        <x:f>IF(D618=0,SUMIFS('Cargo Records'!$T$7:$T$70,'Cargo Records'!$J$7:$J$70,C618),0)</x:f>
        <x:v>0</x:v>
      </x:c>
      <x:c r="F618" s="53" t="n">
        <x:f>I617</x:f>
        <x:v>0</x:v>
      </x:c>
      <x:c r="G618" s="53" t="n">
        <x:f>'Path Daily'!M618</x:f>
        <x:v>9840</x:v>
      </x:c>
      <x:c r="H618" s="53" t="n">
        <x:f>MIN(E618+F618,G618)</x:f>
        <x:v>0</x:v>
      </x:c>
      <x:c r="I618" s="53" t="n">
        <x:f>E618+F618-H618</x:f>
        <x:v>0</x:v>
      </x:c>
      <x:c r="J618" s="45" t="str">
        <x:f>IF(I618=0,"CLEAR","QUEUED")</x:f>
        <x:v>CLEAR</x:v>
      </x:c>
      <x:c r="K618" s="72"/>
      <x:c r="L618" s="72"/>
      <x:c r="M618" s="72"/>
      <x:c r="N618" s="72"/>
    </x:row>
    <x:row r="619">
      <x:c r="C619" s="45" t="str">
        <x:f>'Path Daily'!C619</x:f>
        <x:v>P6</x:v>
      </x:c>
      <x:c r="D619" s="45" t="n">
        <x:f>'Path Daily'!D619</x:f>
        <x:v>66</x:v>
      </x:c>
      <x:c r="E619" s="53" t="n">
        <x:f>IF(D619=0,SUMIFS('Cargo Records'!$T$7:$T$70,'Cargo Records'!$J$7:$J$70,C619),0)</x:f>
        <x:v>0</x:v>
      </x:c>
      <x:c r="F619" s="53" t="n">
        <x:f>I618</x:f>
        <x:v>0</x:v>
      </x:c>
      <x:c r="G619" s="53" t="n">
        <x:f>'Path Daily'!M619</x:f>
        <x:v>9840</x:v>
      </x:c>
      <x:c r="H619" s="53" t="n">
        <x:f>MIN(E619+F619,G619)</x:f>
        <x:v>0</x:v>
      </x:c>
      <x:c r="I619" s="53" t="n">
        <x:f>E619+F619-H619</x:f>
        <x:v>0</x:v>
      </x:c>
      <x:c r="J619" s="45" t="str">
        <x:f>IF(I619=0,"CLEAR","QUEUED")</x:f>
        <x:v>CLEAR</x:v>
      </x:c>
      <x:c r="K619" s="72"/>
      <x:c r="L619" s="72"/>
      <x:c r="M619" s="72"/>
      <x:c r="N619" s="72"/>
    </x:row>
    <x:row r="620">
      <x:c r="C620" s="45" t="str">
        <x:f>'Path Daily'!C620</x:f>
        <x:v>P6</x:v>
      </x:c>
      <x:c r="D620" s="45" t="n">
        <x:f>'Path Daily'!D620</x:f>
        <x:v>67</x:v>
      </x:c>
      <x:c r="E620" s="53" t="n">
        <x:f>IF(D620=0,SUMIFS('Cargo Records'!$T$7:$T$70,'Cargo Records'!$J$7:$J$70,C620),0)</x:f>
        <x:v>0</x:v>
      </x:c>
      <x:c r="F620" s="53" t="n">
        <x:f>I619</x:f>
        <x:v>0</x:v>
      </x:c>
      <x:c r="G620" s="53" t="n">
        <x:f>'Path Daily'!M620</x:f>
        <x:v>9840</x:v>
      </x:c>
      <x:c r="H620" s="53" t="n">
        <x:f>MIN(E620+F620,G620)</x:f>
        <x:v>0</x:v>
      </x:c>
      <x:c r="I620" s="53" t="n">
        <x:f>E620+F620-H620</x:f>
        <x:v>0</x:v>
      </x:c>
      <x:c r="J620" s="45" t="str">
        <x:f>IF(I620=0,"CLEAR","QUEUED")</x:f>
        <x:v>CLEAR</x:v>
      </x:c>
      <x:c r="K620" s="72"/>
      <x:c r="L620" s="72"/>
      <x:c r="M620" s="72"/>
      <x:c r="N620" s="72"/>
    </x:row>
    <x:row r="621">
      <x:c r="C621" s="45" t="str">
        <x:f>'Path Daily'!C621</x:f>
        <x:v>P6</x:v>
      </x:c>
      <x:c r="D621" s="45" t="n">
        <x:f>'Path Daily'!D621</x:f>
        <x:v>68</x:v>
      </x:c>
      <x:c r="E621" s="53" t="n">
        <x:f>IF(D621=0,SUMIFS('Cargo Records'!$T$7:$T$70,'Cargo Records'!$J$7:$J$70,C621),0)</x:f>
        <x:v>0</x:v>
      </x:c>
      <x:c r="F621" s="53" t="n">
        <x:f>I620</x:f>
        <x:v>0</x:v>
      </x:c>
      <x:c r="G621" s="53" t="n">
        <x:f>'Path Daily'!M621</x:f>
        <x:v>9840</x:v>
      </x:c>
      <x:c r="H621" s="53" t="n">
        <x:f>MIN(E621+F621,G621)</x:f>
        <x:v>0</x:v>
      </x:c>
      <x:c r="I621" s="53" t="n">
        <x:f>E621+F621-H621</x:f>
        <x:v>0</x:v>
      </x:c>
      <x:c r="J621" s="45" t="str">
        <x:f>IF(I621=0,"CLEAR","QUEUED")</x:f>
        <x:v>CLEAR</x:v>
      </x:c>
      <x:c r="K621" s="72"/>
      <x:c r="L621" s="72"/>
      <x:c r="M621" s="72"/>
      <x:c r="N621" s="72"/>
    </x:row>
    <x:row r="622">
      <x:c r="C622" s="45" t="str">
        <x:f>'Path Daily'!C622</x:f>
        <x:v>P6</x:v>
      </x:c>
      <x:c r="D622" s="45" t="n">
        <x:f>'Path Daily'!D622</x:f>
        <x:v>69</x:v>
      </x:c>
      <x:c r="E622" s="53" t="n">
        <x:f>IF(D622=0,SUMIFS('Cargo Records'!$T$7:$T$70,'Cargo Records'!$J$7:$J$70,C622),0)</x:f>
        <x:v>0</x:v>
      </x:c>
      <x:c r="F622" s="53" t="n">
        <x:f>I621</x:f>
        <x:v>0</x:v>
      </x:c>
      <x:c r="G622" s="53" t="n">
        <x:f>'Path Daily'!M622</x:f>
        <x:v>9840</x:v>
      </x:c>
      <x:c r="H622" s="53" t="n">
        <x:f>MIN(E622+F622,G622)</x:f>
        <x:v>0</x:v>
      </x:c>
      <x:c r="I622" s="53" t="n">
        <x:f>E622+F622-H622</x:f>
        <x:v>0</x:v>
      </x:c>
      <x:c r="J622" s="45" t="str">
        <x:f>IF(I622=0,"CLEAR","QUEUED")</x:f>
        <x:v>CLEAR</x:v>
      </x:c>
      <x:c r="K622" s="72"/>
      <x:c r="L622" s="72"/>
      <x:c r="M622" s="72"/>
      <x:c r="N622" s="72"/>
    </x:row>
    <x:row r="623">
      <x:c r="C623" s="45" t="str">
        <x:f>'Path Daily'!C623</x:f>
        <x:v>P6</x:v>
      </x:c>
      <x:c r="D623" s="45" t="n">
        <x:f>'Path Daily'!D623</x:f>
        <x:v>70</x:v>
      </x:c>
      <x:c r="E623" s="53" t="n">
        <x:f>IF(D623=0,SUMIFS('Cargo Records'!$T$7:$T$70,'Cargo Records'!$J$7:$J$70,C623),0)</x:f>
        <x:v>0</x:v>
      </x:c>
      <x:c r="F623" s="53" t="n">
        <x:f>I622</x:f>
        <x:v>0</x:v>
      </x:c>
      <x:c r="G623" s="53" t="n">
        <x:f>'Path Daily'!M623</x:f>
        <x:v>9840</x:v>
      </x:c>
      <x:c r="H623" s="53" t="n">
        <x:f>MIN(E623+F623,G623)</x:f>
        <x:v>0</x:v>
      </x:c>
      <x:c r="I623" s="53" t="n">
        <x:f>E623+F623-H623</x:f>
        <x:v>0</x:v>
      </x:c>
      <x:c r="J623" s="45" t="str">
        <x:f>IF(I623=0,"CLEAR","QUEUED")</x:f>
        <x:v>CLEAR</x:v>
      </x:c>
      <x:c r="K623" s="72"/>
      <x:c r="L623" s="72"/>
      <x:c r="M623" s="72"/>
      <x:c r="N623" s="72"/>
    </x:row>
    <x:row r="624">
      <x:c r="C624" s="45" t="str">
        <x:f>'Path Daily'!C624</x:f>
        <x:v>P6</x:v>
      </x:c>
      <x:c r="D624" s="45" t="n">
        <x:f>'Path Daily'!D624</x:f>
        <x:v>71</x:v>
      </x:c>
      <x:c r="E624" s="53" t="n">
        <x:f>IF(D624=0,SUMIFS('Cargo Records'!$T$7:$T$70,'Cargo Records'!$J$7:$J$70,C624),0)</x:f>
        <x:v>0</x:v>
      </x:c>
      <x:c r="F624" s="53" t="n">
        <x:f>I623</x:f>
        <x:v>0</x:v>
      </x:c>
      <x:c r="G624" s="53" t="n">
        <x:f>'Path Daily'!M624</x:f>
        <x:v>9840</x:v>
      </x:c>
      <x:c r="H624" s="53" t="n">
        <x:f>MIN(E624+F624,G624)</x:f>
        <x:v>0</x:v>
      </x:c>
      <x:c r="I624" s="53" t="n">
        <x:f>E624+F624-H624</x:f>
        <x:v>0</x:v>
      </x:c>
      <x:c r="J624" s="45" t="str">
        <x:f>IF(I624=0,"CLEAR","QUEUED")</x:f>
        <x:v>CLEAR</x:v>
      </x:c>
      <x:c r="K624" s="72"/>
      <x:c r="L624" s="72"/>
      <x:c r="M624" s="72"/>
      <x:c r="N624" s="72"/>
    </x:row>
    <x:row r="625">
      <x:c r="C625" s="45" t="str">
        <x:f>'Path Daily'!C625</x:f>
        <x:v>P6</x:v>
      </x:c>
      <x:c r="D625" s="45" t="n">
        <x:f>'Path Daily'!D625</x:f>
        <x:v>72</x:v>
      </x:c>
      <x:c r="E625" s="53" t="n">
        <x:f>IF(D625=0,SUMIFS('Cargo Records'!$T$7:$T$70,'Cargo Records'!$J$7:$J$70,C625),0)</x:f>
        <x:v>0</x:v>
      </x:c>
      <x:c r="F625" s="53" t="n">
        <x:f>I624</x:f>
        <x:v>0</x:v>
      </x:c>
      <x:c r="G625" s="53" t="n">
        <x:f>'Path Daily'!M625</x:f>
        <x:v>9840</x:v>
      </x:c>
      <x:c r="H625" s="53" t="n">
        <x:f>MIN(E625+F625,G625)</x:f>
        <x:v>0</x:v>
      </x:c>
      <x:c r="I625" s="53" t="n">
        <x:f>E625+F625-H625</x:f>
        <x:v>0</x:v>
      </x:c>
      <x:c r="J625" s="45" t="str">
        <x:f>IF(I625=0,"CLEAR","QUEUED")</x:f>
        <x:v>CLEAR</x:v>
      </x:c>
      <x:c r="K625" s="72"/>
      <x:c r="L625" s="72"/>
      <x:c r="M625" s="72"/>
      <x:c r="N625" s="72"/>
    </x:row>
    <x:row r="626">
      <x:c r="C626" s="45" t="str">
        <x:f>'Path Daily'!C626</x:f>
        <x:v>P6</x:v>
      </x:c>
      <x:c r="D626" s="45" t="n">
        <x:f>'Path Daily'!D626</x:f>
        <x:v>73</x:v>
      </x:c>
      <x:c r="E626" s="53" t="n">
        <x:f>IF(D626=0,SUMIFS('Cargo Records'!$T$7:$T$70,'Cargo Records'!$J$7:$J$70,C626),0)</x:f>
        <x:v>0</x:v>
      </x:c>
      <x:c r="F626" s="53" t="n">
        <x:f>I625</x:f>
        <x:v>0</x:v>
      </x:c>
      <x:c r="G626" s="53" t="n">
        <x:f>'Path Daily'!M626</x:f>
        <x:v>9840</x:v>
      </x:c>
      <x:c r="H626" s="53" t="n">
        <x:f>MIN(E626+F626,G626)</x:f>
        <x:v>0</x:v>
      </x:c>
      <x:c r="I626" s="53" t="n">
        <x:f>E626+F626-H626</x:f>
        <x:v>0</x:v>
      </x:c>
      <x:c r="J626" s="45" t="str">
        <x:f>IF(I626=0,"CLEAR","QUEUED")</x:f>
        <x:v>CLEAR</x:v>
      </x:c>
      <x:c r="K626" s="72"/>
      <x:c r="L626" s="72"/>
      <x:c r="M626" s="72"/>
      <x:c r="N626" s="72"/>
    </x:row>
    <x:row r="627">
      <x:c r="C627" s="45" t="str">
        <x:f>'Path Daily'!C627</x:f>
        <x:v>P6</x:v>
      </x:c>
      <x:c r="D627" s="45" t="n">
        <x:f>'Path Daily'!D627</x:f>
        <x:v>74</x:v>
      </x:c>
      <x:c r="E627" s="53" t="n">
        <x:f>IF(D627=0,SUMIFS('Cargo Records'!$T$7:$T$70,'Cargo Records'!$J$7:$J$70,C627),0)</x:f>
        <x:v>0</x:v>
      </x:c>
      <x:c r="F627" s="53" t="n">
        <x:f>I626</x:f>
        <x:v>0</x:v>
      </x:c>
      <x:c r="G627" s="53" t="n">
        <x:f>'Path Daily'!M627</x:f>
        <x:v>9840</x:v>
      </x:c>
      <x:c r="H627" s="53" t="n">
        <x:f>MIN(E627+F627,G627)</x:f>
        <x:v>0</x:v>
      </x:c>
      <x:c r="I627" s="53" t="n">
        <x:f>E627+F627-H627</x:f>
        <x:v>0</x:v>
      </x:c>
      <x:c r="J627" s="45" t="str">
        <x:f>IF(I627=0,"CLEAR","QUEUED")</x:f>
        <x:v>CLEAR</x:v>
      </x:c>
      <x:c r="K627" s="72"/>
      <x:c r="L627" s="72"/>
      <x:c r="M627" s="72"/>
      <x:c r="N627" s="72"/>
    </x:row>
    <x:row r="628">
      <x:c r="C628" s="45" t="str">
        <x:f>'Path Daily'!C628</x:f>
        <x:v>P6</x:v>
      </x:c>
      <x:c r="D628" s="45" t="n">
        <x:f>'Path Daily'!D628</x:f>
        <x:v>75</x:v>
      </x:c>
      <x:c r="E628" s="53" t="n">
        <x:f>IF(D628=0,SUMIFS('Cargo Records'!$T$7:$T$70,'Cargo Records'!$J$7:$J$70,C628),0)</x:f>
        <x:v>0</x:v>
      </x:c>
      <x:c r="F628" s="53" t="n">
        <x:f>I627</x:f>
        <x:v>0</x:v>
      </x:c>
      <x:c r="G628" s="53" t="n">
        <x:f>'Path Daily'!M628</x:f>
        <x:v>9840</x:v>
      </x:c>
      <x:c r="H628" s="53" t="n">
        <x:f>MIN(E628+F628,G628)</x:f>
        <x:v>0</x:v>
      </x:c>
      <x:c r="I628" s="53" t="n">
        <x:f>E628+F628-H628</x:f>
        <x:v>0</x:v>
      </x:c>
      <x:c r="J628" s="45" t="str">
        <x:f>IF(I628=0,"CLEAR","QUEUED")</x:f>
        <x:v>CLEAR</x:v>
      </x:c>
      <x:c r="K628" s="72"/>
      <x:c r="L628" s="72"/>
      <x:c r="M628" s="72"/>
      <x:c r="N628" s="72"/>
    </x:row>
    <x:row r="629">
      <x:c r="C629" s="45" t="str">
        <x:f>'Path Daily'!C629</x:f>
        <x:v>P6</x:v>
      </x:c>
      <x:c r="D629" s="45" t="n">
        <x:f>'Path Daily'!D629</x:f>
        <x:v>76</x:v>
      </x:c>
      <x:c r="E629" s="53" t="n">
        <x:f>IF(D629=0,SUMIFS('Cargo Records'!$T$7:$T$70,'Cargo Records'!$J$7:$J$70,C629),0)</x:f>
        <x:v>0</x:v>
      </x:c>
      <x:c r="F629" s="53" t="n">
        <x:f>I628</x:f>
        <x:v>0</x:v>
      </x:c>
      <x:c r="G629" s="53" t="n">
        <x:f>'Path Daily'!M629</x:f>
        <x:v>9840</x:v>
      </x:c>
      <x:c r="H629" s="53" t="n">
        <x:f>MIN(E629+F629,G629)</x:f>
        <x:v>0</x:v>
      </x:c>
      <x:c r="I629" s="53" t="n">
        <x:f>E629+F629-H629</x:f>
        <x:v>0</x:v>
      </x:c>
      <x:c r="J629" s="45" t="str">
        <x:f>IF(I629=0,"CLEAR","QUEUED")</x:f>
        <x:v>CLEAR</x:v>
      </x:c>
      <x:c r="K629" s="72"/>
      <x:c r="L629" s="72"/>
      <x:c r="M629" s="72"/>
      <x:c r="N629" s="72"/>
    </x:row>
    <x:row r="630">
      <x:c r="C630" s="45" t="str">
        <x:f>'Path Daily'!C630</x:f>
        <x:v>P6</x:v>
      </x:c>
      <x:c r="D630" s="45" t="n">
        <x:f>'Path Daily'!D630</x:f>
        <x:v>77</x:v>
      </x:c>
      <x:c r="E630" s="53" t="n">
        <x:f>IF(D630=0,SUMIFS('Cargo Records'!$T$7:$T$70,'Cargo Records'!$J$7:$J$70,C630),0)</x:f>
        <x:v>0</x:v>
      </x:c>
      <x:c r="F630" s="53" t="n">
        <x:f>I629</x:f>
        <x:v>0</x:v>
      </x:c>
      <x:c r="G630" s="53" t="n">
        <x:f>'Path Daily'!M630</x:f>
        <x:v>9840</x:v>
      </x:c>
      <x:c r="H630" s="53" t="n">
        <x:f>MIN(E630+F630,G630)</x:f>
        <x:v>0</x:v>
      </x:c>
      <x:c r="I630" s="53" t="n">
        <x:f>E630+F630-H630</x:f>
        <x:v>0</x:v>
      </x:c>
      <x:c r="J630" s="45" t="str">
        <x:f>IF(I630=0,"CLEAR","QUEUED")</x:f>
        <x:v>CLEAR</x:v>
      </x:c>
      <x:c r="K630" s="72"/>
      <x:c r="L630" s="72"/>
      <x:c r="M630" s="72"/>
      <x:c r="N630" s="72"/>
    </x:row>
    <x:row r="631">
      <x:c r="C631" s="45" t="str">
        <x:f>'Path Daily'!C631</x:f>
        <x:v>P6</x:v>
      </x:c>
      <x:c r="D631" s="45" t="n">
        <x:f>'Path Daily'!D631</x:f>
        <x:v>78</x:v>
      </x:c>
      <x:c r="E631" s="53" t="n">
        <x:f>IF(D631=0,SUMIFS('Cargo Records'!$T$7:$T$70,'Cargo Records'!$J$7:$J$70,C631),0)</x:f>
        <x:v>0</x:v>
      </x:c>
      <x:c r="F631" s="53" t="n">
        <x:f>I630</x:f>
        <x:v>0</x:v>
      </x:c>
      <x:c r="G631" s="53" t="n">
        <x:f>'Path Daily'!M631</x:f>
        <x:v>9840</x:v>
      </x:c>
      <x:c r="H631" s="53" t="n">
        <x:f>MIN(E631+F631,G631)</x:f>
        <x:v>0</x:v>
      </x:c>
      <x:c r="I631" s="53" t="n">
        <x:f>E631+F631-H631</x:f>
        <x:v>0</x:v>
      </x:c>
      <x:c r="J631" s="45" t="str">
        <x:f>IF(I631=0,"CLEAR","QUEUED")</x:f>
        <x:v>CLEAR</x:v>
      </x:c>
      <x:c r="K631" s="72"/>
      <x:c r="L631" s="72"/>
      <x:c r="M631" s="72"/>
      <x:c r="N631" s="72"/>
    </x:row>
    <x:row r="632">
      <x:c r="C632" s="45" t="str">
        <x:f>'Path Daily'!C632</x:f>
        <x:v>P6</x:v>
      </x:c>
      <x:c r="D632" s="45" t="n">
        <x:f>'Path Daily'!D632</x:f>
        <x:v>79</x:v>
      </x:c>
      <x:c r="E632" s="53" t="n">
        <x:f>IF(D632=0,SUMIFS('Cargo Records'!$T$7:$T$70,'Cargo Records'!$J$7:$J$70,C632),0)</x:f>
        <x:v>0</x:v>
      </x:c>
      <x:c r="F632" s="53" t="n">
        <x:f>I631</x:f>
        <x:v>0</x:v>
      </x:c>
      <x:c r="G632" s="53" t="n">
        <x:f>'Path Daily'!M632</x:f>
        <x:v>9840</x:v>
      </x:c>
      <x:c r="H632" s="53" t="n">
        <x:f>MIN(E632+F632,G632)</x:f>
        <x:v>0</x:v>
      </x:c>
      <x:c r="I632" s="53" t="n">
        <x:f>E632+F632-H632</x:f>
        <x:v>0</x:v>
      </x:c>
      <x:c r="J632" s="45" t="str">
        <x:f>IF(I632=0,"CLEAR","QUEUED")</x:f>
        <x:v>CLEAR</x:v>
      </x:c>
      <x:c r="K632" s="72"/>
      <x:c r="L632" s="72"/>
      <x:c r="M632" s="72"/>
      <x:c r="N632" s="72"/>
    </x:row>
    <x:row r="633">
      <x:c r="C633" s="45" t="str">
        <x:f>'Path Daily'!C633</x:f>
        <x:v>P6</x:v>
      </x:c>
      <x:c r="D633" s="45" t="n">
        <x:f>'Path Daily'!D633</x:f>
        <x:v>80</x:v>
      </x:c>
      <x:c r="E633" s="53" t="n">
        <x:f>IF(D633=0,SUMIFS('Cargo Records'!$T$7:$T$70,'Cargo Records'!$J$7:$J$70,C633),0)</x:f>
        <x:v>0</x:v>
      </x:c>
      <x:c r="F633" s="53" t="n">
        <x:f>I632</x:f>
        <x:v>0</x:v>
      </x:c>
      <x:c r="G633" s="53" t="n">
        <x:f>'Path Daily'!M633</x:f>
        <x:v>9840</x:v>
      </x:c>
      <x:c r="H633" s="53" t="n">
        <x:f>MIN(E633+F633,G633)</x:f>
        <x:v>0</x:v>
      </x:c>
      <x:c r="I633" s="53" t="n">
        <x:f>E633+F633-H633</x:f>
        <x:v>0</x:v>
      </x:c>
      <x:c r="J633" s="45" t="str">
        <x:f>IF(I633=0,"CLEAR","QUEUED")</x:f>
        <x:v>CLEAR</x:v>
      </x:c>
      <x:c r="K633" s="72"/>
      <x:c r="L633" s="72"/>
      <x:c r="M633" s="72"/>
      <x:c r="N633" s="72"/>
    </x:row>
    <x:row r="634">
      <x:c r="C634" s="45" t="str">
        <x:f>'Path Daily'!C634</x:f>
        <x:v>P6</x:v>
      </x:c>
      <x:c r="D634" s="45" t="n">
        <x:f>'Path Daily'!D634</x:f>
        <x:v>81</x:v>
      </x:c>
      <x:c r="E634" s="53" t="n">
        <x:f>IF(D634=0,SUMIFS('Cargo Records'!$T$7:$T$70,'Cargo Records'!$J$7:$J$70,C634),0)</x:f>
        <x:v>0</x:v>
      </x:c>
      <x:c r="F634" s="53" t="n">
        <x:f>I633</x:f>
        <x:v>0</x:v>
      </x:c>
      <x:c r="G634" s="53" t="n">
        <x:f>'Path Daily'!M634</x:f>
        <x:v>9840</x:v>
      </x:c>
      <x:c r="H634" s="53" t="n">
        <x:f>MIN(E634+F634,G634)</x:f>
        <x:v>0</x:v>
      </x:c>
      <x:c r="I634" s="53" t="n">
        <x:f>E634+F634-H634</x:f>
        <x:v>0</x:v>
      </x:c>
      <x:c r="J634" s="45" t="str">
        <x:f>IF(I634=0,"CLEAR","QUEUED")</x:f>
        <x:v>CLEAR</x:v>
      </x:c>
      <x:c r="K634" s="72"/>
      <x:c r="L634" s="72"/>
      <x:c r="M634" s="72"/>
      <x:c r="N634" s="72"/>
    </x:row>
    <x:row r="635">
      <x:c r="C635" s="45" t="str">
        <x:f>'Path Daily'!C635</x:f>
        <x:v>P6</x:v>
      </x:c>
      <x:c r="D635" s="45" t="n">
        <x:f>'Path Daily'!D635</x:f>
        <x:v>82</x:v>
      </x:c>
      <x:c r="E635" s="53" t="n">
        <x:f>IF(D635=0,SUMIFS('Cargo Records'!$T$7:$T$70,'Cargo Records'!$J$7:$J$70,C635),0)</x:f>
        <x:v>0</x:v>
      </x:c>
      <x:c r="F635" s="53" t="n">
        <x:f>I634</x:f>
        <x:v>0</x:v>
      </x:c>
      <x:c r="G635" s="53" t="n">
        <x:f>'Path Daily'!M635</x:f>
        <x:v>9840</x:v>
      </x:c>
      <x:c r="H635" s="53" t="n">
        <x:f>MIN(E635+F635,G635)</x:f>
        <x:v>0</x:v>
      </x:c>
      <x:c r="I635" s="53" t="n">
        <x:f>E635+F635-H635</x:f>
        <x:v>0</x:v>
      </x:c>
      <x:c r="J635" s="45" t="str">
        <x:f>IF(I635=0,"CLEAR","QUEUED")</x:f>
        <x:v>CLEAR</x:v>
      </x:c>
      <x:c r="K635" s="72"/>
      <x:c r="L635" s="72"/>
      <x:c r="M635" s="72"/>
      <x:c r="N635" s="72"/>
    </x:row>
    <x:row r="636">
      <x:c r="C636" s="45" t="str">
        <x:f>'Path Daily'!C636</x:f>
        <x:v>P6</x:v>
      </x:c>
      <x:c r="D636" s="45" t="n">
        <x:f>'Path Daily'!D636</x:f>
        <x:v>83</x:v>
      </x:c>
      <x:c r="E636" s="53" t="n">
        <x:f>IF(D636=0,SUMIFS('Cargo Records'!$T$7:$T$70,'Cargo Records'!$J$7:$J$70,C636),0)</x:f>
        <x:v>0</x:v>
      </x:c>
      <x:c r="F636" s="53" t="n">
        <x:f>I635</x:f>
        <x:v>0</x:v>
      </x:c>
      <x:c r="G636" s="53" t="n">
        <x:f>'Path Daily'!M636</x:f>
        <x:v>9840</x:v>
      </x:c>
      <x:c r="H636" s="53" t="n">
        <x:f>MIN(E636+F636,G636)</x:f>
        <x:v>0</x:v>
      </x:c>
      <x:c r="I636" s="53" t="n">
        <x:f>E636+F636-H636</x:f>
        <x:v>0</x:v>
      </x:c>
      <x:c r="J636" s="45" t="str">
        <x:f>IF(I636=0,"CLEAR","QUEUED")</x:f>
        <x:v>CLEAR</x:v>
      </x:c>
      <x:c r="K636" s="72"/>
      <x:c r="L636" s="72"/>
      <x:c r="M636" s="72"/>
      <x:c r="N636" s="72"/>
    </x:row>
    <x:row r="637">
      <x:c r="C637" s="45" t="str">
        <x:f>'Path Daily'!C637</x:f>
        <x:v>P6</x:v>
      </x:c>
      <x:c r="D637" s="45" t="n">
        <x:f>'Path Daily'!D637</x:f>
        <x:v>84</x:v>
      </x:c>
      <x:c r="E637" s="53" t="n">
        <x:f>IF(D637=0,SUMIFS('Cargo Records'!$T$7:$T$70,'Cargo Records'!$J$7:$J$70,C637),0)</x:f>
        <x:v>0</x:v>
      </x:c>
      <x:c r="F637" s="53" t="n">
        <x:f>I636</x:f>
        <x:v>0</x:v>
      </x:c>
      <x:c r="G637" s="53" t="n">
        <x:f>'Path Daily'!M637</x:f>
        <x:v>9840</x:v>
      </x:c>
      <x:c r="H637" s="53" t="n">
        <x:f>MIN(E637+F637,G637)</x:f>
        <x:v>0</x:v>
      </x:c>
      <x:c r="I637" s="53" t="n">
        <x:f>E637+F637-H637</x:f>
        <x:v>0</x:v>
      </x:c>
      <x:c r="J637" s="45" t="str">
        <x:f>IF(I637=0,"CLEAR","QUEUED")</x:f>
        <x:v>CLEAR</x:v>
      </x:c>
      <x:c r="K637" s="72"/>
      <x:c r="L637" s="72"/>
      <x:c r="M637" s="72"/>
      <x:c r="N637" s="72"/>
    </x:row>
    <x:row r="638">
      <x:c r="C638" s="45" t="str">
        <x:f>'Path Daily'!C638</x:f>
        <x:v>P6</x:v>
      </x:c>
      <x:c r="D638" s="45" t="n">
        <x:f>'Path Daily'!D638</x:f>
        <x:v>85</x:v>
      </x:c>
      <x:c r="E638" s="53" t="n">
        <x:f>IF(D638=0,SUMIFS('Cargo Records'!$T$7:$T$70,'Cargo Records'!$J$7:$J$70,C638),0)</x:f>
        <x:v>0</x:v>
      </x:c>
      <x:c r="F638" s="53" t="n">
        <x:f>I637</x:f>
        <x:v>0</x:v>
      </x:c>
      <x:c r="G638" s="53" t="n">
        <x:f>'Path Daily'!M638</x:f>
        <x:v>9840</x:v>
      </x:c>
      <x:c r="H638" s="53" t="n">
        <x:f>MIN(E638+F638,G638)</x:f>
        <x:v>0</x:v>
      </x:c>
      <x:c r="I638" s="53" t="n">
        <x:f>E638+F638-H638</x:f>
        <x:v>0</x:v>
      </x:c>
      <x:c r="J638" s="45" t="str">
        <x:f>IF(I638=0,"CLEAR","QUEUED")</x:f>
        <x:v>CLEAR</x:v>
      </x:c>
      <x:c r="K638" s="72"/>
      <x:c r="L638" s="72"/>
      <x:c r="M638" s="72"/>
      <x:c r="N638" s="72"/>
    </x:row>
    <x:row r="639">
      <x:c r="C639" s="45" t="str">
        <x:f>'Path Daily'!C639</x:f>
        <x:v>P6</x:v>
      </x:c>
      <x:c r="D639" s="45" t="n">
        <x:f>'Path Daily'!D639</x:f>
        <x:v>86</x:v>
      </x:c>
      <x:c r="E639" s="53" t="n">
        <x:f>IF(D639=0,SUMIFS('Cargo Records'!$T$7:$T$70,'Cargo Records'!$J$7:$J$70,C639),0)</x:f>
        <x:v>0</x:v>
      </x:c>
      <x:c r="F639" s="53" t="n">
        <x:f>I638</x:f>
        <x:v>0</x:v>
      </x:c>
      <x:c r="G639" s="53" t="n">
        <x:f>'Path Daily'!M639</x:f>
        <x:v>9840</x:v>
      </x:c>
      <x:c r="H639" s="53" t="n">
        <x:f>MIN(E639+F639,G639)</x:f>
        <x:v>0</x:v>
      </x:c>
      <x:c r="I639" s="53" t="n">
        <x:f>E639+F639-H639</x:f>
        <x:v>0</x:v>
      </x:c>
      <x:c r="J639" s="45" t="str">
        <x:f>IF(I639=0,"CLEAR","QUEUED")</x:f>
        <x:v>CLEAR</x:v>
      </x:c>
      <x:c r="K639" s="72"/>
      <x:c r="L639" s="72"/>
      <x:c r="M639" s="72"/>
      <x:c r="N639" s="72"/>
    </x:row>
    <x:row r="640">
      <x:c r="C640" s="45" t="str">
        <x:f>'Path Daily'!C640</x:f>
        <x:v>P6</x:v>
      </x:c>
      <x:c r="D640" s="45" t="n">
        <x:f>'Path Daily'!D640</x:f>
        <x:v>87</x:v>
      </x:c>
      <x:c r="E640" s="53" t="n">
        <x:f>IF(D640=0,SUMIFS('Cargo Records'!$T$7:$T$70,'Cargo Records'!$J$7:$J$70,C640),0)</x:f>
        <x:v>0</x:v>
      </x:c>
      <x:c r="F640" s="53" t="n">
        <x:f>I639</x:f>
        <x:v>0</x:v>
      </x:c>
      <x:c r="G640" s="53" t="n">
        <x:f>'Path Daily'!M640</x:f>
        <x:v>9840</x:v>
      </x:c>
      <x:c r="H640" s="53" t="n">
        <x:f>MIN(E640+F640,G640)</x:f>
        <x:v>0</x:v>
      </x:c>
      <x:c r="I640" s="53" t="n">
        <x:f>E640+F640-H640</x:f>
        <x:v>0</x:v>
      </x:c>
      <x:c r="J640" s="45" t="str">
        <x:f>IF(I640=0,"CLEAR","QUEUED")</x:f>
        <x:v>CLEAR</x:v>
      </x:c>
      <x:c r="K640" s="72"/>
      <x:c r="L640" s="72"/>
      <x:c r="M640" s="72"/>
      <x:c r="N640" s="72"/>
    </x:row>
    <x:row r="641">
      <x:c r="C641" s="45" t="str">
        <x:f>'Path Daily'!C641</x:f>
        <x:v>P6</x:v>
      </x:c>
      <x:c r="D641" s="45" t="n">
        <x:f>'Path Daily'!D641</x:f>
        <x:v>88</x:v>
      </x:c>
      <x:c r="E641" s="53" t="n">
        <x:f>IF(D641=0,SUMIFS('Cargo Records'!$T$7:$T$70,'Cargo Records'!$J$7:$J$70,C641),0)</x:f>
        <x:v>0</x:v>
      </x:c>
      <x:c r="F641" s="53" t="n">
        <x:f>I640</x:f>
        <x:v>0</x:v>
      </x:c>
      <x:c r="G641" s="53" t="n">
        <x:f>'Path Daily'!M641</x:f>
        <x:v>9840</x:v>
      </x:c>
      <x:c r="H641" s="53" t="n">
        <x:f>MIN(E641+F641,G641)</x:f>
        <x:v>0</x:v>
      </x:c>
      <x:c r="I641" s="53" t="n">
        <x:f>E641+F641-H641</x:f>
        <x:v>0</x:v>
      </x:c>
      <x:c r="J641" s="45" t="str">
        <x:f>IF(I641=0,"CLEAR","QUEUED")</x:f>
        <x:v>CLEAR</x:v>
      </x:c>
      <x:c r="K641" s="72"/>
      <x:c r="L641" s="72"/>
      <x:c r="M641" s="72"/>
      <x:c r="N641" s="72"/>
    </x:row>
    <x:row r="642">
      <x:c r="C642" s="45" t="str">
        <x:f>'Path Daily'!C642</x:f>
        <x:v>P6</x:v>
      </x:c>
      <x:c r="D642" s="45" t="n">
        <x:f>'Path Daily'!D642</x:f>
        <x:v>89</x:v>
      </x:c>
      <x:c r="E642" s="53" t="n">
        <x:f>IF(D642=0,SUMIFS('Cargo Records'!$T$7:$T$70,'Cargo Records'!$J$7:$J$70,C642),0)</x:f>
        <x:v>0</x:v>
      </x:c>
      <x:c r="F642" s="53" t="n">
        <x:f>I641</x:f>
        <x:v>0</x:v>
      </x:c>
      <x:c r="G642" s="53" t="n">
        <x:f>'Path Daily'!M642</x:f>
        <x:v>9840</x:v>
      </x:c>
      <x:c r="H642" s="53" t="n">
        <x:f>MIN(E642+F642,G642)</x:f>
        <x:v>0</x:v>
      </x:c>
      <x:c r="I642" s="53" t="n">
        <x:f>E642+F642-H642</x:f>
        <x:v>0</x:v>
      </x:c>
      <x:c r="J642" s="45" t="str">
        <x:f>IF(I642=0,"CLEAR","QUEUED")</x:f>
        <x:v>CLEAR</x:v>
      </x:c>
      <x:c r="K642" s="72"/>
      <x:c r="L642" s="72"/>
      <x:c r="M642" s="72"/>
      <x:c r="N642" s="72"/>
    </x:row>
    <x:row r="643">
      <x:c r="C643" s="45" t="str">
        <x:f>'Path Daily'!C643</x:f>
        <x:v>P6</x:v>
      </x:c>
      <x:c r="D643" s="45" t="n">
        <x:f>'Path Daily'!D643</x:f>
        <x:v>90</x:v>
      </x:c>
      <x:c r="E643" s="53" t="n">
        <x:f>IF(D643=0,SUMIFS('Cargo Records'!$T$7:$T$70,'Cargo Records'!$J$7:$J$70,C643),0)</x:f>
        <x:v>0</x:v>
      </x:c>
      <x:c r="F643" s="53" t="n">
        <x:f>I642</x:f>
        <x:v>0</x:v>
      </x:c>
      <x:c r="G643" s="53" t="n">
        <x:f>'Path Daily'!M643</x:f>
        <x:v>9840</x:v>
      </x:c>
      <x:c r="H643" s="53" t="n">
        <x:f>MIN(E643+F643,G643)</x:f>
        <x:v>0</x:v>
      </x:c>
      <x:c r="I643" s="53" t="n">
        <x:f>E643+F643-H643</x:f>
        <x:v>0</x:v>
      </x:c>
      <x:c r="J643" s="45" t="str">
        <x:f>IF(I643=0,"CLEAR","QUEUED")</x:f>
        <x:v>CLEAR</x:v>
      </x:c>
      <x:c r="K643" s="72"/>
      <x:c r="L643" s="72"/>
      <x:c r="M643" s="72"/>
      <x:c r="N643" s="72"/>
    </x:row>
    <x:row r="644">
      <x:c r="C644" s="45" t="str">
        <x:f>'Path Daily'!C644</x:f>
        <x:v>P7</x:v>
      </x:c>
      <x:c r="D644" s="45" t="n">
        <x:f>'Path Daily'!D644</x:f>
        <x:v>0</x:v>
      </x:c>
      <x:c r="E644" s="53" t="n">
        <x:f>IF(D644=0,SUMIFS('Cargo Records'!$T$7:$T$70,'Cargo Records'!$J$7:$J$70,C644),0)</x:f>
        <x:v>292181.8181818182</x:v>
      </x:c>
      <x:c r="F644" s="53" t="n">
        <x:f>0</x:f>
        <x:v>0</x:v>
      </x:c>
      <x:c r="G644" s="53" t="n">
        <x:f>'Path Daily'!M644</x:f>
        <x:v>0</x:v>
      </x:c>
      <x:c r="H644" s="53" t="n">
        <x:f>MIN(E644+F644,G644)</x:f>
        <x:v>0</x:v>
      </x:c>
      <x:c r="I644" s="53" t="n">
        <x:f>E644+F644-H644</x:f>
        <x:v>292181.8181818182</x:v>
      </x:c>
      <x:c r="J644" s="45" t="str">
        <x:f>IF(I644=0,"CLEAR","QUEUED")</x:f>
        <x:v>QUEUED</x:v>
      </x:c>
      <x:c r="K644" s="72"/>
      <x:c r="L644" s="72"/>
      <x:c r="M644" s="72"/>
      <x:c r="N644" s="72"/>
    </x:row>
    <x:row r="645">
      <x:c r="C645" s="45" t="str">
        <x:f>'Path Daily'!C645</x:f>
        <x:v>P7</x:v>
      </x:c>
      <x:c r="D645" s="45" t="n">
        <x:f>'Path Daily'!D645</x:f>
        <x:v>1</x:v>
      </x:c>
      <x:c r="E645" s="53" t="n">
        <x:f>IF(D645=0,SUMIFS('Cargo Records'!$T$7:$T$70,'Cargo Records'!$J$7:$J$70,C645),0)</x:f>
        <x:v>0</x:v>
      </x:c>
      <x:c r="F645" s="53" t="n">
        <x:f>I644</x:f>
        <x:v>292181.8181818182</x:v>
      </x:c>
      <x:c r="G645" s="53" t="n">
        <x:f>'Path Daily'!M645</x:f>
        <x:v>0</x:v>
      </x:c>
      <x:c r="H645" s="53" t="n">
        <x:f>MIN(E645+F645,G645)</x:f>
        <x:v>0</x:v>
      </x:c>
      <x:c r="I645" s="53" t="n">
        <x:f>E645+F645-H645</x:f>
        <x:v>292181.8181818182</x:v>
      </x:c>
      <x:c r="J645" s="45" t="str">
        <x:f>IF(I645=0,"CLEAR","QUEUED")</x:f>
        <x:v>QUEUED</x:v>
      </x:c>
      <x:c r="K645" s="72"/>
      <x:c r="L645" s="72"/>
      <x:c r="M645" s="72"/>
      <x:c r="N645" s="72"/>
    </x:row>
    <x:row r="646">
      <x:c r="C646" s="45" t="str">
        <x:f>'Path Daily'!C646</x:f>
        <x:v>P7</x:v>
      </x:c>
      <x:c r="D646" s="45" t="n">
        <x:f>'Path Daily'!D646</x:f>
        <x:v>2</x:v>
      </x:c>
      <x:c r="E646" s="53" t="n">
        <x:f>IF(D646=0,SUMIFS('Cargo Records'!$T$7:$T$70,'Cargo Records'!$J$7:$J$70,C646),0)</x:f>
        <x:v>0</x:v>
      </x:c>
      <x:c r="F646" s="53" t="n">
        <x:f>I645</x:f>
        <x:v>292181.8181818182</x:v>
      </x:c>
      <x:c r="G646" s="53" t="n">
        <x:f>'Path Daily'!M646</x:f>
        <x:v>0</x:v>
      </x:c>
      <x:c r="H646" s="53" t="n">
        <x:f>MIN(E646+F646,G646)</x:f>
        <x:v>0</x:v>
      </x:c>
      <x:c r="I646" s="53" t="n">
        <x:f>E646+F646-H646</x:f>
        <x:v>292181.8181818182</x:v>
      </x:c>
      <x:c r="J646" s="45" t="str">
        <x:f>IF(I646=0,"CLEAR","QUEUED")</x:f>
        <x:v>QUEUED</x:v>
      </x:c>
      <x:c r="K646" s="72"/>
      <x:c r="L646" s="72"/>
      <x:c r="M646" s="72"/>
      <x:c r="N646" s="72"/>
    </x:row>
    <x:row r="647">
      <x:c r="C647" s="45" t="str">
        <x:f>'Path Daily'!C647</x:f>
        <x:v>P7</x:v>
      </x:c>
      <x:c r="D647" s="45" t="n">
        <x:f>'Path Daily'!D647</x:f>
        <x:v>3</x:v>
      </x:c>
      <x:c r="E647" s="53" t="n">
        <x:f>IF(D647=0,SUMIFS('Cargo Records'!$T$7:$T$70,'Cargo Records'!$J$7:$J$70,C647),0)</x:f>
        <x:v>0</x:v>
      </x:c>
      <x:c r="F647" s="53" t="n">
        <x:f>I646</x:f>
        <x:v>292181.8181818182</x:v>
      </x:c>
      <x:c r="G647" s="53" t="n">
        <x:f>'Path Daily'!M647</x:f>
        <x:v>0</x:v>
      </x:c>
      <x:c r="H647" s="53" t="n">
        <x:f>MIN(E647+F647,G647)</x:f>
        <x:v>0</x:v>
      </x:c>
      <x:c r="I647" s="53" t="n">
        <x:f>E647+F647-H647</x:f>
        <x:v>292181.8181818182</x:v>
      </x:c>
      <x:c r="J647" s="45" t="str">
        <x:f>IF(I647=0,"CLEAR","QUEUED")</x:f>
        <x:v>QUEUED</x:v>
      </x:c>
      <x:c r="K647" s="72"/>
      <x:c r="L647" s="72"/>
      <x:c r="M647" s="72"/>
      <x:c r="N647" s="72"/>
    </x:row>
    <x:row r="648">
      <x:c r="C648" s="45" t="str">
        <x:f>'Path Daily'!C648</x:f>
        <x:v>P7</x:v>
      </x:c>
      <x:c r="D648" s="45" t="n">
        <x:f>'Path Daily'!D648</x:f>
        <x:v>4</x:v>
      </x:c>
      <x:c r="E648" s="53" t="n">
        <x:f>IF(D648=0,SUMIFS('Cargo Records'!$T$7:$T$70,'Cargo Records'!$J$7:$J$70,C648),0)</x:f>
        <x:v>0</x:v>
      </x:c>
      <x:c r="F648" s="53" t="n">
        <x:f>I647</x:f>
        <x:v>292181.8181818182</x:v>
      </x:c>
      <x:c r="G648" s="53" t="n">
        <x:f>'Path Daily'!M648</x:f>
        <x:v>0</x:v>
      </x:c>
      <x:c r="H648" s="53" t="n">
        <x:f>MIN(E648+F648,G648)</x:f>
        <x:v>0</x:v>
      </x:c>
      <x:c r="I648" s="53" t="n">
        <x:f>E648+F648-H648</x:f>
        <x:v>292181.8181818182</x:v>
      </x:c>
      <x:c r="J648" s="45" t="str">
        <x:f>IF(I648=0,"CLEAR","QUEUED")</x:f>
        <x:v>QUEUED</x:v>
      </x:c>
      <x:c r="K648" s="72"/>
      <x:c r="L648" s="72"/>
      <x:c r="M648" s="72"/>
      <x:c r="N648" s="72"/>
    </x:row>
    <x:row r="649">
      <x:c r="C649" s="45" t="str">
        <x:f>'Path Daily'!C649</x:f>
        <x:v>P7</x:v>
      </x:c>
      <x:c r="D649" s="45" t="n">
        <x:f>'Path Daily'!D649</x:f>
        <x:v>5</x:v>
      </x:c>
      <x:c r="E649" s="53" t="n">
        <x:f>IF(D649=0,SUMIFS('Cargo Records'!$T$7:$T$70,'Cargo Records'!$J$7:$J$70,C649),0)</x:f>
        <x:v>0</x:v>
      </x:c>
      <x:c r="F649" s="53" t="n">
        <x:f>I648</x:f>
        <x:v>292181.8181818182</x:v>
      </x:c>
      <x:c r="G649" s="53" t="n">
        <x:f>'Path Daily'!M649</x:f>
        <x:v>0</x:v>
      </x:c>
      <x:c r="H649" s="53" t="n">
        <x:f>MIN(E649+F649,G649)</x:f>
        <x:v>0</x:v>
      </x:c>
      <x:c r="I649" s="53" t="n">
        <x:f>E649+F649-H649</x:f>
        <x:v>292181.8181818182</x:v>
      </x:c>
      <x:c r="J649" s="45" t="str">
        <x:f>IF(I649=0,"CLEAR","QUEUED")</x:f>
        <x:v>QUEUED</x:v>
      </x:c>
      <x:c r="K649" s="72"/>
      <x:c r="L649" s="72"/>
      <x:c r="M649" s="72"/>
      <x:c r="N649" s="72"/>
    </x:row>
    <x:row r="650">
      <x:c r="C650" s="45" t="str">
        <x:f>'Path Daily'!C650</x:f>
        <x:v>P7</x:v>
      </x:c>
      <x:c r="D650" s="45" t="n">
        <x:f>'Path Daily'!D650</x:f>
        <x:v>6</x:v>
      </x:c>
      <x:c r="E650" s="53" t="n">
        <x:f>IF(D650=0,SUMIFS('Cargo Records'!$T$7:$T$70,'Cargo Records'!$J$7:$J$70,C650),0)</x:f>
        <x:v>0</x:v>
      </x:c>
      <x:c r="F650" s="53" t="n">
        <x:f>I649</x:f>
        <x:v>292181.8181818182</x:v>
      </x:c>
      <x:c r="G650" s="53" t="n">
        <x:f>'Path Daily'!M650</x:f>
        <x:v>5662.8</x:v>
      </x:c>
      <x:c r="H650" s="53" t="n">
        <x:f>MIN(E650+F650,G650)</x:f>
        <x:v>5662.8</x:v>
      </x:c>
      <x:c r="I650" s="53" t="n">
        <x:f>E650+F650-H650</x:f>
        <x:v>286519.0181818182</x:v>
      </x:c>
      <x:c r="J650" s="45" t="str">
        <x:f>IF(I650=0,"CLEAR","QUEUED")</x:f>
        <x:v>QUEUED</x:v>
      </x:c>
      <x:c r="K650" s="72"/>
      <x:c r="L650" s="72"/>
      <x:c r="M650" s="72"/>
      <x:c r="N650" s="72"/>
    </x:row>
    <x:row r="651">
      <x:c r="C651" s="45" t="str">
        <x:f>'Path Daily'!C651</x:f>
        <x:v>P7</x:v>
      </x:c>
      <x:c r="D651" s="45" t="n">
        <x:f>'Path Daily'!D651</x:f>
        <x:v>7</x:v>
      </x:c>
      <x:c r="E651" s="53" t="n">
        <x:f>IF(D651=0,SUMIFS('Cargo Records'!$T$7:$T$70,'Cargo Records'!$J$7:$J$70,C651),0)</x:f>
        <x:v>0</x:v>
      </x:c>
      <x:c r="F651" s="53" t="n">
        <x:f>I650</x:f>
        <x:v>286519.0181818182</x:v>
      </x:c>
      <x:c r="G651" s="53" t="n">
        <x:f>'Path Daily'!M651</x:f>
        <x:v>5662.8</x:v>
      </x:c>
      <x:c r="H651" s="53" t="n">
        <x:f>MIN(E651+F651,G651)</x:f>
        <x:v>5662.8</x:v>
      </x:c>
      <x:c r="I651" s="53" t="n">
        <x:f>E651+F651-H651</x:f>
        <x:v>280856.2181818182</x:v>
      </x:c>
      <x:c r="J651" s="45" t="str">
        <x:f>IF(I651=0,"CLEAR","QUEUED")</x:f>
        <x:v>QUEUED</x:v>
      </x:c>
      <x:c r="K651" s="72"/>
      <x:c r="L651" s="72"/>
      <x:c r="M651" s="72"/>
      <x:c r="N651" s="72"/>
    </x:row>
    <x:row r="652">
      <x:c r="C652" s="45" t="str">
        <x:f>'Path Daily'!C652</x:f>
        <x:v>P7</x:v>
      </x:c>
      <x:c r="D652" s="45" t="n">
        <x:f>'Path Daily'!D652</x:f>
        <x:v>8</x:v>
      </x:c>
      <x:c r="E652" s="53" t="n">
        <x:f>IF(D652=0,SUMIFS('Cargo Records'!$T$7:$T$70,'Cargo Records'!$J$7:$J$70,C652),0)</x:f>
        <x:v>0</x:v>
      </x:c>
      <x:c r="F652" s="53" t="n">
        <x:f>I651</x:f>
        <x:v>280856.2181818182</x:v>
      </x:c>
      <x:c r="G652" s="53" t="n">
        <x:f>'Path Daily'!M652</x:f>
        <x:v>10296</x:v>
      </x:c>
      <x:c r="H652" s="53" t="n">
        <x:f>MIN(E652+F652,G652)</x:f>
        <x:v>10296</x:v>
      </x:c>
      <x:c r="I652" s="53" t="n">
        <x:f>E652+F652-H652</x:f>
        <x:v>270560.2181818182</x:v>
      </x:c>
      <x:c r="J652" s="45" t="str">
        <x:f>IF(I652=0,"CLEAR","QUEUED")</x:f>
        <x:v>QUEUED</x:v>
      </x:c>
      <x:c r="K652" s="72"/>
      <x:c r="L652" s="72"/>
      <x:c r="M652" s="72"/>
      <x:c r="N652" s="72"/>
    </x:row>
    <x:row r="653">
      <x:c r="C653" s="45" t="str">
        <x:f>'Path Daily'!C653</x:f>
        <x:v>P7</x:v>
      </x:c>
      <x:c r="D653" s="45" t="n">
        <x:f>'Path Daily'!D653</x:f>
        <x:v>9</x:v>
      </x:c>
      <x:c r="E653" s="53" t="n">
        <x:f>IF(D653=0,SUMIFS('Cargo Records'!$T$7:$T$70,'Cargo Records'!$J$7:$J$70,C653),0)</x:f>
        <x:v>0</x:v>
      </x:c>
      <x:c r="F653" s="53" t="n">
        <x:f>I652</x:f>
        <x:v>270560.2181818182</x:v>
      </x:c>
      <x:c r="G653" s="53" t="n">
        <x:f>'Path Daily'!M653</x:f>
        <x:v>10296</x:v>
      </x:c>
      <x:c r="H653" s="53" t="n">
        <x:f>MIN(E653+F653,G653)</x:f>
        <x:v>10296</x:v>
      </x:c>
      <x:c r="I653" s="53" t="n">
        <x:f>E653+F653-H653</x:f>
        <x:v>260264.2181818182</x:v>
      </x:c>
      <x:c r="J653" s="45" t="str">
        <x:f>IF(I653=0,"CLEAR","QUEUED")</x:f>
        <x:v>QUEUED</x:v>
      </x:c>
      <x:c r="K653" s="72"/>
      <x:c r="L653" s="72"/>
      <x:c r="M653" s="72"/>
      <x:c r="N653" s="72"/>
    </x:row>
    <x:row r="654">
      <x:c r="C654" s="45" t="str">
        <x:f>'Path Daily'!C654</x:f>
        <x:v>P7</x:v>
      </x:c>
      <x:c r="D654" s="45" t="n">
        <x:f>'Path Daily'!D654</x:f>
        <x:v>10</x:v>
      </x:c>
      <x:c r="E654" s="53" t="n">
        <x:f>IF(D654=0,SUMIFS('Cargo Records'!$T$7:$T$70,'Cargo Records'!$J$7:$J$70,C654),0)</x:f>
        <x:v>0</x:v>
      </x:c>
      <x:c r="F654" s="53" t="n">
        <x:f>I653</x:f>
        <x:v>260264.2181818182</x:v>
      </x:c>
      <x:c r="G654" s="53" t="n">
        <x:f>'Path Daily'!M654</x:f>
        <x:v>10296</x:v>
      </x:c>
      <x:c r="H654" s="53" t="n">
        <x:f>MIN(E654+F654,G654)</x:f>
        <x:v>10296</x:v>
      </x:c>
      <x:c r="I654" s="53" t="n">
        <x:f>E654+F654-H654</x:f>
        <x:v>249968.2181818182</x:v>
      </x:c>
      <x:c r="J654" s="45" t="str">
        <x:f>IF(I654=0,"CLEAR","QUEUED")</x:f>
        <x:v>QUEUED</x:v>
      </x:c>
      <x:c r="K654" s="72"/>
      <x:c r="L654" s="72"/>
      <x:c r="M654" s="72"/>
      <x:c r="N654" s="72"/>
    </x:row>
    <x:row r="655">
      <x:c r="C655" s="45" t="str">
        <x:f>'Path Daily'!C655</x:f>
        <x:v>P7</x:v>
      </x:c>
      <x:c r="D655" s="45" t="n">
        <x:f>'Path Daily'!D655</x:f>
        <x:v>11</x:v>
      </x:c>
      <x:c r="E655" s="53" t="n">
        <x:f>IF(D655=0,SUMIFS('Cargo Records'!$T$7:$T$70,'Cargo Records'!$J$7:$J$70,C655),0)</x:f>
        <x:v>0</x:v>
      </x:c>
      <x:c r="F655" s="53" t="n">
        <x:f>I654</x:f>
        <x:v>249968.2181818182</x:v>
      </x:c>
      <x:c r="G655" s="53" t="n">
        <x:f>'Path Daily'!M655</x:f>
        <x:v>10296</x:v>
      </x:c>
      <x:c r="H655" s="53" t="n">
        <x:f>MIN(E655+F655,G655)</x:f>
        <x:v>10296</x:v>
      </x:c>
      <x:c r="I655" s="53" t="n">
        <x:f>E655+F655-H655</x:f>
        <x:v>239672.2181818182</x:v>
      </x:c>
      <x:c r="J655" s="45" t="str">
        <x:f>IF(I655=0,"CLEAR","QUEUED")</x:f>
        <x:v>QUEUED</x:v>
      </x:c>
      <x:c r="K655" s="72"/>
      <x:c r="L655" s="72"/>
      <x:c r="M655" s="72"/>
      <x:c r="N655" s="72"/>
    </x:row>
    <x:row r="656">
      <x:c r="C656" s="45" t="str">
        <x:f>'Path Daily'!C656</x:f>
        <x:v>P7</x:v>
      </x:c>
      <x:c r="D656" s="45" t="n">
        <x:f>'Path Daily'!D656</x:f>
        <x:v>12</x:v>
      </x:c>
      <x:c r="E656" s="53" t="n">
        <x:f>IF(D656=0,SUMIFS('Cargo Records'!$T$7:$T$70,'Cargo Records'!$J$7:$J$70,C656),0)</x:f>
        <x:v>0</x:v>
      </x:c>
      <x:c r="F656" s="53" t="n">
        <x:f>I655</x:f>
        <x:v>239672.2181818182</x:v>
      </x:c>
      <x:c r="G656" s="53" t="n">
        <x:f>'Path Daily'!M656</x:f>
        <x:v>10296</x:v>
      </x:c>
      <x:c r="H656" s="53" t="n">
        <x:f>MIN(E656+F656,G656)</x:f>
        <x:v>10296</x:v>
      </x:c>
      <x:c r="I656" s="53" t="n">
        <x:f>E656+F656-H656</x:f>
        <x:v>229376.2181818182</x:v>
      </x:c>
      <x:c r="J656" s="45" t="str">
        <x:f>IF(I656=0,"CLEAR","QUEUED")</x:f>
        <x:v>QUEUED</x:v>
      </x:c>
      <x:c r="K656" s="72"/>
      <x:c r="L656" s="72"/>
      <x:c r="M656" s="72"/>
      <x:c r="N656" s="72"/>
    </x:row>
    <x:row r="657">
      <x:c r="C657" s="45" t="str">
        <x:f>'Path Daily'!C657</x:f>
        <x:v>P7</x:v>
      </x:c>
      <x:c r="D657" s="45" t="n">
        <x:f>'Path Daily'!D657</x:f>
        <x:v>13</x:v>
      </x:c>
      <x:c r="E657" s="53" t="n">
        <x:f>IF(D657=0,SUMIFS('Cargo Records'!$T$7:$T$70,'Cargo Records'!$J$7:$J$70,C657),0)</x:f>
        <x:v>0</x:v>
      </x:c>
      <x:c r="F657" s="53" t="n">
        <x:f>I656</x:f>
        <x:v>229376.2181818182</x:v>
      </x:c>
      <x:c r="G657" s="53" t="n">
        <x:f>'Path Daily'!M657</x:f>
        <x:v>10296</x:v>
      </x:c>
      <x:c r="H657" s="53" t="n">
        <x:f>MIN(E657+F657,G657)</x:f>
        <x:v>10296</x:v>
      </x:c>
      <x:c r="I657" s="53" t="n">
        <x:f>E657+F657-H657</x:f>
        <x:v>219080.2181818182</x:v>
      </x:c>
      <x:c r="J657" s="45" t="str">
        <x:f>IF(I657=0,"CLEAR","QUEUED")</x:f>
        <x:v>QUEUED</x:v>
      </x:c>
      <x:c r="K657" s="72"/>
      <x:c r="L657" s="72"/>
      <x:c r="M657" s="72"/>
      <x:c r="N657" s="72"/>
    </x:row>
    <x:row r="658">
      <x:c r="C658" s="45" t="str">
        <x:f>'Path Daily'!C658</x:f>
        <x:v>P7</x:v>
      </x:c>
      <x:c r="D658" s="45" t="n">
        <x:f>'Path Daily'!D658</x:f>
        <x:v>14</x:v>
      </x:c>
      <x:c r="E658" s="53" t="n">
        <x:f>IF(D658=0,SUMIFS('Cargo Records'!$T$7:$T$70,'Cargo Records'!$J$7:$J$70,C658),0)</x:f>
        <x:v>0</x:v>
      </x:c>
      <x:c r="F658" s="53" t="n">
        <x:f>I657</x:f>
        <x:v>219080.2181818182</x:v>
      </x:c>
      <x:c r="G658" s="53" t="n">
        <x:f>'Path Daily'!M658</x:f>
        <x:v>12012</x:v>
      </x:c>
      <x:c r="H658" s="53" t="n">
        <x:f>MIN(E658+F658,G658)</x:f>
        <x:v>12012</x:v>
      </x:c>
      <x:c r="I658" s="53" t="n">
        <x:f>E658+F658-H658</x:f>
        <x:v>207068.2181818182</x:v>
      </x:c>
      <x:c r="J658" s="45" t="str">
        <x:f>IF(I658=0,"CLEAR","QUEUED")</x:f>
        <x:v>QUEUED</x:v>
      </x:c>
      <x:c r="K658" s="72"/>
      <x:c r="L658" s="72"/>
      <x:c r="M658" s="72"/>
      <x:c r="N658" s="72"/>
    </x:row>
    <x:row r="659">
      <x:c r="C659" s="45" t="str">
        <x:f>'Path Daily'!C659</x:f>
        <x:v>P7</x:v>
      </x:c>
      <x:c r="D659" s="45" t="n">
        <x:f>'Path Daily'!D659</x:f>
        <x:v>15</x:v>
      </x:c>
      <x:c r="E659" s="53" t="n">
        <x:f>IF(D659=0,SUMIFS('Cargo Records'!$T$7:$T$70,'Cargo Records'!$J$7:$J$70,C659),0)</x:f>
        <x:v>0</x:v>
      </x:c>
      <x:c r="F659" s="53" t="n">
        <x:f>I658</x:f>
        <x:v>207068.2181818182</x:v>
      </x:c>
      <x:c r="G659" s="53" t="n">
        <x:f>'Path Daily'!M659</x:f>
        <x:v>9240</x:v>
      </x:c>
      <x:c r="H659" s="53" t="n">
        <x:f>MIN(E659+F659,G659)</x:f>
        <x:v>9240</x:v>
      </x:c>
      <x:c r="I659" s="53" t="n">
        <x:f>E659+F659-H659</x:f>
        <x:v>197828.2181818182</x:v>
      </x:c>
      <x:c r="J659" s="45" t="str">
        <x:f>IF(I659=0,"CLEAR","QUEUED")</x:f>
        <x:v>QUEUED</x:v>
      </x:c>
      <x:c r="K659" s="72"/>
      <x:c r="L659" s="72"/>
      <x:c r="M659" s="72"/>
      <x:c r="N659" s="72"/>
    </x:row>
    <x:row r="660">
      <x:c r="C660" s="45" t="str">
        <x:f>'Path Daily'!C660</x:f>
        <x:v>P7</x:v>
      </x:c>
      <x:c r="D660" s="45" t="n">
        <x:f>'Path Daily'!D660</x:f>
        <x:v>16</x:v>
      </x:c>
      <x:c r="E660" s="53" t="n">
        <x:f>IF(D660=0,SUMIFS('Cargo Records'!$T$7:$T$70,'Cargo Records'!$J$7:$J$70,C660),0)</x:f>
        <x:v>0</x:v>
      </x:c>
      <x:c r="F660" s="53" t="n">
        <x:f>I659</x:f>
        <x:v>197828.2181818182</x:v>
      </x:c>
      <x:c r="G660" s="53" t="n">
        <x:f>'Path Daily'!M660</x:f>
        <x:v>9240</x:v>
      </x:c>
      <x:c r="H660" s="53" t="n">
        <x:f>MIN(E660+F660,G660)</x:f>
        <x:v>9240</x:v>
      </x:c>
      <x:c r="I660" s="53" t="n">
        <x:f>E660+F660-H660</x:f>
        <x:v>188588.2181818182</x:v>
      </x:c>
      <x:c r="J660" s="45" t="str">
        <x:f>IF(I660=0,"CLEAR","QUEUED")</x:f>
        <x:v>QUEUED</x:v>
      </x:c>
      <x:c r="K660" s="72"/>
      <x:c r="L660" s="72"/>
      <x:c r="M660" s="72"/>
      <x:c r="N660" s="72"/>
    </x:row>
    <x:row r="661">
      <x:c r="C661" s="45" t="str">
        <x:f>'Path Daily'!C661</x:f>
        <x:v>P7</x:v>
      </x:c>
      <x:c r="D661" s="45" t="n">
        <x:f>'Path Daily'!D661</x:f>
        <x:v>17</x:v>
      </x:c>
      <x:c r="E661" s="53" t="n">
        <x:f>IF(D661=0,SUMIFS('Cargo Records'!$T$7:$T$70,'Cargo Records'!$J$7:$J$70,C661),0)</x:f>
        <x:v>0</x:v>
      </x:c>
      <x:c r="F661" s="53" t="n">
        <x:f>I660</x:f>
        <x:v>188588.2181818182</x:v>
      </x:c>
      <x:c r="G661" s="53" t="n">
        <x:f>'Path Daily'!M661</x:f>
        <x:v>12320</x:v>
      </x:c>
      <x:c r="H661" s="53" t="n">
        <x:f>MIN(E661+F661,G661)</x:f>
        <x:v>12320</x:v>
      </x:c>
      <x:c r="I661" s="53" t="n">
        <x:f>E661+F661-H661</x:f>
        <x:v>176268.2181818182</x:v>
      </x:c>
      <x:c r="J661" s="45" t="str">
        <x:f>IF(I661=0,"CLEAR","QUEUED")</x:f>
        <x:v>QUEUED</x:v>
      </x:c>
      <x:c r="K661" s="72"/>
      <x:c r="L661" s="72"/>
      <x:c r="M661" s="72"/>
      <x:c r="N661" s="72"/>
    </x:row>
    <x:row r="662">
      <x:c r="C662" s="45" t="str">
        <x:f>'Path Daily'!C662</x:f>
        <x:v>P7</x:v>
      </x:c>
      <x:c r="D662" s="45" t="n">
        <x:f>'Path Daily'!D662</x:f>
        <x:v>18</x:v>
      </x:c>
      <x:c r="E662" s="53" t="n">
        <x:f>IF(D662=0,SUMIFS('Cargo Records'!$T$7:$T$70,'Cargo Records'!$J$7:$J$70,C662),0)</x:f>
        <x:v>0</x:v>
      </x:c>
      <x:c r="F662" s="53" t="n">
        <x:f>I661</x:f>
        <x:v>176268.2181818182</x:v>
      </x:c>
      <x:c r="G662" s="53" t="n">
        <x:f>'Path Daily'!M662</x:f>
        <x:v>12320</x:v>
      </x:c>
      <x:c r="H662" s="53" t="n">
        <x:f>MIN(E662+F662,G662)</x:f>
        <x:v>12320</x:v>
      </x:c>
      <x:c r="I662" s="53" t="n">
        <x:f>E662+F662-H662</x:f>
        <x:v>163948.2181818182</x:v>
      </x:c>
      <x:c r="J662" s="45" t="str">
        <x:f>IF(I662=0,"CLEAR","QUEUED")</x:f>
        <x:v>QUEUED</x:v>
      </x:c>
      <x:c r="K662" s="72"/>
      <x:c r="L662" s="72"/>
      <x:c r="M662" s="72"/>
      <x:c r="N662" s="72"/>
    </x:row>
    <x:row r="663">
      <x:c r="C663" s="45" t="str">
        <x:f>'Path Daily'!C663</x:f>
        <x:v>P7</x:v>
      </x:c>
      <x:c r="D663" s="45" t="n">
        <x:f>'Path Daily'!D663</x:f>
        <x:v>19</x:v>
      </x:c>
      <x:c r="E663" s="53" t="n">
        <x:f>IF(D663=0,SUMIFS('Cargo Records'!$T$7:$T$70,'Cargo Records'!$J$7:$J$70,C663),0)</x:f>
        <x:v>0</x:v>
      </x:c>
      <x:c r="F663" s="53" t="n">
        <x:f>I662</x:f>
        <x:v>163948.2181818182</x:v>
      </x:c>
      <x:c r="G663" s="53" t="n">
        <x:f>'Path Daily'!M663</x:f>
        <x:v>12320</x:v>
      </x:c>
      <x:c r="H663" s="53" t="n">
        <x:f>MIN(E663+F663,G663)</x:f>
        <x:v>12320</x:v>
      </x:c>
      <x:c r="I663" s="53" t="n">
        <x:f>E663+F663-H663</x:f>
        <x:v>151628.2181818182</x:v>
      </x:c>
      <x:c r="J663" s="45" t="str">
        <x:f>IF(I663=0,"CLEAR","QUEUED")</x:f>
        <x:v>QUEUED</x:v>
      </x:c>
      <x:c r="K663" s="72"/>
      <x:c r="L663" s="72"/>
      <x:c r="M663" s="72"/>
      <x:c r="N663" s="72"/>
    </x:row>
    <x:row r="664">
      <x:c r="C664" s="45" t="str">
        <x:f>'Path Daily'!C664</x:f>
        <x:v>P7</x:v>
      </x:c>
      <x:c r="D664" s="45" t="n">
        <x:f>'Path Daily'!D664</x:f>
        <x:v>20</x:v>
      </x:c>
      <x:c r="E664" s="53" t="n">
        <x:f>IF(D664=0,SUMIFS('Cargo Records'!$T$7:$T$70,'Cargo Records'!$J$7:$J$70,C664),0)</x:f>
        <x:v>0</x:v>
      </x:c>
      <x:c r="F664" s="53" t="n">
        <x:f>I663</x:f>
        <x:v>151628.2181818182</x:v>
      </x:c>
      <x:c r="G664" s="53" t="n">
        <x:f>'Path Daily'!M664</x:f>
        <x:v>12320</x:v>
      </x:c>
      <x:c r="H664" s="53" t="n">
        <x:f>MIN(E664+F664,G664)</x:f>
        <x:v>12320</x:v>
      </x:c>
      <x:c r="I664" s="53" t="n">
        <x:f>E664+F664-H664</x:f>
        <x:v>139308.2181818182</x:v>
      </x:c>
      <x:c r="J664" s="45" t="str">
        <x:f>IF(I664=0,"CLEAR","QUEUED")</x:f>
        <x:v>QUEUED</x:v>
      </x:c>
      <x:c r="K664" s="72"/>
      <x:c r="L664" s="72"/>
      <x:c r="M664" s="72"/>
      <x:c r="N664" s="72"/>
    </x:row>
    <x:row r="665">
      <x:c r="C665" s="45" t="str">
        <x:f>'Path Daily'!C665</x:f>
        <x:v>P7</x:v>
      </x:c>
      <x:c r="D665" s="45" t="n">
        <x:f>'Path Daily'!D665</x:f>
        <x:v>21</x:v>
      </x:c>
      <x:c r="E665" s="53" t="n">
        <x:f>IF(D665=0,SUMIFS('Cargo Records'!$T$7:$T$70,'Cargo Records'!$J$7:$J$70,C665),0)</x:f>
        <x:v>0</x:v>
      </x:c>
      <x:c r="F665" s="53" t="n">
        <x:f>I664</x:f>
        <x:v>139308.2181818182</x:v>
      </x:c>
      <x:c r="G665" s="53" t="n">
        <x:f>'Path Daily'!M665</x:f>
        <x:v>6776.000000000001</x:v>
      </x:c>
      <x:c r="H665" s="53" t="n">
        <x:f>MIN(E665+F665,G665)</x:f>
        <x:v>6776.000000000001</x:v>
      </x:c>
      <x:c r="I665" s="53" t="n">
        <x:f>E665+F665-H665</x:f>
        <x:v>132532.2181818182</x:v>
      </x:c>
      <x:c r="J665" s="45" t="str">
        <x:f>IF(I665=0,"CLEAR","QUEUED")</x:f>
        <x:v>QUEUED</x:v>
      </x:c>
      <x:c r="K665" s="72"/>
      <x:c r="L665" s="72"/>
      <x:c r="M665" s="72"/>
      <x:c r="N665" s="72"/>
    </x:row>
    <x:row r="666">
      <x:c r="C666" s="45" t="str">
        <x:f>'Path Daily'!C666</x:f>
        <x:v>P7</x:v>
      </x:c>
      <x:c r="D666" s="45" t="n">
        <x:f>'Path Daily'!D666</x:f>
        <x:v>22</x:v>
      </x:c>
      <x:c r="E666" s="53" t="n">
        <x:f>IF(D666=0,SUMIFS('Cargo Records'!$T$7:$T$70,'Cargo Records'!$J$7:$J$70,C666),0)</x:f>
        <x:v>0</x:v>
      </x:c>
      <x:c r="F666" s="53" t="n">
        <x:f>I665</x:f>
        <x:v>132532.2181818182</x:v>
      </x:c>
      <x:c r="G666" s="53" t="n">
        <x:f>'Path Daily'!M666</x:f>
        <x:v>12320</x:v>
      </x:c>
      <x:c r="H666" s="53" t="n">
        <x:f>MIN(E666+F666,G666)</x:f>
        <x:v>12320</x:v>
      </x:c>
      <x:c r="I666" s="53" t="n">
        <x:f>E666+F666-H666</x:f>
        <x:v>120212.2181818182</x:v>
      </x:c>
      <x:c r="J666" s="45" t="str">
        <x:f>IF(I666=0,"CLEAR","QUEUED")</x:f>
        <x:v>QUEUED</x:v>
      </x:c>
      <x:c r="K666" s="72"/>
      <x:c r="L666" s="72"/>
      <x:c r="M666" s="72"/>
      <x:c r="N666" s="72"/>
    </x:row>
    <x:row r="667">
      <x:c r="C667" s="45" t="str">
        <x:f>'Path Daily'!C667</x:f>
        <x:v>P7</x:v>
      </x:c>
      <x:c r="D667" s="45" t="n">
        <x:f>'Path Daily'!D667</x:f>
        <x:v>23</x:v>
      </x:c>
      <x:c r="E667" s="53" t="n">
        <x:f>IF(D667=0,SUMIFS('Cargo Records'!$T$7:$T$70,'Cargo Records'!$J$7:$J$70,C667),0)</x:f>
        <x:v>0</x:v>
      </x:c>
      <x:c r="F667" s="53" t="n">
        <x:f>I666</x:f>
        <x:v>120212.2181818182</x:v>
      </x:c>
      <x:c r="G667" s="53" t="n">
        <x:f>'Path Daily'!M667</x:f>
        <x:v>12320</x:v>
      </x:c>
      <x:c r="H667" s="53" t="n">
        <x:f>MIN(E667+F667,G667)</x:f>
        <x:v>12320</x:v>
      </x:c>
      <x:c r="I667" s="53" t="n">
        <x:f>E667+F667-H667</x:f>
        <x:v>107892.2181818182</x:v>
      </x:c>
      <x:c r="J667" s="45" t="str">
        <x:f>IF(I667=0,"CLEAR","QUEUED")</x:f>
        <x:v>QUEUED</x:v>
      </x:c>
      <x:c r="K667" s="72"/>
      <x:c r="L667" s="72"/>
      <x:c r="M667" s="72"/>
      <x:c r="N667" s="72"/>
    </x:row>
    <x:row r="668">
      <x:c r="C668" s="45" t="str">
        <x:f>'Path Daily'!C668</x:f>
        <x:v>P7</x:v>
      </x:c>
      <x:c r="D668" s="45" t="n">
        <x:f>'Path Daily'!D668</x:f>
        <x:v>24</x:v>
      </x:c>
      <x:c r="E668" s="53" t="n">
        <x:f>IF(D668=0,SUMIFS('Cargo Records'!$T$7:$T$70,'Cargo Records'!$J$7:$J$70,C668),0)</x:f>
        <x:v>0</x:v>
      </x:c>
      <x:c r="F668" s="53" t="n">
        <x:f>I667</x:f>
        <x:v>107892.2181818182</x:v>
      </x:c>
      <x:c r="G668" s="53" t="n">
        <x:f>'Path Daily'!M668</x:f>
        <x:v>12320</x:v>
      </x:c>
      <x:c r="H668" s="53" t="n">
        <x:f>MIN(E668+F668,G668)</x:f>
        <x:v>12320</x:v>
      </x:c>
      <x:c r="I668" s="53" t="n">
        <x:f>E668+F668-H668</x:f>
        <x:v>95572.2181818182</x:v>
      </x:c>
      <x:c r="J668" s="45" t="str">
        <x:f>IF(I668=0,"CLEAR","QUEUED")</x:f>
        <x:v>QUEUED</x:v>
      </x:c>
      <x:c r="K668" s="72"/>
      <x:c r="L668" s="72"/>
      <x:c r="M668" s="72"/>
      <x:c r="N668" s="72"/>
    </x:row>
    <x:row r="669">
      <x:c r="C669" s="45" t="str">
        <x:f>'Path Daily'!C669</x:f>
        <x:v>P7</x:v>
      </x:c>
      <x:c r="D669" s="45" t="n">
        <x:f>'Path Daily'!D669</x:f>
        <x:v>25</x:v>
      </x:c>
      <x:c r="E669" s="53" t="n">
        <x:f>IF(D669=0,SUMIFS('Cargo Records'!$T$7:$T$70,'Cargo Records'!$J$7:$J$70,C669),0)</x:f>
        <x:v>0</x:v>
      </x:c>
      <x:c r="F669" s="53" t="n">
        <x:f>I668</x:f>
        <x:v>95572.2181818182</x:v>
      </x:c>
      <x:c r="G669" s="53" t="n">
        <x:f>'Path Daily'!M669</x:f>
        <x:v>12320</x:v>
      </x:c>
      <x:c r="H669" s="53" t="n">
        <x:f>MIN(E669+F669,G669)</x:f>
        <x:v>12320</x:v>
      </x:c>
      <x:c r="I669" s="53" t="n">
        <x:f>E669+F669-H669</x:f>
        <x:v>83252.2181818182</x:v>
      </x:c>
      <x:c r="J669" s="45" t="str">
        <x:f>IF(I669=0,"CLEAR","QUEUED")</x:f>
        <x:v>QUEUED</x:v>
      </x:c>
      <x:c r="K669" s="72"/>
      <x:c r="L669" s="72"/>
      <x:c r="M669" s="72"/>
      <x:c r="N669" s="72"/>
    </x:row>
    <x:row r="670">
      <x:c r="C670" s="45" t="str">
        <x:f>'Path Daily'!C670</x:f>
        <x:v>P7</x:v>
      </x:c>
      <x:c r="D670" s="45" t="n">
        <x:f>'Path Daily'!D670</x:f>
        <x:v>26</x:v>
      </x:c>
      <x:c r="E670" s="53" t="n">
        <x:f>IF(D670=0,SUMIFS('Cargo Records'!$T$7:$T$70,'Cargo Records'!$J$7:$J$70,C670),0)</x:f>
        <x:v>0</x:v>
      </x:c>
      <x:c r="F670" s="53" t="n">
        <x:f>I669</x:f>
        <x:v>83252.2181818182</x:v>
      </x:c>
      <x:c r="G670" s="53" t="n">
        <x:f>'Path Daily'!M670</x:f>
        <x:v>12320</x:v>
      </x:c>
      <x:c r="H670" s="53" t="n">
        <x:f>MIN(E670+F670,G670)</x:f>
        <x:v>12320</x:v>
      </x:c>
      <x:c r="I670" s="53" t="n">
        <x:f>E670+F670-H670</x:f>
        <x:v>70932.2181818182</x:v>
      </x:c>
      <x:c r="J670" s="45" t="str">
        <x:f>IF(I670=0,"CLEAR","QUEUED")</x:f>
        <x:v>QUEUED</x:v>
      </x:c>
      <x:c r="K670" s="72"/>
      <x:c r="L670" s="72"/>
      <x:c r="M670" s="72"/>
      <x:c r="N670" s="72"/>
    </x:row>
    <x:row r="671">
      <x:c r="C671" s="45" t="str">
        <x:f>'Path Daily'!C671</x:f>
        <x:v>P7</x:v>
      </x:c>
      <x:c r="D671" s="45" t="n">
        <x:f>'Path Daily'!D671</x:f>
        <x:v>27</x:v>
      </x:c>
      <x:c r="E671" s="53" t="n">
        <x:f>IF(D671=0,SUMIFS('Cargo Records'!$T$7:$T$70,'Cargo Records'!$J$7:$J$70,C671),0)</x:f>
        <x:v>0</x:v>
      </x:c>
      <x:c r="F671" s="53" t="n">
        <x:f>I670</x:f>
        <x:v>70932.2181818182</x:v>
      </x:c>
      <x:c r="G671" s="53" t="n">
        <x:f>'Path Daily'!M671</x:f>
        <x:v>12320</x:v>
      </x:c>
      <x:c r="H671" s="53" t="n">
        <x:f>MIN(E671+F671,G671)</x:f>
        <x:v>12320</x:v>
      </x:c>
      <x:c r="I671" s="53" t="n">
        <x:f>E671+F671-H671</x:f>
        <x:v>58612.2181818182</x:v>
      </x:c>
      <x:c r="J671" s="45" t="str">
        <x:f>IF(I671=0,"CLEAR","QUEUED")</x:f>
        <x:v>QUEUED</x:v>
      </x:c>
      <x:c r="K671" s="72"/>
      <x:c r="L671" s="72"/>
      <x:c r="M671" s="72"/>
      <x:c r="N671" s="72"/>
    </x:row>
    <x:row r="672">
      <x:c r="C672" s="45" t="str">
        <x:f>'Path Daily'!C672</x:f>
        <x:v>P7</x:v>
      </x:c>
      <x:c r="D672" s="45" t="n">
        <x:f>'Path Daily'!D672</x:f>
        <x:v>28</x:v>
      </x:c>
      <x:c r="E672" s="53" t="n">
        <x:f>IF(D672=0,SUMIFS('Cargo Records'!$T$7:$T$70,'Cargo Records'!$J$7:$J$70,C672),0)</x:f>
        <x:v>0</x:v>
      </x:c>
      <x:c r="F672" s="53" t="n">
        <x:f>I671</x:f>
        <x:v>58612.2181818182</x:v>
      </x:c>
      <x:c r="G672" s="53" t="n">
        <x:f>'Path Daily'!M672</x:f>
        <x:v>12320</x:v>
      </x:c>
      <x:c r="H672" s="53" t="n">
        <x:f>MIN(E672+F672,G672)</x:f>
        <x:v>12320</x:v>
      </x:c>
      <x:c r="I672" s="53" t="n">
        <x:f>E672+F672-H672</x:f>
        <x:v>46292.2181818182</x:v>
      </x:c>
      <x:c r="J672" s="45" t="str">
        <x:f>IF(I672=0,"CLEAR","QUEUED")</x:f>
        <x:v>QUEUED</x:v>
      </x:c>
      <x:c r="K672" s="72"/>
      <x:c r="L672" s="72"/>
      <x:c r="M672" s="72"/>
      <x:c r="N672" s="72"/>
    </x:row>
    <x:row r="673">
      <x:c r="C673" s="45" t="str">
        <x:f>'Path Daily'!C673</x:f>
        <x:v>P7</x:v>
      </x:c>
      <x:c r="D673" s="45" t="n">
        <x:f>'Path Daily'!D673</x:f>
        <x:v>29</x:v>
      </x:c>
      <x:c r="E673" s="53" t="n">
        <x:f>IF(D673=0,SUMIFS('Cargo Records'!$T$7:$T$70,'Cargo Records'!$J$7:$J$70,C673),0)</x:f>
        <x:v>0</x:v>
      </x:c>
      <x:c r="F673" s="53" t="n">
        <x:f>I672</x:f>
        <x:v>46292.2181818182</x:v>
      </x:c>
      <x:c r="G673" s="53" t="n">
        <x:f>'Path Daily'!M673</x:f>
        <x:v>12320</x:v>
      </x:c>
      <x:c r="H673" s="53" t="n">
        <x:f>MIN(E673+F673,G673)</x:f>
        <x:v>12320</x:v>
      </x:c>
      <x:c r="I673" s="53" t="n">
        <x:f>E673+F673-H673</x:f>
        <x:v>33972.2181818182</x:v>
      </x:c>
      <x:c r="J673" s="45" t="str">
        <x:f>IF(I673=0,"CLEAR","QUEUED")</x:f>
        <x:v>QUEUED</x:v>
      </x:c>
      <x:c r="K673" s="72"/>
      <x:c r="L673" s="72"/>
      <x:c r="M673" s="72"/>
      <x:c r="N673" s="72"/>
    </x:row>
    <x:row r="674">
      <x:c r="C674" s="45" t="str">
        <x:f>'Path Daily'!C674</x:f>
        <x:v>P7</x:v>
      </x:c>
      <x:c r="D674" s="45" t="n">
        <x:f>'Path Daily'!D674</x:f>
        <x:v>30</x:v>
      </x:c>
      <x:c r="E674" s="53" t="n">
        <x:f>IF(D674=0,SUMIFS('Cargo Records'!$T$7:$T$70,'Cargo Records'!$J$7:$J$70,C674),0)</x:f>
        <x:v>0</x:v>
      </x:c>
      <x:c r="F674" s="53" t="n">
        <x:f>I673</x:f>
        <x:v>33972.2181818182</x:v>
      </x:c>
      <x:c r="G674" s="53" t="n">
        <x:f>'Path Daily'!M674</x:f>
        <x:v>12320</x:v>
      </x:c>
      <x:c r="H674" s="53" t="n">
        <x:f>MIN(E674+F674,G674)</x:f>
        <x:v>12320</x:v>
      </x:c>
      <x:c r="I674" s="53" t="n">
        <x:f>E674+F674-H674</x:f>
        <x:v>21652.2181818182</x:v>
      </x:c>
      <x:c r="J674" s="45" t="str">
        <x:f>IF(I674=0,"CLEAR","QUEUED")</x:f>
        <x:v>QUEUED</x:v>
      </x:c>
      <x:c r="K674" s="72"/>
      <x:c r="L674" s="72"/>
      <x:c r="M674" s="72"/>
      <x:c r="N674" s="72"/>
    </x:row>
    <x:row r="675">
      <x:c r="C675" s="45" t="str">
        <x:f>'Path Daily'!C675</x:f>
        <x:v>P7</x:v>
      </x:c>
      <x:c r="D675" s="45" t="n">
        <x:f>'Path Daily'!D675</x:f>
        <x:v>31</x:v>
      </x:c>
      <x:c r="E675" s="53" t="n">
        <x:f>IF(D675=0,SUMIFS('Cargo Records'!$T$7:$T$70,'Cargo Records'!$J$7:$J$70,C675),0)</x:f>
        <x:v>0</x:v>
      </x:c>
      <x:c r="F675" s="53" t="n">
        <x:f>I674</x:f>
        <x:v>21652.2181818182</x:v>
      </x:c>
      <x:c r="G675" s="53" t="n">
        <x:f>'Path Daily'!M675</x:f>
        <x:v>12320</x:v>
      </x:c>
      <x:c r="H675" s="53" t="n">
        <x:f>MIN(E675+F675,G675)</x:f>
        <x:v>12320</x:v>
      </x:c>
      <x:c r="I675" s="53" t="n">
        <x:f>E675+F675-H675</x:f>
        <x:v>9332.2181818182</x:v>
      </x:c>
      <x:c r="J675" s="45" t="str">
        <x:f>IF(I675=0,"CLEAR","QUEUED")</x:f>
        <x:v>QUEUED</x:v>
      </x:c>
      <x:c r="K675" s="72"/>
      <x:c r="L675" s="72"/>
      <x:c r="M675" s="72"/>
      <x:c r="N675" s="72"/>
    </x:row>
    <x:row r="676">
      <x:c r="C676" s="45" t="str">
        <x:f>'Path Daily'!C676</x:f>
        <x:v>P7</x:v>
      </x:c>
      <x:c r="D676" s="45" t="n">
        <x:f>'Path Daily'!D676</x:f>
        <x:v>32</x:v>
      </x:c>
      <x:c r="E676" s="53" t="n">
        <x:f>IF(D676=0,SUMIFS('Cargo Records'!$T$7:$T$70,'Cargo Records'!$J$7:$J$70,C676),0)</x:f>
        <x:v>0</x:v>
      </x:c>
      <x:c r="F676" s="53" t="n">
        <x:f>I675</x:f>
        <x:v>9332.2181818182</x:v>
      </x:c>
      <x:c r="G676" s="53" t="n">
        <x:f>'Path Daily'!M676</x:f>
        <x:v>12320</x:v>
      </x:c>
      <x:c r="H676" s="53" t="n">
        <x:f>MIN(E676+F676,G676)</x:f>
        <x:v>9332.2181818182</x:v>
      </x:c>
      <x:c r="I676" s="53" t="n">
        <x:f>E676+F676-H676</x:f>
        <x:v>0</x:v>
      </x:c>
      <x:c r="J676" s="45" t="str">
        <x:f>IF(I676=0,"CLEAR","QUEUED")</x:f>
        <x:v>CLEAR</x:v>
      </x:c>
      <x:c r="K676" s="72"/>
      <x:c r="L676" s="72"/>
      <x:c r="M676" s="72"/>
      <x:c r="N676" s="72"/>
    </x:row>
    <x:row r="677">
      <x:c r="C677" s="45" t="str">
        <x:f>'Path Daily'!C677</x:f>
        <x:v>P7</x:v>
      </x:c>
      <x:c r="D677" s="45" t="n">
        <x:f>'Path Daily'!D677</x:f>
        <x:v>33</x:v>
      </x:c>
      <x:c r="E677" s="53" t="n">
        <x:f>IF(D677=0,SUMIFS('Cargo Records'!$T$7:$T$70,'Cargo Records'!$J$7:$J$70,C677),0)</x:f>
        <x:v>0</x:v>
      </x:c>
      <x:c r="F677" s="53" t="n">
        <x:f>I676</x:f>
        <x:v>0</x:v>
      </x:c>
      <x:c r="G677" s="53" t="n">
        <x:f>'Path Daily'!M677</x:f>
        <x:v>12320</x:v>
      </x:c>
      <x:c r="H677" s="53" t="n">
        <x:f>MIN(E677+F677,G677)</x:f>
        <x:v>0</x:v>
      </x:c>
      <x:c r="I677" s="53" t="n">
        <x:f>E677+F677-H677</x:f>
        <x:v>0</x:v>
      </x:c>
      <x:c r="J677" s="45" t="str">
        <x:f>IF(I677=0,"CLEAR","QUEUED")</x:f>
        <x:v>CLEAR</x:v>
      </x:c>
      <x:c r="K677" s="72"/>
      <x:c r="L677" s="72"/>
      <x:c r="M677" s="72"/>
      <x:c r="N677" s="72"/>
    </x:row>
    <x:row r="678">
      <x:c r="C678" s="45" t="str">
        <x:f>'Path Daily'!C678</x:f>
        <x:v>P7</x:v>
      </x:c>
      <x:c r="D678" s="45" t="n">
        <x:f>'Path Daily'!D678</x:f>
        <x:v>34</x:v>
      </x:c>
      <x:c r="E678" s="53" t="n">
        <x:f>IF(D678=0,SUMIFS('Cargo Records'!$T$7:$T$70,'Cargo Records'!$J$7:$J$70,C678),0)</x:f>
        <x:v>0</x:v>
      </x:c>
      <x:c r="F678" s="53" t="n">
        <x:f>I677</x:f>
        <x:v>0</x:v>
      </x:c>
      <x:c r="G678" s="53" t="n">
        <x:f>'Path Daily'!M678</x:f>
        <x:v>9240</x:v>
      </x:c>
      <x:c r="H678" s="53" t="n">
        <x:f>MIN(E678+F678,G678)</x:f>
        <x:v>0</x:v>
      </x:c>
      <x:c r="I678" s="53" t="n">
        <x:f>E678+F678-H678</x:f>
        <x:v>0</x:v>
      </x:c>
      <x:c r="J678" s="45" t="str">
        <x:f>IF(I678=0,"CLEAR","QUEUED")</x:f>
        <x:v>CLEAR</x:v>
      </x:c>
      <x:c r="K678" s="72"/>
      <x:c r="L678" s="72"/>
      <x:c r="M678" s="72"/>
      <x:c r="N678" s="72"/>
    </x:row>
    <x:row r="679">
      <x:c r="C679" s="45" t="str">
        <x:f>'Path Daily'!C679</x:f>
        <x:v>P7</x:v>
      </x:c>
      <x:c r="D679" s="45" t="n">
        <x:f>'Path Daily'!D679</x:f>
        <x:v>35</x:v>
      </x:c>
      <x:c r="E679" s="53" t="n">
        <x:f>IF(D679=0,SUMIFS('Cargo Records'!$T$7:$T$70,'Cargo Records'!$J$7:$J$70,C679),0)</x:f>
        <x:v>0</x:v>
      </x:c>
      <x:c r="F679" s="53" t="n">
        <x:f>I678</x:f>
        <x:v>0</x:v>
      </x:c>
      <x:c r="G679" s="53" t="n">
        <x:f>'Path Daily'!M679</x:f>
        <x:v>9240</x:v>
      </x:c>
      <x:c r="H679" s="53" t="n">
        <x:f>MIN(E679+F679,G679)</x:f>
        <x:v>0</x:v>
      </x:c>
      <x:c r="I679" s="53" t="n">
        <x:f>E679+F679-H679</x:f>
        <x:v>0</x:v>
      </x:c>
      <x:c r="J679" s="45" t="str">
        <x:f>IF(I679=0,"CLEAR","QUEUED")</x:f>
        <x:v>CLEAR</x:v>
      </x:c>
      <x:c r="K679" s="72"/>
      <x:c r="L679" s="72"/>
      <x:c r="M679" s="72"/>
      <x:c r="N679" s="72"/>
    </x:row>
    <x:row r="680">
      <x:c r="C680" s="45" t="str">
        <x:f>'Path Daily'!C680</x:f>
        <x:v>P7</x:v>
      </x:c>
      <x:c r="D680" s="45" t="n">
        <x:f>'Path Daily'!D680</x:f>
        <x:v>36</x:v>
      </x:c>
      <x:c r="E680" s="53" t="n">
        <x:f>IF(D680=0,SUMIFS('Cargo Records'!$T$7:$T$70,'Cargo Records'!$J$7:$J$70,C680),0)</x:f>
        <x:v>0</x:v>
      </x:c>
      <x:c r="F680" s="53" t="n">
        <x:f>I679</x:f>
        <x:v>0</x:v>
      </x:c>
      <x:c r="G680" s="53" t="n">
        <x:f>'Path Daily'!M680</x:f>
        <x:v>12320</x:v>
      </x:c>
      <x:c r="H680" s="53" t="n">
        <x:f>MIN(E680+F680,G680)</x:f>
        <x:v>0</x:v>
      </x:c>
      <x:c r="I680" s="53" t="n">
        <x:f>E680+F680-H680</x:f>
        <x:v>0</x:v>
      </x:c>
      <x:c r="J680" s="45" t="str">
        <x:f>IF(I680=0,"CLEAR","QUEUED")</x:f>
        <x:v>CLEAR</x:v>
      </x:c>
      <x:c r="K680" s="72"/>
      <x:c r="L680" s="72"/>
      <x:c r="M680" s="72"/>
      <x:c r="N680" s="72"/>
    </x:row>
    <x:row r="681">
      <x:c r="C681" s="45" t="str">
        <x:f>'Path Daily'!C681</x:f>
        <x:v>P7</x:v>
      </x:c>
      <x:c r="D681" s="45" t="n">
        <x:f>'Path Daily'!D681</x:f>
        <x:v>37</x:v>
      </x:c>
      <x:c r="E681" s="53" t="n">
        <x:f>IF(D681=0,SUMIFS('Cargo Records'!$T$7:$T$70,'Cargo Records'!$J$7:$J$70,C681),0)</x:f>
        <x:v>0</x:v>
      </x:c>
      <x:c r="F681" s="53" t="n">
        <x:f>I680</x:f>
        <x:v>0</x:v>
      </x:c>
      <x:c r="G681" s="53" t="n">
        <x:f>'Path Daily'!M681</x:f>
        <x:v>12320</x:v>
      </x:c>
      <x:c r="H681" s="53" t="n">
        <x:f>MIN(E681+F681,G681)</x:f>
        <x:v>0</x:v>
      </x:c>
      <x:c r="I681" s="53" t="n">
        <x:f>E681+F681-H681</x:f>
        <x:v>0</x:v>
      </x:c>
      <x:c r="J681" s="45" t="str">
        <x:f>IF(I681=0,"CLEAR","QUEUED")</x:f>
        <x:v>CLEAR</x:v>
      </x:c>
      <x:c r="K681" s="72"/>
      <x:c r="L681" s="72"/>
      <x:c r="M681" s="72"/>
      <x:c r="N681" s="72"/>
    </x:row>
    <x:row r="682">
      <x:c r="C682" s="45" t="str">
        <x:f>'Path Daily'!C682</x:f>
        <x:v>P7</x:v>
      </x:c>
      <x:c r="D682" s="45" t="n">
        <x:f>'Path Daily'!D682</x:f>
        <x:v>38</x:v>
      </x:c>
      <x:c r="E682" s="53" t="n">
        <x:f>IF(D682=0,SUMIFS('Cargo Records'!$T$7:$T$70,'Cargo Records'!$J$7:$J$70,C682),0)</x:f>
        <x:v>0</x:v>
      </x:c>
      <x:c r="F682" s="53" t="n">
        <x:f>I681</x:f>
        <x:v>0</x:v>
      </x:c>
      <x:c r="G682" s="53" t="n">
        <x:f>'Path Daily'!M682</x:f>
        <x:v>12320</x:v>
      </x:c>
      <x:c r="H682" s="53" t="n">
        <x:f>MIN(E682+F682,G682)</x:f>
        <x:v>0</x:v>
      </x:c>
      <x:c r="I682" s="53" t="n">
        <x:f>E682+F682-H682</x:f>
        <x:v>0</x:v>
      </x:c>
      <x:c r="J682" s="45" t="str">
        <x:f>IF(I682=0,"CLEAR","QUEUED")</x:f>
        <x:v>CLEAR</x:v>
      </x:c>
      <x:c r="K682" s="72"/>
      <x:c r="L682" s="72"/>
      <x:c r="M682" s="72"/>
      <x:c r="N682" s="72"/>
    </x:row>
    <x:row r="683">
      <x:c r="C683" s="45" t="str">
        <x:f>'Path Daily'!C683</x:f>
        <x:v>P7</x:v>
      </x:c>
      <x:c r="D683" s="45" t="n">
        <x:f>'Path Daily'!D683</x:f>
        <x:v>39</x:v>
      </x:c>
      <x:c r="E683" s="53" t="n">
        <x:f>IF(D683=0,SUMIFS('Cargo Records'!$T$7:$T$70,'Cargo Records'!$J$7:$J$70,C683),0)</x:f>
        <x:v>0</x:v>
      </x:c>
      <x:c r="F683" s="53" t="n">
        <x:f>I682</x:f>
        <x:v>0</x:v>
      </x:c>
      <x:c r="G683" s="53" t="n">
        <x:f>'Path Daily'!M683</x:f>
        <x:v>12320</x:v>
      </x:c>
      <x:c r="H683" s="53" t="n">
        <x:f>MIN(E683+F683,G683)</x:f>
        <x:v>0</x:v>
      </x:c>
      <x:c r="I683" s="53" t="n">
        <x:f>E683+F683-H683</x:f>
        <x:v>0</x:v>
      </x:c>
      <x:c r="J683" s="45" t="str">
        <x:f>IF(I683=0,"CLEAR","QUEUED")</x:f>
        <x:v>CLEAR</x:v>
      </x:c>
      <x:c r="K683" s="72"/>
      <x:c r="L683" s="72"/>
      <x:c r="M683" s="72"/>
      <x:c r="N683" s="72"/>
    </x:row>
    <x:row r="684">
      <x:c r="C684" s="45" t="str">
        <x:f>'Path Daily'!C684</x:f>
        <x:v>P7</x:v>
      </x:c>
      <x:c r="D684" s="45" t="n">
        <x:f>'Path Daily'!D684</x:f>
        <x:v>40</x:v>
      </x:c>
      <x:c r="E684" s="53" t="n">
        <x:f>IF(D684=0,SUMIFS('Cargo Records'!$T$7:$T$70,'Cargo Records'!$J$7:$J$70,C684),0)</x:f>
        <x:v>0</x:v>
      </x:c>
      <x:c r="F684" s="53" t="n">
        <x:f>I683</x:f>
        <x:v>0</x:v>
      </x:c>
      <x:c r="G684" s="53" t="n">
        <x:f>'Path Daily'!M684</x:f>
        <x:v>12320</x:v>
      </x:c>
      <x:c r="H684" s="53" t="n">
        <x:f>MIN(E684+F684,G684)</x:f>
        <x:v>0</x:v>
      </x:c>
      <x:c r="I684" s="53" t="n">
        <x:f>E684+F684-H684</x:f>
        <x:v>0</x:v>
      </x:c>
      <x:c r="J684" s="45" t="str">
        <x:f>IF(I684=0,"CLEAR","QUEUED")</x:f>
        <x:v>CLEAR</x:v>
      </x:c>
      <x:c r="K684" s="72"/>
      <x:c r="L684" s="72"/>
      <x:c r="M684" s="72"/>
      <x:c r="N684" s="72"/>
    </x:row>
    <x:row r="685">
      <x:c r="C685" s="45" t="str">
        <x:f>'Path Daily'!C685</x:f>
        <x:v>P7</x:v>
      </x:c>
      <x:c r="D685" s="45" t="n">
        <x:f>'Path Daily'!D685</x:f>
        <x:v>41</x:v>
      </x:c>
      <x:c r="E685" s="53" t="n">
        <x:f>IF(D685=0,SUMIFS('Cargo Records'!$T$7:$T$70,'Cargo Records'!$J$7:$J$70,C685),0)</x:f>
        <x:v>0</x:v>
      </x:c>
      <x:c r="F685" s="53" t="n">
        <x:f>I684</x:f>
        <x:v>0</x:v>
      </x:c>
      <x:c r="G685" s="53" t="n">
        <x:f>'Path Daily'!M685</x:f>
        <x:v>12320</x:v>
      </x:c>
      <x:c r="H685" s="53" t="n">
        <x:f>MIN(E685+F685,G685)</x:f>
        <x:v>0</x:v>
      </x:c>
      <x:c r="I685" s="53" t="n">
        <x:f>E685+F685-H685</x:f>
        <x:v>0</x:v>
      </x:c>
      <x:c r="J685" s="45" t="str">
        <x:f>IF(I685=0,"CLEAR","QUEUED")</x:f>
        <x:v>CLEAR</x:v>
      </x:c>
      <x:c r="K685" s="72"/>
      <x:c r="L685" s="72"/>
      <x:c r="M685" s="72"/>
      <x:c r="N685" s="72"/>
    </x:row>
    <x:row r="686">
      <x:c r="C686" s="45" t="str">
        <x:f>'Path Daily'!C686</x:f>
        <x:v>P7</x:v>
      </x:c>
      <x:c r="D686" s="45" t="n">
        <x:f>'Path Daily'!D686</x:f>
        <x:v>42</x:v>
      </x:c>
      <x:c r="E686" s="53" t="n">
        <x:f>IF(D686=0,SUMIFS('Cargo Records'!$T$7:$T$70,'Cargo Records'!$J$7:$J$70,C686),0)</x:f>
        <x:v>0</x:v>
      </x:c>
      <x:c r="F686" s="53" t="n">
        <x:f>I685</x:f>
        <x:v>0</x:v>
      </x:c>
      <x:c r="G686" s="53" t="n">
        <x:f>'Path Daily'!M686</x:f>
        <x:v>12320</x:v>
      </x:c>
      <x:c r="H686" s="53" t="n">
        <x:f>MIN(E686+F686,G686)</x:f>
        <x:v>0</x:v>
      </x:c>
      <x:c r="I686" s="53" t="n">
        <x:f>E686+F686-H686</x:f>
        <x:v>0</x:v>
      </x:c>
      <x:c r="J686" s="45" t="str">
        <x:f>IF(I686=0,"CLEAR","QUEUED")</x:f>
        <x:v>CLEAR</x:v>
      </x:c>
      <x:c r="K686" s="72"/>
      <x:c r="L686" s="72"/>
      <x:c r="M686" s="72"/>
      <x:c r="N686" s="72"/>
    </x:row>
    <x:row r="687">
      <x:c r="C687" s="45" t="str">
        <x:f>'Path Daily'!C687</x:f>
        <x:v>P7</x:v>
      </x:c>
      <x:c r="D687" s="45" t="n">
        <x:f>'Path Daily'!D687</x:f>
        <x:v>43</x:v>
      </x:c>
      <x:c r="E687" s="53" t="n">
        <x:f>IF(D687=0,SUMIFS('Cargo Records'!$T$7:$T$70,'Cargo Records'!$J$7:$J$70,C687),0)</x:f>
        <x:v>0</x:v>
      </x:c>
      <x:c r="F687" s="53" t="n">
        <x:f>I686</x:f>
        <x:v>0</x:v>
      </x:c>
      <x:c r="G687" s="53" t="n">
        <x:f>'Path Daily'!M687</x:f>
        <x:v>12320</x:v>
      </x:c>
      <x:c r="H687" s="53" t="n">
        <x:f>MIN(E687+F687,G687)</x:f>
        <x:v>0</x:v>
      </x:c>
      <x:c r="I687" s="53" t="n">
        <x:f>E687+F687-H687</x:f>
        <x:v>0</x:v>
      </x:c>
      <x:c r="J687" s="45" t="str">
        <x:f>IF(I687=0,"CLEAR","QUEUED")</x:f>
        <x:v>CLEAR</x:v>
      </x:c>
      <x:c r="K687" s="72"/>
      <x:c r="L687" s="72"/>
      <x:c r="M687" s="72"/>
      <x:c r="N687" s="72"/>
    </x:row>
    <x:row r="688">
      <x:c r="C688" s="45" t="str">
        <x:f>'Path Daily'!C688</x:f>
        <x:v>P7</x:v>
      </x:c>
      <x:c r="D688" s="45" t="n">
        <x:f>'Path Daily'!D688</x:f>
        <x:v>44</x:v>
      </x:c>
      <x:c r="E688" s="53" t="n">
        <x:f>IF(D688=0,SUMIFS('Cargo Records'!$T$7:$T$70,'Cargo Records'!$J$7:$J$70,C688),0)</x:f>
        <x:v>0</x:v>
      </x:c>
      <x:c r="F688" s="53" t="n">
        <x:f>I687</x:f>
        <x:v>0</x:v>
      </x:c>
      <x:c r="G688" s="53" t="n">
        <x:f>'Path Daily'!M688</x:f>
        <x:v>12320</x:v>
      </x:c>
      <x:c r="H688" s="53" t="n">
        <x:f>MIN(E688+F688,G688)</x:f>
        <x:v>0</x:v>
      </x:c>
      <x:c r="I688" s="53" t="n">
        <x:f>E688+F688-H688</x:f>
        <x:v>0</x:v>
      </x:c>
      <x:c r="J688" s="45" t="str">
        <x:f>IF(I688=0,"CLEAR","QUEUED")</x:f>
        <x:v>CLEAR</x:v>
      </x:c>
      <x:c r="K688" s="72"/>
      <x:c r="L688" s="72"/>
      <x:c r="M688" s="72"/>
      <x:c r="N688" s="72"/>
    </x:row>
    <x:row r="689">
      <x:c r="C689" s="45" t="str">
        <x:f>'Path Daily'!C689</x:f>
        <x:v>P7</x:v>
      </x:c>
      <x:c r="D689" s="45" t="n">
        <x:f>'Path Daily'!D689</x:f>
        <x:v>45</x:v>
      </x:c>
      <x:c r="E689" s="53" t="n">
        <x:f>IF(D689=0,SUMIFS('Cargo Records'!$T$7:$T$70,'Cargo Records'!$J$7:$J$70,C689),0)</x:f>
        <x:v>0</x:v>
      </x:c>
      <x:c r="F689" s="53" t="n">
        <x:f>I688</x:f>
        <x:v>0</x:v>
      </x:c>
      <x:c r="G689" s="53" t="n">
        <x:f>'Path Daily'!M689</x:f>
        <x:v>12320</x:v>
      </x:c>
      <x:c r="H689" s="53" t="n">
        <x:f>MIN(E689+F689,G689)</x:f>
        <x:v>0</x:v>
      </x:c>
      <x:c r="I689" s="53" t="n">
        <x:f>E689+F689-H689</x:f>
        <x:v>0</x:v>
      </x:c>
      <x:c r="J689" s="45" t="str">
        <x:f>IF(I689=0,"CLEAR","QUEUED")</x:f>
        <x:v>CLEAR</x:v>
      </x:c>
      <x:c r="K689" s="72"/>
      <x:c r="L689" s="72"/>
      <x:c r="M689" s="72"/>
      <x:c r="N689" s="72"/>
    </x:row>
    <x:row r="690">
      <x:c r="C690" s="45" t="str">
        <x:f>'Path Daily'!C690</x:f>
        <x:v>P7</x:v>
      </x:c>
      <x:c r="D690" s="45" t="n">
        <x:f>'Path Daily'!D690</x:f>
        <x:v>46</x:v>
      </x:c>
      <x:c r="E690" s="53" t="n">
        <x:f>IF(D690=0,SUMIFS('Cargo Records'!$T$7:$T$70,'Cargo Records'!$J$7:$J$70,C690),0)</x:f>
        <x:v>0</x:v>
      </x:c>
      <x:c r="F690" s="53" t="n">
        <x:f>I689</x:f>
        <x:v>0</x:v>
      </x:c>
      <x:c r="G690" s="53" t="n">
        <x:f>'Path Daily'!M690</x:f>
        <x:v>4065.6000000000004</x:v>
      </x:c>
      <x:c r="H690" s="53" t="n">
        <x:f>MIN(E690+F690,G690)</x:f>
        <x:v>0</x:v>
      </x:c>
      <x:c r="I690" s="53" t="n">
        <x:f>E690+F690-H690</x:f>
        <x:v>0</x:v>
      </x:c>
      <x:c r="J690" s="45" t="str">
        <x:f>IF(I690=0,"CLEAR","QUEUED")</x:f>
        <x:v>CLEAR</x:v>
      </x:c>
      <x:c r="K690" s="72"/>
      <x:c r="L690" s="72"/>
      <x:c r="M690" s="72"/>
      <x:c r="N690" s="72"/>
    </x:row>
    <x:row r="691">
      <x:c r="C691" s="45" t="str">
        <x:f>'Path Daily'!C691</x:f>
        <x:v>P7</x:v>
      </x:c>
      <x:c r="D691" s="45" t="n">
        <x:f>'Path Daily'!D691</x:f>
        <x:v>47</x:v>
      </x:c>
      <x:c r="E691" s="53" t="n">
        <x:f>IF(D691=0,SUMIFS('Cargo Records'!$T$7:$T$70,'Cargo Records'!$J$7:$J$70,C691),0)</x:f>
        <x:v>0</x:v>
      </x:c>
      <x:c r="F691" s="53" t="n">
        <x:f>I690</x:f>
        <x:v>0</x:v>
      </x:c>
      <x:c r="G691" s="53" t="n">
        <x:f>'Path Daily'!M691</x:f>
        <x:v>7392</x:v>
      </x:c>
      <x:c r="H691" s="53" t="n">
        <x:f>MIN(E691+F691,G691)</x:f>
        <x:v>0</x:v>
      </x:c>
      <x:c r="I691" s="53" t="n">
        <x:f>E691+F691-H691</x:f>
        <x:v>0</x:v>
      </x:c>
      <x:c r="J691" s="45" t="str">
        <x:f>IF(I691=0,"CLEAR","QUEUED")</x:f>
        <x:v>CLEAR</x:v>
      </x:c>
      <x:c r="K691" s="72"/>
      <x:c r="L691" s="72"/>
      <x:c r="M691" s="72"/>
      <x:c r="N691" s="72"/>
    </x:row>
    <x:row r="692">
      <x:c r="C692" s="45" t="str">
        <x:f>'Path Daily'!C692</x:f>
        <x:v>P7</x:v>
      </x:c>
      <x:c r="D692" s="45" t="n">
        <x:f>'Path Daily'!D692</x:f>
        <x:v>48</x:v>
      </x:c>
      <x:c r="E692" s="53" t="n">
        <x:f>IF(D692=0,SUMIFS('Cargo Records'!$T$7:$T$70,'Cargo Records'!$J$7:$J$70,C692),0)</x:f>
        <x:v>0</x:v>
      </x:c>
      <x:c r="F692" s="53" t="n">
        <x:f>I691</x:f>
        <x:v>0</x:v>
      </x:c>
      <x:c r="G692" s="53" t="n">
        <x:f>'Path Daily'!M692</x:f>
        <x:v>7392</x:v>
      </x:c>
      <x:c r="H692" s="53" t="n">
        <x:f>MIN(E692+F692,G692)</x:f>
        <x:v>0</x:v>
      </x:c>
      <x:c r="I692" s="53" t="n">
        <x:f>E692+F692-H692</x:f>
        <x:v>0</x:v>
      </x:c>
      <x:c r="J692" s="45" t="str">
        <x:f>IF(I692=0,"CLEAR","QUEUED")</x:f>
        <x:v>CLEAR</x:v>
      </x:c>
      <x:c r="K692" s="72"/>
      <x:c r="L692" s="72"/>
      <x:c r="M692" s="72"/>
      <x:c r="N692" s="72"/>
    </x:row>
    <x:row r="693">
      <x:c r="C693" s="45" t="str">
        <x:f>'Path Daily'!C693</x:f>
        <x:v>P7</x:v>
      </x:c>
      <x:c r="D693" s="45" t="n">
        <x:f>'Path Daily'!D693</x:f>
        <x:v>49</x:v>
      </x:c>
      <x:c r="E693" s="53" t="n">
        <x:f>IF(D693=0,SUMIFS('Cargo Records'!$T$7:$T$70,'Cargo Records'!$J$7:$J$70,C693),0)</x:f>
        <x:v>0</x:v>
      </x:c>
      <x:c r="F693" s="53" t="n">
        <x:f>I692</x:f>
        <x:v>0</x:v>
      </x:c>
      <x:c r="G693" s="53" t="n">
        <x:f>'Path Daily'!M693</x:f>
        <x:v>7392</x:v>
      </x:c>
      <x:c r="H693" s="53" t="n">
        <x:f>MIN(E693+F693,G693)</x:f>
        <x:v>0</x:v>
      </x:c>
      <x:c r="I693" s="53" t="n">
        <x:f>E693+F693-H693</x:f>
        <x:v>0</x:v>
      </x:c>
      <x:c r="J693" s="45" t="str">
        <x:f>IF(I693=0,"CLEAR","QUEUED")</x:f>
        <x:v>CLEAR</x:v>
      </x:c>
      <x:c r="K693" s="72"/>
      <x:c r="L693" s="72"/>
      <x:c r="M693" s="72"/>
      <x:c r="N693" s="72"/>
    </x:row>
    <x:row r="694">
      <x:c r="C694" s="45" t="str">
        <x:f>'Path Daily'!C694</x:f>
        <x:v>P7</x:v>
      </x:c>
      <x:c r="D694" s="45" t="n">
        <x:f>'Path Daily'!D694</x:f>
        <x:v>50</x:v>
      </x:c>
      <x:c r="E694" s="53" t="n">
        <x:f>IF(D694=0,SUMIFS('Cargo Records'!$T$7:$T$70,'Cargo Records'!$J$7:$J$70,C694),0)</x:f>
        <x:v>0</x:v>
      </x:c>
      <x:c r="F694" s="53" t="n">
        <x:f>I693</x:f>
        <x:v>0</x:v>
      </x:c>
      <x:c r="G694" s="53" t="n">
        <x:f>'Path Daily'!M694</x:f>
        <x:v>7392</x:v>
      </x:c>
      <x:c r="H694" s="53" t="n">
        <x:f>MIN(E694+F694,G694)</x:f>
        <x:v>0</x:v>
      </x:c>
      <x:c r="I694" s="53" t="n">
        <x:f>E694+F694-H694</x:f>
        <x:v>0</x:v>
      </x:c>
      <x:c r="J694" s="45" t="str">
        <x:f>IF(I694=0,"CLEAR","QUEUED")</x:f>
        <x:v>CLEAR</x:v>
      </x:c>
      <x:c r="K694" s="72"/>
      <x:c r="L694" s="72"/>
      <x:c r="M694" s="72"/>
      <x:c r="N694" s="72"/>
    </x:row>
    <x:row r="695">
      <x:c r="C695" s="45" t="str">
        <x:f>'Path Daily'!C695</x:f>
        <x:v>P7</x:v>
      </x:c>
      <x:c r="D695" s="45" t="n">
        <x:f>'Path Daily'!D695</x:f>
        <x:v>51</x:v>
      </x:c>
      <x:c r="E695" s="53" t="n">
        <x:f>IF(D695=0,SUMIFS('Cargo Records'!$T$7:$T$70,'Cargo Records'!$J$7:$J$70,C695),0)</x:f>
        <x:v>0</x:v>
      </x:c>
      <x:c r="F695" s="53" t="n">
        <x:f>I694</x:f>
        <x:v>0</x:v>
      </x:c>
      <x:c r="G695" s="53" t="n">
        <x:f>'Path Daily'!M695</x:f>
        <x:v>7392</x:v>
      </x:c>
      <x:c r="H695" s="53" t="n">
        <x:f>MIN(E695+F695,G695)</x:f>
        <x:v>0</x:v>
      </x:c>
      <x:c r="I695" s="53" t="n">
        <x:f>E695+F695-H695</x:f>
        <x:v>0</x:v>
      </x:c>
      <x:c r="J695" s="45" t="str">
        <x:f>IF(I695=0,"CLEAR","QUEUED")</x:f>
        <x:v>CLEAR</x:v>
      </x:c>
      <x:c r="K695" s="72"/>
      <x:c r="L695" s="72"/>
      <x:c r="M695" s="72"/>
      <x:c r="N695" s="72"/>
    </x:row>
    <x:row r="696">
      <x:c r="C696" s="45" t="str">
        <x:f>'Path Daily'!C696</x:f>
        <x:v>P7</x:v>
      </x:c>
      <x:c r="D696" s="45" t="n">
        <x:f>'Path Daily'!D696</x:f>
        <x:v>52</x:v>
      </x:c>
      <x:c r="E696" s="53" t="n">
        <x:f>IF(D696=0,SUMIFS('Cargo Records'!$T$7:$T$70,'Cargo Records'!$J$7:$J$70,C696),0)</x:f>
        <x:v>0</x:v>
      </x:c>
      <x:c r="F696" s="53" t="n">
        <x:f>I695</x:f>
        <x:v>0</x:v>
      </x:c>
      <x:c r="G696" s="53" t="n">
        <x:f>'Path Daily'!M696</x:f>
        <x:v>7392</x:v>
      </x:c>
      <x:c r="H696" s="53" t="n">
        <x:f>MIN(E696+F696,G696)</x:f>
        <x:v>0</x:v>
      </x:c>
      <x:c r="I696" s="53" t="n">
        <x:f>E696+F696-H696</x:f>
        <x:v>0</x:v>
      </x:c>
      <x:c r="J696" s="45" t="str">
        <x:f>IF(I696=0,"CLEAR","QUEUED")</x:f>
        <x:v>CLEAR</x:v>
      </x:c>
      <x:c r="K696" s="72"/>
      <x:c r="L696" s="72"/>
      <x:c r="M696" s="72"/>
      <x:c r="N696" s="72"/>
    </x:row>
    <x:row r="697">
      <x:c r="C697" s="45" t="str">
        <x:f>'Path Daily'!C697</x:f>
        <x:v>P7</x:v>
      </x:c>
      <x:c r="D697" s="45" t="n">
        <x:f>'Path Daily'!D697</x:f>
        <x:v>53</x:v>
      </x:c>
      <x:c r="E697" s="53" t="n">
        <x:f>IF(D697=0,SUMIFS('Cargo Records'!$T$7:$T$70,'Cargo Records'!$J$7:$J$70,C697),0)</x:f>
        <x:v>0</x:v>
      </x:c>
      <x:c r="F697" s="53" t="n">
        <x:f>I696</x:f>
        <x:v>0</x:v>
      </x:c>
      <x:c r="G697" s="53" t="n">
        <x:f>'Path Daily'!M697</x:f>
        <x:v>7392</x:v>
      </x:c>
      <x:c r="H697" s="53" t="n">
        <x:f>MIN(E697+F697,G697)</x:f>
        <x:v>0</x:v>
      </x:c>
      <x:c r="I697" s="53" t="n">
        <x:f>E697+F697-H697</x:f>
        <x:v>0</x:v>
      </x:c>
      <x:c r="J697" s="45" t="str">
        <x:f>IF(I697=0,"CLEAR","QUEUED")</x:f>
        <x:v>CLEAR</x:v>
      </x:c>
      <x:c r="K697" s="72"/>
      <x:c r="L697" s="72"/>
      <x:c r="M697" s="72"/>
      <x:c r="N697" s="72"/>
    </x:row>
    <x:row r="698">
      <x:c r="C698" s="45" t="str">
        <x:f>'Path Daily'!C698</x:f>
        <x:v>P7</x:v>
      </x:c>
      <x:c r="D698" s="45" t="n">
        <x:f>'Path Daily'!D698</x:f>
        <x:v>54</x:v>
      </x:c>
      <x:c r="E698" s="53" t="n">
        <x:f>IF(D698=0,SUMIFS('Cargo Records'!$T$7:$T$70,'Cargo Records'!$J$7:$J$70,C698),0)</x:f>
        <x:v>0</x:v>
      </x:c>
      <x:c r="F698" s="53" t="n">
        <x:f>I697</x:f>
        <x:v>0</x:v>
      </x:c>
      <x:c r="G698" s="53" t="n">
        <x:f>'Path Daily'!M698</x:f>
        <x:v>7392</x:v>
      </x:c>
      <x:c r="H698" s="53" t="n">
        <x:f>MIN(E698+F698,G698)</x:f>
        <x:v>0</x:v>
      </x:c>
      <x:c r="I698" s="53" t="n">
        <x:f>E698+F698-H698</x:f>
        <x:v>0</x:v>
      </x:c>
      <x:c r="J698" s="45" t="str">
        <x:f>IF(I698=0,"CLEAR","QUEUED")</x:f>
        <x:v>CLEAR</x:v>
      </x:c>
      <x:c r="K698" s="72"/>
      <x:c r="L698" s="72"/>
      <x:c r="M698" s="72"/>
      <x:c r="N698" s="72"/>
    </x:row>
    <x:row r="699">
      <x:c r="C699" s="45" t="str">
        <x:f>'Path Daily'!C699</x:f>
        <x:v>P7</x:v>
      </x:c>
      <x:c r="D699" s="45" t="n">
        <x:f>'Path Daily'!D699</x:f>
        <x:v>55</x:v>
      </x:c>
      <x:c r="E699" s="53" t="n">
        <x:f>IF(D699=0,SUMIFS('Cargo Records'!$T$7:$T$70,'Cargo Records'!$J$7:$J$70,C699),0)</x:f>
        <x:v>0</x:v>
      </x:c>
      <x:c r="F699" s="53" t="n">
        <x:f>I698</x:f>
        <x:v>0</x:v>
      </x:c>
      <x:c r="G699" s="53" t="n">
        <x:f>'Path Daily'!M699</x:f>
        <x:v>7392</x:v>
      </x:c>
      <x:c r="H699" s="53" t="n">
        <x:f>MIN(E699+F699,G699)</x:f>
        <x:v>0</x:v>
      </x:c>
      <x:c r="I699" s="53" t="n">
        <x:f>E699+F699-H699</x:f>
        <x:v>0</x:v>
      </x:c>
      <x:c r="J699" s="45" t="str">
        <x:f>IF(I699=0,"CLEAR","QUEUED")</x:f>
        <x:v>CLEAR</x:v>
      </x:c>
      <x:c r="K699" s="72"/>
      <x:c r="L699" s="72"/>
      <x:c r="M699" s="72"/>
      <x:c r="N699" s="72"/>
    </x:row>
    <x:row r="700">
      <x:c r="C700" s="45" t="str">
        <x:f>'Path Daily'!C700</x:f>
        <x:v>P7</x:v>
      </x:c>
      <x:c r="D700" s="45" t="n">
        <x:f>'Path Daily'!D700</x:f>
        <x:v>56</x:v>
      </x:c>
      <x:c r="E700" s="53" t="n">
        <x:f>IF(D700=0,SUMIFS('Cargo Records'!$T$7:$T$70,'Cargo Records'!$J$7:$J$70,C700),0)</x:f>
        <x:v>0</x:v>
      </x:c>
      <x:c r="F700" s="53" t="n">
        <x:f>I699</x:f>
        <x:v>0</x:v>
      </x:c>
      <x:c r="G700" s="53" t="n">
        <x:f>'Path Daily'!M700</x:f>
        <x:v>7392</x:v>
      </x:c>
      <x:c r="H700" s="53" t="n">
        <x:f>MIN(E700+F700,G700)</x:f>
        <x:v>0</x:v>
      </x:c>
      <x:c r="I700" s="53" t="n">
        <x:f>E700+F700-H700</x:f>
        <x:v>0</x:v>
      </x:c>
      <x:c r="J700" s="45" t="str">
        <x:f>IF(I700=0,"CLEAR","QUEUED")</x:f>
        <x:v>CLEAR</x:v>
      </x:c>
      <x:c r="K700" s="72"/>
      <x:c r="L700" s="72"/>
      <x:c r="M700" s="72"/>
      <x:c r="N700" s="72"/>
    </x:row>
    <x:row r="701">
      <x:c r="C701" s="45" t="str">
        <x:f>'Path Daily'!C701</x:f>
        <x:v>P7</x:v>
      </x:c>
      <x:c r="D701" s="45" t="n">
        <x:f>'Path Daily'!D701</x:f>
        <x:v>57</x:v>
      </x:c>
      <x:c r="E701" s="53" t="n">
        <x:f>IF(D701=0,SUMIFS('Cargo Records'!$T$7:$T$70,'Cargo Records'!$J$7:$J$70,C701),0)</x:f>
        <x:v>0</x:v>
      </x:c>
      <x:c r="F701" s="53" t="n">
        <x:f>I700</x:f>
        <x:v>0</x:v>
      </x:c>
      <x:c r="G701" s="53" t="n">
        <x:f>'Path Daily'!M701</x:f>
        <x:v>7392</x:v>
      </x:c>
      <x:c r="H701" s="53" t="n">
        <x:f>MIN(E701+F701,G701)</x:f>
        <x:v>0</x:v>
      </x:c>
      <x:c r="I701" s="53" t="n">
        <x:f>E701+F701-H701</x:f>
        <x:v>0</x:v>
      </x:c>
      <x:c r="J701" s="45" t="str">
        <x:f>IF(I701=0,"CLEAR","QUEUED")</x:f>
        <x:v>CLEAR</x:v>
      </x:c>
      <x:c r="K701" s="72"/>
      <x:c r="L701" s="72"/>
      <x:c r="M701" s="72"/>
      <x:c r="N701" s="72"/>
    </x:row>
    <x:row r="702">
      <x:c r="C702" s="45" t="str">
        <x:f>'Path Daily'!C702</x:f>
        <x:v>P7</x:v>
      </x:c>
      <x:c r="D702" s="45" t="n">
        <x:f>'Path Daily'!D702</x:f>
        <x:v>58</x:v>
      </x:c>
      <x:c r="E702" s="53" t="n">
        <x:f>IF(D702=0,SUMIFS('Cargo Records'!$T$7:$T$70,'Cargo Records'!$J$7:$J$70,C702),0)</x:f>
        <x:v>0</x:v>
      </x:c>
      <x:c r="F702" s="53" t="n">
        <x:f>I701</x:f>
        <x:v>0</x:v>
      </x:c>
      <x:c r="G702" s="53" t="n">
        <x:f>'Path Daily'!M702</x:f>
        <x:v>7392</x:v>
      </x:c>
      <x:c r="H702" s="53" t="n">
        <x:f>MIN(E702+F702,G702)</x:f>
        <x:v>0</x:v>
      </x:c>
      <x:c r="I702" s="53" t="n">
        <x:f>E702+F702-H702</x:f>
        <x:v>0</x:v>
      </x:c>
      <x:c r="J702" s="45" t="str">
        <x:f>IF(I702=0,"CLEAR","QUEUED")</x:f>
        <x:v>CLEAR</x:v>
      </x:c>
      <x:c r="K702" s="72"/>
      <x:c r="L702" s="72"/>
      <x:c r="M702" s="72"/>
      <x:c r="N702" s="72"/>
    </x:row>
    <x:row r="703">
      <x:c r="C703" s="45" t="str">
        <x:f>'Path Daily'!C703</x:f>
        <x:v>P7</x:v>
      </x:c>
      <x:c r="D703" s="45" t="n">
        <x:f>'Path Daily'!D703</x:f>
        <x:v>59</x:v>
      </x:c>
      <x:c r="E703" s="53" t="n">
        <x:f>IF(D703=0,SUMIFS('Cargo Records'!$T$7:$T$70,'Cargo Records'!$J$7:$J$70,C703),0)</x:f>
        <x:v>0</x:v>
      </x:c>
      <x:c r="F703" s="53" t="n">
        <x:f>I702</x:f>
        <x:v>0</x:v>
      </x:c>
      <x:c r="G703" s="53" t="n">
        <x:f>'Path Daily'!M703</x:f>
        <x:v>7392</x:v>
      </x:c>
      <x:c r="H703" s="53" t="n">
        <x:f>MIN(E703+F703,G703)</x:f>
        <x:v>0</x:v>
      </x:c>
      <x:c r="I703" s="53" t="n">
        <x:f>E703+F703-H703</x:f>
        <x:v>0</x:v>
      </x:c>
      <x:c r="J703" s="45" t="str">
        <x:f>IF(I703=0,"CLEAR","QUEUED")</x:f>
        <x:v>CLEAR</x:v>
      </x:c>
      <x:c r="K703" s="72"/>
      <x:c r="L703" s="72"/>
      <x:c r="M703" s="72"/>
      <x:c r="N703" s="72"/>
    </x:row>
    <x:row r="704">
      <x:c r="C704" s="45" t="str">
        <x:f>'Path Daily'!C704</x:f>
        <x:v>P7</x:v>
      </x:c>
      <x:c r="D704" s="45" t="n">
        <x:f>'Path Daily'!D704</x:f>
        <x:v>60</x:v>
      </x:c>
      <x:c r="E704" s="53" t="n">
        <x:f>IF(D704=0,SUMIFS('Cargo Records'!$T$7:$T$70,'Cargo Records'!$J$7:$J$70,C704),0)</x:f>
        <x:v>0</x:v>
      </x:c>
      <x:c r="F704" s="53" t="n">
        <x:f>I703</x:f>
        <x:v>0</x:v>
      </x:c>
      <x:c r="G704" s="53" t="n">
        <x:f>'Path Daily'!M704</x:f>
        <x:v>7392</x:v>
      </x:c>
      <x:c r="H704" s="53" t="n">
        <x:f>MIN(E704+F704,G704)</x:f>
        <x:v>0</x:v>
      </x:c>
      <x:c r="I704" s="53" t="n">
        <x:f>E704+F704-H704</x:f>
        <x:v>0</x:v>
      </x:c>
      <x:c r="J704" s="45" t="str">
        <x:f>IF(I704=0,"CLEAR","QUEUED")</x:f>
        <x:v>CLEAR</x:v>
      </x:c>
      <x:c r="K704" s="72"/>
      <x:c r="L704" s="72"/>
      <x:c r="M704" s="72"/>
      <x:c r="N704" s="72"/>
    </x:row>
    <x:row r="705">
      <x:c r="C705" s="45" t="str">
        <x:f>'Path Daily'!C705</x:f>
        <x:v>P7</x:v>
      </x:c>
      <x:c r="D705" s="45" t="n">
        <x:f>'Path Daily'!D705</x:f>
        <x:v>61</x:v>
      </x:c>
      <x:c r="E705" s="53" t="n">
        <x:f>IF(D705=0,SUMIFS('Cargo Records'!$T$7:$T$70,'Cargo Records'!$J$7:$J$70,C705),0)</x:f>
        <x:v>0</x:v>
      </x:c>
      <x:c r="F705" s="53" t="n">
        <x:f>I704</x:f>
        <x:v>0</x:v>
      </x:c>
      <x:c r="G705" s="53" t="n">
        <x:f>'Path Daily'!M705</x:f>
        <x:v>5544</x:v>
      </x:c>
      <x:c r="H705" s="53" t="n">
        <x:f>MIN(E705+F705,G705)</x:f>
        <x:v>0</x:v>
      </x:c>
      <x:c r="I705" s="53" t="n">
        <x:f>E705+F705-H705</x:f>
        <x:v>0</x:v>
      </x:c>
      <x:c r="J705" s="45" t="str">
        <x:f>IF(I705=0,"CLEAR","QUEUED")</x:f>
        <x:v>CLEAR</x:v>
      </x:c>
      <x:c r="K705" s="72"/>
      <x:c r="L705" s="72"/>
      <x:c r="M705" s="72"/>
      <x:c r="N705" s="72"/>
    </x:row>
    <x:row r="706">
      <x:c r="C706" s="45" t="str">
        <x:f>'Path Daily'!C706</x:f>
        <x:v>P7</x:v>
      </x:c>
      <x:c r="D706" s="45" t="n">
        <x:f>'Path Daily'!D706</x:f>
        <x:v>62</x:v>
      </x:c>
      <x:c r="E706" s="53" t="n">
        <x:f>IF(D706=0,SUMIFS('Cargo Records'!$T$7:$T$70,'Cargo Records'!$J$7:$J$70,C706),0)</x:f>
        <x:v>0</x:v>
      </x:c>
      <x:c r="F706" s="53" t="n">
        <x:f>I705</x:f>
        <x:v>0</x:v>
      </x:c>
      <x:c r="G706" s="53" t="n">
        <x:f>'Path Daily'!M706</x:f>
        <x:v>5544</x:v>
      </x:c>
      <x:c r="H706" s="53" t="n">
        <x:f>MIN(E706+F706,G706)</x:f>
        <x:v>0</x:v>
      </x:c>
      <x:c r="I706" s="53" t="n">
        <x:f>E706+F706-H706</x:f>
        <x:v>0</x:v>
      </x:c>
      <x:c r="J706" s="45" t="str">
        <x:f>IF(I706=0,"CLEAR","QUEUED")</x:f>
        <x:v>CLEAR</x:v>
      </x:c>
      <x:c r="K706" s="72"/>
      <x:c r="L706" s="72"/>
      <x:c r="M706" s="72"/>
      <x:c r="N706" s="72"/>
    </x:row>
    <x:row r="707">
      <x:c r="C707" s="45" t="str">
        <x:f>'Path Daily'!C707</x:f>
        <x:v>P7</x:v>
      </x:c>
      <x:c r="D707" s="45" t="n">
        <x:f>'Path Daily'!D707</x:f>
        <x:v>63</x:v>
      </x:c>
      <x:c r="E707" s="53" t="n">
        <x:f>IF(D707=0,SUMIFS('Cargo Records'!$T$7:$T$70,'Cargo Records'!$J$7:$J$70,C707),0)</x:f>
        <x:v>0</x:v>
      </x:c>
      <x:c r="F707" s="53" t="n">
        <x:f>I706</x:f>
        <x:v>0</x:v>
      </x:c>
      <x:c r="G707" s="53" t="n">
        <x:f>'Path Daily'!M707</x:f>
        <x:v>5544</x:v>
      </x:c>
      <x:c r="H707" s="53" t="n">
        <x:f>MIN(E707+F707,G707)</x:f>
        <x:v>0</x:v>
      </x:c>
      <x:c r="I707" s="53" t="n">
        <x:f>E707+F707-H707</x:f>
        <x:v>0</x:v>
      </x:c>
      <x:c r="J707" s="45" t="str">
        <x:f>IF(I707=0,"CLEAR","QUEUED")</x:f>
        <x:v>CLEAR</x:v>
      </x:c>
      <x:c r="K707" s="72"/>
      <x:c r="L707" s="72"/>
      <x:c r="M707" s="72"/>
      <x:c r="N707" s="72"/>
    </x:row>
    <x:row r="708">
      <x:c r="C708" s="45" t="str">
        <x:f>'Path Daily'!C708</x:f>
        <x:v>P7</x:v>
      </x:c>
      <x:c r="D708" s="45" t="n">
        <x:f>'Path Daily'!D708</x:f>
        <x:v>64</x:v>
      </x:c>
      <x:c r="E708" s="53" t="n">
        <x:f>IF(D708=0,SUMIFS('Cargo Records'!$T$7:$T$70,'Cargo Records'!$J$7:$J$70,C708),0)</x:f>
        <x:v>0</x:v>
      </x:c>
      <x:c r="F708" s="53" t="n">
        <x:f>I707</x:f>
        <x:v>0</x:v>
      </x:c>
      <x:c r="G708" s="53" t="n">
        <x:f>'Path Daily'!M708</x:f>
        <x:v>7392</x:v>
      </x:c>
      <x:c r="H708" s="53" t="n">
        <x:f>MIN(E708+F708,G708)</x:f>
        <x:v>0</x:v>
      </x:c>
      <x:c r="I708" s="53" t="n">
        <x:f>E708+F708-H708</x:f>
        <x:v>0</x:v>
      </x:c>
      <x:c r="J708" s="45" t="str">
        <x:f>IF(I708=0,"CLEAR","QUEUED")</x:f>
        <x:v>CLEAR</x:v>
      </x:c>
      <x:c r="K708" s="72"/>
      <x:c r="L708" s="72"/>
      <x:c r="M708" s="72"/>
      <x:c r="N708" s="72"/>
    </x:row>
    <x:row r="709">
      <x:c r="C709" s="45" t="str">
        <x:f>'Path Daily'!C709</x:f>
        <x:v>P7</x:v>
      </x:c>
      <x:c r="D709" s="45" t="n">
        <x:f>'Path Daily'!D709</x:f>
        <x:v>65</x:v>
      </x:c>
      <x:c r="E709" s="53" t="n">
        <x:f>IF(D709=0,SUMIFS('Cargo Records'!$T$7:$T$70,'Cargo Records'!$J$7:$J$70,C709),0)</x:f>
        <x:v>0</x:v>
      </x:c>
      <x:c r="F709" s="53" t="n">
        <x:f>I708</x:f>
        <x:v>0</x:v>
      </x:c>
      <x:c r="G709" s="53" t="n">
        <x:f>'Path Daily'!M709</x:f>
        <x:v>7392</x:v>
      </x:c>
      <x:c r="H709" s="53" t="n">
        <x:f>MIN(E709+F709,G709)</x:f>
        <x:v>0</x:v>
      </x:c>
      <x:c r="I709" s="53" t="n">
        <x:f>E709+F709-H709</x:f>
        <x:v>0</x:v>
      </x:c>
      <x:c r="J709" s="45" t="str">
        <x:f>IF(I709=0,"CLEAR","QUEUED")</x:f>
        <x:v>CLEAR</x:v>
      </x:c>
      <x:c r="K709" s="72"/>
      <x:c r="L709" s="72"/>
      <x:c r="M709" s="72"/>
      <x:c r="N709" s="72"/>
    </x:row>
    <x:row r="710">
      <x:c r="C710" s="45" t="str">
        <x:f>'Path Daily'!C710</x:f>
        <x:v>P7</x:v>
      </x:c>
      <x:c r="D710" s="45" t="n">
        <x:f>'Path Daily'!D710</x:f>
        <x:v>66</x:v>
      </x:c>
      <x:c r="E710" s="53" t="n">
        <x:f>IF(D710=0,SUMIFS('Cargo Records'!$T$7:$T$70,'Cargo Records'!$J$7:$J$70,C710),0)</x:f>
        <x:v>0</x:v>
      </x:c>
      <x:c r="F710" s="53" t="n">
        <x:f>I709</x:f>
        <x:v>0</x:v>
      </x:c>
      <x:c r="G710" s="53" t="n">
        <x:f>'Path Daily'!M710</x:f>
        <x:v>7392</x:v>
      </x:c>
      <x:c r="H710" s="53" t="n">
        <x:f>MIN(E710+F710,G710)</x:f>
        <x:v>0</x:v>
      </x:c>
      <x:c r="I710" s="53" t="n">
        <x:f>E710+F710-H710</x:f>
        <x:v>0</x:v>
      </x:c>
      <x:c r="J710" s="45" t="str">
        <x:f>IF(I710=0,"CLEAR","QUEUED")</x:f>
        <x:v>CLEAR</x:v>
      </x:c>
      <x:c r="K710" s="72"/>
      <x:c r="L710" s="72"/>
      <x:c r="M710" s="72"/>
      <x:c r="N710" s="72"/>
    </x:row>
    <x:row r="711">
      <x:c r="C711" s="45" t="str">
        <x:f>'Path Daily'!C711</x:f>
        <x:v>P7</x:v>
      </x:c>
      <x:c r="D711" s="45" t="n">
        <x:f>'Path Daily'!D711</x:f>
        <x:v>67</x:v>
      </x:c>
      <x:c r="E711" s="53" t="n">
        <x:f>IF(D711=0,SUMIFS('Cargo Records'!$T$7:$T$70,'Cargo Records'!$J$7:$J$70,C711),0)</x:f>
        <x:v>0</x:v>
      </x:c>
      <x:c r="F711" s="53" t="n">
        <x:f>I710</x:f>
        <x:v>0</x:v>
      </x:c>
      <x:c r="G711" s="53" t="n">
        <x:f>'Path Daily'!M711</x:f>
        <x:v>7392</x:v>
      </x:c>
      <x:c r="H711" s="53" t="n">
        <x:f>MIN(E711+F711,G711)</x:f>
        <x:v>0</x:v>
      </x:c>
      <x:c r="I711" s="53" t="n">
        <x:f>E711+F711-H711</x:f>
        <x:v>0</x:v>
      </x:c>
      <x:c r="J711" s="45" t="str">
        <x:f>IF(I711=0,"CLEAR","QUEUED")</x:f>
        <x:v>CLEAR</x:v>
      </x:c>
      <x:c r="K711" s="72"/>
      <x:c r="L711" s="72"/>
      <x:c r="M711" s="72"/>
      <x:c r="N711" s="72"/>
    </x:row>
    <x:row r="712">
      <x:c r="C712" s="45" t="str">
        <x:f>'Path Daily'!C712</x:f>
        <x:v>P7</x:v>
      </x:c>
      <x:c r="D712" s="45" t="n">
        <x:f>'Path Daily'!D712</x:f>
        <x:v>68</x:v>
      </x:c>
      <x:c r="E712" s="53" t="n">
        <x:f>IF(D712=0,SUMIFS('Cargo Records'!$T$7:$T$70,'Cargo Records'!$J$7:$J$70,C712),0)</x:f>
        <x:v>0</x:v>
      </x:c>
      <x:c r="F712" s="53" t="n">
        <x:f>I711</x:f>
        <x:v>0</x:v>
      </x:c>
      <x:c r="G712" s="53" t="n">
        <x:f>'Path Daily'!M712</x:f>
        <x:v>7392</x:v>
      </x:c>
      <x:c r="H712" s="53" t="n">
        <x:f>MIN(E712+F712,G712)</x:f>
        <x:v>0</x:v>
      </x:c>
      <x:c r="I712" s="53" t="n">
        <x:f>E712+F712-H712</x:f>
        <x:v>0</x:v>
      </x:c>
      <x:c r="J712" s="45" t="str">
        <x:f>IF(I712=0,"CLEAR","QUEUED")</x:f>
        <x:v>CLEAR</x:v>
      </x:c>
      <x:c r="K712" s="72"/>
      <x:c r="L712" s="72"/>
      <x:c r="M712" s="72"/>
      <x:c r="N712" s="72"/>
    </x:row>
    <x:row r="713">
      <x:c r="C713" s="45" t="str">
        <x:f>'Path Daily'!C713</x:f>
        <x:v>P7</x:v>
      </x:c>
      <x:c r="D713" s="45" t="n">
        <x:f>'Path Daily'!D713</x:f>
        <x:v>69</x:v>
      </x:c>
      <x:c r="E713" s="53" t="n">
        <x:f>IF(D713=0,SUMIFS('Cargo Records'!$T$7:$T$70,'Cargo Records'!$J$7:$J$70,C713),0)</x:f>
        <x:v>0</x:v>
      </x:c>
      <x:c r="F713" s="53" t="n">
        <x:f>I712</x:f>
        <x:v>0</x:v>
      </x:c>
      <x:c r="G713" s="53" t="n">
        <x:f>'Path Daily'!M713</x:f>
        <x:v>7392</x:v>
      </x:c>
      <x:c r="H713" s="53" t="n">
        <x:f>MIN(E713+F713,G713)</x:f>
        <x:v>0</x:v>
      </x:c>
      <x:c r="I713" s="53" t="n">
        <x:f>E713+F713-H713</x:f>
        <x:v>0</x:v>
      </x:c>
      <x:c r="J713" s="45" t="str">
        <x:f>IF(I713=0,"CLEAR","QUEUED")</x:f>
        <x:v>CLEAR</x:v>
      </x:c>
      <x:c r="K713" s="72"/>
      <x:c r="L713" s="72"/>
      <x:c r="M713" s="72"/>
      <x:c r="N713" s="72"/>
    </x:row>
    <x:row r="714">
      <x:c r="C714" s="45" t="str">
        <x:f>'Path Daily'!C714</x:f>
        <x:v>P7</x:v>
      </x:c>
      <x:c r="D714" s="45" t="n">
        <x:f>'Path Daily'!D714</x:f>
        <x:v>70</x:v>
      </x:c>
      <x:c r="E714" s="53" t="n">
        <x:f>IF(D714=0,SUMIFS('Cargo Records'!$T$7:$T$70,'Cargo Records'!$J$7:$J$70,C714),0)</x:f>
        <x:v>0</x:v>
      </x:c>
      <x:c r="F714" s="53" t="n">
        <x:f>I713</x:f>
        <x:v>0</x:v>
      </x:c>
      <x:c r="G714" s="53" t="n">
        <x:f>'Path Daily'!M714</x:f>
        <x:v>7392</x:v>
      </x:c>
      <x:c r="H714" s="53" t="n">
        <x:f>MIN(E714+F714,G714)</x:f>
        <x:v>0</x:v>
      </x:c>
      <x:c r="I714" s="53" t="n">
        <x:f>E714+F714-H714</x:f>
        <x:v>0</x:v>
      </x:c>
      <x:c r="J714" s="45" t="str">
        <x:f>IF(I714=0,"CLEAR","QUEUED")</x:f>
        <x:v>CLEAR</x:v>
      </x:c>
      <x:c r="K714" s="72"/>
      <x:c r="L714" s="72"/>
      <x:c r="M714" s="72"/>
      <x:c r="N714" s="72"/>
    </x:row>
    <x:row r="715">
      <x:c r="C715" s="45" t="str">
        <x:f>'Path Daily'!C715</x:f>
        <x:v>P7</x:v>
      </x:c>
      <x:c r="D715" s="45" t="n">
        <x:f>'Path Daily'!D715</x:f>
        <x:v>71</x:v>
      </x:c>
      <x:c r="E715" s="53" t="n">
        <x:f>IF(D715=0,SUMIFS('Cargo Records'!$T$7:$T$70,'Cargo Records'!$J$7:$J$70,C715),0)</x:f>
        <x:v>0</x:v>
      </x:c>
      <x:c r="F715" s="53" t="n">
        <x:f>I714</x:f>
        <x:v>0</x:v>
      </x:c>
      <x:c r="G715" s="53" t="n">
        <x:f>'Path Daily'!M715</x:f>
        <x:v>7392</x:v>
      </x:c>
      <x:c r="H715" s="53" t="n">
        <x:f>MIN(E715+F715,G715)</x:f>
        <x:v>0</x:v>
      </x:c>
      <x:c r="I715" s="53" t="n">
        <x:f>E715+F715-H715</x:f>
        <x:v>0</x:v>
      </x:c>
      <x:c r="J715" s="45" t="str">
        <x:f>IF(I715=0,"CLEAR","QUEUED")</x:f>
        <x:v>CLEAR</x:v>
      </x:c>
      <x:c r="K715" s="72"/>
      <x:c r="L715" s="72"/>
      <x:c r="M715" s="72"/>
      <x:c r="N715" s="72"/>
    </x:row>
    <x:row r="716">
      <x:c r="C716" s="45" t="str">
        <x:f>'Path Daily'!C716</x:f>
        <x:v>P7</x:v>
      </x:c>
      <x:c r="D716" s="45" t="n">
        <x:f>'Path Daily'!D716</x:f>
        <x:v>72</x:v>
      </x:c>
      <x:c r="E716" s="53" t="n">
        <x:f>IF(D716=0,SUMIFS('Cargo Records'!$T$7:$T$70,'Cargo Records'!$J$7:$J$70,C716),0)</x:f>
        <x:v>0</x:v>
      </x:c>
      <x:c r="F716" s="53" t="n">
        <x:f>I715</x:f>
        <x:v>0</x:v>
      </x:c>
      <x:c r="G716" s="53" t="n">
        <x:f>'Path Daily'!M716</x:f>
        <x:v>7392</x:v>
      </x:c>
      <x:c r="H716" s="53" t="n">
        <x:f>MIN(E716+F716,G716)</x:f>
        <x:v>0</x:v>
      </x:c>
      <x:c r="I716" s="53" t="n">
        <x:f>E716+F716-H716</x:f>
        <x:v>0</x:v>
      </x:c>
      <x:c r="J716" s="45" t="str">
        <x:f>IF(I716=0,"CLEAR","QUEUED")</x:f>
        <x:v>CLEAR</x:v>
      </x:c>
      <x:c r="K716" s="72"/>
      <x:c r="L716" s="72"/>
      <x:c r="M716" s="72"/>
      <x:c r="N716" s="72"/>
    </x:row>
    <x:row r="717">
      <x:c r="C717" s="45" t="str">
        <x:f>'Path Daily'!C717</x:f>
        <x:v>P7</x:v>
      </x:c>
      <x:c r="D717" s="45" t="n">
        <x:f>'Path Daily'!D717</x:f>
        <x:v>73</x:v>
      </x:c>
      <x:c r="E717" s="53" t="n">
        <x:f>IF(D717=0,SUMIFS('Cargo Records'!$T$7:$T$70,'Cargo Records'!$J$7:$J$70,C717),0)</x:f>
        <x:v>0</x:v>
      </x:c>
      <x:c r="F717" s="53" t="n">
        <x:f>I716</x:f>
        <x:v>0</x:v>
      </x:c>
      <x:c r="G717" s="53" t="n">
        <x:f>'Path Daily'!M717</x:f>
        <x:v>7392</x:v>
      </x:c>
      <x:c r="H717" s="53" t="n">
        <x:f>MIN(E717+F717,G717)</x:f>
        <x:v>0</x:v>
      </x:c>
      <x:c r="I717" s="53" t="n">
        <x:f>E717+F717-H717</x:f>
        <x:v>0</x:v>
      </x:c>
      <x:c r="J717" s="45" t="str">
        <x:f>IF(I717=0,"CLEAR","QUEUED")</x:f>
        <x:v>CLEAR</x:v>
      </x:c>
      <x:c r="K717" s="72"/>
      <x:c r="L717" s="72"/>
      <x:c r="M717" s="72"/>
      <x:c r="N717" s="72"/>
    </x:row>
    <x:row r="718">
      <x:c r="C718" s="45" t="str">
        <x:f>'Path Daily'!C718</x:f>
        <x:v>P7</x:v>
      </x:c>
      <x:c r="D718" s="45" t="n">
        <x:f>'Path Daily'!D718</x:f>
        <x:v>74</x:v>
      </x:c>
      <x:c r="E718" s="53" t="n">
        <x:f>IF(D718=0,SUMIFS('Cargo Records'!$T$7:$T$70,'Cargo Records'!$J$7:$J$70,C718),0)</x:f>
        <x:v>0</x:v>
      </x:c>
      <x:c r="F718" s="53" t="n">
        <x:f>I717</x:f>
        <x:v>0</x:v>
      </x:c>
      <x:c r="G718" s="53" t="n">
        <x:f>'Path Daily'!M718</x:f>
        <x:v>7392</x:v>
      </x:c>
      <x:c r="H718" s="53" t="n">
        <x:f>MIN(E718+F718,G718)</x:f>
        <x:v>0</x:v>
      </x:c>
      <x:c r="I718" s="53" t="n">
        <x:f>E718+F718-H718</x:f>
        <x:v>0</x:v>
      </x:c>
      <x:c r="J718" s="45" t="str">
        <x:f>IF(I718=0,"CLEAR","QUEUED")</x:f>
        <x:v>CLEAR</x:v>
      </x:c>
      <x:c r="K718" s="72"/>
      <x:c r="L718" s="72"/>
      <x:c r="M718" s="72"/>
      <x:c r="N718" s="72"/>
    </x:row>
    <x:row r="719">
      <x:c r="C719" s="45" t="str">
        <x:f>'Path Daily'!C719</x:f>
        <x:v>P7</x:v>
      </x:c>
      <x:c r="D719" s="45" t="n">
        <x:f>'Path Daily'!D719</x:f>
        <x:v>75</x:v>
      </x:c>
      <x:c r="E719" s="53" t="n">
        <x:f>IF(D719=0,SUMIFS('Cargo Records'!$T$7:$T$70,'Cargo Records'!$J$7:$J$70,C719),0)</x:f>
        <x:v>0</x:v>
      </x:c>
      <x:c r="F719" s="53" t="n">
        <x:f>I718</x:f>
        <x:v>0</x:v>
      </x:c>
      <x:c r="G719" s="53" t="n">
        <x:f>'Path Daily'!M719</x:f>
        <x:v>7392</x:v>
      </x:c>
      <x:c r="H719" s="53" t="n">
        <x:f>MIN(E719+F719,G719)</x:f>
        <x:v>0</x:v>
      </x:c>
      <x:c r="I719" s="53" t="n">
        <x:f>E719+F719-H719</x:f>
        <x:v>0</x:v>
      </x:c>
      <x:c r="J719" s="45" t="str">
        <x:f>IF(I719=0,"CLEAR","QUEUED")</x:f>
        <x:v>CLEAR</x:v>
      </x:c>
      <x:c r="K719" s="72"/>
      <x:c r="L719" s="72"/>
      <x:c r="M719" s="72"/>
      <x:c r="N719" s="72"/>
    </x:row>
    <x:row r="720">
      <x:c r="C720" s="45" t="str">
        <x:f>'Path Daily'!C720</x:f>
        <x:v>P7</x:v>
      </x:c>
      <x:c r="D720" s="45" t="n">
        <x:f>'Path Daily'!D720</x:f>
        <x:v>76</x:v>
      </x:c>
      <x:c r="E720" s="53" t="n">
        <x:f>IF(D720=0,SUMIFS('Cargo Records'!$T$7:$T$70,'Cargo Records'!$J$7:$J$70,C720),0)</x:f>
        <x:v>0</x:v>
      </x:c>
      <x:c r="F720" s="53" t="n">
        <x:f>I719</x:f>
        <x:v>0</x:v>
      </x:c>
      <x:c r="G720" s="53" t="n">
        <x:f>'Path Daily'!M720</x:f>
        <x:v>7392</x:v>
      </x:c>
      <x:c r="H720" s="53" t="n">
        <x:f>MIN(E720+F720,G720)</x:f>
        <x:v>0</x:v>
      </x:c>
      <x:c r="I720" s="53" t="n">
        <x:f>E720+F720-H720</x:f>
        <x:v>0</x:v>
      </x:c>
      <x:c r="J720" s="45" t="str">
        <x:f>IF(I720=0,"CLEAR","QUEUED")</x:f>
        <x:v>CLEAR</x:v>
      </x:c>
      <x:c r="K720" s="72"/>
      <x:c r="L720" s="72"/>
      <x:c r="M720" s="72"/>
      <x:c r="N720" s="72"/>
    </x:row>
    <x:row r="721">
      <x:c r="C721" s="45" t="str">
        <x:f>'Path Daily'!C721</x:f>
        <x:v>P7</x:v>
      </x:c>
      <x:c r="D721" s="45" t="n">
        <x:f>'Path Daily'!D721</x:f>
        <x:v>77</x:v>
      </x:c>
      <x:c r="E721" s="53" t="n">
        <x:f>IF(D721=0,SUMIFS('Cargo Records'!$T$7:$T$70,'Cargo Records'!$J$7:$J$70,C721),0)</x:f>
        <x:v>0</x:v>
      </x:c>
      <x:c r="F721" s="53" t="n">
        <x:f>I720</x:f>
        <x:v>0</x:v>
      </x:c>
      <x:c r="G721" s="53" t="n">
        <x:f>'Path Daily'!M721</x:f>
        <x:v>7392</x:v>
      </x:c>
      <x:c r="H721" s="53" t="n">
        <x:f>MIN(E721+F721,G721)</x:f>
        <x:v>0</x:v>
      </x:c>
      <x:c r="I721" s="53" t="n">
        <x:f>E721+F721-H721</x:f>
        <x:v>0</x:v>
      </x:c>
      <x:c r="J721" s="45" t="str">
        <x:f>IF(I721=0,"CLEAR","QUEUED")</x:f>
        <x:v>CLEAR</x:v>
      </x:c>
      <x:c r="K721" s="72"/>
      <x:c r="L721" s="72"/>
      <x:c r="M721" s="72"/>
      <x:c r="N721" s="72"/>
    </x:row>
    <x:row r="722">
      <x:c r="C722" s="45" t="str">
        <x:f>'Path Daily'!C722</x:f>
        <x:v>P7</x:v>
      </x:c>
      <x:c r="D722" s="45" t="n">
        <x:f>'Path Daily'!D722</x:f>
        <x:v>78</x:v>
      </x:c>
      <x:c r="E722" s="53" t="n">
        <x:f>IF(D722=0,SUMIFS('Cargo Records'!$T$7:$T$70,'Cargo Records'!$J$7:$J$70,C722),0)</x:f>
        <x:v>0</x:v>
      </x:c>
      <x:c r="F722" s="53" t="n">
        <x:f>I721</x:f>
        <x:v>0</x:v>
      </x:c>
      <x:c r="G722" s="53" t="n">
        <x:f>'Path Daily'!M722</x:f>
        <x:v>7392</x:v>
      </x:c>
      <x:c r="H722" s="53" t="n">
        <x:f>MIN(E722+F722,G722)</x:f>
        <x:v>0</x:v>
      </x:c>
      <x:c r="I722" s="53" t="n">
        <x:f>E722+F722-H722</x:f>
        <x:v>0</x:v>
      </x:c>
      <x:c r="J722" s="45" t="str">
        <x:f>IF(I722=0,"CLEAR","QUEUED")</x:f>
        <x:v>CLEAR</x:v>
      </x:c>
      <x:c r="K722" s="72"/>
      <x:c r="L722" s="72"/>
      <x:c r="M722" s="72"/>
      <x:c r="N722" s="72"/>
    </x:row>
    <x:row r="723">
      <x:c r="C723" s="45" t="str">
        <x:f>'Path Daily'!C723</x:f>
        <x:v>P7</x:v>
      </x:c>
      <x:c r="D723" s="45" t="n">
        <x:f>'Path Daily'!D723</x:f>
        <x:v>79</x:v>
      </x:c>
      <x:c r="E723" s="53" t="n">
        <x:f>IF(D723=0,SUMIFS('Cargo Records'!$T$7:$T$70,'Cargo Records'!$J$7:$J$70,C723),0)</x:f>
        <x:v>0</x:v>
      </x:c>
      <x:c r="F723" s="53" t="n">
        <x:f>I722</x:f>
        <x:v>0</x:v>
      </x:c>
      <x:c r="G723" s="53" t="n">
        <x:f>'Path Daily'!M723</x:f>
        <x:v>7392</x:v>
      </x:c>
      <x:c r="H723" s="53" t="n">
        <x:f>MIN(E723+F723,G723)</x:f>
        <x:v>0</x:v>
      </x:c>
      <x:c r="I723" s="53" t="n">
        <x:f>E723+F723-H723</x:f>
        <x:v>0</x:v>
      </x:c>
      <x:c r="J723" s="45" t="str">
        <x:f>IF(I723=0,"CLEAR","QUEUED")</x:f>
        <x:v>CLEAR</x:v>
      </x:c>
      <x:c r="K723" s="72"/>
      <x:c r="L723" s="72"/>
      <x:c r="M723" s="72"/>
      <x:c r="N723" s="72"/>
    </x:row>
    <x:row r="724">
      <x:c r="C724" s="45" t="str">
        <x:f>'Path Daily'!C724</x:f>
        <x:v>P7</x:v>
      </x:c>
      <x:c r="D724" s="45" t="n">
        <x:f>'Path Daily'!D724</x:f>
        <x:v>80</x:v>
      </x:c>
      <x:c r="E724" s="53" t="n">
        <x:f>IF(D724=0,SUMIFS('Cargo Records'!$T$7:$T$70,'Cargo Records'!$J$7:$J$70,C724),0)</x:f>
        <x:v>0</x:v>
      </x:c>
      <x:c r="F724" s="53" t="n">
        <x:f>I723</x:f>
        <x:v>0</x:v>
      </x:c>
      <x:c r="G724" s="53" t="n">
        <x:f>'Path Daily'!M724</x:f>
        <x:v>7392</x:v>
      </x:c>
      <x:c r="H724" s="53" t="n">
        <x:f>MIN(E724+F724,G724)</x:f>
        <x:v>0</x:v>
      </x:c>
      <x:c r="I724" s="53" t="n">
        <x:f>E724+F724-H724</x:f>
        <x:v>0</x:v>
      </x:c>
      <x:c r="J724" s="45" t="str">
        <x:f>IF(I724=0,"CLEAR","QUEUED")</x:f>
        <x:v>CLEAR</x:v>
      </x:c>
      <x:c r="K724" s="72"/>
      <x:c r="L724" s="72"/>
      <x:c r="M724" s="72"/>
      <x:c r="N724" s="72"/>
    </x:row>
    <x:row r="725">
      <x:c r="C725" s="45" t="str">
        <x:f>'Path Daily'!C725</x:f>
        <x:v>P7</x:v>
      </x:c>
      <x:c r="D725" s="45" t="n">
        <x:f>'Path Daily'!D725</x:f>
        <x:v>81</x:v>
      </x:c>
      <x:c r="E725" s="53" t="n">
        <x:f>IF(D725=0,SUMIFS('Cargo Records'!$T$7:$T$70,'Cargo Records'!$J$7:$J$70,C725),0)</x:f>
        <x:v>0</x:v>
      </x:c>
      <x:c r="F725" s="53" t="n">
        <x:f>I724</x:f>
        <x:v>0</x:v>
      </x:c>
      <x:c r="G725" s="53" t="n">
        <x:f>'Path Daily'!M725</x:f>
        <x:v>7392</x:v>
      </x:c>
      <x:c r="H725" s="53" t="n">
        <x:f>MIN(E725+F725,G725)</x:f>
        <x:v>0</x:v>
      </x:c>
      <x:c r="I725" s="53" t="n">
        <x:f>E725+F725-H725</x:f>
        <x:v>0</x:v>
      </x:c>
      <x:c r="J725" s="45" t="str">
        <x:f>IF(I725=0,"CLEAR","QUEUED")</x:f>
        <x:v>CLEAR</x:v>
      </x:c>
      <x:c r="K725" s="72"/>
      <x:c r="L725" s="72"/>
      <x:c r="M725" s="72"/>
      <x:c r="N725" s="72"/>
    </x:row>
    <x:row r="726">
      <x:c r="C726" s="45" t="str">
        <x:f>'Path Daily'!C726</x:f>
        <x:v>P7</x:v>
      </x:c>
      <x:c r="D726" s="45" t="n">
        <x:f>'Path Daily'!D726</x:f>
        <x:v>82</x:v>
      </x:c>
      <x:c r="E726" s="53" t="n">
        <x:f>IF(D726=0,SUMIFS('Cargo Records'!$T$7:$T$70,'Cargo Records'!$J$7:$J$70,C726),0)</x:f>
        <x:v>0</x:v>
      </x:c>
      <x:c r="F726" s="53" t="n">
        <x:f>I725</x:f>
        <x:v>0</x:v>
      </x:c>
      <x:c r="G726" s="53" t="n">
        <x:f>'Path Daily'!M726</x:f>
        <x:v>7392</x:v>
      </x:c>
      <x:c r="H726" s="53" t="n">
        <x:f>MIN(E726+F726,G726)</x:f>
        <x:v>0</x:v>
      </x:c>
      <x:c r="I726" s="53" t="n">
        <x:f>E726+F726-H726</x:f>
        <x:v>0</x:v>
      </x:c>
      <x:c r="J726" s="45" t="str">
        <x:f>IF(I726=0,"CLEAR","QUEUED")</x:f>
        <x:v>CLEAR</x:v>
      </x:c>
      <x:c r="K726" s="72"/>
      <x:c r="L726" s="72"/>
      <x:c r="M726" s="72"/>
      <x:c r="N726" s="72"/>
    </x:row>
    <x:row r="727">
      <x:c r="C727" s="45" t="str">
        <x:f>'Path Daily'!C727</x:f>
        <x:v>P7</x:v>
      </x:c>
      <x:c r="D727" s="45" t="n">
        <x:f>'Path Daily'!D727</x:f>
        <x:v>83</x:v>
      </x:c>
      <x:c r="E727" s="53" t="n">
        <x:f>IF(D727=0,SUMIFS('Cargo Records'!$T$7:$T$70,'Cargo Records'!$J$7:$J$70,C727),0)</x:f>
        <x:v>0</x:v>
      </x:c>
      <x:c r="F727" s="53" t="n">
        <x:f>I726</x:f>
        <x:v>0</x:v>
      </x:c>
      <x:c r="G727" s="53" t="n">
        <x:f>'Path Daily'!M727</x:f>
        <x:v>7392</x:v>
      </x:c>
      <x:c r="H727" s="53" t="n">
        <x:f>MIN(E727+F727,G727)</x:f>
        <x:v>0</x:v>
      </x:c>
      <x:c r="I727" s="53" t="n">
        <x:f>E727+F727-H727</x:f>
        <x:v>0</x:v>
      </x:c>
      <x:c r="J727" s="45" t="str">
        <x:f>IF(I727=0,"CLEAR","QUEUED")</x:f>
        <x:v>CLEAR</x:v>
      </x:c>
      <x:c r="K727" s="72"/>
      <x:c r="L727" s="72"/>
      <x:c r="M727" s="72"/>
      <x:c r="N727" s="72"/>
    </x:row>
    <x:row r="728">
      <x:c r="C728" s="45" t="str">
        <x:f>'Path Daily'!C728</x:f>
        <x:v>P7</x:v>
      </x:c>
      <x:c r="D728" s="45" t="n">
        <x:f>'Path Daily'!D728</x:f>
        <x:v>84</x:v>
      </x:c>
      <x:c r="E728" s="53" t="n">
        <x:f>IF(D728=0,SUMIFS('Cargo Records'!$T$7:$T$70,'Cargo Records'!$J$7:$J$70,C728),0)</x:f>
        <x:v>0</x:v>
      </x:c>
      <x:c r="F728" s="53" t="n">
        <x:f>I727</x:f>
        <x:v>0</x:v>
      </x:c>
      <x:c r="G728" s="53" t="n">
        <x:f>'Path Daily'!M728</x:f>
        <x:v>7392</x:v>
      </x:c>
      <x:c r="H728" s="53" t="n">
        <x:f>MIN(E728+F728,G728)</x:f>
        <x:v>0</x:v>
      </x:c>
      <x:c r="I728" s="53" t="n">
        <x:f>E728+F728-H728</x:f>
        <x:v>0</x:v>
      </x:c>
      <x:c r="J728" s="45" t="str">
        <x:f>IF(I728=0,"CLEAR","QUEUED")</x:f>
        <x:v>CLEAR</x:v>
      </x:c>
      <x:c r="K728" s="72"/>
      <x:c r="L728" s="72"/>
      <x:c r="M728" s="72"/>
      <x:c r="N728" s="72"/>
    </x:row>
    <x:row r="729">
      <x:c r="C729" s="45" t="str">
        <x:f>'Path Daily'!C729</x:f>
        <x:v>P7</x:v>
      </x:c>
      <x:c r="D729" s="45" t="n">
        <x:f>'Path Daily'!D729</x:f>
        <x:v>85</x:v>
      </x:c>
      <x:c r="E729" s="53" t="n">
        <x:f>IF(D729=0,SUMIFS('Cargo Records'!$T$7:$T$70,'Cargo Records'!$J$7:$J$70,C729),0)</x:f>
        <x:v>0</x:v>
      </x:c>
      <x:c r="F729" s="53" t="n">
        <x:f>I728</x:f>
        <x:v>0</x:v>
      </x:c>
      <x:c r="G729" s="53" t="n">
        <x:f>'Path Daily'!M729</x:f>
        <x:v>7392</x:v>
      </x:c>
      <x:c r="H729" s="53" t="n">
        <x:f>MIN(E729+F729,G729)</x:f>
        <x:v>0</x:v>
      </x:c>
      <x:c r="I729" s="53" t="n">
        <x:f>E729+F729-H729</x:f>
        <x:v>0</x:v>
      </x:c>
      <x:c r="J729" s="45" t="str">
        <x:f>IF(I729=0,"CLEAR","QUEUED")</x:f>
        <x:v>CLEAR</x:v>
      </x:c>
      <x:c r="K729" s="72"/>
      <x:c r="L729" s="72"/>
      <x:c r="M729" s="72"/>
      <x:c r="N729" s="72"/>
    </x:row>
    <x:row r="730">
      <x:c r="C730" s="45" t="str">
        <x:f>'Path Daily'!C730</x:f>
        <x:v>P7</x:v>
      </x:c>
      <x:c r="D730" s="45" t="n">
        <x:f>'Path Daily'!D730</x:f>
        <x:v>86</x:v>
      </x:c>
      <x:c r="E730" s="53" t="n">
        <x:f>IF(D730=0,SUMIFS('Cargo Records'!$T$7:$T$70,'Cargo Records'!$J$7:$J$70,C730),0)</x:f>
        <x:v>0</x:v>
      </x:c>
      <x:c r="F730" s="53" t="n">
        <x:f>I729</x:f>
        <x:v>0</x:v>
      </x:c>
      <x:c r="G730" s="53" t="n">
        <x:f>'Path Daily'!M730</x:f>
        <x:v>7392</x:v>
      </x:c>
      <x:c r="H730" s="53" t="n">
        <x:f>MIN(E730+F730,G730)</x:f>
        <x:v>0</x:v>
      </x:c>
      <x:c r="I730" s="53" t="n">
        <x:f>E730+F730-H730</x:f>
        <x:v>0</x:v>
      </x:c>
      <x:c r="J730" s="45" t="str">
        <x:f>IF(I730=0,"CLEAR","QUEUED")</x:f>
        <x:v>CLEAR</x:v>
      </x:c>
      <x:c r="K730" s="72"/>
      <x:c r="L730" s="72"/>
      <x:c r="M730" s="72"/>
      <x:c r="N730" s="72"/>
    </x:row>
    <x:row r="731">
      <x:c r="C731" s="45" t="str">
        <x:f>'Path Daily'!C731</x:f>
        <x:v>P7</x:v>
      </x:c>
      <x:c r="D731" s="45" t="n">
        <x:f>'Path Daily'!D731</x:f>
        <x:v>87</x:v>
      </x:c>
      <x:c r="E731" s="53" t="n">
        <x:f>IF(D731=0,SUMIFS('Cargo Records'!$T$7:$T$70,'Cargo Records'!$J$7:$J$70,C731),0)</x:f>
        <x:v>0</x:v>
      </x:c>
      <x:c r="F731" s="53" t="n">
        <x:f>I730</x:f>
        <x:v>0</x:v>
      </x:c>
      <x:c r="G731" s="53" t="n">
        <x:f>'Path Daily'!M731</x:f>
        <x:v>7392</x:v>
      </x:c>
      <x:c r="H731" s="53" t="n">
        <x:f>MIN(E731+F731,G731)</x:f>
        <x:v>0</x:v>
      </x:c>
      <x:c r="I731" s="53" t="n">
        <x:f>E731+F731-H731</x:f>
        <x:v>0</x:v>
      </x:c>
      <x:c r="J731" s="45" t="str">
        <x:f>IF(I731=0,"CLEAR","QUEUED")</x:f>
        <x:v>CLEAR</x:v>
      </x:c>
      <x:c r="K731" s="72"/>
      <x:c r="L731" s="72"/>
      <x:c r="M731" s="72"/>
      <x:c r="N731" s="72"/>
    </x:row>
    <x:row r="732">
      <x:c r="C732" s="45" t="str">
        <x:f>'Path Daily'!C732</x:f>
        <x:v>P7</x:v>
      </x:c>
      <x:c r="D732" s="45" t="n">
        <x:f>'Path Daily'!D732</x:f>
        <x:v>88</x:v>
      </x:c>
      <x:c r="E732" s="53" t="n">
        <x:f>IF(D732=0,SUMIFS('Cargo Records'!$T$7:$T$70,'Cargo Records'!$J$7:$J$70,C732),0)</x:f>
        <x:v>0</x:v>
      </x:c>
      <x:c r="F732" s="53" t="n">
        <x:f>I731</x:f>
        <x:v>0</x:v>
      </x:c>
      <x:c r="G732" s="53" t="n">
        <x:f>'Path Daily'!M732</x:f>
        <x:v>7392</x:v>
      </x:c>
      <x:c r="H732" s="53" t="n">
        <x:f>MIN(E732+F732,G732)</x:f>
        <x:v>0</x:v>
      </x:c>
      <x:c r="I732" s="53" t="n">
        <x:f>E732+F732-H732</x:f>
        <x:v>0</x:v>
      </x:c>
      <x:c r="J732" s="45" t="str">
        <x:f>IF(I732=0,"CLEAR","QUEUED")</x:f>
        <x:v>CLEAR</x:v>
      </x:c>
      <x:c r="K732" s="72"/>
      <x:c r="L732" s="72"/>
      <x:c r="M732" s="72"/>
      <x:c r="N732" s="72"/>
    </x:row>
    <x:row r="733">
      <x:c r="C733" s="45" t="str">
        <x:f>'Path Daily'!C733</x:f>
        <x:v>P7</x:v>
      </x:c>
      <x:c r="D733" s="45" t="n">
        <x:f>'Path Daily'!D733</x:f>
        <x:v>89</x:v>
      </x:c>
      <x:c r="E733" s="53" t="n">
        <x:f>IF(D733=0,SUMIFS('Cargo Records'!$T$7:$T$70,'Cargo Records'!$J$7:$J$70,C733),0)</x:f>
        <x:v>0</x:v>
      </x:c>
      <x:c r="F733" s="53" t="n">
        <x:f>I732</x:f>
        <x:v>0</x:v>
      </x:c>
      <x:c r="G733" s="53" t="n">
        <x:f>'Path Daily'!M733</x:f>
        <x:v>7392</x:v>
      </x:c>
      <x:c r="H733" s="53" t="n">
        <x:f>MIN(E733+F733,G733)</x:f>
        <x:v>0</x:v>
      </x:c>
      <x:c r="I733" s="53" t="n">
        <x:f>E733+F733-H733</x:f>
        <x:v>0</x:v>
      </x:c>
      <x:c r="J733" s="45" t="str">
        <x:f>IF(I733=0,"CLEAR","QUEUED")</x:f>
        <x:v>CLEAR</x:v>
      </x:c>
      <x:c r="K733" s="72"/>
      <x:c r="L733" s="72"/>
      <x:c r="M733" s="72"/>
      <x:c r="N733" s="72"/>
    </x:row>
    <x:row r="734">
      <x:c r="C734" s="45" t="str">
        <x:f>'Path Daily'!C734</x:f>
        <x:v>P7</x:v>
      </x:c>
      <x:c r="D734" s="45" t="n">
        <x:f>'Path Daily'!D734</x:f>
        <x:v>90</x:v>
      </x:c>
      <x:c r="E734" s="53" t="n">
        <x:f>IF(D734=0,SUMIFS('Cargo Records'!$T$7:$T$70,'Cargo Records'!$J$7:$J$70,C734),0)</x:f>
        <x:v>0</x:v>
      </x:c>
      <x:c r="F734" s="53" t="n">
        <x:f>I733</x:f>
        <x:v>0</x:v>
      </x:c>
      <x:c r="G734" s="53" t="n">
        <x:f>'Path Daily'!M734</x:f>
        <x:v>7392</x:v>
      </x:c>
      <x:c r="H734" s="53" t="n">
        <x:f>MIN(E734+F734,G734)</x:f>
        <x:v>0</x:v>
      </x:c>
      <x:c r="I734" s="53" t="n">
        <x:f>E734+F734-H734</x:f>
        <x:v>0</x:v>
      </x:c>
      <x:c r="J734" s="45" t="str">
        <x:f>IF(I734=0,"CLEAR","QUEUED")</x:f>
        <x:v>CLEAR</x:v>
      </x:c>
      <x:c r="K734" s="72"/>
      <x:c r="L734" s="72"/>
      <x:c r="M734" s="72"/>
      <x:c r="N734" s="72"/>
    </x:row>
    <x:row r="735">
      <x:c r="C735" s="45" t="str">
        <x:f>'Path Daily'!C735</x:f>
        <x:v>P8</x:v>
      </x:c>
      <x:c r="D735" s="45" t="n">
        <x:f>'Path Daily'!D735</x:f>
        <x:v>0</x:v>
      </x:c>
      <x:c r="E735" s="53" t="n">
        <x:f>IF(D735=0,SUMIFS('Cargo Records'!$T$7:$T$70,'Cargo Records'!$J$7:$J$70,C735),0)</x:f>
        <x:v>207624</x:v>
      </x:c>
      <x:c r="F735" s="53" t="n">
        <x:f>0</x:f>
        <x:v>0</x:v>
      </x:c>
      <x:c r="G735" s="53" t="n">
        <x:f>'Path Daily'!M735</x:f>
        <x:v>0</x:v>
      </x:c>
      <x:c r="H735" s="53" t="n">
        <x:f>MIN(E735+F735,G735)</x:f>
        <x:v>0</x:v>
      </x:c>
      <x:c r="I735" s="53" t="n">
        <x:f>E735+F735-H735</x:f>
        <x:v>207624</x:v>
      </x:c>
      <x:c r="J735" s="45" t="str">
        <x:f>IF(I735=0,"CLEAR","QUEUED")</x:f>
        <x:v>QUEUED</x:v>
      </x:c>
      <x:c r="K735" s="72"/>
      <x:c r="L735" s="72"/>
      <x:c r="M735" s="72"/>
      <x:c r="N735" s="72"/>
    </x:row>
    <x:row r="736">
      <x:c r="C736" s="45" t="str">
        <x:f>'Path Daily'!C736</x:f>
        <x:v>P8</x:v>
      </x:c>
      <x:c r="D736" s="45" t="n">
        <x:f>'Path Daily'!D736</x:f>
        <x:v>1</x:v>
      </x:c>
      <x:c r="E736" s="53" t="n">
        <x:f>IF(D736=0,SUMIFS('Cargo Records'!$T$7:$T$70,'Cargo Records'!$J$7:$J$70,C736),0)</x:f>
        <x:v>0</x:v>
      </x:c>
      <x:c r="F736" s="53" t="n">
        <x:f>I735</x:f>
        <x:v>207624</x:v>
      </x:c>
      <x:c r="G736" s="53" t="n">
        <x:f>'Path Daily'!M736</x:f>
        <x:v>0</x:v>
      </x:c>
      <x:c r="H736" s="53" t="n">
        <x:f>MIN(E736+F736,G736)</x:f>
        <x:v>0</x:v>
      </x:c>
      <x:c r="I736" s="53" t="n">
        <x:f>E736+F736-H736</x:f>
        <x:v>207624</x:v>
      </x:c>
      <x:c r="J736" s="45" t="str">
        <x:f>IF(I736=0,"CLEAR","QUEUED")</x:f>
        <x:v>QUEUED</x:v>
      </x:c>
      <x:c r="K736" s="72"/>
      <x:c r="L736" s="72"/>
      <x:c r="M736" s="72"/>
      <x:c r="N736" s="72"/>
    </x:row>
    <x:row r="737">
      <x:c r="C737" s="45" t="str">
        <x:f>'Path Daily'!C737</x:f>
        <x:v>P8</x:v>
      </x:c>
      <x:c r="D737" s="45" t="n">
        <x:f>'Path Daily'!D737</x:f>
        <x:v>2</x:v>
      </x:c>
      <x:c r="E737" s="53" t="n">
        <x:f>IF(D737=0,SUMIFS('Cargo Records'!$T$7:$T$70,'Cargo Records'!$J$7:$J$70,C737),0)</x:f>
        <x:v>0</x:v>
      </x:c>
      <x:c r="F737" s="53" t="n">
        <x:f>I736</x:f>
        <x:v>207624</x:v>
      </x:c>
      <x:c r="G737" s="53" t="n">
        <x:f>'Path Daily'!M737</x:f>
        <x:v>0</x:v>
      </x:c>
      <x:c r="H737" s="53" t="n">
        <x:f>MIN(E737+F737,G737)</x:f>
        <x:v>0</x:v>
      </x:c>
      <x:c r="I737" s="53" t="n">
        <x:f>E737+F737-H737</x:f>
        <x:v>207624</x:v>
      </x:c>
      <x:c r="J737" s="45" t="str">
        <x:f>IF(I737=0,"CLEAR","QUEUED")</x:f>
        <x:v>QUEUED</x:v>
      </x:c>
      <x:c r="K737" s="72"/>
      <x:c r="L737" s="72"/>
      <x:c r="M737" s="72"/>
      <x:c r="N737" s="72"/>
    </x:row>
    <x:row r="738">
      <x:c r="C738" s="45" t="str">
        <x:f>'Path Daily'!C738</x:f>
        <x:v>P8</x:v>
      </x:c>
      <x:c r="D738" s="45" t="n">
        <x:f>'Path Daily'!D738</x:f>
        <x:v>3</x:v>
      </x:c>
      <x:c r="E738" s="53" t="n">
        <x:f>IF(D738=0,SUMIFS('Cargo Records'!$T$7:$T$70,'Cargo Records'!$J$7:$J$70,C738),0)</x:f>
        <x:v>0</x:v>
      </x:c>
      <x:c r="F738" s="53" t="n">
        <x:f>I737</x:f>
        <x:v>207624</x:v>
      </x:c>
      <x:c r="G738" s="53" t="n">
        <x:f>'Path Daily'!M738</x:f>
        <x:v>0</x:v>
      </x:c>
      <x:c r="H738" s="53" t="n">
        <x:f>MIN(E738+F738,G738)</x:f>
        <x:v>0</x:v>
      </x:c>
      <x:c r="I738" s="53" t="n">
        <x:f>E738+F738-H738</x:f>
        <x:v>207624</x:v>
      </x:c>
      <x:c r="J738" s="45" t="str">
        <x:f>IF(I738=0,"CLEAR","QUEUED")</x:f>
        <x:v>QUEUED</x:v>
      </x:c>
      <x:c r="K738" s="72"/>
      <x:c r="L738" s="72"/>
      <x:c r="M738" s="72"/>
      <x:c r="N738" s="72"/>
    </x:row>
    <x:row r="739">
      <x:c r="C739" s="45" t="str">
        <x:f>'Path Daily'!C739</x:f>
        <x:v>P8</x:v>
      </x:c>
      <x:c r="D739" s="45" t="n">
        <x:f>'Path Daily'!D739</x:f>
        <x:v>4</x:v>
      </x:c>
      <x:c r="E739" s="53" t="n">
        <x:f>IF(D739=0,SUMIFS('Cargo Records'!$T$7:$T$70,'Cargo Records'!$J$7:$J$70,C739),0)</x:f>
        <x:v>0</x:v>
      </x:c>
      <x:c r="F739" s="53" t="n">
        <x:f>I738</x:f>
        <x:v>207624</x:v>
      </x:c>
      <x:c r="G739" s="53" t="n">
        <x:f>'Path Daily'!M739</x:f>
        <x:v>0</x:v>
      </x:c>
      <x:c r="H739" s="53" t="n">
        <x:f>MIN(E739+F739,G739)</x:f>
        <x:v>0</x:v>
      </x:c>
      <x:c r="I739" s="53" t="n">
        <x:f>E739+F739-H739</x:f>
        <x:v>207624</x:v>
      </x:c>
      <x:c r="J739" s="45" t="str">
        <x:f>IF(I739=0,"CLEAR","QUEUED")</x:f>
        <x:v>QUEUED</x:v>
      </x:c>
      <x:c r="K739" s="72"/>
      <x:c r="L739" s="72"/>
      <x:c r="M739" s="72"/>
      <x:c r="N739" s="72"/>
    </x:row>
    <x:row r="740">
      <x:c r="C740" s="45" t="str">
        <x:f>'Path Daily'!C740</x:f>
        <x:v>P8</x:v>
      </x:c>
      <x:c r="D740" s="45" t="n">
        <x:f>'Path Daily'!D740</x:f>
        <x:v>5</x:v>
      </x:c>
      <x:c r="E740" s="53" t="n">
        <x:f>IF(D740=0,SUMIFS('Cargo Records'!$T$7:$T$70,'Cargo Records'!$J$7:$J$70,C740),0)</x:f>
        <x:v>0</x:v>
      </x:c>
      <x:c r="F740" s="53" t="n">
        <x:f>I739</x:f>
        <x:v>207624</x:v>
      </x:c>
      <x:c r="G740" s="53" t="n">
        <x:f>'Path Daily'!M740</x:f>
        <x:v>0</x:v>
      </x:c>
      <x:c r="H740" s="53" t="n">
        <x:f>MIN(E740+F740,G740)</x:f>
        <x:v>0</x:v>
      </x:c>
      <x:c r="I740" s="53" t="n">
        <x:f>E740+F740-H740</x:f>
        <x:v>207624</x:v>
      </x:c>
      <x:c r="J740" s="45" t="str">
        <x:f>IF(I740=0,"CLEAR","QUEUED")</x:f>
        <x:v>QUEUED</x:v>
      </x:c>
      <x:c r="K740" s="72"/>
      <x:c r="L740" s="72"/>
      <x:c r="M740" s="72"/>
      <x:c r="N740" s="72"/>
    </x:row>
    <x:row r="741">
      <x:c r="C741" s="45" t="str">
        <x:f>'Path Daily'!C741</x:f>
        <x:v>P8</x:v>
      </x:c>
      <x:c r="D741" s="45" t="n">
        <x:f>'Path Daily'!D741</x:f>
        <x:v>6</x:v>
      </x:c>
      <x:c r="E741" s="53" t="n">
        <x:f>IF(D741=0,SUMIFS('Cargo Records'!$T$7:$T$70,'Cargo Records'!$J$7:$J$70,C741),0)</x:f>
        <x:v>0</x:v>
      </x:c>
      <x:c r="F741" s="53" t="n">
        <x:f>I740</x:f>
        <x:v>207624</x:v>
      </x:c>
      <x:c r="G741" s="53" t="n">
        <x:f>'Path Daily'!M741</x:f>
        <x:v>0</x:v>
      </x:c>
      <x:c r="H741" s="53" t="n">
        <x:f>MIN(E741+F741,G741)</x:f>
        <x:v>0</x:v>
      </x:c>
      <x:c r="I741" s="53" t="n">
        <x:f>E741+F741-H741</x:f>
        <x:v>207624</x:v>
      </x:c>
      <x:c r="J741" s="45" t="str">
        <x:f>IF(I741=0,"CLEAR","QUEUED")</x:f>
        <x:v>QUEUED</x:v>
      </x:c>
      <x:c r="K741" s="72"/>
      <x:c r="L741" s="72"/>
      <x:c r="M741" s="72"/>
      <x:c r="N741" s="72"/>
    </x:row>
    <x:row r="742">
      <x:c r="C742" s="45" t="str">
        <x:f>'Path Daily'!C742</x:f>
        <x:v>P8</x:v>
      </x:c>
      <x:c r="D742" s="45" t="n">
        <x:f>'Path Daily'!D742</x:f>
        <x:v>7</x:v>
      </x:c>
      <x:c r="E742" s="53" t="n">
        <x:f>IF(D742=0,SUMIFS('Cargo Records'!$T$7:$T$70,'Cargo Records'!$J$7:$J$70,C742),0)</x:f>
        <x:v>0</x:v>
      </x:c>
      <x:c r="F742" s="53" t="n">
        <x:f>I741</x:f>
        <x:v>207624</x:v>
      </x:c>
      <x:c r="G742" s="53" t="n">
        <x:f>'Path Daily'!M742</x:f>
        <x:v>2340</x:v>
      </x:c>
      <x:c r="H742" s="53" t="n">
        <x:f>MIN(E742+F742,G742)</x:f>
        <x:v>2340</x:v>
      </x:c>
      <x:c r="I742" s="53" t="n">
        <x:f>E742+F742-H742</x:f>
        <x:v>205284</x:v>
      </x:c>
      <x:c r="J742" s="45" t="str">
        <x:f>IF(I742=0,"CLEAR","QUEUED")</x:f>
        <x:v>QUEUED</x:v>
      </x:c>
      <x:c r="K742" s="72"/>
      <x:c r="L742" s="72"/>
      <x:c r="M742" s="72"/>
      <x:c r="N742" s="72"/>
    </x:row>
    <x:row r="743">
      <x:c r="C743" s="45" t="str">
        <x:f>'Path Daily'!C743</x:f>
        <x:v>P8</x:v>
      </x:c>
      <x:c r="D743" s="45" t="n">
        <x:f>'Path Daily'!D743</x:f>
        <x:v>8</x:v>
      </x:c>
      <x:c r="E743" s="53" t="n">
        <x:f>IF(D743=0,SUMIFS('Cargo Records'!$T$7:$T$70,'Cargo Records'!$J$7:$J$70,C743),0)</x:f>
        <x:v>0</x:v>
      </x:c>
      <x:c r="F743" s="53" t="n">
        <x:f>I742</x:f>
        <x:v>205284</x:v>
      </x:c>
      <x:c r="G743" s="53" t="n">
        <x:f>'Path Daily'!M743</x:f>
        <x:v>9360</x:v>
      </x:c>
      <x:c r="H743" s="53" t="n">
        <x:f>MIN(E743+F743,G743)</x:f>
        <x:v>9360</x:v>
      </x:c>
      <x:c r="I743" s="53" t="n">
        <x:f>E743+F743-H743</x:f>
        <x:v>195924</x:v>
      </x:c>
      <x:c r="J743" s="45" t="str">
        <x:f>IF(I743=0,"CLEAR","QUEUED")</x:f>
        <x:v>QUEUED</x:v>
      </x:c>
      <x:c r="K743" s="72"/>
      <x:c r="L743" s="72"/>
      <x:c r="M743" s="72"/>
      <x:c r="N743" s="72"/>
    </x:row>
    <x:row r="744">
      <x:c r="C744" s="45" t="str">
        <x:f>'Path Daily'!C744</x:f>
        <x:v>P8</x:v>
      </x:c>
      <x:c r="D744" s="45" t="n">
        <x:f>'Path Daily'!D744</x:f>
        <x:v>9</x:v>
      </x:c>
      <x:c r="E744" s="53" t="n">
        <x:f>IF(D744=0,SUMIFS('Cargo Records'!$T$7:$T$70,'Cargo Records'!$J$7:$J$70,C744),0)</x:f>
        <x:v>0</x:v>
      </x:c>
      <x:c r="F744" s="53" t="n">
        <x:f>I743</x:f>
        <x:v>195924</x:v>
      </x:c>
      <x:c r="G744" s="53" t="n">
        <x:f>'Path Daily'!M744</x:f>
        <x:v>9360</x:v>
      </x:c>
      <x:c r="H744" s="53" t="n">
        <x:f>MIN(E744+F744,G744)</x:f>
        <x:v>9360</x:v>
      </x:c>
      <x:c r="I744" s="53" t="n">
        <x:f>E744+F744-H744</x:f>
        <x:v>186564</x:v>
      </x:c>
      <x:c r="J744" s="45" t="str">
        <x:f>IF(I744=0,"CLEAR","QUEUED")</x:f>
        <x:v>QUEUED</x:v>
      </x:c>
      <x:c r="K744" s="72"/>
      <x:c r="L744" s="72"/>
      <x:c r="M744" s="72"/>
      <x:c r="N744" s="72"/>
    </x:row>
    <x:row r="745">
      <x:c r="C745" s="45" t="str">
        <x:f>'Path Daily'!C745</x:f>
        <x:v>P8</x:v>
      </x:c>
      <x:c r="D745" s="45" t="n">
        <x:f>'Path Daily'!D745</x:f>
        <x:v>10</x:v>
      </x:c>
      <x:c r="E745" s="53" t="n">
        <x:f>IF(D745=0,SUMIFS('Cargo Records'!$T$7:$T$70,'Cargo Records'!$J$7:$J$70,C745),0)</x:f>
        <x:v>0</x:v>
      </x:c>
      <x:c r="F745" s="53" t="n">
        <x:f>I744</x:f>
        <x:v>186564</x:v>
      </x:c>
      <x:c r="G745" s="53" t="n">
        <x:f>'Path Daily'!M745</x:f>
        <x:v>9360</x:v>
      </x:c>
      <x:c r="H745" s="53" t="n">
        <x:f>MIN(E745+F745,G745)</x:f>
        <x:v>9360</x:v>
      </x:c>
      <x:c r="I745" s="53" t="n">
        <x:f>E745+F745-H745</x:f>
        <x:v>177204</x:v>
      </x:c>
      <x:c r="J745" s="45" t="str">
        <x:f>IF(I745=0,"CLEAR","QUEUED")</x:f>
        <x:v>QUEUED</x:v>
      </x:c>
      <x:c r="K745" s="72"/>
      <x:c r="L745" s="72"/>
      <x:c r="M745" s="72"/>
      <x:c r="N745" s="72"/>
    </x:row>
    <x:row r="746">
      <x:c r="C746" s="45" t="str">
        <x:f>'Path Daily'!C746</x:f>
        <x:v>P8</x:v>
      </x:c>
      <x:c r="D746" s="45" t="n">
        <x:f>'Path Daily'!D746</x:f>
        <x:v>11</x:v>
      </x:c>
      <x:c r="E746" s="53" t="n">
        <x:f>IF(D746=0,SUMIFS('Cargo Records'!$T$7:$T$70,'Cargo Records'!$J$7:$J$70,C746),0)</x:f>
        <x:v>0</x:v>
      </x:c>
      <x:c r="F746" s="53" t="n">
        <x:f>I745</x:f>
        <x:v>177204</x:v>
      </x:c>
      <x:c r="G746" s="53" t="n">
        <x:f>'Path Daily'!M746</x:f>
        <x:v>9360</x:v>
      </x:c>
      <x:c r="H746" s="53" t="n">
        <x:f>MIN(E746+F746,G746)</x:f>
        <x:v>9360</x:v>
      </x:c>
      <x:c r="I746" s="53" t="n">
        <x:f>E746+F746-H746</x:f>
        <x:v>167844</x:v>
      </x:c>
      <x:c r="J746" s="45" t="str">
        <x:f>IF(I746=0,"CLEAR","QUEUED")</x:f>
        <x:v>QUEUED</x:v>
      </x:c>
      <x:c r="K746" s="72"/>
      <x:c r="L746" s="72"/>
      <x:c r="M746" s="72"/>
      <x:c r="N746" s="72"/>
    </x:row>
    <x:row r="747">
      <x:c r="C747" s="45" t="str">
        <x:f>'Path Daily'!C747</x:f>
        <x:v>P8</x:v>
      </x:c>
      <x:c r="D747" s="45" t="n">
        <x:f>'Path Daily'!D747</x:f>
        <x:v>12</x:v>
      </x:c>
      <x:c r="E747" s="53" t="n">
        <x:f>IF(D747=0,SUMIFS('Cargo Records'!$T$7:$T$70,'Cargo Records'!$J$7:$J$70,C747),0)</x:f>
        <x:v>0</x:v>
      </x:c>
      <x:c r="F747" s="53" t="n">
        <x:f>I746</x:f>
        <x:v>167844</x:v>
      </x:c>
      <x:c r="G747" s="53" t="n">
        <x:f>'Path Daily'!M747</x:f>
        <x:v>9360</x:v>
      </x:c>
      <x:c r="H747" s="53" t="n">
        <x:f>MIN(E747+F747,G747)</x:f>
        <x:v>9360</x:v>
      </x:c>
      <x:c r="I747" s="53" t="n">
        <x:f>E747+F747-H747</x:f>
        <x:v>158484</x:v>
      </x:c>
      <x:c r="J747" s="45" t="str">
        <x:f>IF(I747=0,"CLEAR","QUEUED")</x:f>
        <x:v>QUEUED</x:v>
      </x:c>
      <x:c r="K747" s="72"/>
      <x:c r="L747" s="72"/>
      <x:c r="M747" s="72"/>
      <x:c r="N747" s="72"/>
    </x:row>
    <x:row r="748">
      <x:c r="C748" s="45" t="str">
        <x:f>'Path Daily'!C748</x:f>
        <x:v>P8</x:v>
      </x:c>
      <x:c r="D748" s="45" t="n">
        <x:f>'Path Daily'!D748</x:f>
        <x:v>13</x:v>
      </x:c>
      <x:c r="E748" s="53" t="n">
        <x:f>IF(D748=0,SUMIFS('Cargo Records'!$T$7:$T$70,'Cargo Records'!$J$7:$J$70,C748),0)</x:f>
        <x:v>0</x:v>
      </x:c>
      <x:c r="F748" s="53" t="n">
        <x:f>I747</x:f>
        <x:v>158484</x:v>
      </x:c>
      <x:c r="G748" s="53" t="n">
        <x:f>'Path Daily'!M748</x:f>
        <x:v>9360</x:v>
      </x:c>
      <x:c r="H748" s="53" t="n">
        <x:f>MIN(E748+F748,G748)</x:f>
        <x:v>9360</x:v>
      </x:c>
      <x:c r="I748" s="53" t="n">
        <x:f>E748+F748-H748</x:f>
        <x:v>149124</x:v>
      </x:c>
      <x:c r="J748" s="45" t="str">
        <x:f>IF(I748=0,"CLEAR","QUEUED")</x:f>
        <x:v>QUEUED</x:v>
      </x:c>
      <x:c r="K748" s="72"/>
      <x:c r="L748" s="72"/>
      <x:c r="M748" s="72"/>
      <x:c r="N748" s="72"/>
    </x:row>
    <x:row r="749">
      <x:c r="C749" s="45" t="str">
        <x:f>'Path Daily'!C749</x:f>
        <x:v>P8</x:v>
      </x:c>
      <x:c r="D749" s="45" t="n">
        <x:f>'Path Daily'!D749</x:f>
        <x:v>14</x:v>
      </x:c>
      <x:c r="E749" s="53" t="n">
        <x:f>IF(D749=0,SUMIFS('Cargo Records'!$T$7:$T$70,'Cargo Records'!$J$7:$J$70,C749),0)</x:f>
        <x:v>0</x:v>
      </x:c>
      <x:c r="F749" s="53" t="n">
        <x:f>I748</x:f>
        <x:v>149124</x:v>
      </x:c>
      <x:c r="G749" s="53" t="n">
        <x:f>'Path Daily'!M749</x:f>
        <x:v>2340</x:v>
      </x:c>
      <x:c r="H749" s="53" t="n">
        <x:f>MIN(E749+F749,G749)</x:f>
        <x:v>2340</x:v>
      </x:c>
      <x:c r="I749" s="53" t="n">
        <x:f>E749+F749-H749</x:f>
        <x:v>146784</x:v>
      </x:c>
      <x:c r="J749" s="45" t="str">
        <x:f>IF(I749=0,"CLEAR","QUEUED")</x:f>
        <x:v>QUEUED</x:v>
      </x:c>
      <x:c r="K749" s="72"/>
      <x:c r="L749" s="72"/>
      <x:c r="M749" s="72"/>
      <x:c r="N749" s="72"/>
    </x:row>
    <x:row r="750">
      <x:c r="C750" s="45" t="str">
        <x:f>'Path Daily'!C750</x:f>
        <x:v>P8</x:v>
      </x:c>
      <x:c r="D750" s="45" t="n">
        <x:f>'Path Daily'!D750</x:f>
        <x:v>15</x:v>
      </x:c>
      <x:c r="E750" s="53" t="n">
        <x:f>IF(D750=0,SUMIFS('Cargo Records'!$T$7:$T$70,'Cargo Records'!$J$7:$J$70,C750),0)</x:f>
        <x:v>0</x:v>
      </x:c>
      <x:c r="F750" s="53" t="n">
        <x:f>I749</x:f>
        <x:v>146784</x:v>
      </x:c>
      <x:c r="G750" s="53" t="n">
        <x:f>'Path Daily'!M750</x:f>
        <x:v>1800</x:v>
      </x:c>
      <x:c r="H750" s="53" t="n">
        <x:f>MIN(E750+F750,G750)</x:f>
        <x:v>1800</x:v>
      </x:c>
      <x:c r="I750" s="53" t="n">
        <x:f>E750+F750-H750</x:f>
        <x:v>144984</x:v>
      </x:c>
      <x:c r="J750" s="45" t="str">
        <x:f>IF(I750=0,"CLEAR","QUEUED")</x:f>
        <x:v>QUEUED</x:v>
      </x:c>
      <x:c r="K750" s="72"/>
      <x:c r="L750" s="72"/>
      <x:c r="M750" s="72"/>
      <x:c r="N750" s="72"/>
    </x:row>
    <x:row r="751">
      <x:c r="C751" s="45" t="str">
        <x:f>'Path Daily'!C751</x:f>
        <x:v>P8</x:v>
      </x:c>
      <x:c r="D751" s="45" t="n">
        <x:f>'Path Daily'!D751</x:f>
        <x:v>16</x:v>
      </x:c>
      <x:c r="E751" s="53" t="n">
        <x:f>IF(D751=0,SUMIFS('Cargo Records'!$T$7:$T$70,'Cargo Records'!$J$7:$J$70,C751),0)</x:f>
        <x:v>0</x:v>
      </x:c>
      <x:c r="F751" s="53" t="n">
        <x:f>I750</x:f>
        <x:v>144984</x:v>
      </x:c>
      <x:c r="G751" s="53" t="n">
        <x:f>'Path Daily'!M751</x:f>
        <x:v>1800</x:v>
      </x:c>
      <x:c r="H751" s="53" t="n">
        <x:f>MIN(E751+F751,G751)</x:f>
        <x:v>1800</x:v>
      </x:c>
      <x:c r="I751" s="53" t="n">
        <x:f>E751+F751-H751</x:f>
        <x:v>143184</x:v>
      </x:c>
      <x:c r="J751" s="45" t="str">
        <x:f>IF(I751=0,"CLEAR","QUEUED")</x:f>
        <x:v>QUEUED</x:v>
      </x:c>
      <x:c r="K751" s="72"/>
      <x:c r="L751" s="72"/>
      <x:c r="M751" s="72"/>
      <x:c r="N751" s="72"/>
    </x:row>
    <x:row r="752">
      <x:c r="C752" s="45" t="str">
        <x:f>'Path Daily'!C752</x:f>
        <x:v>P8</x:v>
      </x:c>
      <x:c r="D752" s="45" t="n">
        <x:f>'Path Daily'!D752</x:f>
        <x:v>17</x:v>
      </x:c>
      <x:c r="E752" s="53" t="n">
        <x:f>IF(D752=0,SUMIFS('Cargo Records'!$T$7:$T$70,'Cargo Records'!$J$7:$J$70,C752),0)</x:f>
        <x:v>0</x:v>
      </x:c>
      <x:c r="F752" s="53" t="n">
        <x:f>I751</x:f>
        <x:v>143184</x:v>
      </x:c>
      <x:c r="G752" s="53" t="n">
        <x:f>'Path Daily'!M752</x:f>
        <x:v>7200</x:v>
      </x:c>
      <x:c r="H752" s="53" t="n">
        <x:f>MIN(E752+F752,G752)</x:f>
        <x:v>7200</x:v>
      </x:c>
      <x:c r="I752" s="53" t="n">
        <x:f>E752+F752-H752</x:f>
        <x:v>135984</x:v>
      </x:c>
      <x:c r="J752" s="45" t="str">
        <x:f>IF(I752=0,"CLEAR","QUEUED")</x:f>
        <x:v>QUEUED</x:v>
      </x:c>
      <x:c r="K752" s="72"/>
      <x:c r="L752" s="72"/>
      <x:c r="M752" s="72"/>
      <x:c r="N752" s="72"/>
    </x:row>
    <x:row r="753">
      <x:c r="C753" s="45" t="str">
        <x:f>'Path Daily'!C753</x:f>
        <x:v>P8</x:v>
      </x:c>
      <x:c r="D753" s="45" t="n">
        <x:f>'Path Daily'!D753</x:f>
        <x:v>18</x:v>
      </x:c>
      <x:c r="E753" s="53" t="n">
        <x:f>IF(D753=0,SUMIFS('Cargo Records'!$T$7:$T$70,'Cargo Records'!$J$7:$J$70,C753),0)</x:f>
        <x:v>0</x:v>
      </x:c>
      <x:c r="F753" s="53" t="n">
        <x:f>I752</x:f>
        <x:v>135984</x:v>
      </x:c>
      <x:c r="G753" s="53" t="n">
        <x:f>'Path Daily'!M753</x:f>
        <x:v>14400</x:v>
      </x:c>
      <x:c r="H753" s="53" t="n">
        <x:f>MIN(E753+F753,G753)</x:f>
        <x:v>14400</x:v>
      </x:c>
      <x:c r="I753" s="53" t="n">
        <x:f>E753+F753-H753</x:f>
        <x:v>121584</x:v>
      </x:c>
      <x:c r="J753" s="45" t="str">
        <x:f>IF(I753=0,"CLEAR","QUEUED")</x:f>
        <x:v>QUEUED</x:v>
      </x:c>
      <x:c r="K753" s="72"/>
      <x:c r="L753" s="72"/>
      <x:c r="M753" s="72"/>
      <x:c r="N753" s="72"/>
    </x:row>
    <x:row r="754">
      <x:c r="C754" s="45" t="str">
        <x:f>'Path Daily'!C754</x:f>
        <x:v>P8</x:v>
      </x:c>
      <x:c r="D754" s="45" t="n">
        <x:f>'Path Daily'!D754</x:f>
        <x:v>19</x:v>
      </x:c>
      <x:c r="E754" s="53" t="n">
        <x:f>IF(D754=0,SUMIFS('Cargo Records'!$T$7:$T$70,'Cargo Records'!$J$7:$J$70,C754),0)</x:f>
        <x:v>0</x:v>
      </x:c>
      <x:c r="F754" s="53" t="n">
        <x:f>I753</x:f>
        <x:v>121584</x:v>
      </x:c>
      <x:c r="G754" s="53" t="n">
        <x:f>'Path Daily'!M754</x:f>
        <x:v>14400</x:v>
      </x:c>
      <x:c r="H754" s="53" t="n">
        <x:f>MIN(E754+F754,G754)</x:f>
        <x:v>14400</x:v>
      </x:c>
      <x:c r="I754" s="53" t="n">
        <x:f>E754+F754-H754</x:f>
        <x:v>107184</x:v>
      </x:c>
      <x:c r="J754" s="45" t="str">
        <x:f>IF(I754=0,"CLEAR","QUEUED")</x:f>
        <x:v>QUEUED</x:v>
      </x:c>
      <x:c r="K754" s="72"/>
      <x:c r="L754" s="72"/>
      <x:c r="M754" s="72"/>
      <x:c r="N754" s="72"/>
    </x:row>
    <x:row r="755">
      <x:c r="C755" s="45" t="str">
        <x:f>'Path Daily'!C755</x:f>
        <x:v>P8</x:v>
      </x:c>
      <x:c r="D755" s="45" t="n">
        <x:f>'Path Daily'!D755</x:f>
        <x:v>20</x:v>
      </x:c>
      <x:c r="E755" s="53" t="n">
        <x:f>IF(D755=0,SUMIFS('Cargo Records'!$T$7:$T$70,'Cargo Records'!$J$7:$J$70,C755),0)</x:f>
        <x:v>0</x:v>
      </x:c>
      <x:c r="F755" s="53" t="n">
        <x:f>I754</x:f>
        <x:v>107184</x:v>
      </x:c>
      <x:c r="G755" s="53" t="n">
        <x:f>'Path Daily'!M755</x:f>
        <x:v>14400</x:v>
      </x:c>
      <x:c r="H755" s="53" t="n">
        <x:f>MIN(E755+F755,G755)</x:f>
        <x:v>14400</x:v>
      </x:c>
      <x:c r="I755" s="53" t="n">
        <x:f>E755+F755-H755</x:f>
        <x:v>92784</x:v>
      </x:c>
      <x:c r="J755" s="45" t="str">
        <x:f>IF(I755=0,"CLEAR","QUEUED")</x:f>
        <x:v>QUEUED</x:v>
      </x:c>
      <x:c r="K755" s="72"/>
      <x:c r="L755" s="72"/>
      <x:c r="M755" s="72"/>
      <x:c r="N755" s="72"/>
    </x:row>
    <x:row r="756">
      <x:c r="C756" s="45" t="str">
        <x:f>'Path Daily'!C756</x:f>
        <x:v>P8</x:v>
      </x:c>
      <x:c r="D756" s="45" t="n">
        <x:f>'Path Daily'!D756</x:f>
        <x:v>21</x:v>
      </x:c>
      <x:c r="E756" s="53" t="n">
        <x:f>IF(D756=0,SUMIFS('Cargo Records'!$T$7:$T$70,'Cargo Records'!$J$7:$J$70,C756),0)</x:f>
        <x:v>0</x:v>
      </x:c>
      <x:c r="F756" s="53" t="n">
        <x:f>I755</x:f>
        <x:v>92784</x:v>
      </x:c>
      <x:c r="G756" s="53" t="n">
        <x:f>'Path Daily'!M756</x:f>
        <x:v>3600</x:v>
      </x:c>
      <x:c r="H756" s="53" t="n">
        <x:f>MIN(E756+F756,G756)</x:f>
        <x:v>3600</x:v>
      </x:c>
      <x:c r="I756" s="53" t="n">
        <x:f>E756+F756-H756</x:f>
        <x:v>89184</x:v>
      </x:c>
      <x:c r="J756" s="45" t="str">
        <x:f>IF(I756=0,"CLEAR","QUEUED")</x:f>
        <x:v>QUEUED</x:v>
      </x:c>
      <x:c r="K756" s="72"/>
      <x:c r="L756" s="72"/>
      <x:c r="M756" s="72"/>
      <x:c r="N756" s="72"/>
    </x:row>
    <x:row r="757">
      <x:c r="C757" s="45" t="str">
        <x:f>'Path Daily'!C757</x:f>
        <x:v>P8</x:v>
      </x:c>
      <x:c r="D757" s="45" t="n">
        <x:f>'Path Daily'!D757</x:f>
        <x:v>22</x:v>
      </x:c>
      <x:c r="E757" s="53" t="n">
        <x:f>IF(D757=0,SUMIFS('Cargo Records'!$T$7:$T$70,'Cargo Records'!$J$7:$J$70,C757),0)</x:f>
        <x:v>0</x:v>
      </x:c>
      <x:c r="F757" s="53" t="n">
        <x:f>I756</x:f>
        <x:v>89184</x:v>
      </x:c>
      <x:c r="G757" s="53" t="n">
        <x:f>'Path Daily'!M757</x:f>
        <x:v>14400</x:v>
      </x:c>
      <x:c r="H757" s="53" t="n">
        <x:f>MIN(E757+F757,G757)</x:f>
        <x:v>14400</x:v>
      </x:c>
      <x:c r="I757" s="53" t="n">
        <x:f>E757+F757-H757</x:f>
        <x:v>74784</x:v>
      </x:c>
      <x:c r="J757" s="45" t="str">
        <x:f>IF(I757=0,"CLEAR","QUEUED")</x:f>
        <x:v>QUEUED</x:v>
      </x:c>
      <x:c r="K757" s="72"/>
      <x:c r="L757" s="72"/>
      <x:c r="M757" s="72"/>
      <x:c r="N757" s="72"/>
    </x:row>
    <x:row r="758">
      <x:c r="C758" s="45" t="str">
        <x:f>'Path Daily'!C758</x:f>
        <x:v>P8</x:v>
      </x:c>
      <x:c r="D758" s="45" t="n">
        <x:f>'Path Daily'!D758</x:f>
        <x:v>23</x:v>
      </x:c>
      <x:c r="E758" s="53" t="n">
        <x:f>IF(D758=0,SUMIFS('Cargo Records'!$T$7:$T$70,'Cargo Records'!$J$7:$J$70,C758),0)</x:f>
        <x:v>0</x:v>
      </x:c>
      <x:c r="F758" s="53" t="n">
        <x:f>I757</x:f>
        <x:v>74784</x:v>
      </x:c>
      <x:c r="G758" s="53" t="n">
        <x:f>'Path Daily'!M758</x:f>
        <x:v>14400</x:v>
      </x:c>
      <x:c r="H758" s="53" t="n">
        <x:f>MIN(E758+F758,G758)</x:f>
        <x:v>14400</x:v>
      </x:c>
      <x:c r="I758" s="53" t="n">
        <x:f>E758+F758-H758</x:f>
        <x:v>60384</x:v>
      </x:c>
      <x:c r="J758" s="45" t="str">
        <x:f>IF(I758=0,"CLEAR","QUEUED")</x:f>
        <x:v>QUEUED</x:v>
      </x:c>
      <x:c r="K758" s="72"/>
      <x:c r="L758" s="72"/>
      <x:c r="M758" s="72"/>
      <x:c r="N758" s="72"/>
    </x:row>
    <x:row r="759">
      <x:c r="C759" s="45" t="str">
        <x:f>'Path Daily'!C759</x:f>
        <x:v>P8</x:v>
      </x:c>
      <x:c r="D759" s="45" t="n">
        <x:f>'Path Daily'!D759</x:f>
        <x:v>24</x:v>
      </x:c>
      <x:c r="E759" s="53" t="n">
        <x:f>IF(D759=0,SUMIFS('Cargo Records'!$T$7:$T$70,'Cargo Records'!$J$7:$J$70,C759),0)</x:f>
        <x:v>0</x:v>
      </x:c>
      <x:c r="F759" s="53" t="n">
        <x:f>I758</x:f>
        <x:v>60384</x:v>
      </x:c>
      <x:c r="G759" s="53" t="n">
        <x:f>'Path Daily'!M759</x:f>
        <x:v>14400</x:v>
      </x:c>
      <x:c r="H759" s="53" t="n">
        <x:f>MIN(E759+F759,G759)</x:f>
        <x:v>14400</x:v>
      </x:c>
      <x:c r="I759" s="53" t="n">
        <x:f>E759+F759-H759</x:f>
        <x:v>45984</x:v>
      </x:c>
      <x:c r="J759" s="45" t="str">
        <x:f>IF(I759=0,"CLEAR","QUEUED")</x:f>
        <x:v>QUEUED</x:v>
      </x:c>
      <x:c r="K759" s="72"/>
      <x:c r="L759" s="72"/>
      <x:c r="M759" s="72"/>
      <x:c r="N759" s="72"/>
    </x:row>
    <x:row r="760">
      <x:c r="C760" s="45" t="str">
        <x:f>'Path Daily'!C760</x:f>
        <x:v>P8</x:v>
      </x:c>
      <x:c r="D760" s="45" t="n">
        <x:f>'Path Daily'!D760</x:f>
        <x:v>25</x:v>
      </x:c>
      <x:c r="E760" s="53" t="n">
        <x:f>IF(D760=0,SUMIFS('Cargo Records'!$T$7:$T$70,'Cargo Records'!$J$7:$J$70,C760),0)</x:f>
        <x:v>0</x:v>
      </x:c>
      <x:c r="F760" s="53" t="n">
        <x:f>I759</x:f>
        <x:v>45984</x:v>
      </x:c>
      <x:c r="G760" s="53" t="n">
        <x:f>'Path Daily'!M760</x:f>
        <x:v>14400</x:v>
      </x:c>
      <x:c r="H760" s="53" t="n">
        <x:f>MIN(E760+F760,G760)</x:f>
        <x:v>14400</x:v>
      </x:c>
      <x:c r="I760" s="53" t="n">
        <x:f>E760+F760-H760</x:f>
        <x:v>31584</x:v>
      </x:c>
      <x:c r="J760" s="45" t="str">
        <x:f>IF(I760=0,"CLEAR","QUEUED")</x:f>
        <x:v>QUEUED</x:v>
      </x:c>
      <x:c r="K760" s="72"/>
      <x:c r="L760" s="72"/>
      <x:c r="M760" s="72"/>
      <x:c r="N760" s="72"/>
    </x:row>
    <x:row r="761">
      <x:c r="C761" s="45" t="str">
        <x:f>'Path Daily'!C761</x:f>
        <x:v>P8</x:v>
      </x:c>
      <x:c r="D761" s="45" t="n">
        <x:f>'Path Daily'!D761</x:f>
        <x:v>26</x:v>
      </x:c>
      <x:c r="E761" s="53" t="n">
        <x:f>IF(D761=0,SUMIFS('Cargo Records'!$T$7:$T$70,'Cargo Records'!$J$7:$J$70,C761),0)</x:f>
        <x:v>0</x:v>
      </x:c>
      <x:c r="F761" s="53" t="n">
        <x:f>I760</x:f>
        <x:v>31584</x:v>
      </x:c>
      <x:c r="G761" s="53" t="n">
        <x:f>'Path Daily'!M761</x:f>
        <x:v>14400</x:v>
      </x:c>
      <x:c r="H761" s="53" t="n">
        <x:f>MIN(E761+F761,G761)</x:f>
        <x:v>14400</x:v>
      </x:c>
      <x:c r="I761" s="53" t="n">
        <x:f>E761+F761-H761</x:f>
        <x:v>17184</x:v>
      </x:c>
      <x:c r="J761" s="45" t="str">
        <x:f>IF(I761=0,"CLEAR","QUEUED")</x:f>
        <x:v>QUEUED</x:v>
      </x:c>
      <x:c r="K761" s="72"/>
      <x:c r="L761" s="72"/>
      <x:c r="M761" s="72"/>
      <x:c r="N761" s="72"/>
    </x:row>
    <x:row r="762">
      <x:c r="C762" s="45" t="str">
        <x:f>'Path Daily'!C762</x:f>
        <x:v>P8</x:v>
      </x:c>
      <x:c r="D762" s="45" t="n">
        <x:f>'Path Daily'!D762</x:f>
        <x:v>27</x:v>
      </x:c>
      <x:c r="E762" s="53" t="n">
        <x:f>IF(D762=0,SUMIFS('Cargo Records'!$T$7:$T$70,'Cargo Records'!$J$7:$J$70,C762),0)</x:f>
        <x:v>0</x:v>
      </x:c>
      <x:c r="F762" s="53" t="n">
        <x:f>I761</x:f>
        <x:v>17184</x:v>
      </x:c>
      <x:c r="G762" s="53" t="n">
        <x:f>'Path Daily'!M762</x:f>
        <x:v>14400</x:v>
      </x:c>
      <x:c r="H762" s="53" t="n">
        <x:f>MIN(E762+F762,G762)</x:f>
        <x:v>14400</x:v>
      </x:c>
      <x:c r="I762" s="53" t="n">
        <x:f>E762+F762-H762</x:f>
        <x:v>2784</x:v>
      </x:c>
      <x:c r="J762" s="45" t="str">
        <x:f>IF(I762=0,"CLEAR","QUEUED")</x:f>
        <x:v>QUEUED</x:v>
      </x:c>
      <x:c r="K762" s="72"/>
      <x:c r="L762" s="72"/>
      <x:c r="M762" s="72"/>
      <x:c r="N762" s="72"/>
    </x:row>
    <x:row r="763">
      <x:c r="C763" s="45" t="str">
        <x:f>'Path Daily'!C763</x:f>
        <x:v>P8</x:v>
      </x:c>
      <x:c r="D763" s="45" t="n">
        <x:f>'Path Daily'!D763</x:f>
        <x:v>28</x:v>
      </x:c>
      <x:c r="E763" s="53" t="n">
        <x:f>IF(D763=0,SUMIFS('Cargo Records'!$T$7:$T$70,'Cargo Records'!$J$7:$J$70,C763),0)</x:f>
        <x:v>0</x:v>
      </x:c>
      <x:c r="F763" s="53" t="n">
        <x:f>I762</x:f>
        <x:v>2784</x:v>
      </x:c>
      <x:c r="G763" s="53" t="n">
        <x:f>'Path Daily'!M763</x:f>
        <x:v>14400</x:v>
      </x:c>
      <x:c r="H763" s="53" t="n">
        <x:f>MIN(E763+F763,G763)</x:f>
        <x:v>2784</x:v>
      </x:c>
      <x:c r="I763" s="53" t="n">
        <x:f>E763+F763-H763</x:f>
        <x:v>0</x:v>
      </x:c>
      <x:c r="J763" s="45" t="str">
        <x:f>IF(I763=0,"CLEAR","QUEUED")</x:f>
        <x:v>CLEAR</x:v>
      </x:c>
      <x:c r="K763" s="72"/>
      <x:c r="L763" s="72"/>
      <x:c r="M763" s="72"/>
      <x:c r="N763" s="72"/>
    </x:row>
    <x:row r="764">
      <x:c r="C764" s="45" t="str">
        <x:f>'Path Daily'!C764</x:f>
        <x:v>P8</x:v>
      </x:c>
      <x:c r="D764" s="45" t="n">
        <x:f>'Path Daily'!D764</x:f>
        <x:v>29</x:v>
      </x:c>
      <x:c r="E764" s="53" t="n">
        <x:f>IF(D764=0,SUMIFS('Cargo Records'!$T$7:$T$70,'Cargo Records'!$J$7:$J$70,C764),0)</x:f>
        <x:v>0</x:v>
      </x:c>
      <x:c r="F764" s="53" t="n">
        <x:f>I763</x:f>
        <x:v>0</x:v>
      </x:c>
      <x:c r="G764" s="53" t="n">
        <x:f>'Path Daily'!M764</x:f>
        <x:v>14400</x:v>
      </x:c>
      <x:c r="H764" s="53" t="n">
        <x:f>MIN(E764+F764,G764)</x:f>
        <x:v>0</x:v>
      </x:c>
      <x:c r="I764" s="53" t="n">
        <x:f>E764+F764-H764</x:f>
        <x:v>0</x:v>
      </x:c>
      <x:c r="J764" s="45" t="str">
        <x:f>IF(I764=0,"CLEAR","QUEUED")</x:f>
        <x:v>CLEAR</x:v>
      </x:c>
      <x:c r="K764" s="72"/>
      <x:c r="L764" s="72"/>
      <x:c r="M764" s="72"/>
      <x:c r="N764" s="72"/>
    </x:row>
    <x:row r="765">
      <x:c r="C765" s="45" t="str">
        <x:f>'Path Daily'!C765</x:f>
        <x:v>P8</x:v>
      </x:c>
      <x:c r="D765" s="45" t="n">
        <x:f>'Path Daily'!D765</x:f>
        <x:v>30</x:v>
      </x:c>
      <x:c r="E765" s="53" t="n">
        <x:f>IF(D765=0,SUMIFS('Cargo Records'!$T$7:$T$70,'Cargo Records'!$J$7:$J$70,C765),0)</x:f>
        <x:v>0</x:v>
      </x:c>
      <x:c r="F765" s="53" t="n">
        <x:f>I764</x:f>
        <x:v>0</x:v>
      </x:c>
      <x:c r="G765" s="53" t="n">
        <x:f>'Path Daily'!M765</x:f>
        <x:v>14400</x:v>
      </x:c>
      <x:c r="H765" s="53" t="n">
        <x:f>MIN(E765+F765,G765)</x:f>
        <x:v>0</x:v>
      </x:c>
      <x:c r="I765" s="53" t="n">
        <x:f>E765+F765-H765</x:f>
        <x:v>0</x:v>
      </x:c>
      <x:c r="J765" s="45" t="str">
        <x:f>IF(I765=0,"CLEAR","QUEUED")</x:f>
        <x:v>CLEAR</x:v>
      </x:c>
      <x:c r="K765" s="72"/>
      <x:c r="L765" s="72"/>
      <x:c r="M765" s="72"/>
      <x:c r="N765" s="72"/>
    </x:row>
    <x:row r="766">
      <x:c r="C766" s="45" t="str">
        <x:f>'Path Daily'!C766</x:f>
        <x:v>P8</x:v>
      </x:c>
      <x:c r="D766" s="45" t="n">
        <x:f>'Path Daily'!D766</x:f>
        <x:v>31</x:v>
      </x:c>
      <x:c r="E766" s="53" t="n">
        <x:f>IF(D766=0,SUMIFS('Cargo Records'!$T$7:$T$70,'Cargo Records'!$J$7:$J$70,C766),0)</x:f>
        <x:v>0</x:v>
      </x:c>
      <x:c r="F766" s="53" t="n">
        <x:f>I765</x:f>
        <x:v>0</x:v>
      </x:c>
      <x:c r="G766" s="53" t="n">
        <x:f>'Path Daily'!M766</x:f>
        <x:v>14400</x:v>
      </x:c>
      <x:c r="H766" s="53" t="n">
        <x:f>MIN(E766+F766,G766)</x:f>
        <x:v>0</x:v>
      </x:c>
      <x:c r="I766" s="53" t="n">
        <x:f>E766+F766-H766</x:f>
        <x:v>0</x:v>
      </x:c>
      <x:c r="J766" s="45" t="str">
        <x:f>IF(I766=0,"CLEAR","QUEUED")</x:f>
        <x:v>CLEAR</x:v>
      </x:c>
      <x:c r="K766" s="72"/>
      <x:c r="L766" s="72"/>
      <x:c r="M766" s="72"/>
      <x:c r="N766" s="72"/>
    </x:row>
    <x:row r="767">
      <x:c r="C767" s="45" t="str">
        <x:f>'Path Daily'!C767</x:f>
        <x:v>P8</x:v>
      </x:c>
      <x:c r="D767" s="45" t="n">
        <x:f>'Path Daily'!D767</x:f>
        <x:v>32</x:v>
      </x:c>
      <x:c r="E767" s="53" t="n">
        <x:f>IF(D767=0,SUMIFS('Cargo Records'!$T$7:$T$70,'Cargo Records'!$J$7:$J$70,C767),0)</x:f>
        <x:v>0</x:v>
      </x:c>
      <x:c r="F767" s="53" t="n">
        <x:f>I766</x:f>
        <x:v>0</x:v>
      </x:c>
      <x:c r="G767" s="53" t="n">
        <x:f>'Path Daily'!M767</x:f>
        <x:v>14400</x:v>
      </x:c>
      <x:c r="H767" s="53" t="n">
        <x:f>MIN(E767+F767,G767)</x:f>
        <x:v>0</x:v>
      </x:c>
      <x:c r="I767" s="53" t="n">
        <x:f>E767+F767-H767</x:f>
        <x:v>0</x:v>
      </x:c>
      <x:c r="J767" s="45" t="str">
        <x:f>IF(I767=0,"CLEAR","QUEUED")</x:f>
        <x:v>CLEAR</x:v>
      </x:c>
      <x:c r="K767" s="72"/>
      <x:c r="L767" s="72"/>
      <x:c r="M767" s="72"/>
      <x:c r="N767" s="72"/>
    </x:row>
    <x:row r="768">
      <x:c r="C768" s="45" t="str">
        <x:f>'Path Daily'!C768</x:f>
        <x:v>P8</x:v>
      </x:c>
      <x:c r="D768" s="45" t="n">
        <x:f>'Path Daily'!D768</x:f>
        <x:v>33</x:v>
      </x:c>
      <x:c r="E768" s="53" t="n">
        <x:f>IF(D768=0,SUMIFS('Cargo Records'!$T$7:$T$70,'Cargo Records'!$J$7:$J$70,C768),0)</x:f>
        <x:v>0</x:v>
      </x:c>
      <x:c r="F768" s="53" t="n">
        <x:f>I767</x:f>
        <x:v>0</x:v>
      </x:c>
      <x:c r="G768" s="53" t="n">
        <x:f>'Path Daily'!M768</x:f>
        <x:v>14400</x:v>
      </x:c>
      <x:c r="H768" s="53" t="n">
        <x:f>MIN(E768+F768,G768)</x:f>
        <x:v>0</x:v>
      </x:c>
      <x:c r="I768" s="53" t="n">
        <x:f>E768+F768-H768</x:f>
        <x:v>0</x:v>
      </x:c>
      <x:c r="J768" s="45" t="str">
        <x:f>IF(I768=0,"CLEAR","QUEUED")</x:f>
        <x:v>CLEAR</x:v>
      </x:c>
      <x:c r="K768" s="72"/>
      <x:c r="L768" s="72"/>
      <x:c r="M768" s="72"/>
      <x:c r="N768" s="72"/>
    </x:row>
    <x:row r="769">
      <x:c r="C769" s="45" t="str">
        <x:f>'Path Daily'!C769</x:f>
        <x:v>P8</x:v>
      </x:c>
      <x:c r="D769" s="45" t="n">
        <x:f>'Path Daily'!D769</x:f>
        <x:v>34</x:v>
      </x:c>
      <x:c r="E769" s="53" t="n">
        <x:f>IF(D769=0,SUMIFS('Cargo Records'!$T$7:$T$70,'Cargo Records'!$J$7:$J$70,C769),0)</x:f>
        <x:v>0</x:v>
      </x:c>
      <x:c r="F769" s="53" t="n">
        <x:f>I768</x:f>
        <x:v>0</x:v>
      </x:c>
      <x:c r="G769" s="53" t="n">
        <x:f>'Path Daily'!M769</x:f>
        <x:v>3600</x:v>
      </x:c>
      <x:c r="H769" s="53" t="n">
        <x:f>MIN(E769+F769,G769)</x:f>
        <x:v>0</x:v>
      </x:c>
      <x:c r="I769" s="53" t="n">
        <x:f>E769+F769-H769</x:f>
        <x:v>0</x:v>
      </x:c>
      <x:c r="J769" s="45" t="str">
        <x:f>IF(I769=0,"CLEAR","QUEUED")</x:f>
        <x:v>CLEAR</x:v>
      </x:c>
      <x:c r="K769" s="72"/>
      <x:c r="L769" s="72"/>
      <x:c r="M769" s="72"/>
      <x:c r="N769" s="72"/>
    </x:row>
    <x:row r="770">
      <x:c r="C770" s="45" t="str">
        <x:f>'Path Daily'!C770</x:f>
        <x:v>P8</x:v>
      </x:c>
      <x:c r="D770" s="45" t="n">
        <x:f>'Path Daily'!D770</x:f>
        <x:v>35</x:v>
      </x:c>
      <x:c r="E770" s="53" t="n">
        <x:f>IF(D770=0,SUMIFS('Cargo Records'!$T$7:$T$70,'Cargo Records'!$J$7:$J$70,C770),0)</x:f>
        <x:v>0</x:v>
      </x:c>
      <x:c r="F770" s="53" t="n">
        <x:f>I769</x:f>
        <x:v>0</x:v>
      </x:c>
      <x:c r="G770" s="53" t="n">
        <x:f>'Path Daily'!M770</x:f>
        <x:v>3600</x:v>
      </x:c>
      <x:c r="H770" s="53" t="n">
        <x:f>MIN(E770+F770,G770)</x:f>
        <x:v>0</x:v>
      </x:c>
      <x:c r="I770" s="53" t="n">
        <x:f>E770+F770-H770</x:f>
        <x:v>0</x:v>
      </x:c>
      <x:c r="J770" s="45" t="str">
        <x:f>IF(I770=0,"CLEAR","QUEUED")</x:f>
        <x:v>CLEAR</x:v>
      </x:c>
      <x:c r="K770" s="72"/>
      <x:c r="L770" s="72"/>
      <x:c r="M770" s="72"/>
      <x:c r="N770" s="72"/>
    </x:row>
    <x:row r="771">
      <x:c r="C771" s="45" t="str">
        <x:f>'Path Daily'!C771</x:f>
        <x:v>P8</x:v>
      </x:c>
      <x:c r="D771" s="45" t="n">
        <x:f>'Path Daily'!D771</x:f>
        <x:v>36</x:v>
      </x:c>
      <x:c r="E771" s="53" t="n">
        <x:f>IF(D771=0,SUMIFS('Cargo Records'!$T$7:$T$70,'Cargo Records'!$J$7:$J$70,C771),0)</x:f>
        <x:v>0</x:v>
      </x:c>
      <x:c r="F771" s="53" t="n">
        <x:f>I770</x:f>
        <x:v>0</x:v>
      </x:c>
      <x:c r="G771" s="53" t="n">
        <x:f>'Path Daily'!M771</x:f>
        <x:v>14400</x:v>
      </x:c>
      <x:c r="H771" s="53" t="n">
        <x:f>MIN(E771+F771,G771)</x:f>
        <x:v>0</x:v>
      </x:c>
      <x:c r="I771" s="53" t="n">
        <x:f>E771+F771-H771</x:f>
        <x:v>0</x:v>
      </x:c>
      <x:c r="J771" s="45" t="str">
        <x:f>IF(I771=0,"CLEAR","QUEUED")</x:f>
        <x:v>CLEAR</x:v>
      </x:c>
      <x:c r="K771" s="72"/>
      <x:c r="L771" s="72"/>
      <x:c r="M771" s="72"/>
      <x:c r="N771" s="72"/>
    </x:row>
    <x:row r="772">
      <x:c r="C772" s="45" t="str">
        <x:f>'Path Daily'!C772</x:f>
        <x:v>P8</x:v>
      </x:c>
      <x:c r="D772" s="45" t="n">
        <x:f>'Path Daily'!D772</x:f>
        <x:v>37</x:v>
      </x:c>
      <x:c r="E772" s="53" t="n">
        <x:f>IF(D772=0,SUMIFS('Cargo Records'!$T$7:$T$70,'Cargo Records'!$J$7:$J$70,C772),0)</x:f>
        <x:v>0</x:v>
      </x:c>
      <x:c r="F772" s="53" t="n">
        <x:f>I771</x:f>
        <x:v>0</x:v>
      </x:c>
      <x:c r="G772" s="53" t="n">
        <x:f>'Path Daily'!M772</x:f>
        <x:v>14400</x:v>
      </x:c>
      <x:c r="H772" s="53" t="n">
        <x:f>MIN(E772+F772,G772)</x:f>
        <x:v>0</x:v>
      </x:c>
      <x:c r="I772" s="53" t="n">
        <x:f>E772+F772-H772</x:f>
        <x:v>0</x:v>
      </x:c>
      <x:c r="J772" s="45" t="str">
        <x:f>IF(I772=0,"CLEAR","QUEUED")</x:f>
        <x:v>CLEAR</x:v>
      </x:c>
      <x:c r="K772" s="72"/>
      <x:c r="L772" s="72"/>
      <x:c r="M772" s="72"/>
      <x:c r="N772" s="72"/>
    </x:row>
    <x:row r="773">
      <x:c r="C773" s="45" t="str">
        <x:f>'Path Daily'!C773</x:f>
        <x:v>P8</x:v>
      </x:c>
      <x:c r="D773" s="45" t="n">
        <x:f>'Path Daily'!D773</x:f>
        <x:v>38</x:v>
      </x:c>
      <x:c r="E773" s="53" t="n">
        <x:f>IF(D773=0,SUMIFS('Cargo Records'!$T$7:$T$70,'Cargo Records'!$J$7:$J$70,C773),0)</x:f>
        <x:v>0</x:v>
      </x:c>
      <x:c r="F773" s="53" t="n">
        <x:f>I772</x:f>
        <x:v>0</x:v>
      </x:c>
      <x:c r="G773" s="53" t="n">
        <x:f>'Path Daily'!M773</x:f>
        <x:v>14400</x:v>
      </x:c>
      <x:c r="H773" s="53" t="n">
        <x:f>MIN(E773+F773,G773)</x:f>
        <x:v>0</x:v>
      </x:c>
      <x:c r="I773" s="53" t="n">
        <x:f>E773+F773-H773</x:f>
        <x:v>0</x:v>
      </x:c>
      <x:c r="J773" s="45" t="str">
        <x:f>IF(I773=0,"CLEAR","QUEUED")</x:f>
        <x:v>CLEAR</x:v>
      </x:c>
      <x:c r="K773" s="72"/>
      <x:c r="L773" s="72"/>
      <x:c r="M773" s="72"/>
      <x:c r="N773" s="72"/>
    </x:row>
    <x:row r="774">
      <x:c r="C774" s="45" t="str">
        <x:f>'Path Daily'!C774</x:f>
        <x:v>P8</x:v>
      </x:c>
      <x:c r="D774" s="45" t="n">
        <x:f>'Path Daily'!D774</x:f>
        <x:v>39</x:v>
      </x:c>
      <x:c r="E774" s="53" t="n">
        <x:f>IF(D774=0,SUMIFS('Cargo Records'!$T$7:$T$70,'Cargo Records'!$J$7:$J$70,C774),0)</x:f>
        <x:v>0</x:v>
      </x:c>
      <x:c r="F774" s="53" t="n">
        <x:f>I773</x:f>
        <x:v>0</x:v>
      </x:c>
      <x:c r="G774" s="53" t="n">
        <x:f>'Path Daily'!M774</x:f>
        <x:v>14400</x:v>
      </x:c>
      <x:c r="H774" s="53" t="n">
        <x:f>MIN(E774+F774,G774)</x:f>
        <x:v>0</x:v>
      </x:c>
      <x:c r="I774" s="53" t="n">
        <x:f>E774+F774-H774</x:f>
        <x:v>0</x:v>
      </x:c>
      <x:c r="J774" s="45" t="str">
        <x:f>IF(I774=0,"CLEAR","QUEUED")</x:f>
        <x:v>CLEAR</x:v>
      </x:c>
      <x:c r="K774" s="72"/>
      <x:c r="L774" s="72"/>
      <x:c r="M774" s="72"/>
      <x:c r="N774" s="72"/>
    </x:row>
    <x:row r="775">
      <x:c r="C775" s="45" t="str">
        <x:f>'Path Daily'!C775</x:f>
        <x:v>P8</x:v>
      </x:c>
      <x:c r="D775" s="45" t="n">
        <x:f>'Path Daily'!D775</x:f>
        <x:v>40</x:v>
      </x:c>
      <x:c r="E775" s="53" t="n">
        <x:f>IF(D775=0,SUMIFS('Cargo Records'!$T$7:$T$70,'Cargo Records'!$J$7:$J$70,C775),0)</x:f>
        <x:v>0</x:v>
      </x:c>
      <x:c r="F775" s="53" t="n">
        <x:f>I774</x:f>
        <x:v>0</x:v>
      </x:c>
      <x:c r="G775" s="53" t="n">
        <x:f>'Path Daily'!M775</x:f>
        <x:v>14400</x:v>
      </x:c>
      <x:c r="H775" s="53" t="n">
        <x:f>MIN(E775+F775,G775)</x:f>
        <x:v>0</x:v>
      </x:c>
      <x:c r="I775" s="53" t="n">
        <x:f>E775+F775-H775</x:f>
        <x:v>0</x:v>
      </x:c>
      <x:c r="J775" s="45" t="str">
        <x:f>IF(I775=0,"CLEAR","QUEUED")</x:f>
        <x:v>CLEAR</x:v>
      </x:c>
      <x:c r="K775" s="72"/>
      <x:c r="L775" s="72"/>
      <x:c r="M775" s="72"/>
      <x:c r="N775" s="72"/>
    </x:row>
    <x:row r="776">
      <x:c r="C776" s="45" t="str">
        <x:f>'Path Daily'!C776</x:f>
        <x:v>P8</x:v>
      </x:c>
      <x:c r="D776" s="45" t="n">
        <x:f>'Path Daily'!D776</x:f>
        <x:v>41</x:v>
      </x:c>
      <x:c r="E776" s="53" t="n">
        <x:f>IF(D776=0,SUMIFS('Cargo Records'!$T$7:$T$70,'Cargo Records'!$J$7:$J$70,C776),0)</x:f>
        <x:v>0</x:v>
      </x:c>
      <x:c r="F776" s="53" t="n">
        <x:f>I775</x:f>
        <x:v>0</x:v>
      </x:c>
      <x:c r="G776" s="53" t="n">
        <x:f>'Path Daily'!M776</x:f>
        <x:v>14400</x:v>
      </x:c>
      <x:c r="H776" s="53" t="n">
        <x:f>MIN(E776+F776,G776)</x:f>
        <x:v>0</x:v>
      </x:c>
      <x:c r="I776" s="53" t="n">
        <x:f>E776+F776-H776</x:f>
        <x:v>0</x:v>
      </x:c>
      <x:c r="J776" s="45" t="str">
        <x:f>IF(I776=0,"CLEAR","QUEUED")</x:f>
        <x:v>CLEAR</x:v>
      </x:c>
      <x:c r="K776" s="72"/>
      <x:c r="L776" s="72"/>
      <x:c r="M776" s="72"/>
      <x:c r="N776" s="72"/>
    </x:row>
    <x:row r="777">
      <x:c r="C777" s="45" t="str">
        <x:f>'Path Daily'!C777</x:f>
        <x:v>P8</x:v>
      </x:c>
      <x:c r="D777" s="45" t="n">
        <x:f>'Path Daily'!D777</x:f>
        <x:v>42</x:v>
      </x:c>
      <x:c r="E777" s="53" t="n">
        <x:f>IF(D777=0,SUMIFS('Cargo Records'!$T$7:$T$70,'Cargo Records'!$J$7:$J$70,C777),0)</x:f>
        <x:v>0</x:v>
      </x:c>
      <x:c r="F777" s="53" t="n">
        <x:f>I776</x:f>
        <x:v>0</x:v>
      </x:c>
      <x:c r="G777" s="53" t="n">
        <x:f>'Path Daily'!M777</x:f>
        <x:v>14400</x:v>
      </x:c>
      <x:c r="H777" s="53" t="n">
        <x:f>MIN(E777+F777,G777)</x:f>
        <x:v>0</x:v>
      </x:c>
      <x:c r="I777" s="53" t="n">
        <x:f>E777+F777-H777</x:f>
        <x:v>0</x:v>
      </x:c>
      <x:c r="J777" s="45" t="str">
        <x:f>IF(I777=0,"CLEAR","QUEUED")</x:f>
        <x:v>CLEAR</x:v>
      </x:c>
      <x:c r="K777" s="72"/>
      <x:c r="L777" s="72"/>
      <x:c r="M777" s="72"/>
      <x:c r="N777" s="72"/>
    </x:row>
    <x:row r="778">
      <x:c r="C778" s="45" t="str">
        <x:f>'Path Daily'!C778</x:f>
        <x:v>P8</x:v>
      </x:c>
      <x:c r="D778" s="45" t="n">
        <x:f>'Path Daily'!D778</x:f>
        <x:v>43</x:v>
      </x:c>
      <x:c r="E778" s="53" t="n">
        <x:f>IF(D778=0,SUMIFS('Cargo Records'!$T$7:$T$70,'Cargo Records'!$J$7:$J$70,C778),0)</x:f>
        <x:v>0</x:v>
      </x:c>
      <x:c r="F778" s="53" t="n">
        <x:f>I777</x:f>
        <x:v>0</x:v>
      </x:c>
      <x:c r="G778" s="53" t="n">
        <x:f>'Path Daily'!M778</x:f>
        <x:v>14400</x:v>
      </x:c>
      <x:c r="H778" s="53" t="n">
        <x:f>MIN(E778+F778,G778)</x:f>
        <x:v>0</x:v>
      </x:c>
      <x:c r="I778" s="53" t="n">
        <x:f>E778+F778-H778</x:f>
        <x:v>0</x:v>
      </x:c>
      <x:c r="J778" s="45" t="str">
        <x:f>IF(I778=0,"CLEAR","QUEUED")</x:f>
        <x:v>CLEAR</x:v>
      </x:c>
      <x:c r="K778" s="72"/>
      <x:c r="L778" s="72"/>
      <x:c r="M778" s="72"/>
      <x:c r="N778" s="72"/>
    </x:row>
    <x:row r="779">
      <x:c r="C779" s="45" t="str">
        <x:f>'Path Daily'!C779</x:f>
        <x:v>P8</x:v>
      </x:c>
      <x:c r="D779" s="45" t="n">
        <x:f>'Path Daily'!D779</x:f>
        <x:v>44</x:v>
      </x:c>
      <x:c r="E779" s="53" t="n">
        <x:f>IF(D779=0,SUMIFS('Cargo Records'!$T$7:$T$70,'Cargo Records'!$J$7:$J$70,C779),0)</x:f>
        <x:v>0</x:v>
      </x:c>
      <x:c r="F779" s="53" t="n">
        <x:f>I778</x:f>
        <x:v>0</x:v>
      </x:c>
      <x:c r="G779" s="53" t="n">
        <x:f>'Path Daily'!M779</x:f>
        <x:v>14400</x:v>
      </x:c>
      <x:c r="H779" s="53" t="n">
        <x:f>MIN(E779+F779,G779)</x:f>
        <x:v>0</x:v>
      </x:c>
      <x:c r="I779" s="53" t="n">
        <x:f>E779+F779-H779</x:f>
        <x:v>0</x:v>
      </x:c>
      <x:c r="J779" s="45" t="str">
        <x:f>IF(I779=0,"CLEAR","QUEUED")</x:f>
        <x:v>CLEAR</x:v>
      </x:c>
      <x:c r="K779" s="72"/>
      <x:c r="L779" s="72"/>
      <x:c r="M779" s="72"/>
      <x:c r="N779" s="72"/>
    </x:row>
    <x:row r="780">
      <x:c r="C780" s="45" t="str">
        <x:f>'Path Daily'!C780</x:f>
        <x:v>P8</x:v>
      </x:c>
      <x:c r="D780" s="45" t="n">
        <x:f>'Path Daily'!D780</x:f>
        <x:v>45</x:v>
      </x:c>
      <x:c r="E780" s="53" t="n">
        <x:f>IF(D780=0,SUMIFS('Cargo Records'!$T$7:$T$70,'Cargo Records'!$J$7:$J$70,C780),0)</x:f>
        <x:v>0</x:v>
      </x:c>
      <x:c r="F780" s="53" t="n">
        <x:f>I779</x:f>
        <x:v>0</x:v>
      </x:c>
      <x:c r="G780" s="53" t="n">
        <x:f>'Path Daily'!M780</x:f>
        <x:v>14400</x:v>
      </x:c>
      <x:c r="H780" s="53" t="n">
        <x:f>MIN(E780+F780,G780)</x:f>
        <x:v>0</x:v>
      </x:c>
      <x:c r="I780" s="53" t="n">
        <x:f>E780+F780-H780</x:f>
        <x:v>0</x:v>
      </x:c>
      <x:c r="J780" s="45" t="str">
        <x:f>IF(I780=0,"CLEAR","QUEUED")</x:f>
        <x:v>CLEAR</x:v>
      </x:c>
      <x:c r="K780" s="72"/>
      <x:c r="L780" s="72"/>
      <x:c r="M780" s="72"/>
      <x:c r="N780" s="72"/>
    </x:row>
    <x:row r="781">
      <x:c r="C781" s="45" t="str">
        <x:f>'Path Daily'!C781</x:f>
        <x:v>P8</x:v>
      </x:c>
      <x:c r="D781" s="45" t="n">
        <x:f>'Path Daily'!D781</x:f>
        <x:v>46</x:v>
      </x:c>
      <x:c r="E781" s="53" t="n">
        <x:f>IF(D781=0,SUMIFS('Cargo Records'!$T$7:$T$70,'Cargo Records'!$J$7:$J$70,C781),0)</x:f>
        <x:v>0</x:v>
      </x:c>
      <x:c r="F781" s="53" t="n">
        <x:f>I780</x:f>
        <x:v>0</x:v>
      </x:c>
      <x:c r="G781" s="53" t="n">
        <x:f>'Path Daily'!M781</x:f>
        <x:v>2160</x:v>
      </x:c>
      <x:c r="H781" s="53" t="n">
        <x:f>MIN(E781+F781,G781)</x:f>
        <x:v>0</x:v>
      </x:c>
      <x:c r="I781" s="53" t="n">
        <x:f>E781+F781-H781</x:f>
        <x:v>0</x:v>
      </x:c>
      <x:c r="J781" s="45" t="str">
        <x:f>IF(I781=0,"CLEAR","QUEUED")</x:f>
        <x:v>CLEAR</x:v>
      </x:c>
      <x:c r="K781" s="72"/>
      <x:c r="L781" s="72"/>
      <x:c r="M781" s="72"/>
      <x:c r="N781" s="72"/>
    </x:row>
    <x:row r="782">
      <x:c r="C782" s="45" t="str">
        <x:f>'Path Daily'!C782</x:f>
        <x:v>P8</x:v>
      </x:c>
      <x:c r="D782" s="45" t="n">
        <x:f>'Path Daily'!D782</x:f>
        <x:v>47</x:v>
      </x:c>
      <x:c r="E782" s="53" t="n">
        <x:f>IF(D782=0,SUMIFS('Cargo Records'!$T$7:$T$70,'Cargo Records'!$J$7:$J$70,C782),0)</x:f>
        <x:v>0</x:v>
      </x:c>
      <x:c r="F782" s="53" t="n">
        <x:f>I781</x:f>
        <x:v>0</x:v>
      </x:c>
      <x:c r="G782" s="53" t="n">
        <x:f>'Path Daily'!M782</x:f>
        <x:v>8640</x:v>
      </x:c>
      <x:c r="H782" s="53" t="n">
        <x:f>MIN(E782+F782,G782)</x:f>
        <x:v>0</x:v>
      </x:c>
      <x:c r="I782" s="53" t="n">
        <x:f>E782+F782-H782</x:f>
        <x:v>0</x:v>
      </x:c>
      <x:c r="J782" s="45" t="str">
        <x:f>IF(I782=0,"CLEAR","QUEUED")</x:f>
        <x:v>CLEAR</x:v>
      </x:c>
      <x:c r="K782" s="72"/>
      <x:c r="L782" s="72"/>
      <x:c r="M782" s="72"/>
      <x:c r="N782" s="72"/>
    </x:row>
    <x:row r="783">
      <x:c r="C783" s="45" t="str">
        <x:f>'Path Daily'!C783</x:f>
        <x:v>P8</x:v>
      </x:c>
      <x:c r="D783" s="45" t="n">
        <x:f>'Path Daily'!D783</x:f>
        <x:v>48</x:v>
      </x:c>
      <x:c r="E783" s="53" t="n">
        <x:f>IF(D783=0,SUMIFS('Cargo Records'!$T$7:$T$70,'Cargo Records'!$J$7:$J$70,C783),0)</x:f>
        <x:v>0</x:v>
      </x:c>
      <x:c r="F783" s="53" t="n">
        <x:f>I782</x:f>
        <x:v>0</x:v>
      </x:c>
      <x:c r="G783" s="53" t="n">
        <x:f>'Path Daily'!M783</x:f>
        <x:v>8640</x:v>
      </x:c>
      <x:c r="H783" s="53" t="n">
        <x:f>MIN(E783+F783,G783)</x:f>
        <x:v>0</x:v>
      </x:c>
      <x:c r="I783" s="53" t="n">
        <x:f>E783+F783-H783</x:f>
        <x:v>0</x:v>
      </x:c>
      <x:c r="J783" s="45" t="str">
        <x:f>IF(I783=0,"CLEAR","QUEUED")</x:f>
        <x:v>CLEAR</x:v>
      </x:c>
      <x:c r="K783" s="72"/>
      <x:c r="L783" s="72"/>
      <x:c r="M783" s="72"/>
      <x:c r="N783" s="72"/>
    </x:row>
    <x:row r="784">
      <x:c r="C784" s="45" t="str">
        <x:f>'Path Daily'!C784</x:f>
        <x:v>P8</x:v>
      </x:c>
      <x:c r="D784" s="45" t="n">
        <x:f>'Path Daily'!D784</x:f>
        <x:v>49</x:v>
      </x:c>
      <x:c r="E784" s="53" t="n">
        <x:f>IF(D784=0,SUMIFS('Cargo Records'!$T$7:$T$70,'Cargo Records'!$J$7:$J$70,C784),0)</x:f>
        <x:v>0</x:v>
      </x:c>
      <x:c r="F784" s="53" t="n">
        <x:f>I783</x:f>
        <x:v>0</x:v>
      </x:c>
      <x:c r="G784" s="53" t="n">
        <x:f>'Path Daily'!M784</x:f>
        <x:v>8640</x:v>
      </x:c>
      <x:c r="H784" s="53" t="n">
        <x:f>MIN(E784+F784,G784)</x:f>
        <x:v>0</x:v>
      </x:c>
      <x:c r="I784" s="53" t="n">
        <x:f>E784+F784-H784</x:f>
        <x:v>0</x:v>
      </x:c>
      <x:c r="J784" s="45" t="str">
        <x:f>IF(I784=0,"CLEAR","QUEUED")</x:f>
        <x:v>CLEAR</x:v>
      </x:c>
      <x:c r="K784" s="72"/>
      <x:c r="L784" s="72"/>
      <x:c r="M784" s="72"/>
      <x:c r="N784" s="72"/>
    </x:row>
    <x:row r="785">
      <x:c r="C785" s="45" t="str">
        <x:f>'Path Daily'!C785</x:f>
        <x:v>P8</x:v>
      </x:c>
      <x:c r="D785" s="45" t="n">
        <x:f>'Path Daily'!D785</x:f>
        <x:v>50</x:v>
      </x:c>
      <x:c r="E785" s="53" t="n">
        <x:f>IF(D785=0,SUMIFS('Cargo Records'!$T$7:$T$70,'Cargo Records'!$J$7:$J$70,C785),0)</x:f>
        <x:v>0</x:v>
      </x:c>
      <x:c r="F785" s="53" t="n">
        <x:f>I784</x:f>
        <x:v>0</x:v>
      </x:c>
      <x:c r="G785" s="53" t="n">
        <x:f>'Path Daily'!M785</x:f>
        <x:v>8640</x:v>
      </x:c>
      <x:c r="H785" s="53" t="n">
        <x:f>MIN(E785+F785,G785)</x:f>
        <x:v>0</x:v>
      </x:c>
      <x:c r="I785" s="53" t="n">
        <x:f>E785+F785-H785</x:f>
        <x:v>0</x:v>
      </x:c>
      <x:c r="J785" s="45" t="str">
        <x:f>IF(I785=0,"CLEAR","QUEUED")</x:f>
        <x:v>CLEAR</x:v>
      </x:c>
      <x:c r="K785" s="72"/>
      <x:c r="L785" s="72"/>
      <x:c r="M785" s="72"/>
      <x:c r="N785" s="72"/>
    </x:row>
    <x:row r="786">
      <x:c r="C786" s="45" t="str">
        <x:f>'Path Daily'!C786</x:f>
        <x:v>P8</x:v>
      </x:c>
      <x:c r="D786" s="45" t="n">
        <x:f>'Path Daily'!D786</x:f>
        <x:v>51</x:v>
      </x:c>
      <x:c r="E786" s="53" t="n">
        <x:f>IF(D786=0,SUMIFS('Cargo Records'!$T$7:$T$70,'Cargo Records'!$J$7:$J$70,C786),0)</x:f>
        <x:v>0</x:v>
      </x:c>
      <x:c r="F786" s="53" t="n">
        <x:f>I785</x:f>
        <x:v>0</x:v>
      </x:c>
      <x:c r="G786" s="53" t="n">
        <x:f>'Path Daily'!M786</x:f>
        <x:v>8640</x:v>
      </x:c>
      <x:c r="H786" s="53" t="n">
        <x:f>MIN(E786+F786,G786)</x:f>
        <x:v>0</x:v>
      </x:c>
      <x:c r="I786" s="53" t="n">
        <x:f>E786+F786-H786</x:f>
        <x:v>0</x:v>
      </x:c>
      <x:c r="J786" s="45" t="str">
        <x:f>IF(I786=0,"CLEAR","QUEUED")</x:f>
        <x:v>CLEAR</x:v>
      </x:c>
      <x:c r="K786" s="72"/>
      <x:c r="L786" s="72"/>
      <x:c r="M786" s="72"/>
      <x:c r="N786" s="72"/>
    </x:row>
    <x:row r="787">
      <x:c r="C787" s="45" t="str">
        <x:f>'Path Daily'!C787</x:f>
        <x:v>P8</x:v>
      </x:c>
      <x:c r="D787" s="45" t="n">
        <x:f>'Path Daily'!D787</x:f>
        <x:v>52</x:v>
      </x:c>
      <x:c r="E787" s="53" t="n">
        <x:f>IF(D787=0,SUMIFS('Cargo Records'!$T$7:$T$70,'Cargo Records'!$J$7:$J$70,C787),0)</x:f>
        <x:v>0</x:v>
      </x:c>
      <x:c r="F787" s="53" t="n">
        <x:f>I786</x:f>
        <x:v>0</x:v>
      </x:c>
      <x:c r="G787" s="53" t="n">
        <x:f>'Path Daily'!M787</x:f>
        <x:v>8640</x:v>
      </x:c>
      <x:c r="H787" s="53" t="n">
        <x:f>MIN(E787+F787,G787)</x:f>
        <x:v>0</x:v>
      </x:c>
      <x:c r="I787" s="53" t="n">
        <x:f>E787+F787-H787</x:f>
        <x:v>0</x:v>
      </x:c>
      <x:c r="J787" s="45" t="str">
        <x:f>IF(I787=0,"CLEAR","QUEUED")</x:f>
        <x:v>CLEAR</x:v>
      </x:c>
      <x:c r="K787" s="72"/>
      <x:c r="L787" s="72"/>
      <x:c r="M787" s="72"/>
      <x:c r="N787" s="72"/>
    </x:row>
    <x:row r="788">
      <x:c r="C788" s="45" t="str">
        <x:f>'Path Daily'!C788</x:f>
        <x:v>P8</x:v>
      </x:c>
      <x:c r="D788" s="45" t="n">
        <x:f>'Path Daily'!D788</x:f>
        <x:v>53</x:v>
      </x:c>
      <x:c r="E788" s="53" t="n">
        <x:f>IF(D788=0,SUMIFS('Cargo Records'!$T$7:$T$70,'Cargo Records'!$J$7:$J$70,C788),0)</x:f>
        <x:v>0</x:v>
      </x:c>
      <x:c r="F788" s="53" t="n">
        <x:f>I787</x:f>
        <x:v>0</x:v>
      </x:c>
      <x:c r="G788" s="53" t="n">
        <x:f>'Path Daily'!M788</x:f>
        <x:v>8640</x:v>
      </x:c>
      <x:c r="H788" s="53" t="n">
        <x:f>MIN(E788+F788,G788)</x:f>
        <x:v>0</x:v>
      </x:c>
      <x:c r="I788" s="53" t="n">
        <x:f>E788+F788-H788</x:f>
        <x:v>0</x:v>
      </x:c>
      <x:c r="J788" s="45" t="str">
        <x:f>IF(I788=0,"CLEAR","QUEUED")</x:f>
        <x:v>CLEAR</x:v>
      </x:c>
      <x:c r="K788" s="72"/>
      <x:c r="L788" s="72"/>
      <x:c r="M788" s="72"/>
      <x:c r="N788" s="72"/>
    </x:row>
    <x:row r="789">
      <x:c r="C789" s="45" t="str">
        <x:f>'Path Daily'!C789</x:f>
        <x:v>P8</x:v>
      </x:c>
      <x:c r="D789" s="45" t="n">
        <x:f>'Path Daily'!D789</x:f>
        <x:v>54</x:v>
      </x:c>
      <x:c r="E789" s="53" t="n">
        <x:f>IF(D789=0,SUMIFS('Cargo Records'!$T$7:$T$70,'Cargo Records'!$J$7:$J$70,C789),0)</x:f>
        <x:v>0</x:v>
      </x:c>
      <x:c r="F789" s="53" t="n">
        <x:f>I788</x:f>
        <x:v>0</x:v>
      </x:c>
      <x:c r="G789" s="53" t="n">
        <x:f>'Path Daily'!M789</x:f>
        <x:v>8640</x:v>
      </x:c>
      <x:c r="H789" s="53" t="n">
        <x:f>MIN(E789+F789,G789)</x:f>
        <x:v>0</x:v>
      </x:c>
      <x:c r="I789" s="53" t="n">
        <x:f>E789+F789-H789</x:f>
        <x:v>0</x:v>
      </x:c>
      <x:c r="J789" s="45" t="str">
        <x:f>IF(I789=0,"CLEAR","QUEUED")</x:f>
        <x:v>CLEAR</x:v>
      </x:c>
      <x:c r="K789" s="72"/>
      <x:c r="L789" s="72"/>
      <x:c r="M789" s="72"/>
      <x:c r="N789" s="72"/>
    </x:row>
    <x:row r="790">
      <x:c r="C790" s="45" t="str">
        <x:f>'Path Daily'!C790</x:f>
        <x:v>P8</x:v>
      </x:c>
      <x:c r="D790" s="45" t="n">
        <x:f>'Path Daily'!D790</x:f>
        <x:v>55</x:v>
      </x:c>
      <x:c r="E790" s="53" t="n">
        <x:f>IF(D790=0,SUMIFS('Cargo Records'!$T$7:$T$70,'Cargo Records'!$J$7:$J$70,C790),0)</x:f>
        <x:v>0</x:v>
      </x:c>
      <x:c r="F790" s="53" t="n">
        <x:f>I789</x:f>
        <x:v>0</x:v>
      </x:c>
      <x:c r="G790" s="53" t="n">
        <x:f>'Path Daily'!M790</x:f>
        <x:v>8640</x:v>
      </x:c>
      <x:c r="H790" s="53" t="n">
        <x:f>MIN(E790+F790,G790)</x:f>
        <x:v>0</x:v>
      </x:c>
      <x:c r="I790" s="53" t="n">
        <x:f>E790+F790-H790</x:f>
        <x:v>0</x:v>
      </x:c>
      <x:c r="J790" s="45" t="str">
        <x:f>IF(I790=0,"CLEAR","QUEUED")</x:f>
        <x:v>CLEAR</x:v>
      </x:c>
      <x:c r="K790" s="72"/>
      <x:c r="L790" s="72"/>
      <x:c r="M790" s="72"/>
      <x:c r="N790" s="72"/>
    </x:row>
    <x:row r="791">
      <x:c r="C791" s="45" t="str">
        <x:f>'Path Daily'!C791</x:f>
        <x:v>P8</x:v>
      </x:c>
      <x:c r="D791" s="45" t="n">
        <x:f>'Path Daily'!D791</x:f>
        <x:v>56</x:v>
      </x:c>
      <x:c r="E791" s="53" t="n">
        <x:f>IF(D791=0,SUMIFS('Cargo Records'!$T$7:$T$70,'Cargo Records'!$J$7:$J$70,C791),0)</x:f>
        <x:v>0</x:v>
      </x:c>
      <x:c r="F791" s="53" t="n">
        <x:f>I790</x:f>
        <x:v>0</x:v>
      </x:c>
      <x:c r="G791" s="53" t="n">
        <x:f>'Path Daily'!M791</x:f>
        <x:v>8640</x:v>
      </x:c>
      <x:c r="H791" s="53" t="n">
        <x:f>MIN(E791+F791,G791)</x:f>
        <x:v>0</x:v>
      </x:c>
      <x:c r="I791" s="53" t="n">
        <x:f>E791+F791-H791</x:f>
        <x:v>0</x:v>
      </x:c>
      <x:c r="J791" s="45" t="str">
        <x:f>IF(I791=0,"CLEAR","QUEUED")</x:f>
        <x:v>CLEAR</x:v>
      </x:c>
      <x:c r="K791" s="72"/>
      <x:c r="L791" s="72"/>
      <x:c r="M791" s="72"/>
      <x:c r="N791" s="72"/>
    </x:row>
    <x:row r="792">
      <x:c r="C792" s="45" t="str">
        <x:f>'Path Daily'!C792</x:f>
        <x:v>P8</x:v>
      </x:c>
      <x:c r="D792" s="45" t="n">
        <x:f>'Path Daily'!D792</x:f>
        <x:v>57</x:v>
      </x:c>
      <x:c r="E792" s="53" t="n">
        <x:f>IF(D792=0,SUMIFS('Cargo Records'!$T$7:$T$70,'Cargo Records'!$J$7:$J$70,C792),0)</x:f>
        <x:v>0</x:v>
      </x:c>
      <x:c r="F792" s="53" t="n">
        <x:f>I791</x:f>
        <x:v>0</x:v>
      </x:c>
      <x:c r="G792" s="53" t="n">
        <x:f>'Path Daily'!M792</x:f>
        <x:v>8640</x:v>
      </x:c>
      <x:c r="H792" s="53" t="n">
        <x:f>MIN(E792+F792,G792)</x:f>
        <x:v>0</x:v>
      </x:c>
      <x:c r="I792" s="53" t="n">
        <x:f>E792+F792-H792</x:f>
        <x:v>0</x:v>
      </x:c>
      <x:c r="J792" s="45" t="str">
        <x:f>IF(I792=0,"CLEAR","QUEUED")</x:f>
        <x:v>CLEAR</x:v>
      </x:c>
      <x:c r="K792" s="72"/>
      <x:c r="L792" s="72"/>
      <x:c r="M792" s="72"/>
      <x:c r="N792" s="72"/>
    </x:row>
    <x:row r="793">
      <x:c r="C793" s="45" t="str">
        <x:f>'Path Daily'!C793</x:f>
        <x:v>P8</x:v>
      </x:c>
      <x:c r="D793" s="45" t="n">
        <x:f>'Path Daily'!D793</x:f>
        <x:v>58</x:v>
      </x:c>
      <x:c r="E793" s="53" t="n">
        <x:f>IF(D793=0,SUMIFS('Cargo Records'!$T$7:$T$70,'Cargo Records'!$J$7:$J$70,C793),0)</x:f>
        <x:v>0</x:v>
      </x:c>
      <x:c r="F793" s="53" t="n">
        <x:f>I792</x:f>
        <x:v>0</x:v>
      </x:c>
      <x:c r="G793" s="53" t="n">
        <x:f>'Path Daily'!M793</x:f>
        <x:v>8640</x:v>
      </x:c>
      <x:c r="H793" s="53" t="n">
        <x:f>MIN(E793+F793,G793)</x:f>
        <x:v>0</x:v>
      </x:c>
      <x:c r="I793" s="53" t="n">
        <x:f>E793+F793-H793</x:f>
        <x:v>0</x:v>
      </x:c>
      <x:c r="J793" s="45" t="str">
        <x:f>IF(I793=0,"CLEAR","QUEUED")</x:f>
        <x:v>CLEAR</x:v>
      </x:c>
      <x:c r="K793" s="72"/>
      <x:c r="L793" s="72"/>
      <x:c r="M793" s="72"/>
      <x:c r="N793" s="72"/>
    </x:row>
    <x:row r="794">
      <x:c r="C794" s="45" t="str">
        <x:f>'Path Daily'!C794</x:f>
        <x:v>P8</x:v>
      </x:c>
      <x:c r="D794" s="45" t="n">
        <x:f>'Path Daily'!D794</x:f>
        <x:v>59</x:v>
      </x:c>
      <x:c r="E794" s="53" t="n">
        <x:f>IF(D794=0,SUMIFS('Cargo Records'!$T$7:$T$70,'Cargo Records'!$J$7:$J$70,C794),0)</x:f>
        <x:v>0</x:v>
      </x:c>
      <x:c r="F794" s="53" t="n">
        <x:f>I793</x:f>
        <x:v>0</x:v>
      </x:c>
      <x:c r="G794" s="53" t="n">
        <x:f>'Path Daily'!M794</x:f>
        <x:v>8640</x:v>
      </x:c>
      <x:c r="H794" s="53" t="n">
        <x:f>MIN(E794+F794,G794)</x:f>
        <x:v>0</x:v>
      </x:c>
      <x:c r="I794" s="53" t="n">
        <x:f>E794+F794-H794</x:f>
        <x:v>0</x:v>
      </x:c>
      <x:c r="J794" s="45" t="str">
        <x:f>IF(I794=0,"CLEAR","QUEUED")</x:f>
        <x:v>CLEAR</x:v>
      </x:c>
      <x:c r="K794" s="72"/>
      <x:c r="L794" s="72"/>
      <x:c r="M794" s="72"/>
      <x:c r="N794" s="72"/>
    </x:row>
    <x:row r="795">
      <x:c r="C795" s="45" t="str">
        <x:f>'Path Daily'!C795</x:f>
        <x:v>P8</x:v>
      </x:c>
      <x:c r="D795" s="45" t="n">
        <x:f>'Path Daily'!D795</x:f>
        <x:v>60</x:v>
      </x:c>
      <x:c r="E795" s="53" t="n">
        <x:f>IF(D795=0,SUMIFS('Cargo Records'!$T$7:$T$70,'Cargo Records'!$J$7:$J$70,C795),0)</x:f>
        <x:v>0</x:v>
      </x:c>
      <x:c r="F795" s="53" t="n">
        <x:f>I794</x:f>
        <x:v>0</x:v>
      </x:c>
      <x:c r="G795" s="53" t="n">
        <x:f>'Path Daily'!M795</x:f>
        <x:v>8640</x:v>
      </x:c>
      <x:c r="H795" s="53" t="n">
        <x:f>MIN(E795+F795,G795)</x:f>
        <x:v>0</x:v>
      </x:c>
      <x:c r="I795" s="53" t="n">
        <x:f>E795+F795-H795</x:f>
        <x:v>0</x:v>
      </x:c>
      <x:c r="J795" s="45" t="str">
        <x:f>IF(I795=0,"CLEAR","QUEUED")</x:f>
        <x:v>CLEAR</x:v>
      </x:c>
      <x:c r="K795" s="72"/>
      <x:c r="L795" s="72"/>
      <x:c r="M795" s="72"/>
      <x:c r="N795" s="72"/>
    </x:row>
    <x:row r="796">
      <x:c r="C796" s="45" t="str">
        <x:f>'Path Daily'!C796</x:f>
        <x:v>P8</x:v>
      </x:c>
      <x:c r="D796" s="45" t="n">
        <x:f>'Path Daily'!D796</x:f>
        <x:v>61</x:v>
      </x:c>
      <x:c r="E796" s="53" t="n">
        <x:f>IF(D796=0,SUMIFS('Cargo Records'!$T$7:$T$70,'Cargo Records'!$J$7:$J$70,C796),0)</x:f>
        <x:v>0</x:v>
      </x:c>
      <x:c r="F796" s="53" t="n">
        <x:f>I795</x:f>
        <x:v>0</x:v>
      </x:c>
      <x:c r="G796" s="53" t="n">
        <x:f>'Path Daily'!M796</x:f>
        <x:v>2160</x:v>
      </x:c>
      <x:c r="H796" s="53" t="n">
        <x:f>MIN(E796+F796,G796)</x:f>
        <x:v>0</x:v>
      </x:c>
      <x:c r="I796" s="53" t="n">
        <x:f>E796+F796-H796</x:f>
        <x:v>0</x:v>
      </x:c>
      <x:c r="J796" s="45" t="str">
        <x:f>IF(I796=0,"CLEAR","QUEUED")</x:f>
        <x:v>CLEAR</x:v>
      </x:c>
      <x:c r="K796" s="72"/>
      <x:c r="L796" s="72"/>
      <x:c r="M796" s="72"/>
      <x:c r="N796" s="72"/>
    </x:row>
    <x:row r="797">
      <x:c r="C797" s="45" t="str">
        <x:f>'Path Daily'!C797</x:f>
        <x:v>P8</x:v>
      </x:c>
      <x:c r="D797" s="45" t="n">
        <x:f>'Path Daily'!D797</x:f>
        <x:v>62</x:v>
      </x:c>
      <x:c r="E797" s="53" t="n">
        <x:f>IF(D797=0,SUMIFS('Cargo Records'!$T$7:$T$70,'Cargo Records'!$J$7:$J$70,C797),0)</x:f>
        <x:v>0</x:v>
      </x:c>
      <x:c r="F797" s="53" t="n">
        <x:f>I796</x:f>
        <x:v>0</x:v>
      </x:c>
      <x:c r="G797" s="53" t="n">
        <x:f>'Path Daily'!M797</x:f>
        <x:v>2160</x:v>
      </x:c>
      <x:c r="H797" s="53" t="n">
        <x:f>MIN(E797+F797,G797)</x:f>
        <x:v>0</x:v>
      </x:c>
      <x:c r="I797" s="53" t="n">
        <x:f>E797+F797-H797</x:f>
        <x:v>0</x:v>
      </x:c>
      <x:c r="J797" s="45" t="str">
        <x:f>IF(I797=0,"CLEAR","QUEUED")</x:f>
        <x:v>CLEAR</x:v>
      </x:c>
      <x:c r="K797" s="72"/>
      <x:c r="L797" s="72"/>
      <x:c r="M797" s="72"/>
      <x:c r="N797" s="72"/>
    </x:row>
    <x:row r="798">
      <x:c r="C798" s="45" t="str">
        <x:f>'Path Daily'!C798</x:f>
        <x:v>P8</x:v>
      </x:c>
      <x:c r="D798" s="45" t="n">
        <x:f>'Path Daily'!D798</x:f>
        <x:v>63</x:v>
      </x:c>
      <x:c r="E798" s="53" t="n">
        <x:f>IF(D798=0,SUMIFS('Cargo Records'!$T$7:$T$70,'Cargo Records'!$J$7:$J$70,C798),0)</x:f>
        <x:v>0</x:v>
      </x:c>
      <x:c r="F798" s="53" t="n">
        <x:f>I797</x:f>
        <x:v>0</x:v>
      </x:c>
      <x:c r="G798" s="53" t="n">
        <x:f>'Path Daily'!M798</x:f>
        <x:v>2160</x:v>
      </x:c>
      <x:c r="H798" s="53" t="n">
        <x:f>MIN(E798+F798,G798)</x:f>
        <x:v>0</x:v>
      </x:c>
      <x:c r="I798" s="53" t="n">
        <x:f>E798+F798-H798</x:f>
        <x:v>0</x:v>
      </x:c>
      <x:c r="J798" s="45" t="str">
        <x:f>IF(I798=0,"CLEAR","QUEUED")</x:f>
        <x:v>CLEAR</x:v>
      </x:c>
      <x:c r="K798" s="72"/>
      <x:c r="L798" s="72"/>
      <x:c r="M798" s="72"/>
      <x:c r="N798" s="72"/>
    </x:row>
    <x:row r="799">
      <x:c r="C799" s="45" t="str">
        <x:f>'Path Daily'!C799</x:f>
        <x:v>P8</x:v>
      </x:c>
      <x:c r="D799" s="45" t="n">
        <x:f>'Path Daily'!D799</x:f>
        <x:v>64</x:v>
      </x:c>
      <x:c r="E799" s="53" t="n">
        <x:f>IF(D799=0,SUMIFS('Cargo Records'!$T$7:$T$70,'Cargo Records'!$J$7:$J$70,C799),0)</x:f>
        <x:v>0</x:v>
      </x:c>
      <x:c r="F799" s="53" t="n">
        <x:f>I798</x:f>
        <x:v>0</x:v>
      </x:c>
      <x:c r="G799" s="53" t="n">
        <x:f>'Path Daily'!M799</x:f>
        <x:v>8640</x:v>
      </x:c>
      <x:c r="H799" s="53" t="n">
        <x:f>MIN(E799+F799,G799)</x:f>
        <x:v>0</x:v>
      </x:c>
      <x:c r="I799" s="53" t="n">
        <x:f>E799+F799-H799</x:f>
        <x:v>0</x:v>
      </x:c>
      <x:c r="J799" s="45" t="str">
        <x:f>IF(I799=0,"CLEAR","QUEUED")</x:f>
        <x:v>CLEAR</x:v>
      </x:c>
      <x:c r="K799" s="72"/>
      <x:c r="L799" s="72"/>
      <x:c r="M799" s="72"/>
      <x:c r="N799" s="72"/>
    </x:row>
    <x:row r="800">
      <x:c r="C800" s="45" t="str">
        <x:f>'Path Daily'!C800</x:f>
        <x:v>P8</x:v>
      </x:c>
      <x:c r="D800" s="45" t="n">
        <x:f>'Path Daily'!D800</x:f>
        <x:v>65</x:v>
      </x:c>
      <x:c r="E800" s="53" t="n">
        <x:f>IF(D800=0,SUMIFS('Cargo Records'!$T$7:$T$70,'Cargo Records'!$J$7:$J$70,C800),0)</x:f>
        <x:v>0</x:v>
      </x:c>
      <x:c r="F800" s="53" t="n">
        <x:f>I799</x:f>
        <x:v>0</x:v>
      </x:c>
      <x:c r="G800" s="53" t="n">
        <x:f>'Path Daily'!M800</x:f>
        <x:v>8640</x:v>
      </x:c>
      <x:c r="H800" s="53" t="n">
        <x:f>MIN(E800+F800,G800)</x:f>
        <x:v>0</x:v>
      </x:c>
      <x:c r="I800" s="53" t="n">
        <x:f>E800+F800-H800</x:f>
        <x:v>0</x:v>
      </x:c>
      <x:c r="J800" s="45" t="str">
        <x:f>IF(I800=0,"CLEAR","QUEUED")</x:f>
        <x:v>CLEAR</x:v>
      </x:c>
      <x:c r="K800" s="72"/>
      <x:c r="L800" s="72"/>
      <x:c r="M800" s="72"/>
      <x:c r="N800" s="72"/>
    </x:row>
    <x:row r="801">
      <x:c r="C801" s="45" t="str">
        <x:f>'Path Daily'!C801</x:f>
        <x:v>P8</x:v>
      </x:c>
      <x:c r="D801" s="45" t="n">
        <x:f>'Path Daily'!D801</x:f>
        <x:v>66</x:v>
      </x:c>
      <x:c r="E801" s="53" t="n">
        <x:f>IF(D801=0,SUMIFS('Cargo Records'!$T$7:$T$70,'Cargo Records'!$J$7:$J$70,C801),0)</x:f>
        <x:v>0</x:v>
      </x:c>
      <x:c r="F801" s="53" t="n">
        <x:f>I800</x:f>
        <x:v>0</x:v>
      </x:c>
      <x:c r="G801" s="53" t="n">
        <x:f>'Path Daily'!M801</x:f>
        <x:v>8640</x:v>
      </x:c>
      <x:c r="H801" s="53" t="n">
        <x:f>MIN(E801+F801,G801)</x:f>
        <x:v>0</x:v>
      </x:c>
      <x:c r="I801" s="53" t="n">
        <x:f>E801+F801-H801</x:f>
        <x:v>0</x:v>
      </x:c>
      <x:c r="J801" s="45" t="str">
        <x:f>IF(I801=0,"CLEAR","QUEUED")</x:f>
        <x:v>CLEAR</x:v>
      </x:c>
      <x:c r="K801" s="72"/>
      <x:c r="L801" s="72"/>
      <x:c r="M801" s="72"/>
      <x:c r="N801" s="72"/>
    </x:row>
    <x:row r="802">
      <x:c r="C802" s="45" t="str">
        <x:f>'Path Daily'!C802</x:f>
        <x:v>P8</x:v>
      </x:c>
      <x:c r="D802" s="45" t="n">
        <x:f>'Path Daily'!D802</x:f>
        <x:v>67</x:v>
      </x:c>
      <x:c r="E802" s="53" t="n">
        <x:f>IF(D802=0,SUMIFS('Cargo Records'!$T$7:$T$70,'Cargo Records'!$J$7:$J$70,C802),0)</x:f>
        <x:v>0</x:v>
      </x:c>
      <x:c r="F802" s="53" t="n">
        <x:f>I801</x:f>
        <x:v>0</x:v>
      </x:c>
      <x:c r="G802" s="53" t="n">
        <x:f>'Path Daily'!M802</x:f>
        <x:v>8640</x:v>
      </x:c>
      <x:c r="H802" s="53" t="n">
        <x:f>MIN(E802+F802,G802)</x:f>
        <x:v>0</x:v>
      </x:c>
      <x:c r="I802" s="53" t="n">
        <x:f>E802+F802-H802</x:f>
        <x:v>0</x:v>
      </x:c>
      <x:c r="J802" s="45" t="str">
        <x:f>IF(I802=0,"CLEAR","QUEUED")</x:f>
        <x:v>CLEAR</x:v>
      </x:c>
      <x:c r="K802" s="72"/>
      <x:c r="L802" s="72"/>
      <x:c r="M802" s="72"/>
      <x:c r="N802" s="72"/>
    </x:row>
    <x:row r="803">
      <x:c r="C803" s="45" t="str">
        <x:f>'Path Daily'!C803</x:f>
        <x:v>P8</x:v>
      </x:c>
      <x:c r="D803" s="45" t="n">
        <x:f>'Path Daily'!D803</x:f>
        <x:v>68</x:v>
      </x:c>
      <x:c r="E803" s="53" t="n">
        <x:f>IF(D803=0,SUMIFS('Cargo Records'!$T$7:$T$70,'Cargo Records'!$J$7:$J$70,C803),0)</x:f>
        <x:v>0</x:v>
      </x:c>
      <x:c r="F803" s="53" t="n">
        <x:f>I802</x:f>
        <x:v>0</x:v>
      </x:c>
      <x:c r="G803" s="53" t="n">
        <x:f>'Path Daily'!M803</x:f>
        <x:v>8640</x:v>
      </x:c>
      <x:c r="H803" s="53" t="n">
        <x:f>MIN(E803+F803,G803)</x:f>
        <x:v>0</x:v>
      </x:c>
      <x:c r="I803" s="53" t="n">
        <x:f>E803+F803-H803</x:f>
        <x:v>0</x:v>
      </x:c>
      <x:c r="J803" s="45" t="str">
        <x:f>IF(I803=0,"CLEAR","QUEUED")</x:f>
        <x:v>CLEAR</x:v>
      </x:c>
      <x:c r="K803" s="72"/>
      <x:c r="L803" s="72"/>
      <x:c r="M803" s="72"/>
      <x:c r="N803" s="72"/>
    </x:row>
    <x:row r="804">
      <x:c r="C804" s="45" t="str">
        <x:f>'Path Daily'!C804</x:f>
        <x:v>P8</x:v>
      </x:c>
      <x:c r="D804" s="45" t="n">
        <x:f>'Path Daily'!D804</x:f>
        <x:v>69</x:v>
      </x:c>
      <x:c r="E804" s="53" t="n">
        <x:f>IF(D804=0,SUMIFS('Cargo Records'!$T$7:$T$70,'Cargo Records'!$J$7:$J$70,C804),0)</x:f>
        <x:v>0</x:v>
      </x:c>
      <x:c r="F804" s="53" t="n">
        <x:f>I803</x:f>
        <x:v>0</x:v>
      </x:c>
      <x:c r="G804" s="53" t="n">
        <x:f>'Path Daily'!M804</x:f>
        <x:v>8640</x:v>
      </x:c>
      <x:c r="H804" s="53" t="n">
        <x:f>MIN(E804+F804,G804)</x:f>
        <x:v>0</x:v>
      </x:c>
      <x:c r="I804" s="53" t="n">
        <x:f>E804+F804-H804</x:f>
        <x:v>0</x:v>
      </x:c>
      <x:c r="J804" s="45" t="str">
        <x:f>IF(I804=0,"CLEAR","QUEUED")</x:f>
        <x:v>CLEAR</x:v>
      </x:c>
      <x:c r="K804" s="72"/>
      <x:c r="L804" s="72"/>
      <x:c r="M804" s="72"/>
      <x:c r="N804" s="72"/>
    </x:row>
    <x:row r="805">
      <x:c r="C805" s="45" t="str">
        <x:f>'Path Daily'!C805</x:f>
        <x:v>P8</x:v>
      </x:c>
      <x:c r="D805" s="45" t="n">
        <x:f>'Path Daily'!D805</x:f>
        <x:v>70</x:v>
      </x:c>
      <x:c r="E805" s="53" t="n">
        <x:f>IF(D805=0,SUMIFS('Cargo Records'!$T$7:$T$70,'Cargo Records'!$J$7:$J$70,C805),0)</x:f>
        <x:v>0</x:v>
      </x:c>
      <x:c r="F805" s="53" t="n">
        <x:f>I804</x:f>
        <x:v>0</x:v>
      </x:c>
      <x:c r="G805" s="53" t="n">
        <x:f>'Path Daily'!M805</x:f>
        <x:v>8640</x:v>
      </x:c>
      <x:c r="H805" s="53" t="n">
        <x:f>MIN(E805+F805,G805)</x:f>
        <x:v>0</x:v>
      </x:c>
      <x:c r="I805" s="53" t="n">
        <x:f>E805+F805-H805</x:f>
        <x:v>0</x:v>
      </x:c>
      <x:c r="J805" s="45" t="str">
        <x:f>IF(I805=0,"CLEAR","QUEUED")</x:f>
        <x:v>CLEAR</x:v>
      </x:c>
      <x:c r="K805" s="72"/>
      <x:c r="L805" s="72"/>
      <x:c r="M805" s="72"/>
      <x:c r="N805" s="72"/>
    </x:row>
    <x:row r="806">
      <x:c r="C806" s="45" t="str">
        <x:f>'Path Daily'!C806</x:f>
        <x:v>P8</x:v>
      </x:c>
      <x:c r="D806" s="45" t="n">
        <x:f>'Path Daily'!D806</x:f>
        <x:v>71</x:v>
      </x:c>
      <x:c r="E806" s="53" t="n">
        <x:f>IF(D806=0,SUMIFS('Cargo Records'!$T$7:$T$70,'Cargo Records'!$J$7:$J$70,C806),0)</x:f>
        <x:v>0</x:v>
      </x:c>
      <x:c r="F806" s="53" t="n">
        <x:f>I805</x:f>
        <x:v>0</x:v>
      </x:c>
      <x:c r="G806" s="53" t="n">
        <x:f>'Path Daily'!M806</x:f>
        <x:v>8640</x:v>
      </x:c>
      <x:c r="H806" s="53" t="n">
        <x:f>MIN(E806+F806,G806)</x:f>
        <x:v>0</x:v>
      </x:c>
      <x:c r="I806" s="53" t="n">
        <x:f>E806+F806-H806</x:f>
        <x:v>0</x:v>
      </x:c>
      <x:c r="J806" s="45" t="str">
        <x:f>IF(I806=0,"CLEAR","QUEUED")</x:f>
        <x:v>CLEAR</x:v>
      </x:c>
      <x:c r="K806" s="72"/>
      <x:c r="L806" s="72"/>
      <x:c r="M806" s="72"/>
      <x:c r="N806" s="72"/>
    </x:row>
    <x:row r="807">
      <x:c r="C807" s="45" t="str">
        <x:f>'Path Daily'!C807</x:f>
        <x:v>P8</x:v>
      </x:c>
      <x:c r="D807" s="45" t="n">
        <x:f>'Path Daily'!D807</x:f>
        <x:v>72</x:v>
      </x:c>
      <x:c r="E807" s="53" t="n">
        <x:f>IF(D807=0,SUMIFS('Cargo Records'!$T$7:$T$70,'Cargo Records'!$J$7:$J$70,C807),0)</x:f>
        <x:v>0</x:v>
      </x:c>
      <x:c r="F807" s="53" t="n">
        <x:f>I806</x:f>
        <x:v>0</x:v>
      </x:c>
      <x:c r="G807" s="53" t="n">
        <x:f>'Path Daily'!M807</x:f>
        <x:v>8640</x:v>
      </x:c>
      <x:c r="H807" s="53" t="n">
        <x:f>MIN(E807+F807,G807)</x:f>
        <x:v>0</x:v>
      </x:c>
      <x:c r="I807" s="53" t="n">
        <x:f>E807+F807-H807</x:f>
        <x:v>0</x:v>
      </x:c>
      <x:c r="J807" s="45" t="str">
        <x:f>IF(I807=0,"CLEAR","QUEUED")</x:f>
        <x:v>CLEAR</x:v>
      </x:c>
      <x:c r="K807" s="72"/>
      <x:c r="L807" s="72"/>
      <x:c r="M807" s="72"/>
      <x:c r="N807" s="72"/>
    </x:row>
    <x:row r="808">
      <x:c r="C808" s="45" t="str">
        <x:f>'Path Daily'!C808</x:f>
        <x:v>P8</x:v>
      </x:c>
      <x:c r="D808" s="45" t="n">
        <x:f>'Path Daily'!D808</x:f>
        <x:v>73</x:v>
      </x:c>
      <x:c r="E808" s="53" t="n">
        <x:f>IF(D808=0,SUMIFS('Cargo Records'!$T$7:$T$70,'Cargo Records'!$J$7:$J$70,C808),0)</x:f>
        <x:v>0</x:v>
      </x:c>
      <x:c r="F808" s="53" t="n">
        <x:f>I807</x:f>
        <x:v>0</x:v>
      </x:c>
      <x:c r="G808" s="53" t="n">
        <x:f>'Path Daily'!M808</x:f>
        <x:v>8640</x:v>
      </x:c>
      <x:c r="H808" s="53" t="n">
        <x:f>MIN(E808+F808,G808)</x:f>
        <x:v>0</x:v>
      </x:c>
      <x:c r="I808" s="53" t="n">
        <x:f>E808+F808-H808</x:f>
        <x:v>0</x:v>
      </x:c>
      <x:c r="J808" s="45" t="str">
        <x:f>IF(I808=0,"CLEAR","QUEUED")</x:f>
        <x:v>CLEAR</x:v>
      </x:c>
      <x:c r="K808" s="72"/>
      <x:c r="L808" s="72"/>
      <x:c r="M808" s="72"/>
      <x:c r="N808" s="72"/>
    </x:row>
    <x:row r="809">
      <x:c r="C809" s="45" t="str">
        <x:f>'Path Daily'!C809</x:f>
        <x:v>P8</x:v>
      </x:c>
      <x:c r="D809" s="45" t="n">
        <x:f>'Path Daily'!D809</x:f>
        <x:v>74</x:v>
      </x:c>
      <x:c r="E809" s="53" t="n">
        <x:f>IF(D809=0,SUMIFS('Cargo Records'!$T$7:$T$70,'Cargo Records'!$J$7:$J$70,C809),0)</x:f>
        <x:v>0</x:v>
      </x:c>
      <x:c r="F809" s="53" t="n">
        <x:f>I808</x:f>
        <x:v>0</x:v>
      </x:c>
      <x:c r="G809" s="53" t="n">
        <x:f>'Path Daily'!M809</x:f>
        <x:v>8640</x:v>
      </x:c>
      <x:c r="H809" s="53" t="n">
        <x:f>MIN(E809+F809,G809)</x:f>
        <x:v>0</x:v>
      </x:c>
      <x:c r="I809" s="53" t="n">
        <x:f>E809+F809-H809</x:f>
        <x:v>0</x:v>
      </x:c>
      <x:c r="J809" s="45" t="str">
        <x:f>IF(I809=0,"CLEAR","QUEUED")</x:f>
        <x:v>CLEAR</x:v>
      </x:c>
      <x:c r="K809" s="72"/>
      <x:c r="L809" s="72"/>
      <x:c r="M809" s="72"/>
      <x:c r="N809" s="72"/>
    </x:row>
    <x:row r="810">
      <x:c r="C810" s="45" t="str">
        <x:f>'Path Daily'!C810</x:f>
        <x:v>P8</x:v>
      </x:c>
      <x:c r="D810" s="45" t="n">
        <x:f>'Path Daily'!D810</x:f>
        <x:v>75</x:v>
      </x:c>
      <x:c r="E810" s="53" t="n">
        <x:f>IF(D810=0,SUMIFS('Cargo Records'!$T$7:$T$70,'Cargo Records'!$J$7:$J$70,C810),0)</x:f>
        <x:v>0</x:v>
      </x:c>
      <x:c r="F810" s="53" t="n">
        <x:f>I809</x:f>
        <x:v>0</x:v>
      </x:c>
      <x:c r="G810" s="53" t="n">
        <x:f>'Path Daily'!M810</x:f>
        <x:v>8640</x:v>
      </x:c>
      <x:c r="H810" s="53" t="n">
        <x:f>MIN(E810+F810,G810)</x:f>
        <x:v>0</x:v>
      </x:c>
      <x:c r="I810" s="53" t="n">
        <x:f>E810+F810-H810</x:f>
        <x:v>0</x:v>
      </x:c>
      <x:c r="J810" s="45" t="str">
        <x:f>IF(I810=0,"CLEAR","QUEUED")</x:f>
        <x:v>CLEAR</x:v>
      </x:c>
      <x:c r="K810" s="72"/>
      <x:c r="L810" s="72"/>
      <x:c r="M810" s="72"/>
      <x:c r="N810" s="72"/>
    </x:row>
    <x:row r="811">
      <x:c r="C811" s="45" t="str">
        <x:f>'Path Daily'!C811</x:f>
        <x:v>P8</x:v>
      </x:c>
      <x:c r="D811" s="45" t="n">
        <x:f>'Path Daily'!D811</x:f>
        <x:v>76</x:v>
      </x:c>
      <x:c r="E811" s="53" t="n">
        <x:f>IF(D811=0,SUMIFS('Cargo Records'!$T$7:$T$70,'Cargo Records'!$J$7:$J$70,C811),0)</x:f>
        <x:v>0</x:v>
      </x:c>
      <x:c r="F811" s="53" t="n">
        <x:f>I810</x:f>
        <x:v>0</x:v>
      </x:c>
      <x:c r="G811" s="53" t="n">
        <x:f>'Path Daily'!M811</x:f>
        <x:v>8640</x:v>
      </x:c>
      <x:c r="H811" s="53" t="n">
        <x:f>MIN(E811+F811,G811)</x:f>
        <x:v>0</x:v>
      </x:c>
      <x:c r="I811" s="53" t="n">
        <x:f>E811+F811-H811</x:f>
        <x:v>0</x:v>
      </x:c>
      <x:c r="J811" s="45" t="str">
        <x:f>IF(I811=0,"CLEAR","QUEUED")</x:f>
        <x:v>CLEAR</x:v>
      </x:c>
      <x:c r="K811" s="72"/>
      <x:c r="L811" s="72"/>
      <x:c r="M811" s="72"/>
      <x:c r="N811" s="72"/>
    </x:row>
    <x:row r="812">
      <x:c r="C812" s="45" t="str">
        <x:f>'Path Daily'!C812</x:f>
        <x:v>P8</x:v>
      </x:c>
      <x:c r="D812" s="45" t="n">
        <x:f>'Path Daily'!D812</x:f>
        <x:v>77</x:v>
      </x:c>
      <x:c r="E812" s="53" t="n">
        <x:f>IF(D812=0,SUMIFS('Cargo Records'!$T$7:$T$70,'Cargo Records'!$J$7:$J$70,C812),0)</x:f>
        <x:v>0</x:v>
      </x:c>
      <x:c r="F812" s="53" t="n">
        <x:f>I811</x:f>
        <x:v>0</x:v>
      </x:c>
      <x:c r="G812" s="53" t="n">
        <x:f>'Path Daily'!M812</x:f>
        <x:v>8640</x:v>
      </x:c>
      <x:c r="H812" s="53" t="n">
        <x:f>MIN(E812+F812,G812)</x:f>
        <x:v>0</x:v>
      </x:c>
      <x:c r="I812" s="53" t="n">
        <x:f>E812+F812-H812</x:f>
        <x:v>0</x:v>
      </x:c>
      <x:c r="J812" s="45" t="str">
        <x:f>IF(I812=0,"CLEAR","QUEUED")</x:f>
        <x:v>CLEAR</x:v>
      </x:c>
      <x:c r="K812" s="72"/>
      <x:c r="L812" s="72"/>
      <x:c r="M812" s="72"/>
      <x:c r="N812" s="72"/>
    </x:row>
    <x:row r="813">
      <x:c r="C813" s="45" t="str">
        <x:f>'Path Daily'!C813</x:f>
        <x:v>P8</x:v>
      </x:c>
      <x:c r="D813" s="45" t="n">
        <x:f>'Path Daily'!D813</x:f>
        <x:v>78</x:v>
      </x:c>
      <x:c r="E813" s="53" t="n">
        <x:f>IF(D813=0,SUMIFS('Cargo Records'!$T$7:$T$70,'Cargo Records'!$J$7:$J$70,C813),0)</x:f>
        <x:v>0</x:v>
      </x:c>
      <x:c r="F813" s="53" t="n">
        <x:f>I812</x:f>
        <x:v>0</x:v>
      </x:c>
      <x:c r="G813" s="53" t="n">
        <x:f>'Path Daily'!M813</x:f>
        <x:v>8640</x:v>
      </x:c>
      <x:c r="H813" s="53" t="n">
        <x:f>MIN(E813+F813,G813)</x:f>
        <x:v>0</x:v>
      </x:c>
      <x:c r="I813" s="53" t="n">
        <x:f>E813+F813-H813</x:f>
        <x:v>0</x:v>
      </x:c>
      <x:c r="J813" s="45" t="str">
        <x:f>IF(I813=0,"CLEAR","QUEUED")</x:f>
        <x:v>CLEAR</x:v>
      </x:c>
      <x:c r="K813" s="72"/>
      <x:c r="L813" s="72"/>
      <x:c r="M813" s="72"/>
      <x:c r="N813" s="72"/>
    </x:row>
    <x:row r="814">
      <x:c r="C814" s="45" t="str">
        <x:f>'Path Daily'!C814</x:f>
        <x:v>P8</x:v>
      </x:c>
      <x:c r="D814" s="45" t="n">
        <x:f>'Path Daily'!D814</x:f>
        <x:v>79</x:v>
      </x:c>
      <x:c r="E814" s="53" t="n">
        <x:f>IF(D814=0,SUMIFS('Cargo Records'!$T$7:$T$70,'Cargo Records'!$J$7:$J$70,C814),0)</x:f>
        <x:v>0</x:v>
      </x:c>
      <x:c r="F814" s="53" t="n">
        <x:f>I813</x:f>
        <x:v>0</x:v>
      </x:c>
      <x:c r="G814" s="53" t="n">
        <x:f>'Path Daily'!M814</x:f>
        <x:v>8640</x:v>
      </x:c>
      <x:c r="H814" s="53" t="n">
        <x:f>MIN(E814+F814,G814)</x:f>
        <x:v>0</x:v>
      </x:c>
      <x:c r="I814" s="53" t="n">
        <x:f>E814+F814-H814</x:f>
        <x:v>0</x:v>
      </x:c>
      <x:c r="J814" s="45" t="str">
        <x:f>IF(I814=0,"CLEAR","QUEUED")</x:f>
        <x:v>CLEAR</x:v>
      </x:c>
      <x:c r="K814" s="72"/>
      <x:c r="L814" s="72"/>
      <x:c r="M814" s="72"/>
      <x:c r="N814" s="72"/>
    </x:row>
    <x:row r="815">
      <x:c r="C815" s="45" t="str">
        <x:f>'Path Daily'!C815</x:f>
        <x:v>P8</x:v>
      </x:c>
      <x:c r="D815" s="45" t="n">
        <x:f>'Path Daily'!D815</x:f>
        <x:v>80</x:v>
      </x:c>
      <x:c r="E815" s="53" t="n">
        <x:f>IF(D815=0,SUMIFS('Cargo Records'!$T$7:$T$70,'Cargo Records'!$J$7:$J$70,C815),0)</x:f>
        <x:v>0</x:v>
      </x:c>
      <x:c r="F815" s="53" t="n">
        <x:f>I814</x:f>
        <x:v>0</x:v>
      </x:c>
      <x:c r="G815" s="53" t="n">
        <x:f>'Path Daily'!M815</x:f>
        <x:v>8640</x:v>
      </x:c>
      <x:c r="H815" s="53" t="n">
        <x:f>MIN(E815+F815,G815)</x:f>
        <x:v>0</x:v>
      </x:c>
      <x:c r="I815" s="53" t="n">
        <x:f>E815+F815-H815</x:f>
        <x:v>0</x:v>
      </x:c>
      <x:c r="J815" s="45" t="str">
        <x:f>IF(I815=0,"CLEAR","QUEUED")</x:f>
        <x:v>CLEAR</x:v>
      </x:c>
      <x:c r="K815" s="72"/>
      <x:c r="L815" s="72"/>
      <x:c r="M815" s="72"/>
      <x:c r="N815" s="72"/>
    </x:row>
    <x:row r="816">
      <x:c r="C816" s="45" t="str">
        <x:f>'Path Daily'!C816</x:f>
        <x:v>P8</x:v>
      </x:c>
      <x:c r="D816" s="45" t="n">
        <x:f>'Path Daily'!D816</x:f>
        <x:v>81</x:v>
      </x:c>
      <x:c r="E816" s="53" t="n">
        <x:f>IF(D816=0,SUMIFS('Cargo Records'!$T$7:$T$70,'Cargo Records'!$J$7:$J$70,C816),0)</x:f>
        <x:v>0</x:v>
      </x:c>
      <x:c r="F816" s="53" t="n">
        <x:f>I815</x:f>
        <x:v>0</x:v>
      </x:c>
      <x:c r="G816" s="53" t="n">
        <x:f>'Path Daily'!M816</x:f>
        <x:v>8640</x:v>
      </x:c>
      <x:c r="H816" s="53" t="n">
        <x:f>MIN(E816+F816,G816)</x:f>
        <x:v>0</x:v>
      </x:c>
      <x:c r="I816" s="53" t="n">
        <x:f>E816+F816-H816</x:f>
        <x:v>0</x:v>
      </x:c>
      <x:c r="J816" s="45" t="str">
        <x:f>IF(I816=0,"CLEAR","QUEUED")</x:f>
        <x:v>CLEAR</x:v>
      </x:c>
      <x:c r="K816" s="72"/>
      <x:c r="L816" s="72"/>
      <x:c r="M816" s="72"/>
      <x:c r="N816" s="72"/>
    </x:row>
    <x:row r="817">
      <x:c r="C817" s="45" t="str">
        <x:f>'Path Daily'!C817</x:f>
        <x:v>P8</x:v>
      </x:c>
      <x:c r="D817" s="45" t="n">
        <x:f>'Path Daily'!D817</x:f>
        <x:v>82</x:v>
      </x:c>
      <x:c r="E817" s="53" t="n">
        <x:f>IF(D817=0,SUMIFS('Cargo Records'!$T$7:$T$70,'Cargo Records'!$J$7:$J$70,C817),0)</x:f>
        <x:v>0</x:v>
      </x:c>
      <x:c r="F817" s="53" t="n">
        <x:f>I816</x:f>
        <x:v>0</x:v>
      </x:c>
      <x:c r="G817" s="53" t="n">
        <x:f>'Path Daily'!M817</x:f>
        <x:v>8640</x:v>
      </x:c>
      <x:c r="H817" s="53" t="n">
        <x:f>MIN(E817+F817,G817)</x:f>
        <x:v>0</x:v>
      </x:c>
      <x:c r="I817" s="53" t="n">
        <x:f>E817+F817-H817</x:f>
        <x:v>0</x:v>
      </x:c>
      <x:c r="J817" s="45" t="str">
        <x:f>IF(I817=0,"CLEAR","QUEUED")</x:f>
        <x:v>CLEAR</x:v>
      </x:c>
      <x:c r="K817" s="72"/>
      <x:c r="L817" s="72"/>
      <x:c r="M817" s="72"/>
      <x:c r="N817" s="72"/>
    </x:row>
    <x:row r="818">
      <x:c r="C818" s="45" t="str">
        <x:f>'Path Daily'!C818</x:f>
        <x:v>P8</x:v>
      </x:c>
      <x:c r="D818" s="45" t="n">
        <x:f>'Path Daily'!D818</x:f>
        <x:v>83</x:v>
      </x:c>
      <x:c r="E818" s="53" t="n">
        <x:f>IF(D818=0,SUMIFS('Cargo Records'!$T$7:$T$70,'Cargo Records'!$J$7:$J$70,C818),0)</x:f>
        <x:v>0</x:v>
      </x:c>
      <x:c r="F818" s="53" t="n">
        <x:f>I817</x:f>
        <x:v>0</x:v>
      </x:c>
      <x:c r="G818" s="53" t="n">
        <x:f>'Path Daily'!M818</x:f>
        <x:v>8640</x:v>
      </x:c>
      <x:c r="H818" s="53" t="n">
        <x:f>MIN(E818+F818,G818)</x:f>
        <x:v>0</x:v>
      </x:c>
      <x:c r="I818" s="53" t="n">
        <x:f>E818+F818-H818</x:f>
        <x:v>0</x:v>
      </x:c>
      <x:c r="J818" s="45" t="str">
        <x:f>IF(I818=0,"CLEAR","QUEUED")</x:f>
        <x:v>CLEAR</x:v>
      </x:c>
      <x:c r="K818" s="72"/>
      <x:c r="L818" s="72"/>
      <x:c r="M818" s="72"/>
      <x:c r="N818" s="72"/>
    </x:row>
    <x:row r="819">
      <x:c r="C819" s="45" t="str">
        <x:f>'Path Daily'!C819</x:f>
        <x:v>P8</x:v>
      </x:c>
      <x:c r="D819" s="45" t="n">
        <x:f>'Path Daily'!D819</x:f>
        <x:v>84</x:v>
      </x:c>
      <x:c r="E819" s="53" t="n">
        <x:f>IF(D819=0,SUMIFS('Cargo Records'!$T$7:$T$70,'Cargo Records'!$J$7:$J$70,C819),0)</x:f>
        <x:v>0</x:v>
      </x:c>
      <x:c r="F819" s="53" t="n">
        <x:f>I818</x:f>
        <x:v>0</x:v>
      </x:c>
      <x:c r="G819" s="53" t="n">
        <x:f>'Path Daily'!M819</x:f>
        <x:v>8640</x:v>
      </x:c>
      <x:c r="H819" s="53" t="n">
        <x:f>MIN(E819+F819,G819)</x:f>
        <x:v>0</x:v>
      </x:c>
      <x:c r="I819" s="53" t="n">
        <x:f>E819+F819-H819</x:f>
        <x:v>0</x:v>
      </x:c>
      <x:c r="J819" s="45" t="str">
        <x:f>IF(I819=0,"CLEAR","QUEUED")</x:f>
        <x:v>CLEAR</x:v>
      </x:c>
      <x:c r="K819" s="72"/>
      <x:c r="L819" s="72"/>
      <x:c r="M819" s="72"/>
      <x:c r="N819" s="72"/>
    </x:row>
    <x:row r="820">
      <x:c r="C820" s="45" t="str">
        <x:f>'Path Daily'!C820</x:f>
        <x:v>P8</x:v>
      </x:c>
      <x:c r="D820" s="45" t="n">
        <x:f>'Path Daily'!D820</x:f>
        <x:v>85</x:v>
      </x:c>
      <x:c r="E820" s="53" t="n">
        <x:f>IF(D820=0,SUMIFS('Cargo Records'!$T$7:$T$70,'Cargo Records'!$J$7:$J$70,C820),0)</x:f>
        <x:v>0</x:v>
      </x:c>
      <x:c r="F820" s="53" t="n">
        <x:f>I819</x:f>
        <x:v>0</x:v>
      </x:c>
      <x:c r="G820" s="53" t="n">
        <x:f>'Path Daily'!M820</x:f>
        <x:v>8640</x:v>
      </x:c>
      <x:c r="H820" s="53" t="n">
        <x:f>MIN(E820+F820,G820)</x:f>
        <x:v>0</x:v>
      </x:c>
      <x:c r="I820" s="53" t="n">
        <x:f>E820+F820-H820</x:f>
        <x:v>0</x:v>
      </x:c>
      <x:c r="J820" s="45" t="str">
        <x:f>IF(I820=0,"CLEAR","QUEUED")</x:f>
        <x:v>CLEAR</x:v>
      </x:c>
      <x:c r="K820" s="72"/>
      <x:c r="L820" s="72"/>
      <x:c r="M820" s="72"/>
      <x:c r="N820" s="72"/>
    </x:row>
    <x:row r="821">
      <x:c r="C821" s="45" t="str">
        <x:f>'Path Daily'!C821</x:f>
        <x:v>P8</x:v>
      </x:c>
      <x:c r="D821" s="45" t="n">
        <x:f>'Path Daily'!D821</x:f>
        <x:v>86</x:v>
      </x:c>
      <x:c r="E821" s="53" t="n">
        <x:f>IF(D821=0,SUMIFS('Cargo Records'!$T$7:$T$70,'Cargo Records'!$J$7:$J$70,C821),0)</x:f>
        <x:v>0</x:v>
      </x:c>
      <x:c r="F821" s="53" t="n">
        <x:f>I820</x:f>
        <x:v>0</x:v>
      </x:c>
      <x:c r="G821" s="53" t="n">
        <x:f>'Path Daily'!M821</x:f>
        <x:v>8640</x:v>
      </x:c>
      <x:c r="H821" s="53" t="n">
        <x:f>MIN(E821+F821,G821)</x:f>
        <x:v>0</x:v>
      </x:c>
      <x:c r="I821" s="53" t="n">
        <x:f>E821+F821-H821</x:f>
        <x:v>0</x:v>
      </x:c>
      <x:c r="J821" s="45" t="str">
        <x:f>IF(I821=0,"CLEAR","QUEUED")</x:f>
        <x:v>CLEAR</x:v>
      </x:c>
      <x:c r="K821" s="72"/>
      <x:c r="L821" s="72"/>
      <x:c r="M821" s="72"/>
      <x:c r="N821" s="72"/>
    </x:row>
    <x:row r="822">
      <x:c r="C822" s="45" t="str">
        <x:f>'Path Daily'!C822</x:f>
        <x:v>P8</x:v>
      </x:c>
      <x:c r="D822" s="45" t="n">
        <x:f>'Path Daily'!D822</x:f>
        <x:v>87</x:v>
      </x:c>
      <x:c r="E822" s="53" t="n">
        <x:f>IF(D822=0,SUMIFS('Cargo Records'!$T$7:$T$70,'Cargo Records'!$J$7:$J$70,C822),0)</x:f>
        <x:v>0</x:v>
      </x:c>
      <x:c r="F822" s="53" t="n">
        <x:f>I821</x:f>
        <x:v>0</x:v>
      </x:c>
      <x:c r="G822" s="53" t="n">
        <x:f>'Path Daily'!M822</x:f>
        <x:v>8640</x:v>
      </x:c>
      <x:c r="H822" s="53" t="n">
        <x:f>MIN(E822+F822,G822)</x:f>
        <x:v>0</x:v>
      </x:c>
      <x:c r="I822" s="53" t="n">
        <x:f>E822+F822-H822</x:f>
        <x:v>0</x:v>
      </x:c>
      <x:c r="J822" s="45" t="str">
        <x:f>IF(I822=0,"CLEAR","QUEUED")</x:f>
        <x:v>CLEAR</x:v>
      </x:c>
      <x:c r="K822" s="72"/>
      <x:c r="L822" s="72"/>
      <x:c r="M822" s="72"/>
      <x:c r="N822" s="72"/>
    </x:row>
    <x:row r="823">
      <x:c r="C823" s="45" t="str">
        <x:f>'Path Daily'!C823</x:f>
        <x:v>P8</x:v>
      </x:c>
      <x:c r="D823" s="45" t="n">
        <x:f>'Path Daily'!D823</x:f>
        <x:v>88</x:v>
      </x:c>
      <x:c r="E823" s="53" t="n">
        <x:f>IF(D823=0,SUMIFS('Cargo Records'!$T$7:$T$70,'Cargo Records'!$J$7:$J$70,C823),0)</x:f>
        <x:v>0</x:v>
      </x:c>
      <x:c r="F823" s="53" t="n">
        <x:f>I822</x:f>
        <x:v>0</x:v>
      </x:c>
      <x:c r="G823" s="53" t="n">
        <x:f>'Path Daily'!M823</x:f>
        <x:v>8640</x:v>
      </x:c>
      <x:c r="H823" s="53" t="n">
        <x:f>MIN(E823+F823,G823)</x:f>
        <x:v>0</x:v>
      </x:c>
      <x:c r="I823" s="53" t="n">
        <x:f>E823+F823-H823</x:f>
        <x:v>0</x:v>
      </x:c>
      <x:c r="J823" s="45" t="str">
        <x:f>IF(I823=0,"CLEAR","QUEUED")</x:f>
        <x:v>CLEAR</x:v>
      </x:c>
      <x:c r="K823" s="72"/>
      <x:c r="L823" s="72"/>
      <x:c r="M823" s="72"/>
      <x:c r="N823" s="72"/>
    </x:row>
    <x:row r="824">
      <x:c r="C824" s="45" t="str">
        <x:f>'Path Daily'!C824</x:f>
        <x:v>P8</x:v>
      </x:c>
      <x:c r="D824" s="45" t="n">
        <x:f>'Path Daily'!D824</x:f>
        <x:v>89</x:v>
      </x:c>
      <x:c r="E824" s="53" t="n">
        <x:f>IF(D824=0,SUMIFS('Cargo Records'!$T$7:$T$70,'Cargo Records'!$J$7:$J$70,C824),0)</x:f>
        <x:v>0</x:v>
      </x:c>
      <x:c r="F824" s="53" t="n">
        <x:f>I823</x:f>
        <x:v>0</x:v>
      </x:c>
      <x:c r="G824" s="53" t="n">
        <x:f>'Path Daily'!M824</x:f>
        <x:v>8640</x:v>
      </x:c>
      <x:c r="H824" s="53" t="n">
        <x:f>MIN(E824+F824,G824)</x:f>
        <x:v>0</x:v>
      </x:c>
      <x:c r="I824" s="53" t="n">
        <x:f>E824+F824-H824</x:f>
        <x:v>0</x:v>
      </x:c>
      <x:c r="J824" s="45" t="str">
        <x:f>IF(I824=0,"CLEAR","QUEUED")</x:f>
        <x:v>CLEAR</x:v>
      </x:c>
      <x:c r="K824" s="72"/>
      <x:c r="L824" s="72"/>
      <x:c r="M824" s="72"/>
      <x:c r="N824" s="72"/>
    </x:row>
    <x:row r="825">
      <x:c r="C825" s="45" t="str">
        <x:f>'Path Daily'!C825</x:f>
        <x:v>P8</x:v>
      </x:c>
      <x:c r="D825" s="45" t="n">
        <x:f>'Path Daily'!D825</x:f>
        <x:v>90</x:v>
      </x:c>
      <x:c r="E825" s="53" t="n">
        <x:f>IF(D825=0,SUMIFS('Cargo Records'!$T$7:$T$70,'Cargo Records'!$J$7:$J$70,C825),0)</x:f>
        <x:v>0</x:v>
      </x:c>
      <x:c r="F825" s="53" t="n">
        <x:f>I824</x:f>
        <x:v>0</x:v>
      </x:c>
      <x:c r="G825" s="53" t="n">
        <x:f>'Path Daily'!M825</x:f>
        <x:v>8640</x:v>
      </x:c>
      <x:c r="H825" s="53" t="n">
        <x:f>MIN(E825+F825,G825)</x:f>
        <x:v>0</x:v>
      </x:c>
      <x:c r="I825" s="53" t="n">
        <x:f>E825+F825-H825</x:f>
        <x:v>0</x:v>
      </x:c>
      <x:c r="J825" s="45" t="str">
        <x:f>IF(I825=0,"CLEAR","QUEUED")</x:f>
        <x:v>CLEAR</x:v>
      </x:c>
      <x:c r="K825" s="72"/>
      <x:c r="L825" s="72"/>
      <x:c r="M825" s="72"/>
      <x:c r="N825" s="72"/>
    </x:row>
    <x:row r="826">
      <x:c r="C826" s="45" t="str">
        <x:f>'Path Daily'!C826</x:f>
        <x:v>P9</x:v>
      </x:c>
      <x:c r="D826" s="45" t="n">
        <x:f>'Path Daily'!D826</x:f>
        <x:v>0</x:v>
      </x:c>
      <x:c r="E826" s="53" t="n">
        <x:f>IF(D826=0,SUMIFS('Cargo Records'!$T$7:$T$70,'Cargo Records'!$J$7:$J$70,C826),0)</x:f>
        <x:v>96500</x:v>
      </x:c>
      <x:c r="F826" s="53" t="n">
        <x:f>0</x:f>
        <x:v>0</x:v>
      </x:c>
      <x:c r="G826" s="53" t="n">
        <x:f>'Path Daily'!M826</x:f>
        <x:v>0</x:v>
      </x:c>
      <x:c r="H826" s="53" t="n">
        <x:f>MIN(E826+F826,G826)</x:f>
        <x:v>0</x:v>
      </x:c>
      <x:c r="I826" s="53" t="n">
        <x:f>E826+F826-H826</x:f>
        <x:v>96500</x:v>
      </x:c>
      <x:c r="J826" s="45" t="str">
        <x:f>IF(I826=0,"CLEAR","QUEUED")</x:f>
        <x:v>QUEUED</x:v>
      </x:c>
      <x:c r="K826" s="72"/>
      <x:c r="L826" s="72"/>
      <x:c r="M826" s="72"/>
      <x:c r="N826" s="72"/>
    </x:row>
    <x:row r="827">
      <x:c r="C827" s="45" t="str">
        <x:f>'Path Daily'!C827</x:f>
        <x:v>P9</x:v>
      </x:c>
      <x:c r="D827" s="45" t="n">
        <x:f>'Path Daily'!D827</x:f>
        <x:v>1</x:v>
      </x:c>
      <x:c r="E827" s="53" t="n">
        <x:f>IF(D827=0,SUMIFS('Cargo Records'!$T$7:$T$70,'Cargo Records'!$J$7:$J$70,C827),0)</x:f>
        <x:v>0</x:v>
      </x:c>
      <x:c r="F827" s="53" t="n">
        <x:f>I826</x:f>
        <x:v>96500</x:v>
      </x:c>
      <x:c r="G827" s="53" t="n">
        <x:f>'Path Daily'!M827</x:f>
        <x:v>0</x:v>
      </x:c>
      <x:c r="H827" s="53" t="n">
        <x:f>MIN(E827+F827,G827)</x:f>
        <x:v>0</x:v>
      </x:c>
      <x:c r="I827" s="53" t="n">
        <x:f>E827+F827-H827</x:f>
        <x:v>96500</x:v>
      </x:c>
      <x:c r="J827" s="45" t="str">
        <x:f>IF(I827=0,"CLEAR","QUEUED")</x:f>
        <x:v>QUEUED</x:v>
      </x:c>
      <x:c r="K827" s="72"/>
      <x:c r="L827" s="72"/>
      <x:c r="M827" s="72"/>
      <x:c r="N827" s="72"/>
    </x:row>
    <x:row r="828">
      <x:c r="C828" s="45" t="str">
        <x:f>'Path Daily'!C828</x:f>
        <x:v>P9</x:v>
      </x:c>
      <x:c r="D828" s="45" t="n">
        <x:f>'Path Daily'!D828</x:f>
        <x:v>2</x:v>
      </x:c>
      <x:c r="E828" s="53" t="n">
        <x:f>IF(D828=0,SUMIFS('Cargo Records'!$T$7:$T$70,'Cargo Records'!$J$7:$J$70,C828),0)</x:f>
        <x:v>0</x:v>
      </x:c>
      <x:c r="F828" s="53" t="n">
        <x:f>I827</x:f>
        <x:v>96500</x:v>
      </x:c>
      <x:c r="G828" s="53" t="n">
        <x:f>'Path Daily'!M828</x:f>
        <x:v>0</x:v>
      </x:c>
      <x:c r="H828" s="53" t="n">
        <x:f>MIN(E828+F828,G828)</x:f>
        <x:v>0</x:v>
      </x:c>
      <x:c r="I828" s="53" t="n">
        <x:f>E828+F828-H828</x:f>
        <x:v>96500</x:v>
      </x:c>
      <x:c r="J828" s="45" t="str">
        <x:f>IF(I828=0,"CLEAR","QUEUED")</x:f>
        <x:v>QUEUED</x:v>
      </x:c>
      <x:c r="K828" s="72"/>
      <x:c r="L828" s="72"/>
      <x:c r="M828" s="72"/>
      <x:c r="N828" s="72"/>
    </x:row>
    <x:row r="829">
      <x:c r="C829" s="45" t="str">
        <x:f>'Path Daily'!C829</x:f>
        <x:v>P9</x:v>
      </x:c>
      <x:c r="D829" s="45" t="n">
        <x:f>'Path Daily'!D829</x:f>
        <x:v>3</x:v>
      </x:c>
      <x:c r="E829" s="53" t="n">
        <x:f>IF(D829=0,SUMIFS('Cargo Records'!$T$7:$T$70,'Cargo Records'!$J$7:$J$70,C829),0)</x:f>
        <x:v>0</x:v>
      </x:c>
      <x:c r="F829" s="53" t="n">
        <x:f>I828</x:f>
        <x:v>96500</x:v>
      </x:c>
      <x:c r="G829" s="53" t="n">
        <x:f>'Path Daily'!M829</x:f>
        <x:v>0</x:v>
      </x:c>
      <x:c r="H829" s="53" t="n">
        <x:f>MIN(E829+F829,G829)</x:f>
        <x:v>0</x:v>
      </x:c>
      <x:c r="I829" s="53" t="n">
        <x:f>E829+F829-H829</x:f>
        <x:v>96500</x:v>
      </x:c>
      <x:c r="J829" s="45" t="str">
        <x:f>IF(I829=0,"CLEAR","QUEUED")</x:f>
        <x:v>QUEUED</x:v>
      </x:c>
      <x:c r="K829" s="72"/>
      <x:c r="L829" s="72"/>
      <x:c r="M829" s="72"/>
      <x:c r="N829" s="72"/>
    </x:row>
    <x:row r="830">
      <x:c r="C830" s="45" t="str">
        <x:f>'Path Daily'!C830</x:f>
        <x:v>P9</x:v>
      </x:c>
      <x:c r="D830" s="45" t="n">
        <x:f>'Path Daily'!D830</x:f>
        <x:v>4</x:v>
      </x:c>
      <x:c r="E830" s="53" t="n">
        <x:f>IF(D830=0,SUMIFS('Cargo Records'!$T$7:$T$70,'Cargo Records'!$J$7:$J$70,C830),0)</x:f>
        <x:v>0</x:v>
      </x:c>
      <x:c r="F830" s="53" t="n">
        <x:f>I829</x:f>
        <x:v>96500</x:v>
      </x:c>
      <x:c r="G830" s="53" t="n">
        <x:f>'Path Daily'!M830</x:f>
        <x:v>0</x:v>
      </x:c>
      <x:c r="H830" s="53" t="n">
        <x:f>MIN(E830+F830,G830)</x:f>
        <x:v>0</x:v>
      </x:c>
      <x:c r="I830" s="53" t="n">
        <x:f>E830+F830-H830</x:f>
        <x:v>96500</x:v>
      </x:c>
      <x:c r="J830" s="45" t="str">
        <x:f>IF(I830=0,"CLEAR","QUEUED")</x:f>
        <x:v>QUEUED</x:v>
      </x:c>
      <x:c r="K830" s="72"/>
      <x:c r="L830" s="72"/>
      <x:c r="M830" s="72"/>
      <x:c r="N830" s="72"/>
    </x:row>
    <x:row r="831">
      <x:c r="C831" s="45" t="str">
        <x:f>'Path Daily'!C831</x:f>
        <x:v>P9</x:v>
      </x:c>
      <x:c r="D831" s="45" t="n">
        <x:f>'Path Daily'!D831</x:f>
        <x:v>5</x:v>
      </x:c>
      <x:c r="E831" s="53" t="n">
        <x:f>IF(D831=0,SUMIFS('Cargo Records'!$T$7:$T$70,'Cargo Records'!$J$7:$J$70,C831),0)</x:f>
        <x:v>0</x:v>
      </x:c>
      <x:c r="F831" s="53" t="n">
        <x:f>I830</x:f>
        <x:v>96500</x:v>
      </x:c>
      <x:c r="G831" s="53" t="n">
        <x:f>'Path Daily'!M831</x:f>
        <x:v>0</x:v>
      </x:c>
      <x:c r="H831" s="53" t="n">
        <x:f>MIN(E831+F831,G831)</x:f>
        <x:v>0</x:v>
      </x:c>
      <x:c r="I831" s="53" t="n">
        <x:f>E831+F831-H831</x:f>
        <x:v>96500</x:v>
      </x:c>
      <x:c r="J831" s="45" t="str">
        <x:f>IF(I831=0,"CLEAR","QUEUED")</x:f>
        <x:v>QUEUED</x:v>
      </x:c>
      <x:c r="K831" s="72"/>
      <x:c r="L831" s="72"/>
      <x:c r="M831" s="72"/>
      <x:c r="N831" s="72"/>
    </x:row>
    <x:row r="832">
      <x:c r="C832" s="45" t="str">
        <x:f>'Path Daily'!C832</x:f>
        <x:v>P9</x:v>
      </x:c>
      <x:c r="D832" s="45" t="n">
        <x:f>'Path Daily'!D832</x:f>
        <x:v>6</x:v>
      </x:c>
      <x:c r="E832" s="53" t="n">
        <x:f>IF(D832=0,SUMIFS('Cargo Records'!$T$7:$T$70,'Cargo Records'!$J$7:$J$70,C832),0)</x:f>
        <x:v>0</x:v>
      </x:c>
      <x:c r="F832" s="53" t="n">
        <x:f>I831</x:f>
        <x:v>96500</x:v>
      </x:c>
      <x:c r="G832" s="53" t="n">
        <x:f>'Path Daily'!M832</x:f>
        <x:v>2632.5</x:v>
      </x:c>
      <x:c r="H832" s="53" t="n">
        <x:f>MIN(E832+F832,G832)</x:f>
        <x:v>2632.5</x:v>
      </x:c>
      <x:c r="I832" s="53" t="n">
        <x:f>E832+F832-H832</x:f>
        <x:v>93867.5</x:v>
      </x:c>
      <x:c r="J832" s="45" t="str">
        <x:f>IF(I832=0,"CLEAR","QUEUED")</x:f>
        <x:v>QUEUED</x:v>
      </x:c>
      <x:c r="K832" s="72"/>
      <x:c r="L832" s="72"/>
      <x:c r="M832" s="72"/>
      <x:c r="N832" s="72"/>
    </x:row>
    <x:row r="833">
      <x:c r="C833" s="45" t="str">
        <x:f>'Path Daily'!C833</x:f>
        <x:v>P9</x:v>
      </x:c>
      <x:c r="D833" s="45" t="n">
        <x:f>'Path Daily'!D833</x:f>
        <x:v>7</x:v>
      </x:c>
      <x:c r="E833" s="53" t="n">
        <x:f>IF(D833=0,SUMIFS('Cargo Records'!$T$7:$T$70,'Cargo Records'!$J$7:$J$70,C833),0)</x:f>
        <x:v>0</x:v>
      </x:c>
      <x:c r="F833" s="53" t="n">
        <x:f>I832</x:f>
        <x:v>93867.5</x:v>
      </x:c>
      <x:c r="G833" s="53" t="n">
        <x:f>'Path Daily'!M833</x:f>
        <x:v>2632.5</x:v>
      </x:c>
      <x:c r="H833" s="53" t="n">
        <x:f>MIN(E833+F833,G833)</x:f>
        <x:v>2632.5</x:v>
      </x:c>
      <x:c r="I833" s="53" t="n">
        <x:f>E833+F833-H833</x:f>
        <x:v>91235</x:v>
      </x:c>
      <x:c r="J833" s="45" t="str">
        <x:f>IF(I833=0,"CLEAR","QUEUED")</x:f>
        <x:v>QUEUED</x:v>
      </x:c>
      <x:c r="K833" s="72"/>
      <x:c r="L833" s="72"/>
      <x:c r="M833" s="72"/>
      <x:c r="N833" s="72"/>
    </x:row>
    <x:row r="834">
      <x:c r="C834" s="45" t="str">
        <x:f>'Path Daily'!C834</x:f>
        <x:v>P9</x:v>
      </x:c>
      <x:c r="D834" s="45" t="n">
        <x:f>'Path Daily'!D834</x:f>
        <x:v>8</x:v>
      </x:c>
      <x:c r="E834" s="53" t="n">
        <x:f>IF(D834=0,SUMIFS('Cargo Records'!$T$7:$T$70,'Cargo Records'!$J$7:$J$70,C834),0)</x:f>
        <x:v>0</x:v>
      </x:c>
      <x:c r="F834" s="53" t="n">
        <x:f>I833</x:f>
        <x:v>91235</x:v>
      </x:c>
      <x:c r="G834" s="53" t="n">
        <x:f>'Path Daily'!M834</x:f>
        <x:v>8775</x:v>
      </x:c>
      <x:c r="H834" s="53" t="n">
        <x:f>MIN(E834+F834,G834)</x:f>
        <x:v>8775</x:v>
      </x:c>
      <x:c r="I834" s="53" t="n">
        <x:f>E834+F834-H834</x:f>
        <x:v>82460</x:v>
      </x:c>
      <x:c r="J834" s="45" t="str">
        <x:f>IF(I834=0,"CLEAR","QUEUED")</x:f>
        <x:v>QUEUED</x:v>
      </x:c>
      <x:c r="K834" s="72"/>
      <x:c r="L834" s="72"/>
      <x:c r="M834" s="72"/>
      <x:c r="N834" s="72"/>
    </x:row>
    <x:row r="835">
      <x:c r="C835" s="45" t="str">
        <x:f>'Path Daily'!C835</x:f>
        <x:v>P9</x:v>
      </x:c>
      <x:c r="D835" s="45" t="n">
        <x:f>'Path Daily'!D835</x:f>
        <x:v>9</x:v>
      </x:c>
      <x:c r="E835" s="53" t="n">
        <x:f>IF(D835=0,SUMIFS('Cargo Records'!$T$7:$T$70,'Cargo Records'!$J$7:$J$70,C835),0)</x:f>
        <x:v>0</x:v>
      </x:c>
      <x:c r="F835" s="53" t="n">
        <x:f>I834</x:f>
        <x:v>82460</x:v>
      </x:c>
      <x:c r="G835" s="53" t="n">
        <x:f>'Path Daily'!M835</x:f>
        <x:v>8775</x:v>
      </x:c>
      <x:c r="H835" s="53" t="n">
        <x:f>MIN(E835+F835,G835)</x:f>
        <x:v>8775</x:v>
      </x:c>
      <x:c r="I835" s="53" t="n">
        <x:f>E835+F835-H835</x:f>
        <x:v>73685</x:v>
      </x:c>
      <x:c r="J835" s="45" t="str">
        <x:f>IF(I835=0,"CLEAR","QUEUED")</x:f>
        <x:v>QUEUED</x:v>
      </x:c>
      <x:c r="K835" s="72"/>
      <x:c r="L835" s="72"/>
      <x:c r="M835" s="72"/>
      <x:c r="N835" s="72"/>
    </x:row>
    <x:row r="836">
      <x:c r="C836" s="45" t="str">
        <x:f>'Path Daily'!C836</x:f>
        <x:v>P9</x:v>
      </x:c>
      <x:c r="D836" s="45" t="n">
        <x:f>'Path Daily'!D836</x:f>
        <x:v>10</x:v>
      </x:c>
      <x:c r="E836" s="53" t="n">
        <x:f>IF(D836=0,SUMIFS('Cargo Records'!$T$7:$T$70,'Cargo Records'!$J$7:$J$70,C836),0)</x:f>
        <x:v>0</x:v>
      </x:c>
      <x:c r="F836" s="53" t="n">
        <x:f>I835</x:f>
        <x:v>73685</x:v>
      </x:c>
      <x:c r="G836" s="53" t="n">
        <x:f>'Path Daily'!M836</x:f>
        <x:v>8775</x:v>
      </x:c>
      <x:c r="H836" s="53" t="n">
        <x:f>MIN(E836+F836,G836)</x:f>
        <x:v>8775</x:v>
      </x:c>
      <x:c r="I836" s="53" t="n">
        <x:f>E836+F836-H836</x:f>
        <x:v>64910</x:v>
      </x:c>
      <x:c r="J836" s="45" t="str">
        <x:f>IF(I836=0,"CLEAR","QUEUED")</x:f>
        <x:v>QUEUED</x:v>
      </x:c>
      <x:c r="K836" s="72"/>
      <x:c r="L836" s="72"/>
      <x:c r="M836" s="72"/>
      <x:c r="N836" s="72"/>
    </x:row>
    <x:row r="837">
      <x:c r="C837" s="45" t="str">
        <x:f>'Path Daily'!C837</x:f>
        <x:v>P9</x:v>
      </x:c>
      <x:c r="D837" s="45" t="n">
        <x:f>'Path Daily'!D837</x:f>
        <x:v>11</x:v>
      </x:c>
      <x:c r="E837" s="53" t="n">
        <x:f>IF(D837=0,SUMIFS('Cargo Records'!$T$7:$T$70,'Cargo Records'!$J$7:$J$70,C837),0)</x:f>
        <x:v>0</x:v>
      </x:c>
      <x:c r="F837" s="53" t="n">
        <x:f>I836</x:f>
        <x:v>64910</x:v>
      </x:c>
      <x:c r="G837" s="53" t="n">
        <x:f>'Path Daily'!M837</x:f>
        <x:v>8775</x:v>
      </x:c>
      <x:c r="H837" s="53" t="n">
        <x:f>MIN(E837+F837,G837)</x:f>
        <x:v>8775</x:v>
      </x:c>
      <x:c r="I837" s="53" t="n">
        <x:f>E837+F837-H837</x:f>
        <x:v>56135</x:v>
      </x:c>
      <x:c r="J837" s="45" t="str">
        <x:f>IF(I837=0,"CLEAR","QUEUED")</x:f>
        <x:v>QUEUED</x:v>
      </x:c>
      <x:c r="K837" s="72"/>
      <x:c r="L837" s="72"/>
      <x:c r="M837" s="72"/>
      <x:c r="N837" s="72"/>
    </x:row>
    <x:row r="838">
      <x:c r="C838" s="45" t="str">
        <x:f>'Path Daily'!C838</x:f>
        <x:v>P9</x:v>
      </x:c>
      <x:c r="D838" s="45" t="n">
        <x:f>'Path Daily'!D838</x:f>
        <x:v>12</x:v>
      </x:c>
      <x:c r="E838" s="53" t="n">
        <x:f>IF(D838=0,SUMIFS('Cargo Records'!$T$7:$T$70,'Cargo Records'!$J$7:$J$70,C838),0)</x:f>
        <x:v>0</x:v>
      </x:c>
      <x:c r="F838" s="53" t="n">
        <x:f>I837</x:f>
        <x:v>56135</x:v>
      </x:c>
      <x:c r="G838" s="53" t="n">
        <x:f>'Path Daily'!M838</x:f>
        <x:v>8775</x:v>
      </x:c>
      <x:c r="H838" s="53" t="n">
        <x:f>MIN(E838+F838,G838)</x:f>
        <x:v>8775</x:v>
      </x:c>
      <x:c r="I838" s="53" t="n">
        <x:f>E838+F838-H838</x:f>
        <x:v>47360</x:v>
      </x:c>
      <x:c r="J838" s="45" t="str">
        <x:f>IF(I838=0,"CLEAR","QUEUED")</x:f>
        <x:v>QUEUED</x:v>
      </x:c>
      <x:c r="K838" s="72"/>
      <x:c r="L838" s="72"/>
      <x:c r="M838" s="72"/>
      <x:c r="N838" s="72"/>
    </x:row>
    <x:row r="839">
      <x:c r="C839" s="45" t="str">
        <x:f>'Path Daily'!C839</x:f>
        <x:v>P9</x:v>
      </x:c>
      <x:c r="D839" s="45" t="n">
        <x:f>'Path Daily'!D839</x:f>
        <x:v>13</x:v>
      </x:c>
      <x:c r="E839" s="53" t="n">
        <x:f>IF(D839=0,SUMIFS('Cargo Records'!$T$7:$T$70,'Cargo Records'!$J$7:$J$70,C839),0)</x:f>
        <x:v>0</x:v>
      </x:c>
      <x:c r="F839" s="53" t="n">
        <x:f>I838</x:f>
        <x:v>47360</x:v>
      </x:c>
      <x:c r="G839" s="53" t="n">
        <x:f>'Path Daily'!M839</x:f>
        <x:v>8775</x:v>
      </x:c>
      <x:c r="H839" s="53" t="n">
        <x:f>MIN(E839+F839,G839)</x:f>
        <x:v>8775</x:v>
      </x:c>
      <x:c r="I839" s="53" t="n">
        <x:f>E839+F839-H839</x:f>
        <x:v>38585</x:v>
      </x:c>
      <x:c r="J839" s="45" t="str">
        <x:f>IF(I839=0,"CLEAR","QUEUED")</x:f>
        <x:v>QUEUED</x:v>
      </x:c>
      <x:c r="K839" s="72"/>
      <x:c r="L839" s="72"/>
      <x:c r="M839" s="72"/>
      <x:c r="N839" s="72"/>
    </x:row>
    <x:row r="840">
      <x:c r="C840" s="45" t="str">
        <x:f>'Path Daily'!C840</x:f>
        <x:v>P9</x:v>
      </x:c>
      <x:c r="D840" s="45" t="n">
        <x:f>'Path Daily'!D840</x:f>
        <x:v>14</x:v>
      </x:c>
      <x:c r="E840" s="53" t="n">
        <x:f>IF(D840=0,SUMIFS('Cargo Records'!$T$7:$T$70,'Cargo Records'!$J$7:$J$70,C840),0)</x:f>
        <x:v>0</x:v>
      </x:c>
      <x:c r="F840" s="53" t="n">
        <x:f>I839</x:f>
        <x:v>38585</x:v>
      </x:c>
      <x:c r="G840" s="53" t="n">
        <x:f>'Path Daily'!M840</x:f>
        <x:v>2193.75</x:v>
      </x:c>
      <x:c r="H840" s="53" t="n">
        <x:f>MIN(E840+F840,G840)</x:f>
        <x:v>2193.75</x:v>
      </x:c>
      <x:c r="I840" s="53" t="n">
        <x:f>E840+F840-H840</x:f>
        <x:v>36391.25</x:v>
      </x:c>
      <x:c r="J840" s="45" t="str">
        <x:f>IF(I840=0,"CLEAR","QUEUED")</x:f>
        <x:v>QUEUED</x:v>
      </x:c>
      <x:c r="K840" s="72"/>
      <x:c r="L840" s="72"/>
      <x:c r="M840" s="72"/>
      <x:c r="N840" s="72"/>
    </x:row>
    <x:row r="841">
      <x:c r="C841" s="45" t="str">
        <x:f>'Path Daily'!C841</x:f>
        <x:v>P9</x:v>
      </x:c>
      <x:c r="D841" s="45" t="n">
        <x:f>'Path Daily'!D841</x:f>
        <x:v>15</x:v>
      </x:c>
      <x:c r="E841" s="53" t="n">
        <x:f>IF(D841=0,SUMIFS('Cargo Records'!$T$7:$T$70,'Cargo Records'!$J$7:$J$70,C841),0)</x:f>
        <x:v>0</x:v>
      </x:c>
      <x:c r="F841" s="53" t="n">
        <x:f>I840</x:f>
        <x:v>36391.25</x:v>
      </x:c>
      <x:c r="G841" s="53" t="n">
        <x:f>'Path Daily'!M841</x:f>
        <x:v>1687.5</x:v>
      </x:c>
      <x:c r="H841" s="53" t="n">
        <x:f>MIN(E841+F841,G841)</x:f>
        <x:v>1687.5</x:v>
      </x:c>
      <x:c r="I841" s="53" t="n">
        <x:f>E841+F841-H841</x:f>
        <x:v>34703.75</x:v>
      </x:c>
      <x:c r="J841" s="45" t="str">
        <x:f>IF(I841=0,"CLEAR","QUEUED")</x:f>
        <x:v>QUEUED</x:v>
      </x:c>
      <x:c r="K841" s="72"/>
      <x:c r="L841" s="72"/>
      <x:c r="M841" s="72"/>
      <x:c r="N841" s="72"/>
    </x:row>
    <x:row r="842">
      <x:c r="C842" s="45" t="str">
        <x:f>'Path Daily'!C842</x:f>
        <x:v>P9</x:v>
      </x:c>
      <x:c r="D842" s="45" t="n">
        <x:f>'Path Daily'!D842</x:f>
        <x:v>16</x:v>
      </x:c>
      <x:c r="E842" s="53" t="n">
        <x:f>IF(D842=0,SUMIFS('Cargo Records'!$T$7:$T$70,'Cargo Records'!$J$7:$J$70,C842),0)</x:f>
        <x:v>0</x:v>
      </x:c>
      <x:c r="F842" s="53" t="n">
        <x:f>I841</x:f>
        <x:v>34703.75</x:v>
      </x:c>
      <x:c r="G842" s="53" t="n">
        <x:f>'Path Daily'!M842</x:f>
        <x:v>3150</x:v>
      </x:c>
      <x:c r="H842" s="53" t="n">
        <x:f>MIN(E842+F842,G842)</x:f>
        <x:v>3150</x:v>
      </x:c>
      <x:c r="I842" s="53" t="n">
        <x:f>E842+F842-H842</x:f>
        <x:v>31553.75</x:v>
      </x:c>
      <x:c r="J842" s="45" t="str">
        <x:f>IF(I842=0,"CLEAR","QUEUED")</x:f>
        <x:v>QUEUED</x:v>
      </x:c>
      <x:c r="K842" s="72"/>
      <x:c r="L842" s="72"/>
      <x:c r="M842" s="72"/>
      <x:c r="N842" s="72"/>
    </x:row>
    <x:row r="843">
      <x:c r="C843" s="45" t="str">
        <x:f>'Path Daily'!C843</x:f>
        <x:v>P9</x:v>
      </x:c>
      <x:c r="D843" s="45" t="n">
        <x:f>'Path Daily'!D843</x:f>
        <x:v>17</x:v>
      </x:c>
      <x:c r="E843" s="53" t="n">
        <x:f>IF(D843=0,SUMIFS('Cargo Records'!$T$7:$T$70,'Cargo Records'!$J$7:$J$70,C843),0)</x:f>
        <x:v>0</x:v>
      </x:c>
      <x:c r="F843" s="53" t="n">
        <x:f>I842</x:f>
        <x:v>31553.75</x:v>
      </x:c>
      <x:c r="G843" s="53" t="n">
        <x:f>'Path Daily'!M843</x:f>
        <x:v>12600</x:v>
      </x:c>
      <x:c r="H843" s="53" t="n">
        <x:f>MIN(E843+F843,G843)</x:f>
        <x:v>12600</x:v>
      </x:c>
      <x:c r="I843" s="53" t="n">
        <x:f>E843+F843-H843</x:f>
        <x:v>18953.75</x:v>
      </x:c>
      <x:c r="J843" s="45" t="str">
        <x:f>IF(I843=0,"CLEAR","QUEUED")</x:f>
        <x:v>QUEUED</x:v>
      </x:c>
      <x:c r="K843" s="72"/>
      <x:c r="L843" s="72"/>
      <x:c r="M843" s="72"/>
      <x:c r="N843" s="72"/>
    </x:row>
    <x:row r="844">
      <x:c r="C844" s="45" t="str">
        <x:f>'Path Daily'!C844</x:f>
        <x:v>P9</x:v>
      </x:c>
      <x:c r="D844" s="45" t="n">
        <x:f>'Path Daily'!D844</x:f>
        <x:v>18</x:v>
      </x:c>
      <x:c r="E844" s="53" t="n">
        <x:f>IF(D844=0,SUMIFS('Cargo Records'!$T$7:$T$70,'Cargo Records'!$J$7:$J$70,C844),0)</x:f>
        <x:v>0</x:v>
      </x:c>
      <x:c r="F844" s="53" t="n">
        <x:f>I843</x:f>
        <x:v>18953.75</x:v>
      </x:c>
      <x:c r="G844" s="53" t="n">
        <x:f>'Path Daily'!M844</x:f>
        <x:v>12600</x:v>
      </x:c>
      <x:c r="H844" s="53" t="n">
        <x:f>MIN(E844+F844,G844)</x:f>
        <x:v>12600</x:v>
      </x:c>
      <x:c r="I844" s="53" t="n">
        <x:f>E844+F844-H844</x:f>
        <x:v>6353.75</x:v>
      </x:c>
      <x:c r="J844" s="45" t="str">
        <x:f>IF(I844=0,"CLEAR","QUEUED")</x:f>
        <x:v>QUEUED</x:v>
      </x:c>
      <x:c r="K844" s="72"/>
      <x:c r="L844" s="72"/>
      <x:c r="M844" s="72"/>
      <x:c r="N844" s="72"/>
    </x:row>
    <x:row r="845">
      <x:c r="C845" s="45" t="str">
        <x:f>'Path Daily'!C845</x:f>
        <x:v>P9</x:v>
      </x:c>
      <x:c r="D845" s="45" t="n">
        <x:f>'Path Daily'!D845</x:f>
        <x:v>19</x:v>
      </x:c>
      <x:c r="E845" s="53" t="n">
        <x:f>IF(D845=0,SUMIFS('Cargo Records'!$T$7:$T$70,'Cargo Records'!$J$7:$J$70,C845),0)</x:f>
        <x:v>0</x:v>
      </x:c>
      <x:c r="F845" s="53" t="n">
        <x:f>I844</x:f>
        <x:v>6353.75</x:v>
      </x:c>
      <x:c r="G845" s="53" t="n">
        <x:f>'Path Daily'!M845</x:f>
        <x:v>12600</x:v>
      </x:c>
      <x:c r="H845" s="53" t="n">
        <x:f>MIN(E845+F845,G845)</x:f>
        <x:v>6353.75</x:v>
      </x:c>
      <x:c r="I845" s="53" t="n">
        <x:f>E845+F845-H845</x:f>
        <x:v>0</x:v>
      </x:c>
      <x:c r="J845" s="45" t="str">
        <x:f>IF(I845=0,"CLEAR","QUEUED")</x:f>
        <x:v>CLEAR</x:v>
      </x:c>
      <x:c r="K845" s="72"/>
      <x:c r="L845" s="72"/>
      <x:c r="M845" s="72"/>
      <x:c r="N845" s="72"/>
    </x:row>
    <x:row r="846">
      <x:c r="C846" s="45" t="str">
        <x:f>'Path Daily'!C846</x:f>
        <x:v>P9</x:v>
      </x:c>
      <x:c r="D846" s="45" t="n">
        <x:f>'Path Daily'!D846</x:f>
        <x:v>20</x:v>
      </x:c>
      <x:c r="E846" s="53" t="n">
        <x:f>IF(D846=0,SUMIFS('Cargo Records'!$T$7:$T$70,'Cargo Records'!$J$7:$J$70,C846),0)</x:f>
        <x:v>0</x:v>
      </x:c>
      <x:c r="F846" s="53" t="n">
        <x:f>I845</x:f>
        <x:v>0</x:v>
      </x:c>
      <x:c r="G846" s="53" t="n">
        <x:f>'Path Daily'!M846</x:f>
        <x:v>12600</x:v>
      </x:c>
      <x:c r="H846" s="53" t="n">
        <x:f>MIN(E846+F846,G846)</x:f>
        <x:v>0</x:v>
      </x:c>
      <x:c r="I846" s="53" t="n">
        <x:f>E846+F846-H846</x:f>
        <x:v>0</x:v>
      </x:c>
      <x:c r="J846" s="45" t="str">
        <x:f>IF(I846=0,"CLEAR","QUEUED")</x:f>
        <x:v>CLEAR</x:v>
      </x:c>
      <x:c r="K846" s="72"/>
      <x:c r="L846" s="72"/>
      <x:c r="M846" s="72"/>
      <x:c r="N846" s="72"/>
    </x:row>
    <x:row r="847">
      <x:c r="C847" s="45" t="str">
        <x:f>'Path Daily'!C847</x:f>
        <x:v>P9</x:v>
      </x:c>
      <x:c r="D847" s="45" t="n">
        <x:f>'Path Daily'!D847</x:f>
        <x:v>21</x:v>
      </x:c>
      <x:c r="E847" s="53" t="n">
        <x:f>IF(D847=0,SUMIFS('Cargo Records'!$T$7:$T$70,'Cargo Records'!$J$7:$J$70,C847),0)</x:f>
        <x:v>0</x:v>
      </x:c>
      <x:c r="F847" s="53" t="n">
        <x:f>I846</x:f>
        <x:v>0</x:v>
      </x:c>
      <x:c r="G847" s="53" t="n">
        <x:f>'Path Daily'!M847</x:f>
        <x:v>3780</x:v>
      </x:c>
      <x:c r="H847" s="53" t="n">
        <x:f>MIN(E847+F847,G847)</x:f>
        <x:v>0</x:v>
      </x:c>
      <x:c r="I847" s="53" t="n">
        <x:f>E847+F847-H847</x:f>
        <x:v>0</x:v>
      </x:c>
      <x:c r="J847" s="45" t="str">
        <x:f>IF(I847=0,"CLEAR","QUEUED")</x:f>
        <x:v>CLEAR</x:v>
      </x:c>
      <x:c r="K847" s="72"/>
      <x:c r="L847" s="72"/>
      <x:c r="M847" s="72"/>
      <x:c r="N847" s="72"/>
    </x:row>
    <x:row r="848">
      <x:c r="C848" s="45" t="str">
        <x:f>'Path Daily'!C848</x:f>
        <x:v>P9</x:v>
      </x:c>
      <x:c r="D848" s="45" t="n">
        <x:f>'Path Daily'!D848</x:f>
        <x:v>22</x:v>
      </x:c>
      <x:c r="E848" s="53" t="n">
        <x:f>IF(D848=0,SUMIFS('Cargo Records'!$T$7:$T$70,'Cargo Records'!$J$7:$J$70,C848),0)</x:f>
        <x:v>0</x:v>
      </x:c>
      <x:c r="F848" s="53" t="n">
        <x:f>I847</x:f>
        <x:v>0</x:v>
      </x:c>
      <x:c r="G848" s="53" t="n">
        <x:f>'Path Daily'!M848</x:f>
        <x:v>12600</x:v>
      </x:c>
      <x:c r="H848" s="53" t="n">
        <x:f>MIN(E848+F848,G848)</x:f>
        <x:v>0</x:v>
      </x:c>
      <x:c r="I848" s="53" t="n">
        <x:f>E848+F848-H848</x:f>
        <x:v>0</x:v>
      </x:c>
      <x:c r="J848" s="45" t="str">
        <x:f>IF(I848=0,"CLEAR","QUEUED")</x:f>
        <x:v>CLEAR</x:v>
      </x:c>
      <x:c r="K848" s="72"/>
      <x:c r="L848" s="72"/>
      <x:c r="M848" s="72"/>
      <x:c r="N848" s="72"/>
    </x:row>
    <x:row r="849">
      <x:c r="C849" s="45" t="str">
        <x:f>'Path Daily'!C849</x:f>
        <x:v>P9</x:v>
      </x:c>
      <x:c r="D849" s="45" t="n">
        <x:f>'Path Daily'!D849</x:f>
        <x:v>23</x:v>
      </x:c>
      <x:c r="E849" s="53" t="n">
        <x:f>IF(D849=0,SUMIFS('Cargo Records'!$T$7:$T$70,'Cargo Records'!$J$7:$J$70,C849),0)</x:f>
        <x:v>0</x:v>
      </x:c>
      <x:c r="F849" s="53" t="n">
        <x:f>I848</x:f>
        <x:v>0</x:v>
      </x:c>
      <x:c r="G849" s="53" t="n">
        <x:f>'Path Daily'!M849</x:f>
        <x:v>12600</x:v>
      </x:c>
      <x:c r="H849" s="53" t="n">
        <x:f>MIN(E849+F849,G849)</x:f>
        <x:v>0</x:v>
      </x:c>
      <x:c r="I849" s="53" t="n">
        <x:f>E849+F849-H849</x:f>
        <x:v>0</x:v>
      </x:c>
      <x:c r="J849" s="45" t="str">
        <x:f>IF(I849=0,"CLEAR","QUEUED")</x:f>
        <x:v>CLEAR</x:v>
      </x:c>
      <x:c r="K849" s="72"/>
      <x:c r="L849" s="72"/>
      <x:c r="M849" s="72"/>
      <x:c r="N849" s="72"/>
    </x:row>
    <x:row r="850">
      <x:c r="C850" s="45" t="str">
        <x:f>'Path Daily'!C850</x:f>
        <x:v>P9</x:v>
      </x:c>
      <x:c r="D850" s="45" t="n">
        <x:f>'Path Daily'!D850</x:f>
        <x:v>24</x:v>
      </x:c>
      <x:c r="E850" s="53" t="n">
        <x:f>IF(D850=0,SUMIFS('Cargo Records'!$T$7:$T$70,'Cargo Records'!$J$7:$J$70,C850),0)</x:f>
        <x:v>0</x:v>
      </x:c>
      <x:c r="F850" s="53" t="n">
        <x:f>I849</x:f>
        <x:v>0</x:v>
      </x:c>
      <x:c r="G850" s="53" t="n">
        <x:f>'Path Daily'!M850</x:f>
        <x:v>12600</x:v>
      </x:c>
      <x:c r="H850" s="53" t="n">
        <x:f>MIN(E850+F850,G850)</x:f>
        <x:v>0</x:v>
      </x:c>
      <x:c r="I850" s="53" t="n">
        <x:f>E850+F850-H850</x:f>
        <x:v>0</x:v>
      </x:c>
      <x:c r="J850" s="45" t="str">
        <x:f>IF(I850=0,"CLEAR","QUEUED")</x:f>
        <x:v>CLEAR</x:v>
      </x:c>
      <x:c r="K850" s="72"/>
      <x:c r="L850" s="72"/>
      <x:c r="M850" s="72"/>
      <x:c r="N850" s="72"/>
    </x:row>
    <x:row r="851">
      <x:c r="C851" s="45" t="str">
        <x:f>'Path Daily'!C851</x:f>
        <x:v>P9</x:v>
      </x:c>
      <x:c r="D851" s="45" t="n">
        <x:f>'Path Daily'!D851</x:f>
        <x:v>25</x:v>
      </x:c>
      <x:c r="E851" s="53" t="n">
        <x:f>IF(D851=0,SUMIFS('Cargo Records'!$T$7:$T$70,'Cargo Records'!$J$7:$J$70,C851),0)</x:f>
        <x:v>0</x:v>
      </x:c>
      <x:c r="F851" s="53" t="n">
        <x:f>I850</x:f>
        <x:v>0</x:v>
      </x:c>
      <x:c r="G851" s="53" t="n">
        <x:f>'Path Daily'!M851</x:f>
        <x:v>12600</x:v>
      </x:c>
      <x:c r="H851" s="53" t="n">
        <x:f>MIN(E851+F851,G851)</x:f>
        <x:v>0</x:v>
      </x:c>
      <x:c r="I851" s="53" t="n">
        <x:f>E851+F851-H851</x:f>
        <x:v>0</x:v>
      </x:c>
      <x:c r="J851" s="45" t="str">
        <x:f>IF(I851=0,"CLEAR","QUEUED")</x:f>
        <x:v>CLEAR</x:v>
      </x:c>
      <x:c r="K851" s="72"/>
      <x:c r="L851" s="72"/>
      <x:c r="M851" s="72"/>
      <x:c r="N851" s="72"/>
    </x:row>
    <x:row r="852">
      <x:c r="C852" s="45" t="str">
        <x:f>'Path Daily'!C852</x:f>
        <x:v>P9</x:v>
      </x:c>
      <x:c r="D852" s="45" t="n">
        <x:f>'Path Daily'!D852</x:f>
        <x:v>26</x:v>
      </x:c>
      <x:c r="E852" s="53" t="n">
        <x:f>IF(D852=0,SUMIFS('Cargo Records'!$T$7:$T$70,'Cargo Records'!$J$7:$J$70,C852),0)</x:f>
        <x:v>0</x:v>
      </x:c>
      <x:c r="F852" s="53" t="n">
        <x:f>I851</x:f>
        <x:v>0</x:v>
      </x:c>
      <x:c r="G852" s="53" t="n">
        <x:f>'Path Daily'!M852</x:f>
        <x:v>12600</x:v>
      </x:c>
      <x:c r="H852" s="53" t="n">
        <x:f>MIN(E852+F852,G852)</x:f>
        <x:v>0</x:v>
      </x:c>
      <x:c r="I852" s="53" t="n">
        <x:f>E852+F852-H852</x:f>
        <x:v>0</x:v>
      </x:c>
      <x:c r="J852" s="45" t="str">
        <x:f>IF(I852=0,"CLEAR","QUEUED")</x:f>
        <x:v>CLEAR</x:v>
      </x:c>
      <x:c r="K852" s="72"/>
      <x:c r="L852" s="72"/>
      <x:c r="M852" s="72"/>
      <x:c r="N852" s="72"/>
    </x:row>
    <x:row r="853">
      <x:c r="C853" s="45" t="str">
        <x:f>'Path Daily'!C853</x:f>
        <x:v>P9</x:v>
      </x:c>
      <x:c r="D853" s="45" t="n">
        <x:f>'Path Daily'!D853</x:f>
        <x:v>27</x:v>
      </x:c>
      <x:c r="E853" s="53" t="n">
        <x:f>IF(D853=0,SUMIFS('Cargo Records'!$T$7:$T$70,'Cargo Records'!$J$7:$J$70,C853),0)</x:f>
        <x:v>0</x:v>
      </x:c>
      <x:c r="F853" s="53" t="n">
        <x:f>I852</x:f>
        <x:v>0</x:v>
      </x:c>
      <x:c r="G853" s="53" t="n">
        <x:f>'Path Daily'!M853</x:f>
        <x:v>12600</x:v>
      </x:c>
      <x:c r="H853" s="53" t="n">
        <x:f>MIN(E853+F853,G853)</x:f>
        <x:v>0</x:v>
      </x:c>
      <x:c r="I853" s="53" t="n">
        <x:f>E853+F853-H853</x:f>
        <x:v>0</x:v>
      </x:c>
      <x:c r="J853" s="45" t="str">
        <x:f>IF(I853=0,"CLEAR","QUEUED")</x:f>
        <x:v>CLEAR</x:v>
      </x:c>
      <x:c r="K853" s="72"/>
      <x:c r="L853" s="72"/>
      <x:c r="M853" s="72"/>
      <x:c r="N853" s="72"/>
    </x:row>
    <x:row r="854">
      <x:c r="C854" s="45" t="str">
        <x:f>'Path Daily'!C854</x:f>
        <x:v>P9</x:v>
      </x:c>
      <x:c r="D854" s="45" t="n">
        <x:f>'Path Daily'!D854</x:f>
        <x:v>28</x:v>
      </x:c>
      <x:c r="E854" s="53" t="n">
        <x:f>IF(D854=0,SUMIFS('Cargo Records'!$T$7:$T$70,'Cargo Records'!$J$7:$J$70,C854),0)</x:f>
        <x:v>0</x:v>
      </x:c>
      <x:c r="F854" s="53" t="n">
        <x:f>I853</x:f>
        <x:v>0</x:v>
      </x:c>
      <x:c r="G854" s="53" t="n">
        <x:f>'Path Daily'!M854</x:f>
        <x:v>12600</x:v>
      </x:c>
      <x:c r="H854" s="53" t="n">
        <x:f>MIN(E854+F854,G854)</x:f>
        <x:v>0</x:v>
      </x:c>
      <x:c r="I854" s="53" t="n">
        <x:f>E854+F854-H854</x:f>
        <x:v>0</x:v>
      </x:c>
      <x:c r="J854" s="45" t="str">
        <x:f>IF(I854=0,"CLEAR","QUEUED")</x:f>
        <x:v>CLEAR</x:v>
      </x:c>
      <x:c r="K854" s="72"/>
      <x:c r="L854" s="72"/>
      <x:c r="M854" s="72"/>
      <x:c r="N854" s="72"/>
    </x:row>
    <x:row r="855">
      <x:c r="C855" s="45" t="str">
        <x:f>'Path Daily'!C855</x:f>
        <x:v>P9</x:v>
      </x:c>
      <x:c r="D855" s="45" t="n">
        <x:f>'Path Daily'!D855</x:f>
        <x:v>29</x:v>
      </x:c>
      <x:c r="E855" s="53" t="n">
        <x:f>IF(D855=0,SUMIFS('Cargo Records'!$T$7:$T$70,'Cargo Records'!$J$7:$J$70,C855),0)</x:f>
        <x:v>0</x:v>
      </x:c>
      <x:c r="F855" s="53" t="n">
        <x:f>I854</x:f>
        <x:v>0</x:v>
      </x:c>
      <x:c r="G855" s="53" t="n">
        <x:f>'Path Daily'!M855</x:f>
        <x:v>12600</x:v>
      </x:c>
      <x:c r="H855" s="53" t="n">
        <x:f>MIN(E855+F855,G855)</x:f>
        <x:v>0</x:v>
      </x:c>
      <x:c r="I855" s="53" t="n">
        <x:f>E855+F855-H855</x:f>
        <x:v>0</x:v>
      </x:c>
      <x:c r="J855" s="45" t="str">
        <x:f>IF(I855=0,"CLEAR","QUEUED")</x:f>
        <x:v>CLEAR</x:v>
      </x:c>
      <x:c r="K855" s="72"/>
      <x:c r="L855" s="72"/>
      <x:c r="M855" s="72"/>
      <x:c r="N855" s="72"/>
    </x:row>
    <x:row r="856">
      <x:c r="C856" s="45" t="str">
        <x:f>'Path Daily'!C856</x:f>
        <x:v>P9</x:v>
      </x:c>
      <x:c r="D856" s="45" t="n">
        <x:f>'Path Daily'!D856</x:f>
        <x:v>30</x:v>
      </x:c>
      <x:c r="E856" s="53" t="n">
        <x:f>IF(D856=0,SUMIFS('Cargo Records'!$T$7:$T$70,'Cargo Records'!$J$7:$J$70,C856),0)</x:f>
        <x:v>0</x:v>
      </x:c>
      <x:c r="F856" s="53" t="n">
        <x:f>I855</x:f>
        <x:v>0</x:v>
      </x:c>
      <x:c r="G856" s="53" t="n">
        <x:f>'Path Daily'!M856</x:f>
        <x:v>12600</x:v>
      </x:c>
      <x:c r="H856" s="53" t="n">
        <x:f>MIN(E856+F856,G856)</x:f>
        <x:v>0</x:v>
      </x:c>
      <x:c r="I856" s="53" t="n">
        <x:f>E856+F856-H856</x:f>
        <x:v>0</x:v>
      </x:c>
      <x:c r="J856" s="45" t="str">
        <x:f>IF(I856=0,"CLEAR","QUEUED")</x:f>
        <x:v>CLEAR</x:v>
      </x:c>
      <x:c r="K856" s="72"/>
      <x:c r="L856" s="72"/>
      <x:c r="M856" s="72"/>
      <x:c r="N856" s="72"/>
    </x:row>
    <x:row r="857">
      <x:c r="C857" s="45" t="str">
        <x:f>'Path Daily'!C857</x:f>
        <x:v>P9</x:v>
      </x:c>
      <x:c r="D857" s="45" t="n">
        <x:f>'Path Daily'!D857</x:f>
        <x:v>31</x:v>
      </x:c>
      <x:c r="E857" s="53" t="n">
        <x:f>IF(D857=0,SUMIFS('Cargo Records'!$T$7:$T$70,'Cargo Records'!$J$7:$J$70,C857),0)</x:f>
        <x:v>0</x:v>
      </x:c>
      <x:c r="F857" s="53" t="n">
        <x:f>I856</x:f>
        <x:v>0</x:v>
      </x:c>
      <x:c r="G857" s="53" t="n">
        <x:f>'Path Daily'!M857</x:f>
        <x:v>12600</x:v>
      </x:c>
      <x:c r="H857" s="53" t="n">
        <x:f>MIN(E857+F857,G857)</x:f>
        <x:v>0</x:v>
      </x:c>
      <x:c r="I857" s="53" t="n">
        <x:f>E857+F857-H857</x:f>
        <x:v>0</x:v>
      </x:c>
      <x:c r="J857" s="45" t="str">
        <x:f>IF(I857=0,"CLEAR","QUEUED")</x:f>
        <x:v>CLEAR</x:v>
      </x:c>
      <x:c r="K857" s="72"/>
      <x:c r="L857" s="72"/>
      <x:c r="M857" s="72"/>
      <x:c r="N857" s="72"/>
    </x:row>
    <x:row r="858">
      <x:c r="C858" s="45" t="str">
        <x:f>'Path Daily'!C858</x:f>
        <x:v>P9</x:v>
      </x:c>
      <x:c r="D858" s="45" t="n">
        <x:f>'Path Daily'!D858</x:f>
        <x:v>32</x:v>
      </x:c>
      <x:c r="E858" s="53" t="n">
        <x:f>IF(D858=0,SUMIFS('Cargo Records'!$T$7:$T$70,'Cargo Records'!$J$7:$J$70,C858),0)</x:f>
        <x:v>0</x:v>
      </x:c>
      <x:c r="F858" s="53" t="n">
        <x:f>I857</x:f>
        <x:v>0</x:v>
      </x:c>
      <x:c r="G858" s="53" t="n">
        <x:f>'Path Daily'!M858</x:f>
        <x:v>12600</x:v>
      </x:c>
      <x:c r="H858" s="53" t="n">
        <x:f>MIN(E858+F858,G858)</x:f>
        <x:v>0</x:v>
      </x:c>
      <x:c r="I858" s="53" t="n">
        <x:f>E858+F858-H858</x:f>
        <x:v>0</x:v>
      </x:c>
      <x:c r="J858" s="45" t="str">
        <x:f>IF(I858=0,"CLEAR","QUEUED")</x:f>
        <x:v>CLEAR</x:v>
      </x:c>
      <x:c r="K858" s="72"/>
      <x:c r="L858" s="72"/>
      <x:c r="M858" s="72"/>
      <x:c r="N858" s="72"/>
    </x:row>
    <x:row r="859">
      <x:c r="C859" s="45" t="str">
        <x:f>'Path Daily'!C859</x:f>
        <x:v>P9</x:v>
      </x:c>
      <x:c r="D859" s="45" t="n">
        <x:f>'Path Daily'!D859</x:f>
        <x:v>33</x:v>
      </x:c>
      <x:c r="E859" s="53" t="n">
        <x:f>IF(D859=0,SUMIFS('Cargo Records'!$T$7:$T$70,'Cargo Records'!$J$7:$J$70,C859),0)</x:f>
        <x:v>0</x:v>
      </x:c>
      <x:c r="F859" s="53" t="n">
        <x:f>I858</x:f>
        <x:v>0</x:v>
      </x:c>
      <x:c r="G859" s="53" t="n">
        <x:f>'Path Daily'!M859</x:f>
        <x:v>12600</x:v>
      </x:c>
      <x:c r="H859" s="53" t="n">
        <x:f>MIN(E859+F859,G859)</x:f>
        <x:v>0</x:v>
      </x:c>
      <x:c r="I859" s="53" t="n">
        <x:f>E859+F859-H859</x:f>
        <x:v>0</x:v>
      </x:c>
      <x:c r="J859" s="45" t="str">
        <x:f>IF(I859=0,"CLEAR","QUEUED")</x:f>
        <x:v>CLEAR</x:v>
      </x:c>
      <x:c r="K859" s="72"/>
      <x:c r="L859" s="72"/>
      <x:c r="M859" s="72"/>
      <x:c r="N859" s="72"/>
    </x:row>
    <x:row r="860">
      <x:c r="C860" s="45" t="str">
        <x:f>'Path Daily'!C860</x:f>
        <x:v>P9</x:v>
      </x:c>
      <x:c r="D860" s="45" t="n">
        <x:f>'Path Daily'!D860</x:f>
        <x:v>34</x:v>
      </x:c>
      <x:c r="E860" s="53" t="n">
        <x:f>IF(D860=0,SUMIFS('Cargo Records'!$T$7:$T$70,'Cargo Records'!$J$7:$J$70,C860),0)</x:f>
        <x:v>0</x:v>
      </x:c>
      <x:c r="F860" s="53" t="n">
        <x:f>I859</x:f>
        <x:v>0</x:v>
      </x:c>
      <x:c r="G860" s="53" t="n">
        <x:f>'Path Daily'!M860</x:f>
        <x:v>3150</x:v>
      </x:c>
      <x:c r="H860" s="53" t="n">
        <x:f>MIN(E860+F860,G860)</x:f>
        <x:v>0</x:v>
      </x:c>
      <x:c r="I860" s="53" t="n">
        <x:f>E860+F860-H860</x:f>
        <x:v>0</x:v>
      </x:c>
      <x:c r="J860" s="45" t="str">
        <x:f>IF(I860=0,"CLEAR","QUEUED")</x:f>
        <x:v>CLEAR</x:v>
      </x:c>
      <x:c r="K860" s="72"/>
      <x:c r="L860" s="72"/>
      <x:c r="M860" s="72"/>
      <x:c r="N860" s="72"/>
    </x:row>
    <x:row r="861">
      <x:c r="C861" s="45" t="str">
        <x:f>'Path Daily'!C861</x:f>
        <x:v>P9</x:v>
      </x:c>
      <x:c r="D861" s="45" t="n">
        <x:f>'Path Daily'!D861</x:f>
        <x:v>35</x:v>
      </x:c>
      <x:c r="E861" s="53" t="n">
        <x:f>IF(D861=0,SUMIFS('Cargo Records'!$T$7:$T$70,'Cargo Records'!$J$7:$J$70,C861),0)</x:f>
        <x:v>0</x:v>
      </x:c>
      <x:c r="F861" s="53" t="n">
        <x:f>I860</x:f>
        <x:v>0</x:v>
      </x:c>
      <x:c r="G861" s="53" t="n">
        <x:f>'Path Daily'!M861</x:f>
        <x:v>3150</x:v>
      </x:c>
      <x:c r="H861" s="53" t="n">
        <x:f>MIN(E861+F861,G861)</x:f>
        <x:v>0</x:v>
      </x:c>
      <x:c r="I861" s="53" t="n">
        <x:f>E861+F861-H861</x:f>
        <x:v>0</x:v>
      </x:c>
      <x:c r="J861" s="45" t="str">
        <x:f>IF(I861=0,"CLEAR","QUEUED")</x:f>
        <x:v>CLEAR</x:v>
      </x:c>
      <x:c r="K861" s="72"/>
      <x:c r="L861" s="72"/>
      <x:c r="M861" s="72"/>
      <x:c r="N861" s="72"/>
    </x:row>
    <x:row r="862">
      <x:c r="C862" s="45" t="str">
        <x:f>'Path Daily'!C862</x:f>
        <x:v>P9</x:v>
      </x:c>
      <x:c r="D862" s="45" t="n">
        <x:f>'Path Daily'!D862</x:f>
        <x:v>36</x:v>
      </x:c>
      <x:c r="E862" s="53" t="n">
        <x:f>IF(D862=0,SUMIFS('Cargo Records'!$T$7:$T$70,'Cargo Records'!$J$7:$J$70,C862),0)</x:f>
        <x:v>0</x:v>
      </x:c>
      <x:c r="F862" s="53" t="n">
        <x:f>I861</x:f>
        <x:v>0</x:v>
      </x:c>
      <x:c r="G862" s="53" t="n">
        <x:f>'Path Daily'!M862</x:f>
        <x:v>12600</x:v>
      </x:c>
      <x:c r="H862" s="53" t="n">
        <x:f>MIN(E862+F862,G862)</x:f>
        <x:v>0</x:v>
      </x:c>
      <x:c r="I862" s="53" t="n">
        <x:f>E862+F862-H862</x:f>
        <x:v>0</x:v>
      </x:c>
      <x:c r="J862" s="45" t="str">
        <x:f>IF(I862=0,"CLEAR","QUEUED")</x:f>
        <x:v>CLEAR</x:v>
      </x:c>
      <x:c r="K862" s="72"/>
      <x:c r="L862" s="72"/>
      <x:c r="M862" s="72"/>
      <x:c r="N862" s="72"/>
    </x:row>
    <x:row r="863">
      <x:c r="C863" s="45" t="str">
        <x:f>'Path Daily'!C863</x:f>
        <x:v>P9</x:v>
      </x:c>
      <x:c r="D863" s="45" t="n">
        <x:f>'Path Daily'!D863</x:f>
        <x:v>37</x:v>
      </x:c>
      <x:c r="E863" s="53" t="n">
        <x:f>IF(D863=0,SUMIFS('Cargo Records'!$T$7:$T$70,'Cargo Records'!$J$7:$J$70,C863),0)</x:f>
        <x:v>0</x:v>
      </x:c>
      <x:c r="F863" s="53" t="n">
        <x:f>I862</x:f>
        <x:v>0</x:v>
      </x:c>
      <x:c r="G863" s="53" t="n">
        <x:f>'Path Daily'!M863</x:f>
        <x:v>12600</x:v>
      </x:c>
      <x:c r="H863" s="53" t="n">
        <x:f>MIN(E863+F863,G863)</x:f>
        <x:v>0</x:v>
      </x:c>
      <x:c r="I863" s="53" t="n">
        <x:f>E863+F863-H863</x:f>
        <x:v>0</x:v>
      </x:c>
      <x:c r="J863" s="45" t="str">
        <x:f>IF(I863=0,"CLEAR","QUEUED")</x:f>
        <x:v>CLEAR</x:v>
      </x:c>
      <x:c r="K863" s="72"/>
      <x:c r="L863" s="72"/>
      <x:c r="M863" s="72"/>
      <x:c r="N863" s="72"/>
    </x:row>
    <x:row r="864">
      <x:c r="C864" s="45" t="str">
        <x:f>'Path Daily'!C864</x:f>
        <x:v>P9</x:v>
      </x:c>
      <x:c r="D864" s="45" t="n">
        <x:f>'Path Daily'!D864</x:f>
        <x:v>38</x:v>
      </x:c>
      <x:c r="E864" s="53" t="n">
        <x:f>IF(D864=0,SUMIFS('Cargo Records'!$T$7:$T$70,'Cargo Records'!$J$7:$J$70,C864),0)</x:f>
        <x:v>0</x:v>
      </x:c>
      <x:c r="F864" s="53" t="n">
        <x:f>I863</x:f>
        <x:v>0</x:v>
      </x:c>
      <x:c r="G864" s="53" t="n">
        <x:f>'Path Daily'!M864</x:f>
        <x:v>12600</x:v>
      </x:c>
      <x:c r="H864" s="53" t="n">
        <x:f>MIN(E864+F864,G864)</x:f>
        <x:v>0</x:v>
      </x:c>
      <x:c r="I864" s="53" t="n">
        <x:f>E864+F864-H864</x:f>
        <x:v>0</x:v>
      </x:c>
      <x:c r="J864" s="45" t="str">
        <x:f>IF(I864=0,"CLEAR","QUEUED")</x:f>
        <x:v>CLEAR</x:v>
      </x:c>
      <x:c r="K864" s="72"/>
      <x:c r="L864" s="72"/>
      <x:c r="M864" s="72"/>
      <x:c r="N864" s="72"/>
    </x:row>
    <x:row r="865">
      <x:c r="C865" s="45" t="str">
        <x:f>'Path Daily'!C865</x:f>
        <x:v>P9</x:v>
      </x:c>
      <x:c r="D865" s="45" t="n">
        <x:f>'Path Daily'!D865</x:f>
        <x:v>39</x:v>
      </x:c>
      <x:c r="E865" s="53" t="n">
        <x:f>IF(D865=0,SUMIFS('Cargo Records'!$T$7:$T$70,'Cargo Records'!$J$7:$J$70,C865),0)</x:f>
        <x:v>0</x:v>
      </x:c>
      <x:c r="F865" s="53" t="n">
        <x:f>I864</x:f>
        <x:v>0</x:v>
      </x:c>
      <x:c r="G865" s="53" t="n">
        <x:f>'Path Daily'!M865</x:f>
        <x:v>12600</x:v>
      </x:c>
      <x:c r="H865" s="53" t="n">
        <x:f>MIN(E865+F865,G865)</x:f>
        <x:v>0</x:v>
      </x:c>
      <x:c r="I865" s="53" t="n">
        <x:f>E865+F865-H865</x:f>
        <x:v>0</x:v>
      </x:c>
      <x:c r="J865" s="45" t="str">
        <x:f>IF(I865=0,"CLEAR","QUEUED")</x:f>
        <x:v>CLEAR</x:v>
      </x:c>
      <x:c r="K865" s="72"/>
      <x:c r="L865" s="72"/>
      <x:c r="M865" s="72"/>
      <x:c r="N865" s="72"/>
    </x:row>
    <x:row r="866">
      <x:c r="C866" s="45" t="str">
        <x:f>'Path Daily'!C866</x:f>
        <x:v>P9</x:v>
      </x:c>
      <x:c r="D866" s="45" t="n">
        <x:f>'Path Daily'!D866</x:f>
        <x:v>40</x:v>
      </x:c>
      <x:c r="E866" s="53" t="n">
        <x:f>IF(D866=0,SUMIFS('Cargo Records'!$T$7:$T$70,'Cargo Records'!$J$7:$J$70,C866),0)</x:f>
        <x:v>0</x:v>
      </x:c>
      <x:c r="F866" s="53" t="n">
        <x:f>I865</x:f>
        <x:v>0</x:v>
      </x:c>
      <x:c r="G866" s="53" t="n">
        <x:f>'Path Daily'!M866</x:f>
        <x:v>12600</x:v>
      </x:c>
      <x:c r="H866" s="53" t="n">
        <x:f>MIN(E866+F866,G866)</x:f>
        <x:v>0</x:v>
      </x:c>
      <x:c r="I866" s="53" t="n">
        <x:f>E866+F866-H866</x:f>
        <x:v>0</x:v>
      </x:c>
      <x:c r="J866" s="45" t="str">
        <x:f>IF(I866=0,"CLEAR","QUEUED")</x:f>
        <x:v>CLEAR</x:v>
      </x:c>
      <x:c r="K866" s="72"/>
      <x:c r="L866" s="72"/>
      <x:c r="M866" s="72"/>
      <x:c r="N866" s="72"/>
    </x:row>
    <x:row r="867">
      <x:c r="C867" s="45" t="str">
        <x:f>'Path Daily'!C867</x:f>
        <x:v>P9</x:v>
      </x:c>
      <x:c r="D867" s="45" t="n">
        <x:f>'Path Daily'!D867</x:f>
        <x:v>41</x:v>
      </x:c>
      <x:c r="E867" s="53" t="n">
        <x:f>IF(D867=0,SUMIFS('Cargo Records'!$T$7:$T$70,'Cargo Records'!$J$7:$J$70,C867),0)</x:f>
        <x:v>0</x:v>
      </x:c>
      <x:c r="F867" s="53" t="n">
        <x:f>I866</x:f>
        <x:v>0</x:v>
      </x:c>
      <x:c r="G867" s="53" t="n">
        <x:f>'Path Daily'!M867</x:f>
        <x:v>12600</x:v>
      </x:c>
      <x:c r="H867" s="53" t="n">
        <x:f>MIN(E867+F867,G867)</x:f>
        <x:v>0</x:v>
      </x:c>
      <x:c r="I867" s="53" t="n">
        <x:f>E867+F867-H867</x:f>
        <x:v>0</x:v>
      </x:c>
      <x:c r="J867" s="45" t="str">
        <x:f>IF(I867=0,"CLEAR","QUEUED")</x:f>
        <x:v>CLEAR</x:v>
      </x:c>
      <x:c r="K867" s="72"/>
      <x:c r="L867" s="72"/>
      <x:c r="M867" s="72"/>
      <x:c r="N867" s="72"/>
    </x:row>
    <x:row r="868">
      <x:c r="C868" s="45" t="str">
        <x:f>'Path Daily'!C868</x:f>
        <x:v>P9</x:v>
      </x:c>
      <x:c r="D868" s="45" t="n">
        <x:f>'Path Daily'!D868</x:f>
        <x:v>42</x:v>
      </x:c>
      <x:c r="E868" s="53" t="n">
        <x:f>IF(D868=0,SUMIFS('Cargo Records'!$T$7:$T$70,'Cargo Records'!$J$7:$J$70,C868),0)</x:f>
        <x:v>0</x:v>
      </x:c>
      <x:c r="F868" s="53" t="n">
        <x:f>I867</x:f>
        <x:v>0</x:v>
      </x:c>
      <x:c r="G868" s="53" t="n">
        <x:f>'Path Daily'!M868</x:f>
        <x:v>12600</x:v>
      </x:c>
      <x:c r="H868" s="53" t="n">
        <x:f>MIN(E868+F868,G868)</x:f>
        <x:v>0</x:v>
      </x:c>
      <x:c r="I868" s="53" t="n">
        <x:f>E868+F868-H868</x:f>
        <x:v>0</x:v>
      </x:c>
      <x:c r="J868" s="45" t="str">
        <x:f>IF(I868=0,"CLEAR","QUEUED")</x:f>
        <x:v>CLEAR</x:v>
      </x:c>
      <x:c r="K868" s="72"/>
      <x:c r="L868" s="72"/>
      <x:c r="M868" s="72"/>
      <x:c r="N868" s="72"/>
    </x:row>
    <x:row r="869">
      <x:c r="C869" s="45" t="str">
        <x:f>'Path Daily'!C869</x:f>
        <x:v>P9</x:v>
      </x:c>
      <x:c r="D869" s="45" t="n">
        <x:f>'Path Daily'!D869</x:f>
        <x:v>43</x:v>
      </x:c>
      <x:c r="E869" s="53" t="n">
        <x:f>IF(D869=0,SUMIFS('Cargo Records'!$T$7:$T$70,'Cargo Records'!$J$7:$J$70,C869),0)</x:f>
        <x:v>0</x:v>
      </x:c>
      <x:c r="F869" s="53" t="n">
        <x:f>I868</x:f>
        <x:v>0</x:v>
      </x:c>
      <x:c r="G869" s="53" t="n">
        <x:f>'Path Daily'!M869</x:f>
        <x:v>12600</x:v>
      </x:c>
      <x:c r="H869" s="53" t="n">
        <x:f>MIN(E869+F869,G869)</x:f>
        <x:v>0</x:v>
      </x:c>
      <x:c r="I869" s="53" t="n">
        <x:f>E869+F869-H869</x:f>
        <x:v>0</x:v>
      </x:c>
      <x:c r="J869" s="45" t="str">
        <x:f>IF(I869=0,"CLEAR","QUEUED")</x:f>
        <x:v>CLEAR</x:v>
      </x:c>
      <x:c r="K869" s="72"/>
      <x:c r="L869" s="72"/>
      <x:c r="M869" s="72"/>
      <x:c r="N869" s="72"/>
    </x:row>
    <x:row r="870">
      <x:c r="C870" s="45" t="str">
        <x:f>'Path Daily'!C870</x:f>
        <x:v>P9</x:v>
      </x:c>
      <x:c r="D870" s="45" t="n">
        <x:f>'Path Daily'!D870</x:f>
        <x:v>44</x:v>
      </x:c>
      <x:c r="E870" s="53" t="n">
        <x:f>IF(D870=0,SUMIFS('Cargo Records'!$T$7:$T$70,'Cargo Records'!$J$7:$J$70,C870),0)</x:f>
        <x:v>0</x:v>
      </x:c>
      <x:c r="F870" s="53" t="n">
        <x:f>I869</x:f>
        <x:v>0</x:v>
      </x:c>
      <x:c r="G870" s="53" t="n">
        <x:f>'Path Daily'!M870</x:f>
        <x:v>12600</x:v>
      </x:c>
      <x:c r="H870" s="53" t="n">
        <x:f>MIN(E870+F870,G870)</x:f>
        <x:v>0</x:v>
      </x:c>
      <x:c r="I870" s="53" t="n">
        <x:f>E870+F870-H870</x:f>
        <x:v>0</x:v>
      </x:c>
      <x:c r="J870" s="45" t="str">
        <x:f>IF(I870=0,"CLEAR","QUEUED")</x:f>
        <x:v>CLEAR</x:v>
      </x:c>
      <x:c r="K870" s="72"/>
      <x:c r="L870" s="72"/>
      <x:c r="M870" s="72"/>
      <x:c r="N870" s="72"/>
    </x:row>
    <x:row r="871">
      <x:c r="C871" s="45" t="str">
        <x:f>'Path Daily'!C871</x:f>
        <x:v>P9</x:v>
      </x:c>
      <x:c r="D871" s="45" t="n">
        <x:f>'Path Daily'!D871</x:f>
        <x:v>45</x:v>
      </x:c>
      <x:c r="E871" s="53" t="n">
        <x:f>IF(D871=0,SUMIFS('Cargo Records'!$T$7:$T$70,'Cargo Records'!$J$7:$J$70,C871),0)</x:f>
        <x:v>0</x:v>
      </x:c>
      <x:c r="F871" s="53" t="n">
        <x:f>I870</x:f>
        <x:v>0</x:v>
      </x:c>
      <x:c r="G871" s="53" t="n">
        <x:f>'Path Daily'!M871</x:f>
        <x:v>12600</x:v>
      </x:c>
      <x:c r="H871" s="53" t="n">
        <x:f>MIN(E871+F871,G871)</x:f>
        <x:v>0</x:v>
      </x:c>
      <x:c r="I871" s="53" t="n">
        <x:f>E871+F871-H871</x:f>
        <x:v>0</x:v>
      </x:c>
      <x:c r="J871" s="45" t="str">
        <x:f>IF(I871=0,"CLEAR","QUEUED")</x:f>
        <x:v>CLEAR</x:v>
      </x:c>
      <x:c r="K871" s="72"/>
      <x:c r="L871" s="72"/>
      <x:c r="M871" s="72"/>
      <x:c r="N871" s="72"/>
    </x:row>
    <x:row r="872">
      <x:c r="C872" s="45" t="str">
        <x:f>'Path Daily'!C872</x:f>
        <x:v>P9</x:v>
      </x:c>
      <x:c r="D872" s="45" t="n">
        <x:f>'Path Daily'!D872</x:f>
        <x:v>46</x:v>
      </x:c>
      <x:c r="E872" s="53" t="n">
        <x:f>IF(D872=0,SUMIFS('Cargo Records'!$T$7:$T$70,'Cargo Records'!$J$7:$J$70,C872),0)</x:f>
        <x:v>0</x:v>
      </x:c>
      <x:c r="F872" s="53" t="n">
        <x:f>I871</x:f>
        <x:v>0</x:v>
      </x:c>
      <x:c r="G872" s="53" t="n">
        <x:f>'Path Daily'!M872</x:f>
        <x:v>2268</x:v>
      </x:c>
      <x:c r="H872" s="53" t="n">
        <x:f>MIN(E872+F872,G872)</x:f>
        <x:v>0</x:v>
      </x:c>
      <x:c r="I872" s="53" t="n">
        <x:f>E872+F872-H872</x:f>
        <x:v>0</x:v>
      </x:c>
      <x:c r="J872" s="45" t="str">
        <x:f>IF(I872=0,"CLEAR","QUEUED")</x:f>
        <x:v>CLEAR</x:v>
      </x:c>
      <x:c r="K872" s="72"/>
      <x:c r="L872" s="72"/>
      <x:c r="M872" s="72"/>
      <x:c r="N872" s="72"/>
    </x:row>
    <x:row r="873">
      <x:c r="C873" s="45" t="str">
        <x:f>'Path Daily'!C873</x:f>
        <x:v>P9</x:v>
      </x:c>
      <x:c r="D873" s="45" t="n">
        <x:f>'Path Daily'!D873</x:f>
        <x:v>47</x:v>
      </x:c>
      <x:c r="E873" s="53" t="n">
        <x:f>IF(D873=0,SUMIFS('Cargo Records'!$T$7:$T$70,'Cargo Records'!$J$7:$J$70,C873),0)</x:f>
        <x:v>0</x:v>
      </x:c>
      <x:c r="F873" s="53" t="n">
        <x:f>I872</x:f>
        <x:v>0</x:v>
      </x:c>
      <x:c r="G873" s="53" t="n">
        <x:f>'Path Daily'!M873</x:f>
        <x:v>7560</x:v>
      </x:c>
      <x:c r="H873" s="53" t="n">
        <x:f>MIN(E873+F873,G873)</x:f>
        <x:v>0</x:v>
      </x:c>
      <x:c r="I873" s="53" t="n">
        <x:f>E873+F873-H873</x:f>
        <x:v>0</x:v>
      </x:c>
      <x:c r="J873" s="45" t="str">
        <x:f>IF(I873=0,"CLEAR","QUEUED")</x:f>
        <x:v>CLEAR</x:v>
      </x:c>
      <x:c r="K873" s="72"/>
      <x:c r="L873" s="72"/>
      <x:c r="M873" s="72"/>
      <x:c r="N873" s="72"/>
    </x:row>
    <x:row r="874">
      <x:c r="C874" s="45" t="str">
        <x:f>'Path Daily'!C874</x:f>
        <x:v>P9</x:v>
      </x:c>
      <x:c r="D874" s="45" t="n">
        <x:f>'Path Daily'!D874</x:f>
        <x:v>48</x:v>
      </x:c>
      <x:c r="E874" s="53" t="n">
        <x:f>IF(D874=0,SUMIFS('Cargo Records'!$T$7:$T$70,'Cargo Records'!$J$7:$J$70,C874),0)</x:f>
        <x:v>0</x:v>
      </x:c>
      <x:c r="F874" s="53" t="n">
        <x:f>I873</x:f>
        <x:v>0</x:v>
      </x:c>
      <x:c r="G874" s="53" t="n">
        <x:f>'Path Daily'!M874</x:f>
        <x:v>7560</x:v>
      </x:c>
      <x:c r="H874" s="53" t="n">
        <x:f>MIN(E874+F874,G874)</x:f>
        <x:v>0</x:v>
      </x:c>
      <x:c r="I874" s="53" t="n">
        <x:f>E874+F874-H874</x:f>
        <x:v>0</x:v>
      </x:c>
      <x:c r="J874" s="45" t="str">
        <x:f>IF(I874=0,"CLEAR","QUEUED")</x:f>
        <x:v>CLEAR</x:v>
      </x:c>
      <x:c r="K874" s="72"/>
      <x:c r="L874" s="72"/>
      <x:c r="M874" s="72"/>
      <x:c r="N874" s="72"/>
    </x:row>
    <x:row r="875">
      <x:c r="C875" s="45" t="str">
        <x:f>'Path Daily'!C875</x:f>
        <x:v>P9</x:v>
      </x:c>
      <x:c r="D875" s="45" t="n">
        <x:f>'Path Daily'!D875</x:f>
        <x:v>49</x:v>
      </x:c>
      <x:c r="E875" s="53" t="n">
        <x:f>IF(D875=0,SUMIFS('Cargo Records'!$T$7:$T$70,'Cargo Records'!$J$7:$J$70,C875),0)</x:f>
        <x:v>0</x:v>
      </x:c>
      <x:c r="F875" s="53" t="n">
        <x:f>I874</x:f>
        <x:v>0</x:v>
      </x:c>
      <x:c r="G875" s="53" t="n">
        <x:f>'Path Daily'!M875</x:f>
        <x:v>7560</x:v>
      </x:c>
      <x:c r="H875" s="53" t="n">
        <x:f>MIN(E875+F875,G875)</x:f>
        <x:v>0</x:v>
      </x:c>
      <x:c r="I875" s="53" t="n">
        <x:f>E875+F875-H875</x:f>
        <x:v>0</x:v>
      </x:c>
      <x:c r="J875" s="45" t="str">
        <x:f>IF(I875=0,"CLEAR","QUEUED")</x:f>
        <x:v>CLEAR</x:v>
      </x:c>
      <x:c r="K875" s="72"/>
      <x:c r="L875" s="72"/>
      <x:c r="M875" s="72"/>
      <x:c r="N875" s="72"/>
    </x:row>
    <x:row r="876">
      <x:c r="C876" s="45" t="str">
        <x:f>'Path Daily'!C876</x:f>
        <x:v>P9</x:v>
      </x:c>
      <x:c r="D876" s="45" t="n">
        <x:f>'Path Daily'!D876</x:f>
        <x:v>50</x:v>
      </x:c>
      <x:c r="E876" s="53" t="n">
        <x:f>IF(D876=0,SUMIFS('Cargo Records'!$T$7:$T$70,'Cargo Records'!$J$7:$J$70,C876),0)</x:f>
        <x:v>0</x:v>
      </x:c>
      <x:c r="F876" s="53" t="n">
        <x:f>I875</x:f>
        <x:v>0</x:v>
      </x:c>
      <x:c r="G876" s="53" t="n">
        <x:f>'Path Daily'!M876</x:f>
        <x:v>7560</x:v>
      </x:c>
      <x:c r="H876" s="53" t="n">
        <x:f>MIN(E876+F876,G876)</x:f>
        <x:v>0</x:v>
      </x:c>
      <x:c r="I876" s="53" t="n">
        <x:f>E876+F876-H876</x:f>
        <x:v>0</x:v>
      </x:c>
      <x:c r="J876" s="45" t="str">
        <x:f>IF(I876=0,"CLEAR","QUEUED")</x:f>
        <x:v>CLEAR</x:v>
      </x:c>
      <x:c r="K876" s="72"/>
      <x:c r="L876" s="72"/>
      <x:c r="M876" s="72"/>
      <x:c r="N876" s="72"/>
    </x:row>
    <x:row r="877">
      <x:c r="C877" s="45" t="str">
        <x:f>'Path Daily'!C877</x:f>
        <x:v>P9</x:v>
      </x:c>
      <x:c r="D877" s="45" t="n">
        <x:f>'Path Daily'!D877</x:f>
        <x:v>51</x:v>
      </x:c>
      <x:c r="E877" s="53" t="n">
        <x:f>IF(D877=0,SUMIFS('Cargo Records'!$T$7:$T$70,'Cargo Records'!$J$7:$J$70,C877),0)</x:f>
        <x:v>0</x:v>
      </x:c>
      <x:c r="F877" s="53" t="n">
        <x:f>I876</x:f>
        <x:v>0</x:v>
      </x:c>
      <x:c r="G877" s="53" t="n">
        <x:f>'Path Daily'!M877</x:f>
        <x:v>7560</x:v>
      </x:c>
      <x:c r="H877" s="53" t="n">
        <x:f>MIN(E877+F877,G877)</x:f>
        <x:v>0</x:v>
      </x:c>
      <x:c r="I877" s="53" t="n">
        <x:f>E877+F877-H877</x:f>
        <x:v>0</x:v>
      </x:c>
      <x:c r="J877" s="45" t="str">
        <x:f>IF(I877=0,"CLEAR","QUEUED")</x:f>
        <x:v>CLEAR</x:v>
      </x:c>
      <x:c r="K877" s="72"/>
      <x:c r="L877" s="72"/>
      <x:c r="M877" s="72"/>
      <x:c r="N877" s="72"/>
    </x:row>
    <x:row r="878">
      <x:c r="C878" s="45" t="str">
        <x:f>'Path Daily'!C878</x:f>
        <x:v>P9</x:v>
      </x:c>
      <x:c r="D878" s="45" t="n">
        <x:f>'Path Daily'!D878</x:f>
        <x:v>52</x:v>
      </x:c>
      <x:c r="E878" s="53" t="n">
        <x:f>IF(D878=0,SUMIFS('Cargo Records'!$T$7:$T$70,'Cargo Records'!$J$7:$J$70,C878),0)</x:f>
        <x:v>0</x:v>
      </x:c>
      <x:c r="F878" s="53" t="n">
        <x:f>I877</x:f>
        <x:v>0</x:v>
      </x:c>
      <x:c r="G878" s="53" t="n">
        <x:f>'Path Daily'!M878</x:f>
        <x:v>7560</x:v>
      </x:c>
      <x:c r="H878" s="53" t="n">
        <x:f>MIN(E878+F878,G878)</x:f>
        <x:v>0</x:v>
      </x:c>
      <x:c r="I878" s="53" t="n">
        <x:f>E878+F878-H878</x:f>
        <x:v>0</x:v>
      </x:c>
      <x:c r="J878" s="45" t="str">
        <x:f>IF(I878=0,"CLEAR","QUEUED")</x:f>
        <x:v>CLEAR</x:v>
      </x:c>
      <x:c r="K878" s="72"/>
      <x:c r="L878" s="72"/>
      <x:c r="M878" s="72"/>
      <x:c r="N878" s="72"/>
    </x:row>
    <x:row r="879">
      <x:c r="C879" s="45" t="str">
        <x:f>'Path Daily'!C879</x:f>
        <x:v>P9</x:v>
      </x:c>
      <x:c r="D879" s="45" t="n">
        <x:f>'Path Daily'!D879</x:f>
        <x:v>53</x:v>
      </x:c>
      <x:c r="E879" s="53" t="n">
        <x:f>IF(D879=0,SUMIFS('Cargo Records'!$T$7:$T$70,'Cargo Records'!$J$7:$J$70,C879),0)</x:f>
        <x:v>0</x:v>
      </x:c>
      <x:c r="F879" s="53" t="n">
        <x:f>I878</x:f>
        <x:v>0</x:v>
      </x:c>
      <x:c r="G879" s="53" t="n">
        <x:f>'Path Daily'!M879</x:f>
        <x:v>7560</x:v>
      </x:c>
      <x:c r="H879" s="53" t="n">
        <x:f>MIN(E879+F879,G879)</x:f>
        <x:v>0</x:v>
      </x:c>
      <x:c r="I879" s="53" t="n">
        <x:f>E879+F879-H879</x:f>
        <x:v>0</x:v>
      </x:c>
      <x:c r="J879" s="45" t="str">
        <x:f>IF(I879=0,"CLEAR","QUEUED")</x:f>
        <x:v>CLEAR</x:v>
      </x:c>
      <x:c r="K879" s="72"/>
      <x:c r="L879" s="72"/>
      <x:c r="M879" s="72"/>
      <x:c r="N879" s="72"/>
    </x:row>
    <x:row r="880">
      <x:c r="C880" s="45" t="str">
        <x:f>'Path Daily'!C880</x:f>
        <x:v>P9</x:v>
      </x:c>
      <x:c r="D880" s="45" t="n">
        <x:f>'Path Daily'!D880</x:f>
        <x:v>54</x:v>
      </x:c>
      <x:c r="E880" s="53" t="n">
        <x:f>IF(D880=0,SUMIFS('Cargo Records'!$T$7:$T$70,'Cargo Records'!$J$7:$J$70,C880),0)</x:f>
        <x:v>0</x:v>
      </x:c>
      <x:c r="F880" s="53" t="n">
        <x:f>I879</x:f>
        <x:v>0</x:v>
      </x:c>
      <x:c r="G880" s="53" t="n">
        <x:f>'Path Daily'!M880</x:f>
        <x:v>7560</x:v>
      </x:c>
      <x:c r="H880" s="53" t="n">
        <x:f>MIN(E880+F880,G880)</x:f>
        <x:v>0</x:v>
      </x:c>
      <x:c r="I880" s="53" t="n">
        <x:f>E880+F880-H880</x:f>
        <x:v>0</x:v>
      </x:c>
      <x:c r="J880" s="45" t="str">
        <x:f>IF(I880=0,"CLEAR","QUEUED")</x:f>
        <x:v>CLEAR</x:v>
      </x:c>
      <x:c r="K880" s="72"/>
      <x:c r="L880" s="72"/>
      <x:c r="M880" s="72"/>
      <x:c r="N880" s="72"/>
    </x:row>
    <x:row r="881">
      <x:c r="C881" s="45" t="str">
        <x:f>'Path Daily'!C881</x:f>
        <x:v>P9</x:v>
      </x:c>
      <x:c r="D881" s="45" t="n">
        <x:f>'Path Daily'!D881</x:f>
        <x:v>55</x:v>
      </x:c>
      <x:c r="E881" s="53" t="n">
        <x:f>IF(D881=0,SUMIFS('Cargo Records'!$T$7:$T$70,'Cargo Records'!$J$7:$J$70,C881),0)</x:f>
        <x:v>0</x:v>
      </x:c>
      <x:c r="F881" s="53" t="n">
        <x:f>I880</x:f>
        <x:v>0</x:v>
      </x:c>
      <x:c r="G881" s="53" t="n">
        <x:f>'Path Daily'!M881</x:f>
        <x:v>7560</x:v>
      </x:c>
      <x:c r="H881" s="53" t="n">
        <x:f>MIN(E881+F881,G881)</x:f>
        <x:v>0</x:v>
      </x:c>
      <x:c r="I881" s="53" t="n">
        <x:f>E881+F881-H881</x:f>
        <x:v>0</x:v>
      </x:c>
      <x:c r="J881" s="45" t="str">
        <x:f>IF(I881=0,"CLEAR","QUEUED")</x:f>
        <x:v>CLEAR</x:v>
      </x:c>
      <x:c r="K881" s="72"/>
      <x:c r="L881" s="72"/>
      <x:c r="M881" s="72"/>
      <x:c r="N881" s="72"/>
    </x:row>
    <x:row r="882">
      <x:c r="C882" s="45" t="str">
        <x:f>'Path Daily'!C882</x:f>
        <x:v>P9</x:v>
      </x:c>
      <x:c r="D882" s="45" t="n">
        <x:f>'Path Daily'!D882</x:f>
        <x:v>56</x:v>
      </x:c>
      <x:c r="E882" s="53" t="n">
        <x:f>IF(D882=0,SUMIFS('Cargo Records'!$T$7:$T$70,'Cargo Records'!$J$7:$J$70,C882),0)</x:f>
        <x:v>0</x:v>
      </x:c>
      <x:c r="F882" s="53" t="n">
        <x:f>I881</x:f>
        <x:v>0</x:v>
      </x:c>
      <x:c r="G882" s="53" t="n">
        <x:f>'Path Daily'!M882</x:f>
        <x:v>7560</x:v>
      </x:c>
      <x:c r="H882" s="53" t="n">
        <x:f>MIN(E882+F882,G882)</x:f>
        <x:v>0</x:v>
      </x:c>
      <x:c r="I882" s="53" t="n">
        <x:f>E882+F882-H882</x:f>
        <x:v>0</x:v>
      </x:c>
      <x:c r="J882" s="45" t="str">
        <x:f>IF(I882=0,"CLEAR","QUEUED")</x:f>
        <x:v>CLEAR</x:v>
      </x:c>
      <x:c r="K882" s="72"/>
      <x:c r="L882" s="72"/>
      <x:c r="M882" s="72"/>
      <x:c r="N882" s="72"/>
    </x:row>
    <x:row r="883">
      <x:c r="C883" s="45" t="str">
        <x:f>'Path Daily'!C883</x:f>
        <x:v>P9</x:v>
      </x:c>
      <x:c r="D883" s="45" t="n">
        <x:f>'Path Daily'!D883</x:f>
        <x:v>57</x:v>
      </x:c>
      <x:c r="E883" s="53" t="n">
        <x:f>IF(D883=0,SUMIFS('Cargo Records'!$T$7:$T$70,'Cargo Records'!$J$7:$J$70,C883),0)</x:f>
        <x:v>0</x:v>
      </x:c>
      <x:c r="F883" s="53" t="n">
        <x:f>I882</x:f>
        <x:v>0</x:v>
      </x:c>
      <x:c r="G883" s="53" t="n">
        <x:f>'Path Daily'!M883</x:f>
        <x:v>7560</x:v>
      </x:c>
      <x:c r="H883" s="53" t="n">
        <x:f>MIN(E883+F883,G883)</x:f>
        <x:v>0</x:v>
      </x:c>
      <x:c r="I883" s="53" t="n">
        <x:f>E883+F883-H883</x:f>
        <x:v>0</x:v>
      </x:c>
      <x:c r="J883" s="45" t="str">
        <x:f>IF(I883=0,"CLEAR","QUEUED")</x:f>
        <x:v>CLEAR</x:v>
      </x:c>
      <x:c r="K883" s="72"/>
      <x:c r="L883" s="72"/>
      <x:c r="M883" s="72"/>
      <x:c r="N883" s="72"/>
    </x:row>
    <x:row r="884">
      <x:c r="C884" s="45" t="str">
        <x:f>'Path Daily'!C884</x:f>
        <x:v>P9</x:v>
      </x:c>
      <x:c r="D884" s="45" t="n">
        <x:f>'Path Daily'!D884</x:f>
        <x:v>58</x:v>
      </x:c>
      <x:c r="E884" s="53" t="n">
        <x:f>IF(D884=0,SUMIFS('Cargo Records'!$T$7:$T$70,'Cargo Records'!$J$7:$J$70,C884),0)</x:f>
        <x:v>0</x:v>
      </x:c>
      <x:c r="F884" s="53" t="n">
        <x:f>I883</x:f>
        <x:v>0</x:v>
      </x:c>
      <x:c r="G884" s="53" t="n">
        <x:f>'Path Daily'!M884</x:f>
        <x:v>7560</x:v>
      </x:c>
      <x:c r="H884" s="53" t="n">
        <x:f>MIN(E884+F884,G884)</x:f>
        <x:v>0</x:v>
      </x:c>
      <x:c r="I884" s="53" t="n">
        <x:f>E884+F884-H884</x:f>
        <x:v>0</x:v>
      </x:c>
      <x:c r="J884" s="45" t="str">
        <x:f>IF(I884=0,"CLEAR","QUEUED")</x:f>
        <x:v>CLEAR</x:v>
      </x:c>
      <x:c r="K884" s="72"/>
      <x:c r="L884" s="72"/>
      <x:c r="M884" s="72"/>
      <x:c r="N884" s="72"/>
    </x:row>
    <x:row r="885">
      <x:c r="C885" s="45" t="str">
        <x:f>'Path Daily'!C885</x:f>
        <x:v>P9</x:v>
      </x:c>
      <x:c r="D885" s="45" t="n">
        <x:f>'Path Daily'!D885</x:f>
        <x:v>59</x:v>
      </x:c>
      <x:c r="E885" s="53" t="n">
        <x:f>IF(D885=0,SUMIFS('Cargo Records'!$T$7:$T$70,'Cargo Records'!$J$7:$J$70,C885),0)</x:f>
        <x:v>0</x:v>
      </x:c>
      <x:c r="F885" s="53" t="n">
        <x:f>I884</x:f>
        <x:v>0</x:v>
      </x:c>
      <x:c r="G885" s="53" t="n">
        <x:f>'Path Daily'!M885</x:f>
        <x:v>7560</x:v>
      </x:c>
      <x:c r="H885" s="53" t="n">
        <x:f>MIN(E885+F885,G885)</x:f>
        <x:v>0</x:v>
      </x:c>
      <x:c r="I885" s="53" t="n">
        <x:f>E885+F885-H885</x:f>
        <x:v>0</x:v>
      </x:c>
      <x:c r="J885" s="45" t="str">
        <x:f>IF(I885=0,"CLEAR","QUEUED")</x:f>
        <x:v>CLEAR</x:v>
      </x:c>
      <x:c r="K885" s="72"/>
      <x:c r="L885" s="72"/>
      <x:c r="M885" s="72"/>
      <x:c r="N885" s="72"/>
    </x:row>
    <x:row r="886">
      <x:c r="C886" s="45" t="str">
        <x:f>'Path Daily'!C886</x:f>
        <x:v>P9</x:v>
      </x:c>
      <x:c r="D886" s="45" t="n">
        <x:f>'Path Daily'!D886</x:f>
        <x:v>60</x:v>
      </x:c>
      <x:c r="E886" s="53" t="n">
        <x:f>IF(D886=0,SUMIFS('Cargo Records'!$T$7:$T$70,'Cargo Records'!$J$7:$J$70,C886),0)</x:f>
        <x:v>0</x:v>
      </x:c>
      <x:c r="F886" s="53" t="n">
        <x:f>I885</x:f>
        <x:v>0</x:v>
      </x:c>
      <x:c r="G886" s="53" t="n">
        <x:f>'Path Daily'!M886</x:f>
        <x:v>7560</x:v>
      </x:c>
      <x:c r="H886" s="53" t="n">
        <x:f>MIN(E886+F886,G886)</x:f>
        <x:v>0</x:v>
      </x:c>
      <x:c r="I886" s="53" t="n">
        <x:f>E886+F886-H886</x:f>
        <x:v>0</x:v>
      </x:c>
      <x:c r="J886" s="45" t="str">
        <x:f>IF(I886=0,"CLEAR","QUEUED")</x:f>
        <x:v>CLEAR</x:v>
      </x:c>
      <x:c r="K886" s="72"/>
      <x:c r="L886" s="72"/>
      <x:c r="M886" s="72"/>
      <x:c r="N886" s="72"/>
    </x:row>
    <x:row r="887">
      <x:c r="C887" s="45" t="str">
        <x:f>'Path Daily'!C887</x:f>
        <x:v>P9</x:v>
      </x:c>
      <x:c r="D887" s="45" t="n">
        <x:f>'Path Daily'!D887</x:f>
        <x:v>61</x:v>
      </x:c>
      <x:c r="E887" s="53" t="n">
        <x:f>IF(D887=0,SUMIFS('Cargo Records'!$T$7:$T$70,'Cargo Records'!$J$7:$J$70,C887),0)</x:f>
        <x:v>0</x:v>
      </x:c>
      <x:c r="F887" s="53" t="n">
        <x:f>I886</x:f>
        <x:v>0</x:v>
      </x:c>
      <x:c r="G887" s="53" t="n">
        <x:f>'Path Daily'!M887</x:f>
        <x:v>1890</x:v>
      </x:c>
      <x:c r="H887" s="53" t="n">
        <x:f>MIN(E887+F887,G887)</x:f>
        <x:v>0</x:v>
      </x:c>
      <x:c r="I887" s="53" t="n">
        <x:f>E887+F887-H887</x:f>
        <x:v>0</x:v>
      </x:c>
      <x:c r="J887" s="45" t="str">
        <x:f>IF(I887=0,"CLEAR","QUEUED")</x:f>
        <x:v>CLEAR</x:v>
      </x:c>
      <x:c r="K887" s="72"/>
      <x:c r="L887" s="72"/>
      <x:c r="M887" s="72"/>
      <x:c r="N887" s="72"/>
    </x:row>
    <x:row r="888">
      <x:c r="C888" s="45" t="str">
        <x:f>'Path Daily'!C888</x:f>
        <x:v>P9</x:v>
      </x:c>
      <x:c r="D888" s="45" t="n">
        <x:f>'Path Daily'!D888</x:f>
        <x:v>62</x:v>
      </x:c>
      <x:c r="E888" s="53" t="n">
        <x:f>IF(D888=0,SUMIFS('Cargo Records'!$T$7:$T$70,'Cargo Records'!$J$7:$J$70,C888),0)</x:f>
        <x:v>0</x:v>
      </x:c>
      <x:c r="F888" s="53" t="n">
        <x:f>I887</x:f>
        <x:v>0</x:v>
      </x:c>
      <x:c r="G888" s="53" t="n">
        <x:f>'Path Daily'!M888</x:f>
        <x:v>1890</x:v>
      </x:c>
      <x:c r="H888" s="53" t="n">
        <x:f>MIN(E888+F888,G888)</x:f>
        <x:v>0</x:v>
      </x:c>
      <x:c r="I888" s="53" t="n">
        <x:f>E888+F888-H888</x:f>
        <x:v>0</x:v>
      </x:c>
      <x:c r="J888" s="45" t="str">
        <x:f>IF(I888=0,"CLEAR","QUEUED")</x:f>
        <x:v>CLEAR</x:v>
      </x:c>
      <x:c r="K888" s="72"/>
      <x:c r="L888" s="72"/>
      <x:c r="M888" s="72"/>
      <x:c r="N888" s="72"/>
    </x:row>
    <x:row r="889">
      <x:c r="C889" s="45" t="str">
        <x:f>'Path Daily'!C889</x:f>
        <x:v>P9</x:v>
      </x:c>
      <x:c r="D889" s="45" t="n">
        <x:f>'Path Daily'!D889</x:f>
        <x:v>63</x:v>
      </x:c>
      <x:c r="E889" s="53" t="n">
        <x:f>IF(D889=0,SUMIFS('Cargo Records'!$T$7:$T$70,'Cargo Records'!$J$7:$J$70,C889),0)</x:f>
        <x:v>0</x:v>
      </x:c>
      <x:c r="F889" s="53" t="n">
        <x:f>I888</x:f>
        <x:v>0</x:v>
      </x:c>
      <x:c r="G889" s="53" t="n">
        <x:f>'Path Daily'!M889</x:f>
        <x:v>1890</x:v>
      </x:c>
      <x:c r="H889" s="53" t="n">
        <x:f>MIN(E889+F889,G889)</x:f>
        <x:v>0</x:v>
      </x:c>
      <x:c r="I889" s="53" t="n">
        <x:f>E889+F889-H889</x:f>
        <x:v>0</x:v>
      </x:c>
      <x:c r="J889" s="45" t="str">
        <x:f>IF(I889=0,"CLEAR","QUEUED")</x:f>
        <x:v>CLEAR</x:v>
      </x:c>
      <x:c r="K889" s="72"/>
      <x:c r="L889" s="72"/>
      <x:c r="M889" s="72"/>
      <x:c r="N889" s="72"/>
    </x:row>
    <x:row r="890">
      <x:c r="C890" s="45" t="str">
        <x:f>'Path Daily'!C890</x:f>
        <x:v>P9</x:v>
      </x:c>
      <x:c r="D890" s="45" t="n">
        <x:f>'Path Daily'!D890</x:f>
        <x:v>64</x:v>
      </x:c>
      <x:c r="E890" s="53" t="n">
        <x:f>IF(D890=0,SUMIFS('Cargo Records'!$T$7:$T$70,'Cargo Records'!$J$7:$J$70,C890),0)</x:f>
        <x:v>0</x:v>
      </x:c>
      <x:c r="F890" s="53" t="n">
        <x:f>I889</x:f>
        <x:v>0</x:v>
      </x:c>
      <x:c r="G890" s="53" t="n">
        <x:f>'Path Daily'!M890</x:f>
        <x:v>7560</x:v>
      </x:c>
      <x:c r="H890" s="53" t="n">
        <x:f>MIN(E890+F890,G890)</x:f>
        <x:v>0</x:v>
      </x:c>
      <x:c r="I890" s="53" t="n">
        <x:f>E890+F890-H890</x:f>
        <x:v>0</x:v>
      </x:c>
      <x:c r="J890" s="45" t="str">
        <x:f>IF(I890=0,"CLEAR","QUEUED")</x:f>
        <x:v>CLEAR</x:v>
      </x:c>
      <x:c r="K890" s="72"/>
      <x:c r="L890" s="72"/>
      <x:c r="M890" s="72"/>
      <x:c r="N890" s="72"/>
    </x:row>
    <x:row r="891">
      <x:c r="C891" s="45" t="str">
        <x:f>'Path Daily'!C891</x:f>
        <x:v>P9</x:v>
      </x:c>
      <x:c r="D891" s="45" t="n">
        <x:f>'Path Daily'!D891</x:f>
        <x:v>65</x:v>
      </x:c>
      <x:c r="E891" s="53" t="n">
        <x:f>IF(D891=0,SUMIFS('Cargo Records'!$T$7:$T$70,'Cargo Records'!$J$7:$J$70,C891),0)</x:f>
        <x:v>0</x:v>
      </x:c>
      <x:c r="F891" s="53" t="n">
        <x:f>I890</x:f>
        <x:v>0</x:v>
      </x:c>
      <x:c r="G891" s="53" t="n">
        <x:f>'Path Daily'!M891</x:f>
        <x:v>7560</x:v>
      </x:c>
      <x:c r="H891" s="53" t="n">
        <x:f>MIN(E891+F891,G891)</x:f>
        <x:v>0</x:v>
      </x:c>
      <x:c r="I891" s="53" t="n">
        <x:f>E891+F891-H891</x:f>
        <x:v>0</x:v>
      </x:c>
      <x:c r="J891" s="45" t="str">
        <x:f>IF(I891=0,"CLEAR","QUEUED")</x:f>
        <x:v>CLEAR</x:v>
      </x:c>
      <x:c r="K891" s="72"/>
      <x:c r="L891" s="72"/>
      <x:c r="M891" s="72"/>
      <x:c r="N891" s="72"/>
    </x:row>
    <x:row r="892">
      <x:c r="C892" s="45" t="str">
        <x:f>'Path Daily'!C892</x:f>
        <x:v>P9</x:v>
      </x:c>
      <x:c r="D892" s="45" t="n">
        <x:f>'Path Daily'!D892</x:f>
        <x:v>66</x:v>
      </x:c>
      <x:c r="E892" s="53" t="n">
        <x:f>IF(D892=0,SUMIFS('Cargo Records'!$T$7:$T$70,'Cargo Records'!$J$7:$J$70,C892),0)</x:f>
        <x:v>0</x:v>
      </x:c>
      <x:c r="F892" s="53" t="n">
        <x:f>I891</x:f>
        <x:v>0</x:v>
      </x:c>
      <x:c r="G892" s="53" t="n">
        <x:f>'Path Daily'!M892</x:f>
        <x:v>7560</x:v>
      </x:c>
      <x:c r="H892" s="53" t="n">
        <x:f>MIN(E892+F892,G892)</x:f>
        <x:v>0</x:v>
      </x:c>
      <x:c r="I892" s="53" t="n">
        <x:f>E892+F892-H892</x:f>
        <x:v>0</x:v>
      </x:c>
      <x:c r="J892" s="45" t="str">
        <x:f>IF(I892=0,"CLEAR","QUEUED")</x:f>
        <x:v>CLEAR</x:v>
      </x:c>
      <x:c r="K892" s="72"/>
      <x:c r="L892" s="72"/>
      <x:c r="M892" s="72"/>
      <x:c r="N892" s="72"/>
    </x:row>
    <x:row r="893">
      <x:c r="C893" s="45" t="str">
        <x:f>'Path Daily'!C893</x:f>
        <x:v>P9</x:v>
      </x:c>
      <x:c r="D893" s="45" t="n">
        <x:f>'Path Daily'!D893</x:f>
        <x:v>67</x:v>
      </x:c>
      <x:c r="E893" s="53" t="n">
        <x:f>IF(D893=0,SUMIFS('Cargo Records'!$T$7:$T$70,'Cargo Records'!$J$7:$J$70,C893),0)</x:f>
        <x:v>0</x:v>
      </x:c>
      <x:c r="F893" s="53" t="n">
        <x:f>I892</x:f>
        <x:v>0</x:v>
      </x:c>
      <x:c r="G893" s="53" t="n">
        <x:f>'Path Daily'!M893</x:f>
        <x:v>7560</x:v>
      </x:c>
      <x:c r="H893" s="53" t="n">
        <x:f>MIN(E893+F893,G893)</x:f>
        <x:v>0</x:v>
      </x:c>
      <x:c r="I893" s="53" t="n">
        <x:f>E893+F893-H893</x:f>
        <x:v>0</x:v>
      </x:c>
      <x:c r="J893" s="45" t="str">
        <x:f>IF(I893=0,"CLEAR","QUEUED")</x:f>
        <x:v>CLEAR</x:v>
      </x:c>
      <x:c r="K893" s="72"/>
      <x:c r="L893" s="72"/>
      <x:c r="M893" s="72"/>
      <x:c r="N893" s="72"/>
    </x:row>
    <x:row r="894">
      <x:c r="C894" s="45" t="str">
        <x:f>'Path Daily'!C894</x:f>
        <x:v>P9</x:v>
      </x:c>
      <x:c r="D894" s="45" t="n">
        <x:f>'Path Daily'!D894</x:f>
        <x:v>68</x:v>
      </x:c>
      <x:c r="E894" s="53" t="n">
        <x:f>IF(D894=0,SUMIFS('Cargo Records'!$T$7:$T$70,'Cargo Records'!$J$7:$J$70,C894),0)</x:f>
        <x:v>0</x:v>
      </x:c>
      <x:c r="F894" s="53" t="n">
        <x:f>I893</x:f>
        <x:v>0</x:v>
      </x:c>
      <x:c r="G894" s="53" t="n">
        <x:f>'Path Daily'!M894</x:f>
        <x:v>7560</x:v>
      </x:c>
      <x:c r="H894" s="53" t="n">
        <x:f>MIN(E894+F894,G894)</x:f>
        <x:v>0</x:v>
      </x:c>
      <x:c r="I894" s="53" t="n">
        <x:f>E894+F894-H894</x:f>
        <x:v>0</x:v>
      </x:c>
      <x:c r="J894" s="45" t="str">
        <x:f>IF(I894=0,"CLEAR","QUEUED")</x:f>
        <x:v>CLEAR</x:v>
      </x:c>
      <x:c r="K894" s="72"/>
      <x:c r="L894" s="72"/>
      <x:c r="M894" s="72"/>
      <x:c r="N894" s="72"/>
    </x:row>
    <x:row r="895">
      <x:c r="C895" s="45" t="str">
        <x:f>'Path Daily'!C895</x:f>
        <x:v>P9</x:v>
      </x:c>
      <x:c r="D895" s="45" t="n">
        <x:f>'Path Daily'!D895</x:f>
        <x:v>69</x:v>
      </x:c>
      <x:c r="E895" s="53" t="n">
        <x:f>IF(D895=0,SUMIFS('Cargo Records'!$T$7:$T$70,'Cargo Records'!$J$7:$J$70,C895),0)</x:f>
        <x:v>0</x:v>
      </x:c>
      <x:c r="F895" s="53" t="n">
        <x:f>I894</x:f>
        <x:v>0</x:v>
      </x:c>
      <x:c r="G895" s="53" t="n">
        <x:f>'Path Daily'!M895</x:f>
        <x:v>7560</x:v>
      </x:c>
      <x:c r="H895" s="53" t="n">
        <x:f>MIN(E895+F895,G895)</x:f>
        <x:v>0</x:v>
      </x:c>
      <x:c r="I895" s="53" t="n">
        <x:f>E895+F895-H895</x:f>
        <x:v>0</x:v>
      </x:c>
      <x:c r="J895" s="45" t="str">
        <x:f>IF(I895=0,"CLEAR","QUEUED")</x:f>
        <x:v>CLEAR</x:v>
      </x:c>
      <x:c r="K895" s="72"/>
      <x:c r="L895" s="72"/>
      <x:c r="M895" s="72"/>
      <x:c r="N895" s="72"/>
    </x:row>
    <x:row r="896">
      <x:c r="C896" s="45" t="str">
        <x:f>'Path Daily'!C896</x:f>
        <x:v>P9</x:v>
      </x:c>
      <x:c r="D896" s="45" t="n">
        <x:f>'Path Daily'!D896</x:f>
        <x:v>70</x:v>
      </x:c>
      <x:c r="E896" s="53" t="n">
        <x:f>IF(D896=0,SUMIFS('Cargo Records'!$T$7:$T$70,'Cargo Records'!$J$7:$J$70,C896),0)</x:f>
        <x:v>0</x:v>
      </x:c>
      <x:c r="F896" s="53" t="n">
        <x:f>I895</x:f>
        <x:v>0</x:v>
      </x:c>
      <x:c r="G896" s="53" t="n">
        <x:f>'Path Daily'!M896</x:f>
        <x:v>7560</x:v>
      </x:c>
      <x:c r="H896" s="53" t="n">
        <x:f>MIN(E896+F896,G896)</x:f>
        <x:v>0</x:v>
      </x:c>
      <x:c r="I896" s="53" t="n">
        <x:f>E896+F896-H896</x:f>
        <x:v>0</x:v>
      </x:c>
      <x:c r="J896" s="45" t="str">
        <x:f>IF(I896=0,"CLEAR","QUEUED")</x:f>
        <x:v>CLEAR</x:v>
      </x:c>
      <x:c r="K896" s="72"/>
      <x:c r="L896" s="72"/>
      <x:c r="M896" s="72"/>
      <x:c r="N896" s="72"/>
    </x:row>
    <x:row r="897">
      <x:c r="C897" s="45" t="str">
        <x:f>'Path Daily'!C897</x:f>
        <x:v>P9</x:v>
      </x:c>
      <x:c r="D897" s="45" t="n">
        <x:f>'Path Daily'!D897</x:f>
        <x:v>71</x:v>
      </x:c>
      <x:c r="E897" s="53" t="n">
        <x:f>IF(D897=0,SUMIFS('Cargo Records'!$T$7:$T$70,'Cargo Records'!$J$7:$J$70,C897),0)</x:f>
        <x:v>0</x:v>
      </x:c>
      <x:c r="F897" s="53" t="n">
        <x:f>I896</x:f>
        <x:v>0</x:v>
      </x:c>
      <x:c r="G897" s="53" t="n">
        <x:f>'Path Daily'!M897</x:f>
        <x:v>7560</x:v>
      </x:c>
      <x:c r="H897" s="53" t="n">
        <x:f>MIN(E897+F897,G897)</x:f>
        <x:v>0</x:v>
      </x:c>
      <x:c r="I897" s="53" t="n">
        <x:f>E897+F897-H897</x:f>
        <x:v>0</x:v>
      </x:c>
      <x:c r="J897" s="45" t="str">
        <x:f>IF(I897=0,"CLEAR","QUEUED")</x:f>
        <x:v>CLEAR</x:v>
      </x:c>
      <x:c r="K897" s="72"/>
      <x:c r="L897" s="72"/>
      <x:c r="M897" s="72"/>
      <x:c r="N897" s="72"/>
    </x:row>
    <x:row r="898">
      <x:c r="C898" s="45" t="str">
        <x:f>'Path Daily'!C898</x:f>
        <x:v>P9</x:v>
      </x:c>
      <x:c r="D898" s="45" t="n">
        <x:f>'Path Daily'!D898</x:f>
        <x:v>72</x:v>
      </x:c>
      <x:c r="E898" s="53" t="n">
        <x:f>IF(D898=0,SUMIFS('Cargo Records'!$T$7:$T$70,'Cargo Records'!$J$7:$J$70,C898),0)</x:f>
        <x:v>0</x:v>
      </x:c>
      <x:c r="F898" s="53" t="n">
        <x:f>I897</x:f>
        <x:v>0</x:v>
      </x:c>
      <x:c r="G898" s="53" t="n">
        <x:f>'Path Daily'!M898</x:f>
        <x:v>7560</x:v>
      </x:c>
      <x:c r="H898" s="53" t="n">
        <x:f>MIN(E898+F898,G898)</x:f>
        <x:v>0</x:v>
      </x:c>
      <x:c r="I898" s="53" t="n">
        <x:f>E898+F898-H898</x:f>
        <x:v>0</x:v>
      </x:c>
      <x:c r="J898" s="45" t="str">
        <x:f>IF(I898=0,"CLEAR","QUEUED")</x:f>
        <x:v>CLEAR</x:v>
      </x:c>
      <x:c r="K898" s="72"/>
      <x:c r="L898" s="72"/>
      <x:c r="M898" s="72"/>
      <x:c r="N898" s="72"/>
    </x:row>
    <x:row r="899">
      <x:c r="C899" s="45" t="str">
        <x:f>'Path Daily'!C899</x:f>
        <x:v>P9</x:v>
      </x:c>
      <x:c r="D899" s="45" t="n">
        <x:f>'Path Daily'!D899</x:f>
        <x:v>73</x:v>
      </x:c>
      <x:c r="E899" s="53" t="n">
        <x:f>IF(D899=0,SUMIFS('Cargo Records'!$T$7:$T$70,'Cargo Records'!$J$7:$J$70,C899),0)</x:f>
        <x:v>0</x:v>
      </x:c>
      <x:c r="F899" s="53" t="n">
        <x:f>I898</x:f>
        <x:v>0</x:v>
      </x:c>
      <x:c r="G899" s="53" t="n">
        <x:f>'Path Daily'!M899</x:f>
        <x:v>7560</x:v>
      </x:c>
      <x:c r="H899" s="53" t="n">
        <x:f>MIN(E899+F899,G899)</x:f>
        <x:v>0</x:v>
      </x:c>
      <x:c r="I899" s="53" t="n">
        <x:f>E899+F899-H899</x:f>
        <x:v>0</x:v>
      </x:c>
      <x:c r="J899" s="45" t="str">
        <x:f>IF(I899=0,"CLEAR","QUEUED")</x:f>
        <x:v>CLEAR</x:v>
      </x:c>
      <x:c r="K899" s="72"/>
      <x:c r="L899" s="72"/>
      <x:c r="M899" s="72"/>
      <x:c r="N899" s="72"/>
    </x:row>
    <x:row r="900">
      <x:c r="C900" s="45" t="str">
        <x:f>'Path Daily'!C900</x:f>
        <x:v>P9</x:v>
      </x:c>
      <x:c r="D900" s="45" t="n">
        <x:f>'Path Daily'!D900</x:f>
        <x:v>74</x:v>
      </x:c>
      <x:c r="E900" s="53" t="n">
        <x:f>IF(D900=0,SUMIFS('Cargo Records'!$T$7:$T$70,'Cargo Records'!$J$7:$J$70,C900),0)</x:f>
        <x:v>0</x:v>
      </x:c>
      <x:c r="F900" s="53" t="n">
        <x:f>I899</x:f>
        <x:v>0</x:v>
      </x:c>
      <x:c r="G900" s="53" t="n">
        <x:f>'Path Daily'!M900</x:f>
        <x:v>7560</x:v>
      </x:c>
      <x:c r="H900" s="53" t="n">
        <x:f>MIN(E900+F900,G900)</x:f>
        <x:v>0</x:v>
      </x:c>
      <x:c r="I900" s="53" t="n">
        <x:f>E900+F900-H900</x:f>
        <x:v>0</x:v>
      </x:c>
      <x:c r="J900" s="45" t="str">
        <x:f>IF(I900=0,"CLEAR","QUEUED")</x:f>
        <x:v>CLEAR</x:v>
      </x:c>
      <x:c r="K900" s="72"/>
      <x:c r="L900" s="72"/>
      <x:c r="M900" s="72"/>
      <x:c r="N900" s="72"/>
    </x:row>
    <x:row r="901">
      <x:c r="C901" s="45" t="str">
        <x:f>'Path Daily'!C901</x:f>
        <x:v>P9</x:v>
      </x:c>
      <x:c r="D901" s="45" t="n">
        <x:f>'Path Daily'!D901</x:f>
        <x:v>75</x:v>
      </x:c>
      <x:c r="E901" s="53" t="n">
        <x:f>IF(D901=0,SUMIFS('Cargo Records'!$T$7:$T$70,'Cargo Records'!$J$7:$J$70,C901),0)</x:f>
        <x:v>0</x:v>
      </x:c>
      <x:c r="F901" s="53" t="n">
        <x:f>I900</x:f>
        <x:v>0</x:v>
      </x:c>
      <x:c r="G901" s="53" t="n">
        <x:f>'Path Daily'!M901</x:f>
        <x:v>7560</x:v>
      </x:c>
      <x:c r="H901" s="53" t="n">
        <x:f>MIN(E901+F901,G901)</x:f>
        <x:v>0</x:v>
      </x:c>
      <x:c r="I901" s="53" t="n">
        <x:f>E901+F901-H901</x:f>
        <x:v>0</x:v>
      </x:c>
      <x:c r="J901" s="45" t="str">
        <x:f>IF(I901=0,"CLEAR","QUEUED")</x:f>
        <x:v>CLEAR</x:v>
      </x:c>
      <x:c r="K901" s="72"/>
      <x:c r="L901" s="72"/>
      <x:c r="M901" s="72"/>
      <x:c r="N901" s="72"/>
    </x:row>
    <x:row r="902">
      <x:c r="C902" s="45" t="str">
        <x:f>'Path Daily'!C902</x:f>
        <x:v>P9</x:v>
      </x:c>
      <x:c r="D902" s="45" t="n">
        <x:f>'Path Daily'!D902</x:f>
        <x:v>76</x:v>
      </x:c>
      <x:c r="E902" s="53" t="n">
        <x:f>IF(D902=0,SUMIFS('Cargo Records'!$T$7:$T$70,'Cargo Records'!$J$7:$J$70,C902),0)</x:f>
        <x:v>0</x:v>
      </x:c>
      <x:c r="F902" s="53" t="n">
        <x:f>I901</x:f>
        <x:v>0</x:v>
      </x:c>
      <x:c r="G902" s="53" t="n">
        <x:f>'Path Daily'!M902</x:f>
        <x:v>7560</x:v>
      </x:c>
      <x:c r="H902" s="53" t="n">
        <x:f>MIN(E902+F902,G902)</x:f>
        <x:v>0</x:v>
      </x:c>
      <x:c r="I902" s="53" t="n">
        <x:f>E902+F902-H902</x:f>
        <x:v>0</x:v>
      </x:c>
      <x:c r="J902" s="45" t="str">
        <x:f>IF(I902=0,"CLEAR","QUEUED")</x:f>
        <x:v>CLEAR</x:v>
      </x:c>
      <x:c r="K902" s="72"/>
      <x:c r="L902" s="72"/>
      <x:c r="M902" s="72"/>
      <x:c r="N902" s="72"/>
    </x:row>
    <x:row r="903">
      <x:c r="C903" s="45" t="str">
        <x:f>'Path Daily'!C903</x:f>
        <x:v>P9</x:v>
      </x:c>
      <x:c r="D903" s="45" t="n">
        <x:f>'Path Daily'!D903</x:f>
        <x:v>77</x:v>
      </x:c>
      <x:c r="E903" s="53" t="n">
        <x:f>IF(D903=0,SUMIFS('Cargo Records'!$T$7:$T$70,'Cargo Records'!$J$7:$J$70,C903),0)</x:f>
        <x:v>0</x:v>
      </x:c>
      <x:c r="F903" s="53" t="n">
        <x:f>I902</x:f>
        <x:v>0</x:v>
      </x:c>
      <x:c r="G903" s="53" t="n">
        <x:f>'Path Daily'!M903</x:f>
        <x:v>7560</x:v>
      </x:c>
      <x:c r="H903" s="53" t="n">
        <x:f>MIN(E903+F903,G903)</x:f>
        <x:v>0</x:v>
      </x:c>
      <x:c r="I903" s="53" t="n">
        <x:f>E903+F903-H903</x:f>
        <x:v>0</x:v>
      </x:c>
      <x:c r="J903" s="45" t="str">
        <x:f>IF(I903=0,"CLEAR","QUEUED")</x:f>
        <x:v>CLEAR</x:v>
      </x:c>
      <x:c r="K903" s="72"/>
      <x:c r="L903" s="72"/>
      <x:c r="M903" s="72"/>
      <x:c r="N903" s="72"/>
    </x:row>
    <x:row r="904">
      <x:c r="C904" s="45" t="str">
        <x:f>'Path Daily'!C904</x:f>
        <x:v>P9</x:v>
      </x:c>
      <x:c r="D904" s="45" t="n">
        <x:f>'Path Daily'!D904</x:f>
        <x:v>78</x:v>
      </x:c>
      <x:c r="E904" s="53" t="n">
        <x:f>IF(D904=0,SUMIFS('Cargo Records'!$T$7:$T$70,'Cargo Records'!$J$7:$J$70,C904),0)</x:f>
        <x:v>0</x:v>
      </x:c>
      <x:c r="F904" s="53" t="n">
        <x:f>I903</x:f>
        <x:v>0</x:v>
      </x:c>
      <x:c r="G904" s="53" t="n">
        <x:f>'Path Daily'!M904</x:f>
        <x:v>7560</x:v>
      </x:c>
      <x:c r="H904" s="53" t="n">
        <x:f>MIN(E904+F904,G904)</x:f>
        <x:v>0</x:v>
      </x:c>
      <x:c r="I904" s="53" t="n">
        <x:f>E904+F904-H904</x:f>
        <x:v>0</x:v>
      </x:c>
      <x:c r="J904" s="45" t="str">
        <x:f>IF(I904=0,"CLEAR","QUEUED")</x:f>
        <x:v>CLEAR</x:v>
      </x:c>
      <x:c r="K904" s="72"/>
      <x:c r="L904" s="72"/>
      <x:c r="M904" s="72"/>
      <x:c r="N904" s="72"/>
    </x:row>
    <x:row r="905">
      <x:c r="C905" s="45" t="str">
        <x:f>'Path Daily'!C905</x:f>
        <x:v>P9</x:v>
      </x:c>
      <x:c r="D905" s="45" t="n">
        <x:f>'Path Daily'!D905</x:f>
        <x:v>79</x:v>
      </x:c>
      <x:c r="E905" s="53" t="n">
        <x:f>IF(D905=0,SUMIFS('Cargo Records'!$T$7:$T$70,'Cargo Records'!$J$7:$J$70,C905),0)</x:f>
        <x:v>0</x:v>
      </x:c>
      <x:c r="F905" s="53" t="n">
        <x:f>I904</x:f>
        <x:v>0</x:v>
      </x:c>
      <x:c r="G905" s="53" t="n">
        <x:f>'Path Daily'!M905</x:f>
        <x:v>7560</x:v>
      </x:c>
      <x:c r="H905" s="53" t="n">
        <x:f>MIN(E905+F905,G905)</x:f>
        <x:v>0</x:v>
      </x:c>
      <x:c r="I905" s="53" t="n">
        <x:f>E905+F905-H905</x:f>
        <x:v>0</x:v>
      </x:c>
      <x:c r="J905" s="45" t="str">
        <x:f>IF(I905=0,"CLEAR","QUEUED")</x:f>
        <x:v>CLEAR</x:v>
      </x:c>
      <x:c r="K905" s="72"/>
      <x:c r="L905" s="72"/>
      <x:c r="M905" s="72"/>
      <x:c r="N905" s="72"/>
    </x:row>
    <x:row r="906">
      <x:c r="C906" s="45" t="str">
        <x:f>'Path Daily'!C906</x:f>
        <x:v>P9</x:v>
      </x:c>
      <x:c r="D906" s="45" t="n">
        <x:f>'Path Daily'!D906</x:f>
        <x:v>80</x:v>
      </x:c>
      <x:c r="E906" s="53" t="n">
        <x:f>IF(D906=0,SUMIFS('Cargo Records'!$T$7:$T$70,'Cargo Records'!$J$7:$J$70,C906),0)</x:f>
        <x:v>0</x:v>
      </x:c>
      <x:c r="F906" s="53" t="n">
        <x:f>I905</x:f>
        <x:v>0</x:v>
      </x:c>
      <x:c r="G906" s="53" t="n">
        <x:f>'Path Daily'!M906</x:f>
        <x:v>7560</x:v>
      </x:c>
      <x:c r="H906" s="53" t="n">
        <x:f>MIN(E906+F906,G906)</x:f>
        <x:v>0</x:v>
      </x:c>
      <x:c r="I906" s="53" t="n">
        <x:f>E906+F906-H906</x:f>
        <x:v>0</x:v>
      </x:c>
      <x:c r="J906" s="45" t="str">
        <x:f>IF(I906=0,"CLEAR","QUEUED")</x:f>
        <x:v>CLEAR</x:v>
      </x:c>
      <x:c r="K906" s="72"/>
      <x:c r="L906" s="72"/>
      <x:c r="M906" s="72"/>
      <x:c r="N906" s="72"/>
    </x:row>
    <x:row r="907">
      <x:c r="C907" s="45" t="str">
        <x:f>'Path Daily'!C907</x:f>
        <x:v>P9</x:v>
      </x:c>
      <x:c r="D907" s="45" t="n">
        <x:f>'Path Daily'!D907</x:f>
        <x:v>81</x:v>
      </x:c>
      <x:c r="E907" s="53" t="n">
        <x:f>IF(D907=0,SUMIFS('Cargo Records'!$T$7:$T$70,'Cargo Records'!$J$7:$J$70,C907),0)</x:f>
        <x:v>0</x:v>
      </x:c>
      <x:c r="F907" s="53" t="n">
        <x:f>I906</x:f>
        <x:v>0</x:v>
      </x:c>
      <x:c r="G907" s="53" t="n">
        <x:f>'Path Daily'!M907</x:f>
        <x:v>7560</x:v>
      </x:c>
      <x:c r="H907" s="53" t="n">
        <x:f>MIN(E907+F907,G907)</x:f>
        <x:v>0</x:v>
      </x:c>
      <x:c r="I907" s="53" t="n">
        <x:f>E907+F907-H907</x:f>
        <x:v>0</x:v>
      </x:c>
      <x:c r="J907" s="45" t="str">
        <x:f>IF(I907=0,"CLEAR","QUEUED")</x:f>
        <x:v>CLEAR</x:v>
      </x:c>
      <x:c r="K907" s="72"/>
      <x:c r="L907" s="72"/>
      <x:c r="M907" s="72"/>
      <x:c r="N907" s="72"/>
    </x:row>
    <x:row r="908">
      <x:c r="C908" s="45" t="str">
        <x:f>'Path Daily'!C908</x:f>
        <x:v>P9</x:v>
      </x:c>
      <x:c r="D908" s="45" t="n">
        <x:f>'Path Daily'!D908</x:f>
        <x:v>82</x:v>
      </x:c>
      <x:c r="E908" s="53" t="n">
        <x:f>IF(D908=0,SUMIFS('Cargo Records'!$T$7:$T$70,'Cargo Records'!$J$7:$J$70,C908),0)</x:f>
        <x:v>0</x:v>
      </x:c>
      <x:c r="F908" s="53" t="n">
        <x:f>I907</x:f>
        <x:v>0</x:v>
      </x:c>
      <x:c r="G908" s="53" t="n">
        <x:f>'Path Daily'!M908</x:f>
        <x:v>7560</x:v>
      </x:c>
      <x:c r="H908" s="53" t="n">
        <x:f>MIN(E908+F908,G908)</x:f>
        <x:v>0</x:v>
      </x:c>
      <x:c r="I908" s="53" t="n">
        <x:f>E908+F908-H908</x:f>
        <x:v>0</x:v>
      </x:c>
      <x:c r="J908" s="45" t="str">
        <x:f>IF(I908=0,"CLEAR","QUEUED")</x:f>
        <x:v>CLEAR</x:v>
      </x:c>
      <x:c r="K908" s="72"/>
      <x:c r="L908" s="72"/>
      <x:c r="M908" s="72"/>
      <x:c r="N908" s="72"/>
    </x:row>
    <x:row r="909">
      <x:c r="C909" s="45" t="str">
        <x:f>'Path Daily'!C909</x:f>
        <x:v>P9</x:v>
      </x:c>
      <x:c r="D909" s="45" t="n">
        <x:f>'Path Daily'!D909</x:f>
        <x:v>83</x:v>
      </x:c>
      <x:c r="E909" s="53" t="n">
        <x:f>IF(D909=0,SUMIFS('Cargo Records'!$T$7:$T$70,'Cargo Records'!$J$7:$J$70,C909),0)</x:f>
        <x:v>0</x:v>
      </x:c>
      <x:c r="F909" s="53" t="n">
        <x:f>I908</x:f>
        <x:v>0</x:v>
      </x:c>
      <x:c r="G909" s="53" t="n">
        <x:f>'Path Daily'!M909</x:f>
        <x:v>7560</x:v>
      </x:c>
      <x:c r="H909" s="53" t="n">
        <x:f>MIN(E909+F909,G909)</x:f>
        <x:v>0</x:v>
      </x:c>
      <x:c r="I909" s="53" t="n">
        <x:f>E909+F909-H909</x:f>
        <x:v>0</x:v>
      </x:c>
      <x:c r="J909" s="45" t="str">
        <x:f>IF(I909=0,"CLEAR","QUEUED")</x:f>
        <x:v>CLEAR</x:v>
      </x:c>
      <x:c r="K909" s="72"/>
      <x:c r="L909" s="72"/>
      <x:c r="M909" s="72"/>
      <x:c r="N909" s="72"/>
    </x:row>
    <x:row r="910">
      <x:c r="C910" s="45" t="str">
        <x:f>'Path Daily'!C910</x:f>
        <x:v>P9</x:v>
      </x:c>
      <x:c r="D910" s="45" t="n">
        <x:f>'Path Daily'!D910</x:f>
        <x:v>84</x:v>
      </x:c>
      <x:c r="E910" s="53" t="n">
        <x:f>IF(D910=0,SUMIFS('Cargo Records'!$T$7:$T$70,'Cargo Records'!$J$7:$J$70,C910),0)</x:f>
        <x:v>0</x:v>
      </x:c>
      <x:c r="F910" s="53" t="n">
        <x:f>I909</x:f>
        <x:v>0</x:v>
      </x:c>
      <x:c r="G910" s="53" t="n">
        <x:f>'Path Daily'!M910</x:f>
        <x:v>7560</x:v>
      </x:c>
      <x:c r="H910" s="53" t="n">
        <x:f>MIN(E910+F910,G910)</x:f>
        <x:v>0</x:v>
      </x:c>
      <x:c r="I910" s="53" t="n">
        <x:f>E910+F910-H910</x:f>
        <x:v>0</x:v>
      </x:c>
      <x:c r="J910" s="45" t="str">
        <x:f>IF(I910=0,"CLEAR","QUEUED")</x:f>
        <x:v>CLEAR</x:v>
      </x:c>
      <x:c r="K910" s="72"/>
      <x:c r="L910" s="72"/>
      <x:c r="M910" s="72"/>
      <x:c r="N910" s="72"/>
    </x:row>
    <x:row r="911">
      <x:c r="C911" s="45" t="str">
        <x:f>'Path Daily'!C911</x:f>
        <x:v>P9</x:v>
      </x:c>
      <x:c r="D911" s="45" t="n">
        <x:f>'Path Daily'!D911</x:f>
        <x:v>85</x:v>
      </x:c>
      <x:c r="E911" s="53" t="n">
        <x:f>IF(D911=0,SUMIFS('Cargo Records'!$T$7:$T$70,'Cargo Records'!$J$7:$J$70,C911),0)</x:f>
        <x:v>0</x:v>
      </x:c>
      <x:c r="F911" s="53" t="n">
        <x:f>I910</x:f>
        <x:v>0</x:v>
      </x:c>
      <x:c r="G911" s="53" t="n">
        <x:f>'Path Daily'!M911</x:f>
        <x:v>7560</x:v>
      </x:c>
      <x:c r="H911" s="53" t="n">
        <x:f>MIN(E911+F911,G911)</x:f>
        <x:v>0</x:v>
      </x:c>
      <x:c r="I911" s="53" t="n">
        <x:f>E911+F911-H911</x:f>
        <x:v>0</x:v>
      </x:c>
      <x:c r="J911" s="45" t="str">
        <x:f>IF(I911=0,"CLEAR","QUEUED")</x:f>
        <x:v>CLEAR</x:v>
      </x:c>
      <x:c r="K911" s="72"/>
      <x:c r="L911" s="72"/>
      <x:c r="M911" s="72"/>
      <x:c r="N911" s="72"/>
    </x:row>
    <x:row r="912">
      <x:c r="C912" s="45" t="str">
        <x:f>'Path Daily'!C912</x:f>
        <x:v>P9</x:v>
      </x:c>
      <x:c r="D912" s="45" t="n">
        <x:f>'Path Daily'!D912</x:f>
        <x:v>86</x:v>
      </x:c>
      <x:c r="E912" s="53" t="n">
        <x:f>IF(D912=0,SUMIFS('Cargo Records'!$T$7:$T$70,'Cargo Records'!$J$7:$J$70,C912),0)</x:f>
        <x:v>0</x:v>
      </x:c>
      <x:c r="F912" s="53" t="n">
        <x:f>I911</x:f>
        <x:v>0</x:v>
      </x:c>
      <x:c r="G912" s="53" t="n">
        <x:f>'Path Daily'!M912</x:f>
        <x:v>7560</x:v>
      </x:c>
      <x:c r="H912" s="53" t="n">
        <x:f>MIN(E912+F912,G912)</x:f>
        <x:v>0</x:v>
      </x:c>
      <x:c r="I912" s="53" t="n">
        <x:f>E912+F912-H912</x:f>
        <x:v>0</x:v>
      </x:c>
      <x:c r="J912" s="45" t="str">
        <x:f>IF(I912=0,"CLEAR","QUEUED")</x:f>
        <x:v>CLEAR</x:v>
      </x:c>
      <x:c r="K912" s="72"/>
      <x:c r="L912" s="72"/>
      <x:c r="M912" s="72"/>
      <x:c r="N912" s="72"/>
    </x:row>
    <x:row r="913">
      <x:c r="C913" s="45" t="str">
        <x:f>'Path Daily'!C913</x:f>
        <x:v>P9</x:v>
      </x:c>
      <x:c r="D913" s="45" t="n">
        <x:f>'Path Daily'!D913</x:f>
        <x:v>87</x:v>
      </x:c>
      <x:c r="E913" s="53" t="n">
        <x:f>IF(D913=0,SUMIFS('Cargo Records'!$T$7:$T$70,'Cargo Records'!$J$7:$J$70,C913),0)</x:f>
        <x:v>0</x:v>
      </x:c>
      <x:c r="F913" s="53" t="n">
        <x:f>I912</x:f>
        <x:v>0</x:v>
      </x:c>
      <x:c r="G913" s="53" t="n">
        <x:f>'Path Daily'!M913</x:f>
        <x:v>7560</x:v>
      </x:c>
      <x:c r="H913" s="53" t="n">
        <x:f>MIN(E913+F913,G913)</x:f>
        <x:v>0</x:v>
      </x:c>
      <x:c r="I913" s="53" t="n">
        <x:f>E913+F913-H913</x:f>
        <x:v>0</x:v>
      </x:c>
      <x:c r="J913" s="45" t="str">
        <x:f>IF(I913=0,"CLEAR","QUEUED")</x:f>
        <x:v>CLEAR</x:v>
      </x:c>
      <x:c r="K913" s="72"/>
      <x:c r="L913" s="72"/>
      <x:c r="M913" s="72"/>
      <x:c r="N913" s="72"/>
    </x:row>
    <x:row r="914">
      <x:c r="C914" s="45" t="str">
        <x:f>'Path Daily'!C914</x:f>
        <x:v>P9</x:v>
      </x:c>
      <x:c r="D914" s="45" t="n">
        <x:f>'Path Daily'!D914</x:f>
        <x:v>88</x:v>
      </x:c>
      <x:c r="E914" s="53" t="n">
        <x:f>IF(D914=0,SUMIFS('Cargo Records'!$T$7:$T$70,'Cargo Records'!$J$7:$J$70,C914),0)</x:f>
        <x:v>0</x:v>
      </x:c>
      <x:c r="F914" s="53" t="n">
        <x:f>I913</x:f>
        <x:v>0</x:v>
      </x:c>
      <x:c r="G914" s="53" t="n">
        <x:f>'Path Daily'!M914</x:f>
        <x:v>7560</x:v>
      </x:c>
      <x:c r="H914" s="53" t="n">
        <x:f>MIN(E914+F914,G914)</x:f>
        <x:v>0</x:v>
      </x:c>
      <x:c r="I914" s="53" t="n">
        <x:f>E914+F914-H914</x:f>
        <x:v>0</x:v>
      </x:c>
      <x:c r="J914" s="45" t="str">
        <x:f>IF(I914=0,"CLEAR","QUEUED")</x:f>
        <x:v>CLEAR</x:v>
      </x:c>
      <x:c r="K914" s="72"/>
      <x:c r="L914" s="72"/>
      <x:c r="M914" s="72"/>
      <x:c r="N914" s="72"/>
    </x:row>
    <x:row r="915">
      <x:c r="C915" s="45" t="str">
        <x:f>'Path Daily'!C915</x:f>
        <x:v>P9</x:v>
      </x:c>
      <x:c r="D915" s="45" t="n">
        <x:f>'Path Daily'!D915</x:f>
        <x:v>89</x:v>
      </x:c>
      <x:c r="E915" s="53" t="n">
        <x:f>IF(D915=0,SUMIFS('Cargo Records'!$T$7:$T$70,'Cargo Records'!$J$7:$J$70,C915),0)</x:f>
        <x:v>0</x:v>
      </x:c>
      <x:c r="F915" s="53" t="n">
        <x:f>I914</x:f>
        <x:v>0</x:v>
      </x:c>
      <x:c r="G915" s="53" t="n">
        <x:f>'Path Daily'!M915</x:f>
        <x:v>7560</x:v>
      </x:c>
      <x:c r="H915" s="53" t="n">
        <x:f>MIN(E915+F915,G915)</x:f>
        <x:v>0</x:v>
      </x:c>
      <x:c r="I915" s="53" t="n">
        <x:f>E915+F915-H915</x:f>
        <x:v>0</x:v>
      </x:c>
      <x:c r="J915" s="45" t="str">
        <x:f>IF(I915=0,"CLEAR","QUEUED")</x:f>
        <x:v>CLEAR</x:v>
      </x:c>
      <x:c r="K915" s="72"/>
      <x:c r="L915" s="72"/>
      <x:c r="M915" s="72"/>
      <x:c r="N915" s="72"/>
    </x:row>
    <x:row r="916">
      <x:c r="C916" s="45" t="str">
        <x:f>'Path Daily'!C916</x:f>
        <x:v>P9</x:v>
      </x:c>
      <x:c r="D916" s="45" t="n">
        <x:f>'Path Daily'!D916</x:f>
        <x:v>90</x:v>
      </x:c>
      <x:c r="E916" s="53" t="n">
        <x:f>IF(D916=0,SUMIFS('Cargo Records'!$T$7:$T$70,'Cargo Records'!$J$7:$J$70,C916),0)</x:f>
        <x:v>0</x:v>
      </x:c>
      <x:c r="F916" s="53" t="n">
        <x:f>I915</x:f>
        <x:v>0</x:v>
      </x:c>
      <x:c r="G916" s="53" t="n">
        <x:f>'Path Daily'!M916</x:f>
        <x:v>7560</x:v>
      </x:c>
      <x:c r="H916" s="53" t="n">
        <x:f>MIN(E916+F916,G916)</x:f>
        <x:v>0</x:v>
      </x:c>
      <x:c r="I916" s="53" t="n">
        <x:f>E916+F916-H916</x:f>
        <x:v>0</x:v>
      </x:c>
      <x:c r="J916" s="45" t="str">
        <x:f>IF(I916=0,"CLEAR","QUEUED")</x:f>
        <x:v>CLEAR</x:v>
      </x:c>
      <x:c r="K916" s="72"/>
      <x:c r="L916" s="72"/>
      <x:c r="M916" s="72"/>
      <x:c r="N916" s="72"/>
    </x:row>
    <x:row r="917">
      <x:c r="C917" s="45" t="str">
        <x:f>'Path Daily'!C917</x:f>
        <x:v>P10</x:v>
      </x:c>
      <x:c r="D917" s="45" t="n">
        <x:f>'Path Daily'!D917</x:f>
        <x:v>0</x:v>
      </x:c>
      <x:c r="E917" s="53" t="n">
        <x:f>IF(D917=0,SUMIFS('Cargo Records'!$T$7:$T$70,'Cargo Records'!$J$7:$J$70,C917),0)</x:f>
        <x:v>469586.1212121212</x:v>
      </x:c>
      <x:c r="F917" s="53" t="n">
        <x:f>0</x:f>
        <x:v>0</x:v>
      </x:c>
      <x:c r="G917" s="53" t="n">
        <x:f>'Path Daily'!M917</x:f>
        <x:v>0</x:v>
      </x:c>
      <x:c r="H917" s="53" t="n">
        <x:f>MIN(E917+F917,G917)</x:f>
        <x:v>0</x:v>
      </x:c>
      <x:c r="I917" s="53" t="n">
        <x:f>E917+F917-H917</x:f>
        <x:v>469586.1212121212</x:v>
      </x:c>
      <x:c r="J917" s="45" t="str">
        <x:f>IF(I917=0,"CLEAR","QUEUED")</x:f>
        <x:v>QUEUED</x:v>
      </x:c>
      <x:c r="K917" s="72"/>
      <x:c r="L917" s="72"/>
      <x:c r="M917" s="72"/>
      <x:c r="N917" s="72"/>
    </x:row>
    <x:row r="918">
      <x:c r="C918" s="45" t="str">
        <x:f>'Path Daily'!C918</x:f>
        <x:v>P10</x:v>
      </x:c>
      <x:c r="D918" s="45" t="n">
        <x:f>'Path Daily'!D918</x:f>
        <x:v>1</x:v>
      </x:c>
      <x:c r="E918" s="53" t="n">
        <x:f>IF(D918=0,SUMIFS('Cargo Records'!$T$7:$T$70,'Cargo Records'!$J$7:$J$70,C918),0)</x:f>
        <x:v>0</x:v>
      </x:c>
      <x:c r="F918" s="53" t="n">
        <x:f>I917</x:f>
        <x:v>469586.1212121212</x:v>
      </x:c>
      <x:c r="G918" s="53" t="n">
        <x:f>'Path Daily'!M918</x:f>
        <x:v>0</x:v>
      </x:c>
      <x:c r="H918" s="53" t="n">
        <x:f>MIN(E918+F918,G918)</x:f>
        <x:v>0</x:v>
      </x:c>
      <x:c r="I918" s="53" t="n">
        <x:f>E918+F918-H918</x:f>
        <x:v>469586.1212121212</x:v>
      </x:c>
      <x:c r="J918" s="45" t="str">
        <x:f>IF(I918=0,"CLEAR","QUEUED")</x:f>
        <x:v>QUEUED</x:v>
      </x:c>
      <x:c r="K918" s="72"/>
      <x:c r="L918" s="72"/>
      <x:c r="M918" s="72"/>
      <x:c r="N918" s="72"/>
    </x:row>
    <x:row r="919">
      <x:c r="C919" s="45" t="str">
        <x:f>'Path Daily'!C919</x:f>
        <x:v>P10</x:v>
      </x:c>
      <x:c r="D919" s="45" t="n">
        <x:f>'Path Daily'!D919</x:f>
        <x:v>2</x:v>
      </x:c>
      <x:c r="E919" s="53" t="n">
        <x:f>IF(D919=0,SUMIFS('Cargo Records'!$T$7:$T$70,'Cargo Records'!$J$7:$J$70,C919),0)</x:f>
        <x:v>0</x:v>
      </x:c>
      <x:c r="F919" s="53" t="n">
        <x:f>I918</x:f>
        <x:v>469586.1212121212</x:v>
      </x:c>
      <x:c r="G919" s="53" t="n">
        <x:f>'Path Daily'!M919</x:f>
        <x:v>0</x:v>
      </x:c>
      <x:c r="H919" s="53" t="n">
        <x:f>MIN(E919+F919,G919)</x:f>
        <x:v>0</x:v>
      </x:c>
      <x:c r="I919" s="53" t="n">
        <x:f>E919+F919-H919</x:f>
        <x:v>469586.1212121212</x:v>
      </x:c>
      <x:c r="J919" s="45" t="str">
        <x:f>IF(I919=0,"CLEAR","QUEUED")</x:f>
        <x:v>QUEUED</x:v>
      </x:c>
      <x:c r="K919" s="72"/>
      <x:c r="L919" s="72"/>
      <x:c r="M919" s="72"/>
      <x:c r="N919" s="72"/>
    </x:row>
    <x:row r="920">
      <x:c r="C920" s="45" t="str">
        <x:f>'Path Daily'!C920</x:f>
        <x:v>P10</x:v>
      </x:c>
      <x:c r="D920" s="45" t="n">
        <x:f>'Path Daily'!D920</x:f>
        <x:v>3</x:v>
      </x:c>
      <x:c r="E920" s="53" t="n">
        <x:f>IF(D920=0,SUMIFS('Cargo Records'!$T$7:$T$70,'Cargo Records'!$J$7:$J$70,C920),0)</x:f>
        <x:v>0</x:v>
      </x:c>
      <x:c r="F920" s="53" t="n">
        <x:f>I919</x:f>
        <x:v>469586.1212121212</x:v>
      </x:c>
      <x:c r="G920" s="53" t="n">
        <x:f>'Path Daily'!M920</x:f>
        <x:v>0</x:v>
      </x:c>
      <x:c r="H920" s="53" t="n">
        <x:f>MIN(E920+F920,G920)</x:f>
        <x:v>0</x:v>
      </x:c>
      <x:c r="I920" s="53" t="n">
        <x:f>E920+F920-H920</x:f>
        <x:v>469586.1212121212</x:v>
      </x:c>
      <x:c r="J920" s="45" t="str">
        <x:f>IF(I920=0,"CLEAR","QUEUED")</x:f>
        <x:v>QUEUED</x:v>
      </x:c>
      <x:c r="K920" s="72"/>
      <x:c r="L920" s="72"/>
      <x:c r="M920" s="72"/>
      <x:c r="N920" s="72"/>
    </x:row>
    <x:row r="921">
      <x:c r="C921" s="45" t="str">
        <x:f>'Path Daily'!C921</x:f>
        <x:v>P10</x:v>
      </x:c>
      <x:c r="D921" s="45" t="n">
        <x:f>'Path Daily'!D921</x:f>
        <x:v>4</x:v>
      </x:c>
      <x:c r="E921" s="53" t="n">
        <x:f>IF(D921=0,SUMIFS('Cargo Records'!$T$7:$T$70,'Cargo Records'!$J$7:$J$70,C921),0)</x:f>
        <x:v>0</x:v>
      </x:c>
      <x:c r="F921" s="53" t="n">
        <x:f>I920</x:f>
        <x:v>469586.1212121212</x:v>
      </x:c>
      <x:c r="G921" s="53" t="n">
        <x:f>'Path Daily'!M921</x:f>
        <x:v>0</x:v>
      </x:c>
      <x:c r="H921" s="53" t="n">
        <x:f>MIN(E921+F921,G921)</x:f>
        <x:v>0</x:v>
      </x:c>
      <x:c r="I921" s="53" t="n">
        <x:f>E921+F921-H921</x:f>
        <x:v>469586.1212121212</x:v>
      </x:c>
      <x:c r="J921" s="45" t="str">
        <x:f>IF(I921=0,"CLEAR","QUEUED")</x:f>
        <x:v>QUEUED</x:v>
      </x:c>
      <x:c r="K921" s="72"/>
      <x:c r="L921" s="72"/>
      <x:c r="M921" s="72"/>
      <x:c r="N921" s="72"/>
    </x:row>
    <x:row r="922">
      <x:c r="C922" s="45" t="str">
        <x:f>'Path Daily'!C922</x:f>
        <x:v>P10</x:v>
      </x:c>
      <x:c r="D922" s="45" t="n">
        <x:f>'Path Daily'!D922</x:f>
        <x:v>5</x:v>
      </x:c>
      <x:c r="E922" s="53" t="n">
        <x:f>IF(D922=0,SUMIFS('Cargo Records'!$T$7:$T$70,'Cargo Records'!$J$7:$J$70,C922),0)</x:f>
        <x:v>0</x:v>
      </x:c>
      <x:c r="F922" s="53" t="n">
        <x:f>I921</x:f>
        <x:v>469586.1212121212</x:v>
      </x:c>
      <x:c r="G922" s="53" t="n">
        <x:f>'Path Daily'!M922</x:f>
        <x:v>0</x:v>
      </x:c>
      <x:c r="H922" s="53" t="n">
        <x:f>MIN(E922+F922,G922)</x:f>
        <x:v>0</x:v>
      </x:c>
      <x:c r="I922" s="53" t="n">
        <x:f>E922+F922-H922</x:f>
        <x:v>469586.1212121212</x:v>
      </x:c>
      <x:c r="J922" s="45" t="str">
        <x:f>IF(I922=0,"CLEAR","QUEUED")</x:f>
        <x:v>QUEUED</x:v>
      </x:c>
      <x:c r="K922" s="72"/>
      <x:c r="L922" s="72"/>
      <x:c r="M922" s="72"/>
      <x:c r="N922" s="72"/>
    </x:row>
    <x:row r="923">
      <x:c r="C923" s="45" t="str">
        <x:f>'Path Daily'!C923</x:f>
        <x:v>P10</x:v>
      </x:c>
      <x:c r="D923" s="45" t="n">
        <x:f>'Path Daily'!D923</x:f>
        <x:v>6</x:v>
      </x:c>
      <x:c r="E923" s="53" t="n">
        <x:f>IF(D923=0,SUMIFS('Cargo Records'!$T$7:$T$70,'Cargo Records'!$J$7:$J$70,C923),0)</x:f>
        <x:v>0</x:v>
      </x:c>
      <x:c r="F923" s="53" t="n">
        <x:f>I922</x:f>
        <x:v>469586.1212121212</x:v>
      </x:c>
      <x:c r="G923" s="53" t="n">
        <x:f>'Path Daily'!M923</x:f>
        <x:v>0</x:v>
      </x:c>
      <x:c r="H923" s="53" t="n">
        <x:f>MIN(E923+F923,G923)</x:f>
        <x:v>0</x:v>
      </x:c>
      <x:c r="I923" s="53" t="n">
        <x:f>E923+F923-H923</x:f>
        <x:v>469586.1212121212</x:v>
      </x:c>
      <x:c r="J923" s="45" t="str">
        <x:f>IF(I923=0,"CLEAR","QUEUED")</x:f>
        <x:v>QUEUED</x:v>
      </x:c>
      <x:c r="K923" s="72"/>
      <x:c r="L923" s="72"/>
      <x:c r="M923" s="72"/>
      <x:c r="N923" s="72"/>
    </x:row>
    <x:row r="924">
      <x:c r="C924" s="45" t="str">
        <x:f>'Path Daily'!C924</x:f>
        <x:v>P10</x:v>
      </x:c>
      <x:c r="D924" s="45" t="n">
        <x:f>'Path Daily'!D924</x:f>
        <x:v>7</x:v>
      </x:c>
      <x:c r="E924" s="53" t="n">
        <x:f>IF(D924=0,SUMIFS('Cargo Records'!$T$7:$T$70,'Cargo Records'!$J$7:$J$70,C924),0)</x:f>
        <x:v>0</x:v>
      </x:c>
      <x:c r="F924" s="53" t="n">
        <x:f>I923</x:f>
        <x:v>469586.1212121212</x:v>
      </x:c>
      <x:c r="G924" s="53" t="n">
        <x:f>'Path Daily'!M924</x:f>
        <x:v>0</x:v>
      </x:c>
      <x:c r="H924" s="53" t="n">
        <x:f>MIN(E924+F924,G924)</x:f>
        <x:v>0</x:v>
      </x:c>
      <x:c r="I924" s="53" t="n">
        <x:f>E924+F924-H924</x:f>
        <x:v>469586.1212121212</x:v>
      </x:c>
      <x:c r="J924" s="45" t="str">
        <x:f>IF(I924=0,"CLEAR","QUEUED")</x:f>
        <x:v>QUEUED</x:v>
      </x:c>
      <x:c r="K924" s="72"/>
      <x:c r="L924" s="72"/>
      <x:c r="M924" s="72"/>
      <x:c r="N924" s="72"/>
    </x:row>
    <x:row r="925">
      <x:c r="C925" s="45" t="str">
        <x:f>'Path Daily'!C925</x:f>
        <x:v>P10</x:v>
      </x:c>
      <x:c r="D925" s="45" t="n">
        <x:f>'Path Daily'!D925</x:f>
        <x:v>8</x:v>
      </x:c>
      <x:c r="E925" s="53" t="n">
        <x:f>IF(D925=0,SUMIFS('Cargo Records'!$T$7:$T$70,'Cargo Records'!$J$7:$J$70,C925),0)</x:f>
        <x:v>0</x:v>
      </x:c>
      <x:c r="F925" s="53" t="n">
        <x:f>I924</x:f>
        <x:v>469586.1212121212</x:v>
      </x:c>
      <x:c r="G925" s="53" t="n">
        <x:f>'Path Daily'!M925</x:f>
        <x:v>0</x:v>
      </x:c>
      <x:c r="H925" s="53" t="n">
        <x:f>MIN(E925+F925,G925)</x:f>
        <x:v>0</x:v>
      </x:c>
      <x:c r="I925" s="53" t="n">
        <x:f>E925+F925-H925</x:f>
        <x:v>469586.1212121212</x:v>
      </x:c>
      <x:c r="J925" s="45" t="str">
        <x:f>IF(I925=0,"CLEAR","QUEUED")</x:f>
        <x:v>QUEUED</x:v>
      </x:c>
      <x:c r="K925" s="72"/>
      <x:c r="L925" s="72"/>
      <x:c r="M925" s="72"/>
      <x:c r="N925" s="72"/>
    </x:row>
    <x:row r="926">
      <x:c r="C926" s="45" t="str">
        <x:f>'Path Daily'!C926</x:f>
        <x:v>P10</x:v>
      </x:c>
      <x:c r="D926" s="45" t="n">
        <x:f>'Path Daily'!D926</x:f>
        <x:v>9</x:v>
      </x:c>
      <x:c r="E926" s="53" t="n">
        <x:f>IF(D926=0,SUMIFS('Cargo Records'!$T$7:$T$70,'Cargo Records'!$J$7:$J$70,C926),0)</x:f>
        <x:v>0</x:v>
      </x:c>
      <x:c r="F926" s="53" t="n">
        <x:f>I925</x:f>
        <x:v>469586.1212121212</x:v>
      </x:c>
      <x:c r="G926" s="53" t="n">
        <x:f>'Path Daily'!M926</x:f>
        <x:v>0</x:v>
      </x:c>
      <x:c r="H926" s="53" t="n">
        <x:f>MIN(E926+F926,G926)</x:f>
        <x:v>0</x:v>
      </x:c>
      <x:c r="I926" s="53" t="n">
        <x:f>E926+F926-H926</x:f>
        <x:v>469586.1212121212</x:v>
      </x:c>
      <x:c r="J926" s="45" t="str">
        <x:f>IF(I926=0,"CLEAR","QUEUED")</x:f>
        <x:v>QUEUED</x:v>
      </x:c>
      <x:c r="K926" s="72"/>
      <x:c r="L926" s="72"/>
      <x:c r="M926" s="72"/>
      <x:c r="N926" s="72"/>
    </x:row>
    <x:row r="927">
      <x:c r="C927" s="45" t="str">
        <x:f>'Path Daily'!C927</x:f>
        <x:v>P10</x:v>
      </x:c>
      <x:c r="D927" s="45" t="n">
        <x:f>'Path Daily'!D927</x:f>
        <x:v>10</x:v>
      </x:c>
      <x:c r="E927" s="53" t="n">
        <x:f>IF(D927=0,SUMIFS('Cargo Records'!$T$7:$T$70,'Cargo Records'!$J$7:$J$70,C927),0)</x:f>
        <x:v>0</x:v>
      </x:c>
      <x:c r="F927" s="53" t="n">
        <x:f>I926</x:f>
        <x:v>469586.1212121212</x:v>
      </x:c>
      <x:c r="G927" s="53" t="n">
        <x:f>'Path Daily'!M927</x:f>
        <x:v>0</x:v>
      </x:c>
      <x:c r="H927" s="53" t="n">
        <x:f>MIN(E927+F927,G927)</x:f>
        <x:v>0</x:v>
      </x:c>
      <x:c r="I927" s="53" t="n">
        <x:f>E927+F927-H927</x:f>
        <x:v>469586.1212121212</x:v>
      </x:c>
      <x:c r="J927" s="45" t="str">
        <x:f>IF(I927=0,"CLEAR","QUEUED")</x:f>
        <x:v>QUEUED</x:v>
      </x:c>
      <x:c r="K927" s="72"/>
      <x:c r="L927" s="72"/>
      <x:c r="M927" s="72"/>
      <x:c r="N927" s="72"/>
    </x:row>
    <x:row r="928">
      <x:c r="C928" s="45" t="str">
        <x:f>'Path Daily'!C928</x:f>
        <x:v>P10</x:v>
      </x:c>
      <x:c r="D928" s="45" t="n">
        <x:f>'Path Daily'!D928</x:f>
        <x:v>11</x:v>
      </x:c>
      <x:c r="E928" s="53" t="n">
        <x:f>IF(D928=0,SUMIFS('Cargo Records'!$T$7:$T$70,'Cargo Records'!$J$7:$J$70,C928),0)</x:f>
        <x:v>0</x:v>
      </x:c>
      <x:c r="F928" s="53" t="n">
        <x:f>I927</x:f>
        <x:v>469586.1212121212</x:v>
      </x:c>
      <x:c r="G928" s="53" t="n">
        <x:f>'Path Daily'!M928</x:f>
        <x:v>0</x:v>
      </x:c>
      <x:c r="H928" s="53" t="n">
        <x:f>MIN(E928+F928,G928)</x:f>
        <x:v>0</x:v>
      </x:c>
      <x:c r="I928" s="53" t="n">
        <x:f>E928+F928-H928</x:f>
        <x:v>469586.1212121212</x:v>
      </x:c>
      <x:c r="J928" s="45" t="str">
        <x:f>IF(I928=0,"CLEAR","QUEUED")</x:f>
        <x:v>QUEUED</x:v>
      </x:c>
      <x:c r="K928" s="72"/>
      <x:c r="L928" s="72"/>
      <x:c r="M928" s="72"/>
      <x:c r="N928" s="72"/>
    </x:row>
    <x:row r="929">
      <x:c r="C929" s="45" t="str">
        <x:f>'Path Daily'!C929</x:f>
        <x:v>P10</x:v>
      </x:c>
      <x:c r="D929" s="45" t="n">
        <x:f>'Path Daily'!D929</x:f>
        <x:v>12</x:v>
      </x:c>
      <x:c r="E929" s="53" t="n">
        <x:f>IF(D929=0,SUMIFS('Cargo Records'!$T$7:$T$70,'Cargo Records'!$J$7:$J$70,C929),0)</x:f>
        <x:v>0</x:v>
      </x:c>
      <x:c r="F929" s="53" t="n">
        <x:f>I928</x:f>
        <x:v>469586.1212121212</x:v>
      </x:c>
      <x:c r="G929" s="53" t="n">
        <x:f>'Path Daily'!M929</x:f>
        <x:v>0</x:v>
      </x:c>
      <x:c r="H929" s="53" t="n">
        <x:f>MIN(E929+F929,G929)</x:f>
        <x:v>0</x:v>
      </x:c>
      <x:c r="I929" s="53" t="n">
        <x:f>E929+F929-H929</x:f>
        <x:v>469586.1212121212</x:v>
      </x:c>
      <x:c r="J929" s="45" t="str">
        <x:f>IF(I929=0,"CLEAR","QUEUED")</x:f>
        <x:v>QUEUED</x:v>
      </x:c>
      <x:c r="K929" s="72"/>
      <x:c r="L929" s="72"/>
      <x:c r="M929" s="72"/>
      <x:c r="N929" s="72"/>
    </x:row>
    <x:row r="930">
      <x:c r="C930" s="45" t="str">
        <x:f>'Path Daily'!C930</x:f>
        <x:v>P10</x:v>
      </x:c>
      <x:c r="D930" s="45" t="n">
        <x:f>'Path Daily'!D930</x:f>
        <x:v>13</x:v>
      </x:c>
      <x:c r="E930" s="53" t="n">
        <x:f>IF(D930=0,SUMIFS('Cargo Records'!$T$7:$T$70,'Cargo Records'!$J$7:$J$70,C930),0)</x:f>
        <x:v>0</x:v>
      </x:c>
      <x:c r="F930" s="53" t="n">
        <x:f>I929</x:f>
        <x:v>469586.1212121212</x:v>
      </x:c>
      <x:c r="G930" s="53" t="n">
        <x:f>'Path Daily'!M930</x:f>
        <x:v>0</x:v>
      </x:c>
      <x:c r="H930" s="53" t="n">
        <x:f>MIN(E930+F930,G930)</x:f>
        <x:v>0</x:v>
      </x:c>
      <x:c r="I930" s="53" t="n">
        <x:f>E930+F930-H930</x:f>
        <x:v>469586.1212121212</x:v>
      </x:c>
      <x:c r="J930" s="45" t="str">
        <x:f>IF(I930=0,"CLEAR","QUEUED")</x:f>
        <x:v>QUEUED</x:v>
      </x:c>
      <x:c r="K930" s="72"/>
      <x:c r="L930" s="72"/>
      <x:c r="M930" s="72"/>
      <x:c r="N930" s="72"/>
    </x:row>
    <x:row r="931">
      <x:c r="C931" s="45" t="str">
        <x:f>'Path Daily'!C931</x:f>
        <x:v>P10</x:v>
      </x:c>
      <x:c r="D931" s="45" t="n">
        <x:f>'Path Daily'!D931</x:f>
        <x:v>14</x:v>
      </x:c>
      <x:c r="E931" s="53" t="n">
        <x:f>IF(D931=0,SUMIFS('Cargo Records'!$T$7:$T$70,'Cargo Records'!$J$7:$J$70,C931),0)</x:f>
        <x:v>0</x:v>
      </x:c>
      <x:c r="F931" s="53" t="n">
        <x:f>I930</x:f>
        <x:v>469586.1212121212</x:v>
      </x:c>
      <x:c r="G931" s="53" t="n">
        <x:f>'Path Daily'!M931</x:f>
        <x:v>3536</x:v>
      </x:c>
      <x:c r="H931" s="53" t="n">
        <x:f>MIN(E931+F931,G931)</x:f>
        <x:v>3536</x:v>
      </x:c>
      <x:c r="I931" s="53" t="n">
        <x:f>E931+F931-H931</x:f>
        <x:v>466050.1212121212</x:v>
      </x:c>
      <x:c r="J931" s="45" t="str">
        <x:f>IF(I931=0,"CLEAR","QUEUED")</x:f>
        <x:v>QUEUED</x:v>
      </x:c>
      <x:c r="K931" s="72"/>
      <x:c r="L931" s="72"/>
      <x:c r="M931" s="72"/>
      <x:c r="N931" s="72"/>
    </x:row>
    <x:row r="932">
      <x:c r="C932" s="45" t="str">
        <x:f>'Path Daily'!C932</x:f>
        <x:v>P10</x:v>
      </x:c>
      <x:c r="D932" s="45" t="n">
        <x:f>'Path Daily'!D932</x:f>
        <x:v>15</x:v>
      </x:c>
      <x:c r="E932" s="53" t="n">
        <x:f>IF(D932=0,SUMIFS('Cargo Records'!$T$7:$T$70,'Cargo Records'!$J$7:$J$70,C932),0)</x:f>
        <x:v>0</x:v>
      </x:c>
      <x:c r="F932" s="53" t="n">
        <x:f>I931</x:f>
        <x:v>466050.1212121212</x:v>
      </x:c>
      <x:c r="G932" s="53" t="n">
        <x:f>'Path Daily'!M932</x:f>
        <x:v>2720</x:v>
      </x:c>
      <x:c r="H932" s="53" t="n">
        <x:f>MIN(E932+F932,G932)</x:f>
        <x:v>2720</x:v>
      </x:c>
      <x:c r="I932" s="53" t="n">
        <x:f>E932+F932-H932</x:f>
        <x:v>463330.1212121212</x:v>
      </x:c>
      <x:c r="J932" s="45" t="str">
        <x:f>IF(I932=0,"CLEAR","QUEUED")</x:f>
        <x:v>QUEUED</x:v>
      </x:c>
      <x:c r="K932" s="72"/>
      <x:c r="L932" s="72"/>
      <x:c r="M932" s="72"/>
      <x:c r="N932" s="72"/>
    </x:row>
    <x:row r="933">
      <x:c r="C933" s="45" t="str">
        <x:f>'Path Daily'!C933</x:f>
        <x:v>P10</x:v>
      </x:c>
      <x:c r="D933" s="45" t="n">
        <x:f>'Path Daily'!D933</x:f>
        <x:v>16</x:v>
      </x:c>
      <x:c r="E933" s="53" t="n">
        <x:f>IF(D933=0,SUMIFS('Cargo Records'!$T$7:$T$70,'Cargo Records'!$J$7:$J$70,C933),0)</x:f>
        <x:v>0</x:v>
      </x:c>
      <x:c r="F933" s="53" t="n">
        <x:f>I932</x:f>
        <x:v>463330.1212121212</x:v>
      </x:c>
      <x:c r="G933" s="53" t="n">
        <x:f>'Path Daily'!M933</x:f>
        <x:v>2720</x:v>
      </x:c>
      <x:c r="H933" s="53" t="n">
        <x:f>MIN(E933+F933,G933)</x:f>
        <x:v>2720</x:v>
      </x:c>
      <x:c r="I933" s="53" t="n">
        <x:f>E933+F933-H933</x:f>
        <x:v>460610.1212121212</x:v>
      </x:c>
      <x:c r="J933" s="45" t="str">
        <x:f>IF(I933=0,"CLEAR","QUEUED")</x:f>
        <x:v>QUEUED</x:v>
      </x:c>
      <x:c r="K933" s="72"/>
      <x:c r="L933" s="72"/>
      <x:c r="M933" s="72"/>
      <x:c r="N933" s="72"/>
    </x:row>
    <x:row r="934">
      <x:c r="C934" s="45" t="str">
        <x:f>'Path Daily'!C934</x:f>
        <x:v>P10</x:v>
      </x:c>
      <x:c r="D934" s="45" t="n">
        <x:f>'Path Daily'!D934</x:f>
        <x:v>17</x:v>
      </x:c>
      <x:c r="E934" s="53" t="n">
        <x:f>IF(D934=0,SUMIFS('Cargo Records'!$T$7:$T$70,'Cargo Records'!$J$7:$J$70,C934),0)</x:f>
        <x:v>0</x:v>
      </x:c>
      <x:c r="F934" s="53" t="n">
        <x:f>I933</x:f>
        <x:v>460610.1212121212</x:v>
      </x:c>
      <x:c r="G934" s="53" t="n">
        <x:f>'Path Daily'!M934</x:f>
        <x:v>6800</x:v>
      </x:c>
      <x:c r="H934" s="53" t="n">
        <x:f>MIN(E934+F934,G934)</x:f>
        <x:v>6800</x:v>
      </x:c>
      <x:c r="I934" s="53" t="n">
        <x:f>E934+F934-H934</x:f>
        <x:v>453810.1212121212</x:v>
      </x:c>
      <x:c r="J934" s="45" t="str">
        <x:f>IF(I934=0,"CLEAR","QUEUED")</x:f>
        <x:v>QUEUED</x:v>
      </x:c>
      <x:c r="K934" s="72"/>
      <x:c r="L934" s="72"/>
      <x:c r="M934" s="72"/>
      <x:c r="N934" s="72"/>
    </x:row>
    <x:row r="935">
      <x:c r="C935" s="45" t="str">
        <x:f>'Path Daily'!C935</x:f>
        <x:v>P10</x:v>
      </x:c>
      <x:c r="D935" s="45" t="n">
        <x:f>'Path Daily'!D935</x:f>
        <x:v>18</x:v>
      </x:c>
      <x:c r="E935" s="53" t="n">
        <x:f>IF(D935=0,SUMIFS('Cargo Records'!$T$7:$T$70,'Cargo Records'!$J$7:$J$70,C935),0)</x:f>
        <x:v>0</x:v>
      </x:c>
      <x:c r="F935" s="53" t="n">
        <x:f>I934</x:f>
        <x:v>453810.1212121212</x:v>
      </x:c>
      <x:c r="G935" s="53" t="n">
        <x:f>'Path Daily'!M935</x:f>
        <x:v>6800</x:v>
      </x:c>
      <x:c r="H935" s="53" t="n">
        <x:f>MIN(E935+F935,G935)</x:f>
        <x:v>6800</x:v>
      </x:c>
      <x:c r="I935" s="53" t="n">
        <x:f>E935+F935-H935</x:f>
        <x:v>447010.1212121212</x:v>
      </x:c>
      <x:c r="J935" s="45" t="str">
        <x:f>IF(I935=0,"CLEAR","QUEUED")</x:f>
        <x:v>QUEUED</x:v>
      </x:c>
      <x:c r="K935" s="72"/>
      <x:c r="L935" s="72"/>
      <x:c r="M935" s="72"/>
      <x:c r="N935" s="72"/>
    </x:row>
    <x:row r="936">
      <x:c r="C936" s="45" t="str">
        <x:f>'Path Daily'!C936</x:f>
        <x:v>P10</x:v>
      </x:c>
      <x:c r="D936" s="45" t="n">
        <x:f>'Path Daily'!D936</x:f>
        <x:v>19</x:v>
      </x:c>
      <x:c r="E936" s="53" t="n">
        <x:f>IF(D936=0,SUMIFS('Cargo Records'!$T$7:$T$70,'Cargo Records'!$J$7:$J$70,C936),0)</x:f>
        <x:v>0</x:v>
      </x:c>
      <x:c r="F936" s="53" t="n">
        <x:f>I935</x:f>
        <x:v>447010.1212121212</x:v>
      </x:c>
      <x:c r="G936" s="53" t="n">
        <x:f>'Path Daily'!M936</x:f>
        <x:v>6800</x:v>
      </x:c>
      <x:c r="H936" s="53" t="n">
        <x:f>MIN(E936+F936,G936)</x:f>
        <x:v>6800</x:v>
      </x:c>
      <x:c r="I936" s="53" t="n">
        <x:f>E936+F936-H936</x:f>
        <x:v>440210.1212121212</x:v>
      </x:c>
      <x:c r="J936" s="45" t="str">
        <x:f>IF(I936=0,"CLEAR","QUEUED")</x:f>
        <x:v>QUEUED</x:v>
      </x:c>
      <x:c r="K936" s="72"/>
      <x:c r="L936" s="72"/>
      <x:c r="M936" s="72"/>
      <x:c r="N936" s="72"/>
    </x:row>
    <x:row r="937">
      <x:c r="C937" s="45" t="str">
        <x:f>'Path Daily'!C937</x:f>
        <x:v>P10</x:v>
      </x:c>
      <x:c r="D937" s="45" t="n">
        <x:f>'Path Daily'!D937</x:f>
        <x:v>20</x:v>
      </x:c>
      <x:c r="E937" s="53" t="n">
        <x:f>IF(D937=0,SUMIFS('Cargo Records'!$T$7:$T$70,'Cargo Records'!$J$7:$J$70,C937),0)</x:f>
        <x:v>0</x:v>
      </x:c>
      <x:c r="F937" s="53" t="n">
        <x:f>I936</x:f>
        <x:v>440210.1212121212</x:v>
      </x:c>
      <x:c r="G937" s="53" t="n">
        <x:f>'Path Daily'!M937</x:f>
        <x:v>6800</x:v>
      </x:c>
      <x:c r="H937" s="53" t="n">
        <x:f>MIN(E937+F937,G937)</x:f>
        <x:v>6800</x:v>
      </x:c>
      <x:c r="I937" s="53" t="n">
        <x:f>E937+F937-H937</x:f>
        <x:v>433410.1212121212</x:v>
      </x:c>
      <x:c r="J937" s="45" t="str">
        <x:f>IF(I937=0,"CLEAR","QUEUED")</x:f>
        <x:v>QUEUED</x:v>
      </x:c>
      <x:c r="K937" s="72"/>
      <x:c r="L937" s="72"/>
      <x:c r="M937" s="72"/>
      <x:c r="N937" s="72"/>
    </x:row>
    <x:row r="938">
      <x:c r="C938" s="45" t="str">
        <x:f>'Path Daily'!C938</x:f>
        <x:v>P10</x:v>
      </x:c>
      <x:c r="D938" s="45" t="n">
        <x:f>'Path Daily'!D938</x:f>
        <x:v>21</x:v>
      </x:c>
      <x:c r="E938" s="53" t="n">
        <x:f>IF(D938=0,SUMIFS('Cargo Records'!$T$7:$T$70,'Cargo Records'!$J$7:$J$70,C938),0)</x:f>
        <x:v>0</x:v>
      </x:c>
      <x:c r="F938" s="53" t="n">
        <x:f>I937</x:f>
        <x:v>433410.1212121212</x:v>
      </x:c>
      <x:c r="G938" s="53" t="n">
        <x:f>'Path Daily'!M938</x:f>
        <x:v>2040</x:v>
      </x:c>
      <x:c r="H938" s="53" t="n">
        <x:f>MIN(E938+F938,G938)</x:f>
        <x:v>2040</x:v>
      </x:c>
      <x:c r="I938" s="53" t="n">
        <x:f>E938+F938-H938</x:f>
        <x:v>431370.1212121212</x:v>
      </x:c>
      <x:c r="J938" s="45" t="str">
        <x:f>IF(I938=0,"CLEAR","QUEUED")</x:f>
        <x:v>QUEUED</x:v>
      </x:c>
      <x:c r="K938" s="72"/>
      <x:c r="L938" s="72"/>
      <x:c r="M938" s="72"/>
      <x:c r="N938" s="72"/>
    </x:row>
    <x:row r="939">
      <x:c r="C939" s="45" t="str">
        <x:f>'Path Daily'!C939</x:f>
        <x:v>P10</x:v>
      </x:c>
      <x:c r="D939" s="45" t="n">
        <x:f>'Path Daily'!D939</x:f>
        <x:v>22</x:v>
      </x:c>
      <x:c r="E939" s="53" t="n">
        <x:f>IF(D939=0,SUMIFS('Cargo Records'!$T$7:$T$70,'Cargo Records'!$J$7:$J$70,C939),0)</x:f>
        <x:v>0</x:v>
      </x:c>
      <x:c r="F939" s="53" t="n">
        <x:f>I938</x:f>
        <x:v>431370.1212121212</x:v>
      </x:c>
      <x:c r="G939" s="53" t="n">
        <x:f>'Path Daily'!M939</x:f>
        <x:v>6800</x:v>
      </x:c>
      <x:c r="H939" s="53" t="n">
        <x:f>MIN(E939+F939,G939)</x:f>
        <x:v>6800</x:v>
      </x:c>
      <x:c r="I939" s="53" t="n">
        <x:f>E939+F939-H939</x:f>
        <x:v>424570.1212121212</x:v>
      </x:c>
      <x:c r="J939" s="45" t="str">
        <x:f>IF(I939=0,"CLEAR","QUEUED")</x:f>
        <x:v>QUEUED</x:v>
      </x:c>
      <x:c r="K939" s="72"/>
      <x:c r="L939" s="72"/>
      <x:c r="M939" s="72"/>
      <x:c r="N939" s="72"/>
    </x:row>
    <x:row r="940">
      <x:c r="C940" s="45" t="str">
        <x:f>'Path Daily'!C940</x:f>
        <x:v>P10</x:v>
      </x:c>
      <x:c r="D940" s="45" t="n">
        <x:f>'Path Daily'!D940</x:f>
        <x:v>23</x:v>
      </x:c>
      <x:c r="E940" s="53" t="n">
        <x:f>IF(D940=0,SUMIFS('Cargo Records'!$T$7:$T$70,'Cargo Records'!$J$7:$J$70,C940),0)</x:f>
        <x:v>0</x:v>
      </x:c>
      <x:c r="F940" s="53" t="n">
        <x:f>I939</x:f>
        <x:v>424570.1212121212</x:v>
      </x:c>
      <x:c r="G940" s="53" t="n">
        <x:f>'Path Daily'!M940</x:f>
        <x:v>6800</x:v>
      </x:c>
      <x:c r="H940" s="53" t="n">
        <x:f>MIN(E940+F940,G940)</x:f>
        <x:v>6800</x:v>
      </x:c>
      <x:c r="I940" s="53" t="n">
        <x:f>E940+F940-H940</x:f>
        <x:v>417770.1212121212</x:v>
      </x:c>
      <x:c r="J940" s="45" t="str">
        <x:f>IF(I940=0,"CLEAR","QUEUED")</x:f>
        <x:v>QUEUED</x:v>
      </x:c>
      <x:c r="K940" s="72"/>
      <x:c r="L940" s="72"/>
      <x:c r="M940" s="72"/>
      <x:c r="N940" s="72"/>
    </x:row>
    <x:row r="941">
      <x:c r="C941" s="45" t="str">
        <x:f>'Path Daily'!C941</x:f>
        <x:v>P10</x:v>
      </x:c>
      <x:c r="D941" s="45" t="n">
        <x:f>'Path Daily'!D941</x:f>
        <x:v>24</x:v>
      </x:c>
      <x:c r="E941" s="53" t="n">
        <x:f>IF(D941=0,SUMIFS('Cargo Records'!$T$7:$T$70,'Cargo Records'!$J$7:$J$70,C941),0)</x:f>
        <x:v>0</x:v>
      </x:c>
      <x:c r="F941" s="53" t="n">
        <x:f>I940</x:f>
        <x:v>417770.1212121212</x:v>
      </x:c>
      <x:c r="G941" s="53" t="n">
        <x:f>'Path Daily'!M941</x:f>
        <x:v>6800</x:v>
      </x:c>
      <x:c r="H941" s="53" t="n">
        <x:f>MIN(E941+F941,G941)</x:f>
        <x:v>6800</x:v>
      </x:c>
      <x:c r="I941" s="53" t="n">
        <x:f>E941+F941-H941</x:f>
        <x:v>410970.1212121212</x:v>
      </x:c>
      <x:c r="J941" s="45" t="str">
        <x:f>IF(I941=0,"CLEAR","QUEUED")</x:f>
        <x:v>QUEUED</x:v>
      </x:c>
      <x:c r="K941" s="72"/>
      <x:c r="L941" s="72"/>
      <x:c r="M941" s="72"/>
      <x:c r="N941" s="72"/>
    </x:row>
    <x:row r="942">
      <x:c r="C942" s="45" t="str">
        <x:f>'Path Daily'!C942</x:f>
        <x:v>P10</x:v>
      </x:c>
      <x:c r="D942" s="45" t="n">
        <x:f>'Path Daily'!D942</x:f>
        <x:v>25</x:v>
      </x:c>
      <x:c r="E942" s="53" t="n">
        <x:f>IF(D942=0,SUMIFS('Cargo Records'!$T$7:$T$70,'Cargo Records'!$J$7:$J$70,C942),0)</x:f>
        <x:v>0</x:v>
      </x:c>
      <x:c r="F942" s="53" t="n">
        <x:f>I941</x:f>
        <x:v>410970.1212121212</x:v>
      </x:c>
      <x:c r="G942" s="53" t="n">
        <x:f>'Path Daily'!M942</x:f>
        <x:v>16150</x:v>
      </x:c>
      <x:c r="H942" s="53" t="n">
        <x:f>MIN(E942+F942,G942)</x:f>
        <x:v>16150</x:v>
      </x:c>
      <x:c r="I942" s="53" t="n">
        <x:f>E942+F942-H942</x:f>
        <x:v>394820.1212121212</x:v>
      </x:c>
      <x:c r="J942" s="45" t="str">
        <x:f>IF(I942=0,"CLEAR","QUEUED")</x:f>
        <x:v>QUEUED</x:v>
      </x:c>
      <x:c r="K942" s="72"/>
      <x:c r="L942" s="72"/>
      <x:c r="M942" s="72"/>
      <x:c r="N942" s="72"/>
    </x:row>
    <x:row r="943">
      <x:c r="C943" s="45" t="str">
        <x:f>'Path Daily'!C943</x:f>
        <x:v>P10</x:v>
      </x:c>
      <x:c r="D943" s="45" t="n">
        <x:f>'Path Daily'!D943</x:f>
        <x:v>26</x:v>
      </x:c>
      <x:c r="E943" s="53" t="n">
        <x:f>IF(D943=0,SUMIFS('Cargo Records'!$T$7:$T$70,'Cargo Records'!$J$7:$J$70,C943),0)</x:f>
        <x:v>0</x:v>
      </x:c>
      <x:c r="F943" s="53" t="n">
        <x:f>I942</x:f>
        <x:v>394820.1212121212</x:v>
      </x:c>
      <x:c r="G943" s="53" t="n">
        <x:f>'Path Daily'!M943</x:f>
        <x:v>16150</x:v>
      </x:c>
      <x:c r="H943" s="53" t="n">
        <x:f>MIN(E943+F943,G943)</x:f>
        <x:v>16150</x:v>
      </x:c>
      <x:c r="I943" s="53" t="n">
        <x:f>E943+F943-H943</x:f>
        <x:v>378670.1212121212</x:v>
      </x:c>
      <x:c r="J943" s="45" t="str">
        <x:f>IF(I943=0,"CLEAR","QUEUED")</x:f>
        <x:v>QUEUED</x:v>
      </x:c>
      <x:c r="K943" s="72"/>
      <x:c r="L943" s="72"/>
      <x:c r="M943" s="72"/>
      <x:c r="N943" s="72"/>
    </x:row>
    <x:row r="944">
      <x:c r="C944" s="45" t="str">
        <x:f>'Path Daily'!C944</x:f>
        <x:v>P10</x:v>
      </x:c>
      <x:c r="D944" s="45" t="n">
        <x:f>'Path Daily'!D944</x:f>
        <x:v>27</x:v>
      </x:c>
      <x:c r="E944" s="53" t="n">
        <x:f>IF(D944=0,SUMIFS('Cargo Records'!$T$7:$T$70,'Cargo Records'!$J$7:$J$70,C944),0)</x:f>
        <x:v>0</x:v>
      </x:c>
      <x:c r="F944" s="53" t="n">
        <x:f>I943</x:f>
        <x:v>378670.1212121212</x:v>
      </x:c>
      <x:c r="G944" s="53" t="n">
        <x:f>'Path Daily'!M944</x:f>
        <x:v>16150</x:v>
      </x:c>
      <x:c r="H944" s="53" t="n">
        <x:f>MIN(E944+F944,G944)</x:f>
        <x:v>16150</x:v>
      </x:c>
      <x:c r="I944" s="53" t="n">
        <x:f>E944+F944-H944</x:f>
        <x:v>362520.1212121212</x:v>
      </x:c>
      <x:c r="J944" s="45" t="str">
        <x:f>IF(I944=0,"CLEAR","QUEUED")</x:f>
        <x:v>QUEUED</x:v>
      </x:c>
      <x:c r="K944" s="72"/>
      <x:c r="L944" s="72"/>
      <x:c r="M944" s="72"/>
      <x:c r="N944" s="72"/>
    </x:row>
    <x:row r="945">
      <x:c r="C945" s="45" t="str">
        <x:f>'Path Daily'!C945</x:f>
        <x:v>P10</x:v>
      </x:c>
      <x:c r="D945" s="45" t="n">
        <x:f>'Path Daily'!D945</x:f>
        <x:v>28</x:v>
      </x:c>
      <x:c r="E945" s="53" t="n">
        <x:f>IF(D945=0,SUMIFS('Cargo Records'!$T$7:$T$70,'Cargo Records'!$J$7:$J$70,C945),0)</x:f>
        <x:v>0</x:v>
      </x:c>
      <x:c r="F945" s="53" t="n">
        <x:f>I944</x:f>
        <x:v>362520.1212121212</x:v>
      </x:c>
      <x:c r="G945" s="53" t="n">
        <x:f>'Path Daily'!M945</x:f>
        <x:v>16150</x:v>
      </x:c>
      <x:c r="H945" s="53" t="n">
        <x:f>MIN(E945+F945,G945)</x:f>
        <x:v>16150</x:v>
      </x:c>
      <x:c r="I945" s="53" t="n">
        <x:f>E945+F945-H945</x:f>
        <x:v>346370.1212121212</x:v>
      </x:c>
      <x:c r="J945" s="45" t="str">
        <x:f>IF(I945=0,"CLEAR","QUEUED")</x:f>
        <x:v>QUEUED</x:v>
      </x:c>
      <x:c r="K945" s="72"/>
      <x:c r="L945" s="72"/>
      <x:c r="M945" s="72"/>
      <x:c r="N945" s="72"/>
    </x:row>
    <x:row r="946">
      <x:c r="C946" s="45" t="str">
        <x:f>'Path Daily'!C946</x:f>
        <x:v>P10</x:v>
      </x:c>
      <x:c r="D946" s="45" t="n">
        <x:f>'Path Daily'!D946</x:f>
        <x:v>29</x:v>
      </x:c>
      <x:c r="E946" s="53" t="n">
        <x:f>IF(D946=0,SUMIFS('Cargo Records'!$T$7:$T$70,'Cargo Records'!$J$7:$J$70,C946),0)</x:f>
        <x:v>0</x:v>
      </x:c>
      <x:c r="F946" s="53" t="n">
        <x:f>I945</x:f>
        <x:v>346370.1212121212</x:v>
      </x:c>
      <x:c r="G946" s="53" t="n">
        <x:f>'Path Daily'!M946</x:f>
        <x:v>16150</x:v>
      </x:c>
      <x:c r="H946" s="53" t="n">
        <x:f>MIN(E946+F946,G946)</x:f>
        <x:v>16150</x:v>
      </x:c>
      <x:c r="I946" s="53" t="n">
        <x:f>E946+F946-H946</x:f>
        <x:v>330220.1212121212</x:v>
      </x:c>
      <x:c r="J946" s="45" t="str">
        <x:f>IF(I946=0,"CLEAR","QUEUED")</x:f>
        <x:v>QUEUED</x:v>
      </x:c>
      <x:c r="K946" s="72"/>
      <x:c r="L946" s="72"/>
      <x:c r="M946" s="72"/>
      <x:c r="N946" s="72"/>
    </x:row>
    <x:row r="947">
      <x:c r="C947" s="45" t="str">
        <x:f>'Path Daily'!C947</x:f>
        <x:v>P10</x:v>
      </x:c>
      <x:c r="D947" s="45" t="n">
        <x:f>'Path Daily'!D947</x:f>
        <x:v>30</x:v>
      </x:c>
      <x:c r="E947" s="53" t="n">
        <x:f>IF(D947=0,SUMIFS('Cargo Records'!$T$7:$T$70,'Cargo Records'!$J$7:$J$70,C947),0)</x:f>
        <x:v>0</x:v>
      </x:c>
      <x:c r="F947" s="53" t="n">
        <x:f>I946</x:f>
        <x:v>330220.1212121212</x:v>
      </x:c>
      <x:c r="G947" s="53" t="n">
        <x:f>'Path Daily'!M947</x:f>
        <x:v>16150</x:v>
      </x:c>
      <x:c r="H947" s="53" t="n">
        <x:f>MIN(E947+F947,G947)</x:f>
        <x:v>16150</x:v>
      </x:c>
      <x:c r="I947" s="53" t="n">
        <x:f>E947+F947-H947</x:f>
        <x:v>314070.1212121212</x:v>
      </x:c>
      <x:c r="J947" s="45" t="str">
        <x:f>IF(I947=0,"CLEAR","QUEUED")</x:f>
        <x:v>QUEUED</x:v>
      </x:c>
      <x:c r="K947" s="72"/>
      <x:c r="L947" s="72"/>
      <x:c r="M947" s="72"/>
      <x:c r="N947" s="72"/>
    </x:row>
    <x:row r="948">
      <x:c r="C948" s="45" t="str">
        <x:f>'Path Daily'!C948</x:f>
        <x:v>P10</x:v>
      </x:c>
      <x:c r="D948" s="45" t="n">
        <x:f>'Path Daily'!D948</x:f>
        <x:v>31</x:v>
      </x:c>
      <x:c r="E948" s="53" t="n">
        <x:f>IF(D948=0,SUMIFS('Cargo Records'!$T$7:$T$70,'Cargo Records'!$J$7:$J$70,C948),0)</x:f>
        <x:v>0</x:v>
      </x:c>
      <x:c r="F948" s="53" t="n">
        <x:f>I947</x:f>
        <x:v>314070.1212121212</x:v>
      </x:c>
      <x:c r="G948" s="53" t="n">
        <x:f>'Path Daily'!M948</x:f>
        <x:v>16150</x:v>
      </x:c>
      <x:c r="H948" s="53" t="n">
        <x:f>MIN(E948+F948,G948)</x:f>
        <x:v>16150</x:v>
      </x:c>
      <x:c r="I948" s="53" t="n">
        <x:f>E948+F948-H948</x:f>
        <x:v>297920.1212121212</x:v>
      </x:c>
      <x:c r="J948" s="45" t="str">
        <x:f>IF(I948=0,"CLEAR","QUEUED")</x:f>
        <x:v>QUEUED</x:v>
      </x:c>
      <x:c r="K948" s="72"/>
      <x:c r="L948" s="72"/>
      <x:c r="M948" s="72"/>
      <x:c r="N948" s="72"/>
    </x:row>
    <x:row r="949">
      <x:c r="C949" s="45" t="str">
        <x:f>'Path Daily'!C949</x:f>
        <x:v>P10</x:v>
      </x:c>
      <x:c r="D949" s="45" t="n">
        <x:f>'Path Daily'!D949</x:f>
        <x:v>32</x:v>
      </x:c>
      <x:c r="E949" s="53" t="n">
        <x:f>IF(D949=0,SUMIFS('Cargo Records'!$T$7:$T$70,'Cargo Records'!$J$7:$J$70,C949),0)</x:f>
        <x:v>0</x:v>
      </x:c>
      <x:c r="F949" s="53" t="n">
        <x:f>I948</x:f>
        <x:v>297920.1212121212</x:v>
      </x:c>
      <x:c r="G949" s="53" t="n">
        <x:f>'Path Daily'!M949</x:f>
        <x:v>16150</x:v>
      </x:c>
      <x:c r="H949" s="53" t="n">
        <x:f>MIN(E949+F949,G949)</x:f>
        <x:v>16150</x:v>
      </x:c>
      <x:c r="I949" s="53" t="n">
        <x:f>E949+F949-H949</x:f>
        <x:v>281770.1212121212</x:v>
      </x:c>
      <x:c r="J949" s="45" t="str">
        <x:f>IF(I949=0,"CLEAR","QUEUED")</x:f>
        <x:v>QUEUED</x:v>
      </x:c>
      <x:c r="K949" s="72"/>
      <x:c r="L949" s="72"/>
      <x:c r="M949" s="72"/>
      <x:c r="N949" s="72"/>
    </x:row>
    <x:row r="950">
      <x:c r="C950" s="45" t="str">
        <x:f>'Path Daily'!C950</x:f>
        <x:v>P10</x:v>
      </x:c>
      <x:c r="D950" s="45" t="n">
        <x:f>'Path Daily'!D950</x:f>
        <x:v>33</x:v>
      </x:c>
      <x:c r="E950" s="53" t="n">
        <x:f>IF(D950=0,SUMIFS('Cargo Records'!$T$7:$T$70,'Cargo Records'!$J$7:$J$70,C950),0)</x:f>
        <x:v>0</x:v>
      </x:c>
      <x:c r="F950" s="53" t="n">
        <x:f>I949</x:f>
        <x:v>281770.1212121212</x:v>
      </x:c>
      <x:c r="G950" s="53" t="n">
        <x:f>'Path Daily'!M950</x:f>
        <x:v>16150</x:v>
      </x:c>
      <x:c r="H950" s="53" t="n">
        <x:f>MIN(E950+F950,G950)</x:f>
        <x:v>16150</x:v>
      </x:c>
      <x:c r="I950" s="53" t="n">
        <x:f>E950+F950-H950</x:f>
        <x:v>265620.1212121212</x:v>
      </x:c>
      <x:c r="J950" s="45" t="str">
        <x:f>IF(I950=0,"CLEAR","QUEUED")</x:f>
        <x:v>QUEUED</x:v>
      </x:c>
      <x:c r="K950" s="72"/>
      <x:c r="L950" s="72"/>
      <x:c r="M950" s="72"/>
      <x:c r="N950" s="72"/>
    </x:row>
    <x:row r="951">
      <x:c r="C951" s="45" t="str">
        <x:f>'Path Daily'!C951</x:f>
        <x:v>P10</x:v>
      </x:c>
      <x:c r="D951" s="45" t="n">
        <x:f>'Path Daily'!D951</x:f>
        <x:v>34</x:v>
      </x:c>
      <x:c r="E951" s="53" t="n">
        <x:f>IF(D951=0,SUMIFS('Cargo Records'!$T$7:$T$70,'Cargo Records'!$J$7:$J$70,C951),0)</x:f>
        <x:v>0</x:v>
      </x:c>
      <x:c r="F951" s="53" t="n">
        <x:f>I950</x:f>
        <x:v>265620.1212121212</x:v>
      </x:c>
      <x:c r="G951" s="53" t="n">
        <x:f>'Path Daily'!M951</x:f>
        <x:v>6460</x:v>
      </x:c>
      <x:c r="H951" s="53" t="n">
        <x:f>MIN(E951+F951,G951)</x:f>
        <x:v>6460</x:v>
      </x:c>
      <x:c r="I951" s="53" t="n">
        <x:f>E951+F951-H951</x:f>
        <x:v>259160.12121212122</x:v>
      </x:c>
      <x:c r="J951" s="45" t="str">
        <x:f>IF(I951=0,"CLEAR","QUEUED")</x:f>
        <x:v>QUEUED</x:v>
      </x:c>
      <x:c r="K951" s="72"/>
      <x:c r="L951" s="72"/>
      <x:c r="M951" s="72"/>
      <x:c r="N951" s="72"/>
    </x:row>
    <x:row r="952">
      <x:c r="C952" s="45" t="str">
        <x:f>'Path Daily'!C952</x:f>
        <x:v>P10</x:v>
      </x:c>
      <x:c r="D952" s="45" t="n">
        <x:f>'Path Daily'!D952</x:f>
        <x:v>35</x:v>
      </x:c>
      <x:c r="E952" s="53" t="n">
        <x:f>IF(D952=0,SUMIFS('Cargo Records'!$T$7:$T$70,'Cargo Records'!$J$7:$J$70,C952),0)</x:f>
        <x:v>0</x:v>
      </x:c>
      <x:c r="F952" s="53" t="n">
        <x:f>I951</x:f>
        <x:v>259160.12121212122</x:v>
      </x:c>
      <x:c r="G952" s="53" t="n">
        <x:f>'Path Daily'!M952</x:f>
        <x:v>6460</x:v>
      </x:c>
      <x:c r="H952" s="53" t="n">
        <x:f>MIN(E952+F952,G952)</x:f>
        <x:v>6460</x:v>
      </x:c>
      <x:c r="I952" s="53" t="n">
        <x:f>E952+F952-H952</x:f>
        <x:v>252700.12121212122</x:v>
      </x:c>
      <x:c r="J952" s="45" t="str">
        <x:f>IF(I952=0,"CLEAR","QUEUED")</x:f>
        <x:v>QUEUED</x:v>
      </x:c>
      <x:c r="K952" s="72"/>
      <x:c r="L952" s="72"/>
      <x:c r="M952" s="72"/>
      <x:c r="N952" s="72"/>
    </x:row>
    <x:row r="953">
      <x:c r="C953" s="45" t="str">
        <x:f>'Path Daily'!C953</x:f>
        <x:v>P10</x:v>
      </x:c>
      <x:c r="D953" s="45" t="n">
        <x:f>'Path Daily'!D953</x:f>
        <x:v>36</x:v>
      </x:c>
      <x:c r="E953" s="53" t="n">
        <x:f>IF(D953=0,SUMIFS('Cargo Records'!$T$7:$T$70,'Cargo Records'!$J$7:$J$70,C953),0)</x:f>
        <x:v>0</x:v>
      </x:c>
      <x:c r="F953" s="53" t="n">
        <x:f>I952</x:f>
        <x:v>252700.12121212122</x:v>
      </x:c>
      <x:c r="G953" s="53" t="n">
        <x:f>'Path Daily'!M953</x:f>
        <x:v>16150</x:v>
      </x:c>
      <x:c r="H953" s="53" t="n">
        <x:f>MIN(E953+F953,G953)</x:f>
        <x:v>16150</x:v>
      </x:c>
      <x:c r="I953" s="53" t="n">
        <x:f>E953+F953-H953</x:f>
        <x:v>236550.12121212122</x:v>
      </x:c>
      <x:c r="J953" s="45" t="str">
        <x:f>IF(I953=0,"CLEAR","QUEUED")</x:f>
        <x:v>QUEUED</x:v>
      </x:c>
      <x:c r="K953" s="72"/>
      <x:c r="L953" s="72"/>
      <x:c r="M953" s="72"/>
      <x:c r="N953" s="72"/>
    </x:row>
    <x:row r="954">
      <x:c r="C954" s="45" t="str">
        <x:f>'Path Daily'!C954</x:f>
        <x:v>P10</x:v>
      </x:c>
      <x:c r="D954" s="45" t="n">
        <x:f>'Path Daily'!D954</x:f>
        <x:v>37</x:v>
      </x:c>
      <x:c r="E954" s="53" t="n">
        <x:f>IF(D954=0,SUMIFS('Cargo Records'!$T$7:$T$70,'Cargo Records'!$J$7:$J$70,C954),0)</x:f>
        <x:v>0</x:v>
      </x:c>
      <x:c r="F954" s="53" t="n">
        <x:f>I953</x:f>
        <x:v>236550.12121212122</x:v>
      </x:c>
      <x:c r="G954" s="53" t="n">
        <x:f>'Path Daily'!M954</x:f>
        <x:v>16150</x:v>
      </x:c>
      <x:c r="H954" s="53" t="n">
        <x:f>MIN(E954+F954,G954)</x:f>
        <x:v>16150</x:v>
      </x:c>
      <x:c r="I954" s="53" t="n">
        <x:f>E954+F954-H954</x:f>
        <x:v>220400.12121212122</x:v>
      </x:c>
      <x:c r="J954" s="45" t="str">
        <x:f>IF(I954=0,"CLEAR","QUEUED")</x:f>
        <x:v>QUEUED</x:v>
      </x:c>
      <x:c r="K954" s="72"/>
      <x:c r="L954" s="72"/>
      <x:c r="M954" s="72"/>
      <x:c r="N954" s="72"/>
    </x:row>
    <x:row r="955">
      <x:c r="C955" s="45" t="str">
        <x:f>'Path Daily'!C955</x:f>
        <x:v>P10</x:v>
      </x:c>
      <x:c r="D955" s="45" t="n">
        <x:f>'Path Daily'!D955</x:f>
        <x:v>38</x:v>
      </x:c>
      <x:c r="E955" s="53" t="n">
        <x:f>IF(D955=0,SUMIFS('Cargo Records'!$T$7:$T$70,'Cargo Records'!$J$7:$J$70,C955),0)</x:f>
        <x:v>0</x:v>
      </x:c>
      <x:c r="F955" s="53" t="n">
        <x:f>I954</x:f>
        <x:v>220400.12121212122</x:v>
      </x:c>
      <x:c r="G955" s="53" t="n">
        <x:f>'Path Daily'!M955</x:f>
        <x:v>16150</x:v>
      </x:c>
      <x:c r="H955" s="53" t="n">
        <x:f>MIN(E955+F955,G955)</x:f>
        <x:v>16150</x:v>
      </x:c>
      <x:c r="I955" s="53" t="n">
        <x:f>E955+F955-H955</x:f>
        <x:v>204250.12121212122</x:v>
      </x:c>
      <x:c r="J955" s="45" t="str">
        <x:f>IF(I955=0,"CLEAR","QUEUED")</x:f>
        <x:v>QUEUED</x:v>
      </x:c>
      <x:c r="K955" s="72"/>
      <x:c r="L955" s="72"/>
      <x:c r="M955" s="72"/>
      <x:c r="N955" s="72"/>
    </x:row>
    <x:row r="956">
      <x:c r="C956" s="45" t="str">
        <x:f>'Path Daily'!C956</x:f>
        <x:v>P10</x:v>
      </x:c>
      <x:c r="D956" s="45" t="n">
        <x:f>'Path Daily'!D956</x:f>
        <x:v>39</x:v>
      </x:c>
      <x:c r="E956" s="53" t="n">
        <x:f>IF(D956=0,SUMIFS('Cargo Records'!$T$7:$T$70,'Cargo Records'!$J$7:$J$70,C956),0)</x:f>
        <x:v>0</x:v>
      </x:c>
      <x:c r="F956" s="53" t="n">
        <x:f>I955</x:f>
        <x:v>204250.12121212122</x:v>
      </x:c>
      <x:c r="G956" s="53" t="n">
        <x:f>'Path Daily'!M956</x:f>
        <x:v>16150</x:v>
      </x:c>
      <x:c r="H956" s="53" t="n">
        <x:f>MIN(E956+F956,G956)</x:f>
        <x:v>16150</x:v>
      </x:c>
      <x:c r="I956" s="53" t="n">
        <x:f>E956+F956-H956</x:f>
        <x:v>188100.12121212122</x:v>
      </x:c>
      <x:c r="J956" s="45" t="str">
        <x:f>IF(I956=0,"CLEAR","QUEUED")</x:f>
        <x:v>QUEUED</x:v>
      </x:c>
      <x:c r="K956" s="72"/>
      <x:c r="L956" s="72"/>
      <x:c r="M956" s="72"/>
      <x:c r="N956" s="72"/>
    </x:row>
    <x:row r="957">
      <x:c r="C957" s="45" t="str">
        <x:f>'Path Daily'!C957</x:f>
        <x:v>P10</x:v>
      </x:c>
      <x:c r="D957" s="45" t="n">
        <x:f>'Path Daily'!D957</x:f>
        <x:v>40</x:v>
      </x:c>
      <x:c r="E957" s="53" t="n">
        <x:f>IF(D957=0,SUMIFS('Cargo Records'!$T$7:$T$70,'Cargo Records'!$J$7:$J$70,C957),0)</x:f>
        <x:v>0</x:v>
      </x:c>
      <x:c r="F957" s="53" t="n">
        <x:f>I956</x:f>
        <x:v>188100.12121212122</x:v>
      </x:c>
      <x:c r="G957" s="53" t="n">
        <x:f>'Path Daily'!M957</x:f>
        <x:v>16150</x:v>
      </x:c>
      <x:c r="H957" s="53" t="n">
        <x:f>MIN(E957+F957,G957)</x:f>
        <x:v>16150</x:v>
      </x:c>
      <x:c r="I957" s="53" t="n">
        <x:f>E957+F957-H957</x:f>
        <x:v>171950.12121212122</x:v>
      </x:c>
      <x:c r="J957" s="45" t="str">
        <x:f>IF(I957=0,"CLEAR","QUEUED")</x:f>
        <x:v>QUEUED</x:v>
      </x:c>
      <x:c r="K957" s="72"/>
      <x:c r="L957" s="72"/>
      <x:c r="M957" s="72"/>
      <x:c r="N957" s="72"/>
    </x:row>
    <x:row r="958">
      <x:c r="C958" s="45" t="str">
        <x:f>'Path Daily'!C958</x:f>
        <x:v>P10</x:v>
      </x:c>
      <x:c r="D958" s="45" t="n">
        <x:f>'Path Daily'!D958</x:f>
        <x:v>41</x:v>
      </x:c>
      <x:c r="E958" s="53" t="n">
        <x:f>IF(D958=0,SUMIFS('Cargo Records'!$T$7:$T$70,'Cargo Records'!$J$7:$J$70,C958),0)</x:f>
        <x:v>0</x:v>
      </x:c>
      <x:c r="F958" s="53" t="n">
        <x:f>I957</x:f>
        <x:v>171950.12121212122</x:v>
      </x:c>
      <x:c r="G958" s="53" t="n">
        <x:f>'Path Daily'!M958</x:f>
        <x:v>16150</x:v>
      </x:c>
      <x:c r="H958" s="53" t="n">
        <x:f>MIN(E958+F958,G958)</x:f>
        <x:v>16150</x:v>
      </x:c>
      <x:c r="I958" s="53" t="n">
        <x:f>E958+F958-H958</x:f>
        <x:v>155800.12121212122</x:v>
      </x:c>
      <x:c r="J958" s="45" t="str">
        <x:f>IF(I958=0,"CLEAR","QUEUED")</x:f>
        <x:v>QUEUED</x:v>
      </x:c>
      <x:c r="K958" s="72"/>
      <x:c r="L958" s="72"/>
      <x:c r="M958" s="72"/>
      <x:c r="N958" s="72"/>
    </x:row>
    <x:row r="959">
      <x:c r="C959" s="45" t="str">
        <x:f>'Path Daily'!C959</x:f>
        <x:v>P10</x:v>
      </x:c>
      <x:c r="D959" s="45" t="n">
        <x:f>'Path Daily'!D959</x:f>
        <x:v>42</x:v>
      </x:c>
      <x:c r="E959" s="53" t="n">
        <x:f>IF(D959=0,SUMIFS('Cargo Records'!$T$7:$T$70,'Cargo Records'!$J$7:$J$70,C959),0)</x:f>
        <x:v>0</x:v>
      </x:c>
      <x:c r="F959" s="53" t="n">
        <x:f>I958</x:f>
        <x:v>155800.12121212122</x:v>
      </x:c>
      <x:c r="G959" s="53" t="n">
        <x:f>'Path Daily'!M959</x:f>
        <x:v>16150</x:v>
      </x:c>
      <x:c r="H959" s="53" t="n">
        <x:f>MIN(E959+F959,G959)</x:f>
        <x:v>16150</x:v>
      </x:c>
      <x:c r="I959" s="53" t="n">
        <x:f>E959+F959-H959</x:f>
        <x:v>139650.12121212122</x:v>
      </x:c>
      <x:c r="J959" s="45" t="str">
        <x:f>IF(I959=0,"CLEAR","QUEUED")</x:f>
        <x:v>QUEUED</x:v>
      </x:c>
      <x:c r="K959" s="72"/>
      <x:c r="L959" s="72"/>
      <x:c r="M959" s="72"/>
      <x:c r="N959" s="72"/>
    </x:row>
    <x:row r="960">
      <x:c r="C960" s="45" t="str">
        <x:f>'Path Daily'!C960</x:f>
        <x:v>P10</x:v>
      </x:c>
      <x:c r="D960" s="45" t="n">
        <x:f>'Path Daily'!D960</x:f>
        <x:v>43</x:v>
      </x:c>
      <x:c r="E960" s="53" t="n">
        <x:f>IF(D960=0,SUMIFS('Cargo Records'!$T$7:$T$70,'Cargo Records'!$J$7:$J$70,C960),0)</x:f>
        <x:v>0</x:v>
      </x:c>
      <x:c r="F960" s="53" t="n">
        <x:f>I959</x:f>
        <x:v>139650.12121212122</x:v>
      </x:c>
      <x:c r="G960" s="53" t="n">
        <x:f>'Path Daily'!M960</x:f>
        <x:v>16150</x:v>
      </x:c>
      <x:c r="H960" s="53" t="n">
        <x:f>MIN(E960+F960,G960)</x:f>
        <x:v>16150</x:v>
      </x:c>
      <x:c r="I960" s="53" t="n">
        <x:f>E960+F960-H960</x:f>
        <x:v>123500.12121212122</x:v>
      </x:c>
      <x:c r="J960" s="45" t="str">
        <x:f>IF(I960=0,"CLEAR","QUEUED")</x:f>
        <x:v>QUEUED</x:v>
      </x:c>
      <x:c r="K960" s="72"/>
      <x:c r="L960" s="72"/>
      <x:c r="M960" s="72"/>
      <x:c r="N960" s="72"/>
    </x:row>
    <x:row r="961">
      <x:c r="C961" s="45" t="str">
        <x:f>'Path Daily'!C961</x:f>
        <x:v>P10</x:v>
      </x:c>
      <x:c r="D961" s="45" t="n">
        <x:f>'Path Daily'!D961</x:f>
        <x:v>44</x:v>
      </x:c>
      <x:c r="E961" s="53" t="n">
        <x:f>IF(D961=0,SUMIFS('Cargo Records'!$T$7:$T$70,'Cargo Records'!$J$7:$J$70,C961),0)</x:f>
        <x:v>0</x:v>
      </x:c>
      <x:c r="F961" s="53" t="n">
        <x:f>I960</x:f>
        <x:v>123500.12121212122</x:v>
      </x:c>
      <x:c r="G961" s="53" t="n">
        <x:f>'Path Daily'!M961</x:f>
        <x:v>16150</x:v>
      </x:c>
      <x:c r="H961" s="53" t="n">
        <x:f>MIN(E961+F961,G961)</x:f>
        <x:v>16150</x:v>
      </x:c>
      <x:c r="I961" s="53" t="n">
        <x:f>E961+F961-H961</x:f>
        <x:v>107350.12121212122</x:v>
      </x:c>
      <x:c r="J961" s="45" t="str">
        <x:f>IF(I961=0,"CLEAR","QUEUED")</x:f>
        <x:v>QUEUED</x:v>
      </x:c>
      <x:c r="K961" s="72"/>
      <x:c r="L961" s="72"/>
      <x:c r="M961" s="72"/>
      <x:c r="N961" s="72"/>
    </x:row>
    <x:row r="962">
      <x:c r="C962" s="45" t="str">
        <x:f>'Path Daily'!C962</x:f>
        <x:v>P10</x:v>
      </x:c>
      <x:c r="D962" s="45" t="n">
        <x:f>'Path Daily'!D962</x:f>
        <x:v>45</x:v>
      </x:c>
      <x:c r="E962" s="53" t="n">
        <x:f>IF(D962=0,SUMIFS('Cargo Records'!$T$7:$T$70,'Cargo Records'!$J$7:$J$70,C962),0)</x:f>
        <x:v>0</x:v>
      </x:c>
      <x:c r="F962" s="53" t="n">
        <x:f>I961</x:f>
        <x:v>107350.12121212122</x:v>
      </x:c>
      <x:c r="G962" s="53" t="n">
        <x:f>'Path Daily'!M962</x:f>
        <x:v>16150</x:v>
      </x:c>
      <x:c r="H962" s="53" t="n">
        <x:f>MIN(E962+F962,G962)</x:f>
        <x:v>16150</x:v>
      </x:c>
      <x:c r="I962" s="53" t="n">
        <x:f>E962+F962-H962</x:f>
        <x:v>91200.12121212122</x:v>
      </x:c>
      <x:c r="J962" s="45" t="str">
        <x:f>IF(I962=0,"CLEAR","QUEUED")</x:f>
        <x:v>QUEUED</x:v>
      </x:c>
      <x:c r="K962" s="72"/>
      <x:c r="L962" s="72"/>
      <x:c r="M962" s="72"/>
      <x:c r="N962" s="72"/>
    </x:row>
    <x:row r="963">
      <x:c r="C963" s="45" t="str">
        <x:f>'Path Daily'!C963</x:f>
        <x:v>P10</x:v>
      </x:c>
      <x:c r="D963" s="45" t="n">
        <x:f>'Path Daily'!D963</x:f>
        <x:v>46</x:v>
      </x:c>
      <x:c r="E963" s="53" t="n">
        <x:f>IF(D963=0,SUMIFS('Cargo Records'!$T$7:$T$70,'Cargo Records'!$J$7:$J$70,C963),0)</x:f>
        <x:v>0</x:v>
      </x:c>
      <x:c r="F963" s="53" t="n">
        <x:f>I962</x:f>
        <x:v>91200.12121212122</x:v>
      </x:c>
      <x:c r="G963" s="53" t="n">
        <x:f>'Path Daily'!M963</x:f>
        <x:v>2907</x:v>
      </x:c>
      <x:c r="H963" s="53" t="n">
        <x:f>MIN(E963+F963,G963)</x:f>
        <x:v>2907</x:v>
      </x:c>
      <x:c r="I963" s="53" t="n">
        <x:f>E963+F963-H963</x:f>
        <x:v>88293.12121212122</x:v>
      </x:c>
      <x:c r="J963" s="45" t="str">
        <x:f>IF(I963=0,"CLEAR","QUEUED")</x:f>
        <x:v>QUEUED</x:v>
      </x:c>
      <x:c r="K963" s="72"/>
      <x:c r="L963" s="72"/>
      <x:c r="M963" s="72"/>
      <x:c r="N963" s="72"/>
    </x:row>
    <x:row r="964">
      <x:c r="C964" s="45" t="str">
        <x:f>'Path Daily'!C964</x:f>
        <x:v>P10</x:v>
      </x:c>
      <x:c r="D964" s="45" t="n">
        <x:f>'Path Daily'!D964</x:f>
        <x:v>47</x:v>
      </x:c>
      <x:c r="E964" s="53" t="n">
        <x:f>IF(D964=0,SUMIFS('Cargo Records'!$T$7:$T$70,'Cargo Records'!$J$7:$J$70,C964),0)</x:f>
        <x:v>0</x:v>
      </x:c>
      <x:c r="F964" s="53" t="n">
        <x:f>I963</x:f>
        <x:v>88293.12121212122</x:v>
      </x:c>
      <x:c r="G964" s="53" t="n">
        <x:f>'Path Daily'!M964</x:f>
        <x:v>9690</x:v>
      </x:c>
      <x:c r="H964" s="53" t="n">
        <x:f>MIN(E964+F964,G964)</x:f>
        <x:v>9690</x:v>
      </x:c>
      <x:c r="I964" s="53" t="n">
        <x:f>E964+F964-H964</x:f>
        <x:v>78603.12121212122</x:v>
      </x:c>
      <x:c r="J964" s="45" t="str">
        <x:f>IF(I964=0,"CLEAR","QUEUED")</x:f>
        <x:v>QUEUED</x:v>
      </x:c>
      <x:c r="K964" s="72"/>
      <x:c r="L964" s="72"/>
      <x:c r="M964" s="72"/>
      <x:c r="N964" s="72"/>
    </x:row>
    <x:row r="965">
      <x:c r="C965" s="45" t="str">
        <x:f>'Path Daily'!C965</x:f>
        <x:v>P10</x:v>
      </x:c>
      <x:c r="D965" s="45" t="n">
        <x:f>'Path Daily'!D965</x:f>
        <x:v>48</x:v>
      </x:c>
      <x:c r="E965" s="53" t="n">
        <x:f>IF(D965=0,SUMIFS('Cargo Records'!$T$7:$T$70,'Cargo Records'!$J$7:$J$70,C965),0)</x:f>
        <x:v>0</x:v>
      </x:c>
      <x:c r="F965" s="53" t="n">
        <x:f>I964</x:f>
        <x:v>78603.12121212122</x:v>
      </x:c>
      <x:c r="G965" s="53" t="n">
        <x:f>'Path Daily'!M965</x:f>
        <x:v>9690</x:v>
      </x:c>
      <x:c r="H965" s="53" t="n">
        <x:f>MIN(E965+F965,G965)</x:f>
        <x:v>9690</x:v>
      </x:c>
      <x:c r="I965" s="53" t="n">
        <x:f>E965+F965-H965</x:f>
        <x:v>68913.12121212122</x:v>
      </x:c>
      <x:c r="J965" s="45" t="str">
        <x:f>IF(I965=0,"CLEAR","QUEUED")</x:f>
        <x:v>QUEUED</x:v>
      </x:c>
      <x:c r="K965" s="72"/>
      <x:c r="L965" s="72"/>
      <x:c r="M965" s="72"/>
      <x:c r="N965" s="72"/>
    </x:row>
    <x:row r="966">
      <x:c r="C966" s="45" t="str">
        <x:f>'Path Daily'!C966</x:f>
        <x:v>P10</x:v>
      </x:c>
      <x:c r="D966" s="45" t="n">
        <x:f>'Path Daily'!D966</x:f>
        <x:v>49</x:v>
      </x:c>
      <x:c r="E966" s="53" t="n">
        <x:f>IF(D966=0,SUMIFS('Cargo Records'!$T$7:$T$70,'Cargo Records'!$J$7:$J$70,C966),0)</x:f>
        <x:v>0</x:v>
      </x:c>
      <x:c r="F966" s="53" t="n">
        <x:f>I965</x:f>
        <x:v>68913.12121212122</x:v>
      </x:c>
      <x:c r="G966" s="53" t="n">
        <x:f>'Path Daily'!M966</x:f>
        <x:v>9690</x:v>
      </x:c>
      <x:c r="H966" s="53" t="n">
        <x:f>MIN(E966+F966,G966)</x:f>
        <x:v>9690</x:v>
      </x:c>
      <x:c r="I966" s="53" t="n">
        <x:f>E966+F966-H966</x:f>
        <x:v>59223.121212121216</x:v>
      </x:c>
      <x:c r="J966" s="45" t="str">
        <x:f>IF(I966=0,"CLEAR","QUEUED")</x:f>
        <x:v>QUEUED</x:v>
      </x:c>
      <x:c r="K966" s="72"/>
      <x:c r="L966" s="72"/>
      <x:c r="M966" s="72"/>
      <x:c r="N966" s="72"/>
    </x:row>
    <x:row r="967">
      <x:c r="C967" s="45" t="str">
        <x:f>'Path Daily'!C967</x:f>
        <x:v>P10</x:v>
      </x:c>
      <x:c r="D967" s="45" t="n">
        <x:f>'Path Daily'!D967</x:f>
        <x:v>50</x:v>
      </x:c>
      <x:c r="E967" s="53" t="n">
        <x:f>IF(D967=0,SUMIFS('Cargo Records'!$T$7:$T$70,'Cargo Records'!$J$7:$J$70,C967),0)</x:f>
        <x:v>0</x:v>
      </x:c>
      <x:c r="F967" s="53" t="n">
        <x:f>I966</x:f>
        <x:v>59223.121212121216</x:v>
      </x:c>
      <x:c r="G967" s="53" t="n">
        <x:f>'Path Daily'!M967</x:f>
        <x:v>9690</x:v>
      </x:c>
      <x:c r="H967" s="53" t="n">
        <x:f>MIN(E967+F967,G967)</x:f>
        <x:v>9690</x:v>
      </x:c>
      <x:c r="I967" s="53" t="n">
        <x:f>E967+F967-H967</x:f>
        <x:v>49533.121212121216</x:v>
      </x:c>
      <x:c r="J967" s="45" t="str">
        <x:f>IF(I967=0,"CLEAR","QUEUED")</x:f>
        <x:v>QUEUED</x:v>
      </x:c>
      <x:c r="K967" s="72"/>
      <x:c r="L967" s="72"/>
      <x:c r="M967" s="72"/>
      <x:c r="N967" s="72"/>
    </x:row>
    <x:row r="968">
      <x:c r="C968" s="45" t="str">
        <x:f>'Path Daily'!C968</x:f>
        <x:v>P10</x:v>
      </x:c>
      <x:c r="D968" s="45" t="n">
        <x:f>'Path Daily'!D968</x:f>
        <x:v>51</x:v>
      </x:c>
      <x:c r="E968" s="53" t="n">
        <x:f>IF(D968=0,SUMIFS('Cargo Records'!$T$7:$T$70,'Cargo Records'!$J$7:$J$70,C968),0)</x:f>
        <x:v>0</x:v>
      </x:c>
      <x:c r="F968" s="53" t="n">
        <x:f>I967</x:f>
        <x:v>49533.121212121216</x:v>
      </x:c>
      <x:c r="G968" s="53" t="n">
        <x:f>'Path Daily'!M968</x:f>
        <x:v>9690</x:v>
      </x:c>
      <x:c r="H968" s="53" t="n">
        <x:f>MIN(E968+F968,G968)</x:f>
        <x:v>9690</x:v>
      </x:c>
      <x:c r="I968" s="53" t="n">
        <x:f>E968+F968-H968</x:f>
        <x:v>39843.121212121216</x:v>
      </x:c>
      <x:c r="J968" s="45" t="str">
        <x:f>IF(I968=0,"CLEAR","QUEUED")</x:f>
        <x:v>QUEUED</x:v>
      </x:c>
      <x:c r="K968" s="72"/>
      <x:c r="L968" s="72"/>
      <x:c r="M968" s="72"/>
      <x:c r="N968" s="72"/>
    </x:row>
    <x:row r="969">
      <x:c r="C969" s="45" t="str">
        <x:f>'Path Daily'!C969</x:f>
        <x:v>P10</x:v>
      </x:c>
      <x:c r="D969" s="45" t="n">
        <x:f>'Path Daily'!D969</x:f>
        <x:v>52</x:v>
      </x:c>
      <x:c r="E969" s="53" t="n">
        <x:f>IF(D969=0,SUMIFS('Cargo Records'!$T$7:$T$70,'Cargo Records'!$J$7:$J$70,C969),0)</x:f>
        <x:v>0</x:v>
      </x:c>
      <x:c r="F969" s="53" t="n">
        <x:f>I968</x:f>
        <x:v>39843.121212121216</x:v>
      </x:c>
      <x:c r="G969" s="53" t="n">
        <x:f>'Path Daily'!M969</x:f>
        <x:v>9690</x:v>
      </x:c>
      <x:c r="H969" s="53" t="n">
        <x:f>MIN(E969+F969,G969)</x:f>
        <x:v>9690</x:v>
      </x:c>
      <x:c r="I969" s="53" t="n">
        <x:f>E969+F969-H969</x:f>
        <x:v>30153.121212121216</x:v>
      </x:c>
      <x:c r="J969" s="45" t="str">
        <x:f>IF(I969=0,"CLEAR","QUEUED")</x:f>
        <x:v>QUEUED</x:v>
      </x:c>
      <x:c r="K969" s="72"/>
      <x:c r="L969" s="72"/>
      <x:c r="M969" s="72"/>
      <x:c r="N969" s="72"/>
    </x:row>
    <x:row r="970">
      <x:c r="C970" s="45" t="str">
        <x:f>'Path Daily'!C970</x:f>
        <x:v>P10</x:v>
      </x:c>
      <x:c r="D970" s="45" t="n">
        <x:f>'Path Daily'!D970</x:f>
        <x:v>53</x:v>
      </x:c>
      <x:c r="E970" s="53" t="n">
        <x:f>IF(D970=0,SUMIFS('Cargo Records'!$T$7:$T$70,'Cargo Records'!$J$7:$J$70,C970),0)</x:f>
        <x:v>0</x:v>
      </x:c>
      <x:c r="F970" s="53" t="n">
        <x:f>I969</x:f>
        <x:v>30153.121212121216</x:v>
      </x:c>
      <x:c r="G970" s="53" t="n">
        <x:f>'Path Daily'!M970</x:f>
        <x:v>9690</x:v>
      </x:c>
      <x:c r="H970" s="53" t="n">
        <x:f>MIN(E970+F970,G970)</x:f>
        <x:v>9690</x:v>
      </x:c>
      <x:c r="I970" s="53" t="n">
        <x:f>E970+F970-H970</x:f>
        <x:v>20463.121212121216</x:v>
      </x:c>
      <x:c r="J970" s="45" t="str">
        <x:f>IF(I970=0,"CLEAR","QUEUED")</x:f>
        <x:v>QUEUED</x:v>
      </x:c>
      <x:c r="K970" s="72"/>
      <x:c r="L970" s="72"/>
      <x:c r="M970" s="72"/>
      <x:c r="N970" s="72"/>
    </x:row>
    <x:row r="971">
      <x:c r="C971" s="45" t="str">
        <x:f>'Path Daily'!C971</x:f>
        <x:v>P10</x:v>
      </x:c>
      <x:c r="D971" s="45" t="n">
        <x:f>'Path Daily'!D971</x:f>
        <x:v>54</x:v>
      </x:c>
      <x:c r="E971" s="53" t="n">
        <x:f>IF(D971=0,SUMIFS('Cargo Records'!$T$7:$T$70,'Cargo Records'!$J$7:$J$70,C971),0)</x:f>
        <x:v>0</x:v>
      </x:c>
      <x:c r="F971" s="53" t="n">
        <x:f>I970</x:f>
        <x:v>20463.121212121216</x:v>
      </x:c>
      <x:c r="G971" s="53" t="n">
        <x:f>'Path Daily'!M971</x:f>
        <x:v>9690</x:v>
      </x:c>
      <x:c r="H971" s="53" t="n">
        <x:f>MIN(E971+F971,G971)</x:f>
        <x:v>9690</x:v>
      </x:c>
      <x:c r="I971" s="53" t="n">
        <x:f>E971+F971-H971</x:f>
        <x:v>10773.121212121216</x:v>
      </x:c>
      <x:c r="J971" s="45" t="str">
        <x:f>IF(I971=0,"CLEAR","QUEUED")</x:f>
        <x:v>QUEUED</x:v>
      </x:c>
      <x:c r="K971" s="72"/>
      <x:c r="L971" s="72"/>
      <x:c r="M971" s="72"/>
      <x:c r="N971" s="72"/>
    </x:row>
    <x:row r="972">
      <x:c r="C972" s="45" t="str">
        <x:f>'Path Daily'!C972</x:f>
        <x:v>P10</x:v>
      </x:c>
      <x:c r="D972" s="45" t="n">
        <x:f>'Path Daily'!D972</x:f>
        <x:v>55</x:v>
      </x:c>
      <x:c r="E972" s="53" t="n">
        <x:f>IF(D972=0,SUMIFS('Cargo Records'!$T$7:$T$70,'Cargo Records'!$J$7:$J$70,C972),0)</x:f>
        <x:v>0</x:v>
      </x:c>
      <x:c r="F972" s="53" t="n">
        <x:f>I971</x:f>
        <x:v>10773.121212121216</x:v>
      </x:c>
      <x:c r="G972" s="53" t="n">
        <x:f>'Path Daily'!M972</x:f>
        <x:v>9690</x:v>
      </x:c>
      <x:c r="H972" s="53" t="n">
        <x:f>MIN(E972+F972,G972)</x:f>
        <x:v>9690</x:v>
      </x:c>
      <x:c r="I972" s="53" t="n">
        <x:f>E972+F972-H972</x:f>
        <x:v>1083.1212121212156</x:v>
      </x:c>
      <x:c r="J972" s="45" t="str">
        <x:f>IF(I972=0,"CLEAR","QUEUED")</x:f>
        <x:v>QUEUED</x:v>
      </x:c>
      <x:c r="K972" s="72"/>
      <x:c r="L972" s="72"/>
      <x:c r="M972" s="72"/>
      <x:c r="N972" s="72"/>
    </x:row>
    <x:row r="973">
      <x:c r="C973" s="45" t="str">
        <x:f>'Path Daily'!C973</x:f>
        <x:v>P10</x:v>
      </x:c>
      <x:c r="D973" s="45" t="n">
        <x:f>'Path Daily'!D973</x:f>
        <x:v>56</x:v>
      </x:c>
      <x:c r="E973" s="53" t="n">
        <x:f>IF(D973=0,SUMIFS('Cargo Records'!$T$7:$T$70,'Cargo Records'!$J$7:$J$70,C973),0)</x:f>
        <x:v>0</x:v>
      </x:c>
      <x:c r="F973" s="53" t="n">
        <x:f>I972</x:f>
        <x:v>1083.1212121212156</x:v>
      </x:c>
      <x:c r="G973" s="53" t="n">
        <x:f>'Path Daily'!M973</x:f>
        <x:v>9690</x:v>
      </x:c>
      <x:c r="H973" s="53" t="n">
        <x:f>MIN(E973+F973,G973)</x:f>
        <x:v>1083.1212121212156</x:v>
      </x:c>
      <x:c r="I973" s="53" t="n">
        <x:f>E973+F973-H973</x:f>
        <x:v>0</x:v>
      </x:c>
      <x:c r="J973" s="45" t="str">
        <x:f>IF(I973=0,"CLEAR","QUEUED")</x:f>
        <x:v>CLEAR</x:v>
      </x:c>
      <x:c r="K973" s="72"/>
      <x:c r="L973" s="72"/>
      <x:c r="M973" s="72"/>
      <x:c r="N973" s="72"/>
    </x:row>
    <x:row r="974">
      <x:c r="C974" s="45" t="str">
        <x:f>'Path Daily'!C974</x:f>
        <x:v>P10</x:v>
      </x:c>
      <x:c r="D974" s="45" t="n">
        <x:f>'Path Daily'!D974</x:f>
        <x:v>57</x:v>
      </x:c>
      <x:c r="E974" s="53" t="n">
        <x:f>IF(D974=0,SUMIFS('Cargo Records'!$T$7:$T$70,'Cargo Records'!$J$7:$J$70,C974),0)</x:f>
        <x:v>0</x:v>
      </x:c>
      <x:c r="F974" s="53" t="n">
        <x:f>I973</x:f>
        <x:v>0</x:v>
      </x:c>
      <x:c r="G974" s="53" t="n">
        <x:f>'Path Daily'!M974</x:f>
        <x:v>9690</x:v>
      </x:c>
      <x:c r="H974" s="53" t="n">
        <x:f>MIN(E974+F974,G974)</x:f>
        <x:v>0</x:v>
      </x:c>
      <x:c r="I974" s="53" t="n">
        <x:f>E974+F974-H974</x:f>
        <x:v>0</x:v>
      </x:c>
      <x:c r="J974" s="45" t="str">
        <x:f>IF(I974=0,"CLEAR","QUEUED")</x:f>
        <x:v>CLEAR</x:v>
      </x:c>
      <x:c r="K974" s="72"/>
      <x:c r="L974" s="72"/>
      <x:c r="M974" s="72"/>
      <x:c r="N974" s="72"/>
    </x:row>
    <x:row r="975">
      <x:c r="C975" s="45" t="str">
        <x:f>'Path Daily'!C975</x:f>
        <x:v>P10</x:v>
      </x:c>
      <x:c r="D975" s="45" t="n">
        <x:f>'Path Daily'!D975</x:f>
        <x:v>58</x:v>
      </x:c>
      <x:c r="E975" s="53" t="n">
        <x:f>IF(D975=0,SUMIFS('Cargo Records'!$T$7:$T$70,'Cargo Records'!$J$7:$J$70,C975),0)</x:f>
        <x:v>0</x:v>
      </x:c>
      <x:c r="F975" s="53" t="n">
        <x:f>I974</x:f>
        <x:v>0</x:v>
      </x:c>
      <x:c r="G975" s="53" t="n">
        <x:f>'Path Daily'!M975</x:f>
        <x:v>9690</x:v>
      </x:c>
      <x:c r="H975" s="53" t="n">
        <x:f>MIN(E975+F975,G975)</x:f>
        <x:v>0</x:v>
      </x:c>
      <x:c r="I975" s="53" t="n">
        <x:f>E975+F975-H975</x:f>
        <x:v>0</x:v>
      </x:c>
      <x:c r="J975" s="45" t="str">
        <x:f>IF(I975=0,"CLEAR","QUEUED")</x:f>
        <x:v>CLEAR</x:v>
      </x:c>
      <x:c r="K975" s="72"/>
      <x:c r="L975" s="72"/>
      <x:c r="M975" s="72"/>
      <x:c r="N975" s="72"/>
    </x:row>
    <x:row r="976">
      <x:c r="C976" s="45" t="str">
        <x:f>'Path Daily'!C976</x:f>
        <x:v>P10</x:v>
      </x:c>
      <x:c r="D976" s="45" t="n">
        <x:f>'Path Daily'!D976</x:f>
        <x:v>59</x:v>
      </x:c>
      <x:c r="E976" s="53" t="n">
        <x:f>IF(D976=0,SUMIFS('Cargo Records'!$T$7:$T$70,'Cargo Records'!$J$7:$J$70,C976),0)</x:f>
        <x:v>0</x:v>
      </x:c>
      <x:c r="F976" s="53" t="n">
        <x:f>I975</x:f>
        <x:v>0</x:v>
      </x:c>
      <x:c r="G976" s="53" t="n">
        <x:f>'Path Daily'!M976</x:f>
        <x:v>9690</x:v>
      </x:c>
      <x:c r="H976" s="53" t="n">
        <x:f>MIN(E976+F976,G976)</x:f>
        <x:v>0</x:v>
      </x:c>
      <x:c r="I976" s="53" t="n">
        <x:f>E976+F976-H976</x:f>
        <x:v>0</x:v>
      </x:c>
      <x:c r="J976" s="45" t="str">
        <x:f>IF(I976=0,"CLEAR","QUEUED")</x:f>
        <x:v>CLEAR</x:v>
      </x:c>
      <x:c r="K976" s="72"/>
      <x:c r="L976" s="72"/>
      <x:c r="M976" s="72"/>
      <x:c r="N976" s="72"/>
    </x:row>
    <x:row r="977">
      <x:c r="C977" s="45" t="str">
        <x:f>'Path Daily'!C977</x:f>
        <x:v>P10</x:v>
      </x:c>
      <x:c r="D977" s="45" t="n">
        <x:f>'Path Daily'!D977</x:f>
        <x:v>60</x:v>
      </x:c>
      <x:c r="E977" s="53" t="n">
        <x:f>IF(D977=0,SUMIFS('Cargo Records'!$T$7:$T$70,'Cargo Records'!$J$7:$J$70,C977),0)</x:f>
        <x:v>0</x:v>
      </x:c>
      <x:c r="F977" s="53" t="n">
        <x:f>I976</x:f>
        <x:v>0</x:v>
      </x:c>
      <x:c r="G977" s="53" t="n">
        <x:f>'Path Daily'!M977</x:f>
        <x:v>9690</x:v>
      </x:c>
      <x:c r="H977" s="53" t="n">
        <x:f>MIN(E977+F977,G977)</x:f>
        <x:v>0</x:v>
      </x:c>
      <x:c r="I977" s="53" t="n">
        <x:f>E977+F977-H977</x:f>
        <x:v>0</x:v>
      </x:c>
      <x:c r="J977" s="45" t="str">
        <x:f>IF(I977=0,"CLEAR","QUEUED")</x:f>
        <x:v>CLEAR</x:v>
      </x:c>
      <x:c r="K977" s="72"/>
      <x:c r="L977" s="72"/>
      <x:c r="M977" s="72"/>
      <x:c r="N977" s="72"/>
    </x:row>
    <x:row r="978">
      <x:c r="C978" s="45" t="str">
        <x:f>'Path Daily'!C978</x:f>
        <x:v>P10</x:v>
      </x:c>
      <x:c r="D978" s="45" t="n">
        <x:f>'Path Daily'!D978</x:f>
        <x:v>61</x:v>
      </x:c>
      <x:c r="E978" s="53" t="n">
        <x:f>IF(D978=0,SUMIFS('Cargo Records'!$T$7:$T$70,'Cargo Records'!$J$7:$J$70,C978),0)</x:f>
        <x:v>0</x:v>
      </x:c>
      <x:c r="F978" s="53" t="n">
        <x:f>I977</x:f>
        <x:v>0</x:v>
      </x:c>
      <x:c r="G978" s="53" t="n">
        <x:f>'Path Daily'!M978</x:f>
        <x:v>3876</x:v>
      </x:c>
      <x:c r="H978" s="53" t="n">
        <x:f>MIN(E978+F978,G978)</x:f>
        <x:v>0</x:v>
      </x:c>
      <x:c r="I978" s="53" t="n">
        <x:f>E978+F978-H978</x:f>
        <x:v>0</x:v>
      </x:c>
      <x:c r="J978" s="45" t="str">
        <x:f>IF(I978=0,"CLEAR","QUEUED")</x:f>
        <x:v>CLEAR</x:v>
      </x:c>
      <x:c r="K978" s="72"/>
      <x:c r="L978" s="72"/>
      <x:c r="M978" s="72"/>
      <x:c r="N978" s="72"/>
    </x:row>
    <x:row r="979">
      <x:c r="C979" s="45" t="str">
        <x:f>'Path Daily'!C979</x:f>
        <x:v>P10</x:v>
      </x:c>
      <x:c r="D979" s="45" t="n">
        <x:f>'Path Daily'!D979</x:f>
        <x:v>62</x:v>
      </x:c>
      <x:c r="E979" s="53" t="n">
        <x:f>IF(D979=0,SUMIFS('Cargo Records'!$T$7:$T$70,'Cargo Records'!$J$7:$J$70,C979),0)</x:f>
        <x:v>0</x:v>
      </x:c>
      <x:c r="F979" s="53" t="n">
        <x:f>I978</x:f>
        <x:v>0</x:v>
      </x:c>
      <x:c r="G979" s="53" t="n">
        <x:f>'Path Daily'!M979</x:f>
        <x:v>3876</x:v>
      </x:c>
      <x:c r="H979" s="53" t="n">
        <x:f>MIN(E979+F979,G979)</x:f>
        <x:v>0</x:v>
      </x:c>
      <x:c r="I979" s="53" t="n">
        <x:f>E979+F979-H979</x:f>
        <x:v>0</x:v>
      </x:c>
      <x:c r="J979" s="45" t="str">
        <x:f>IF(I979=0,"CLEAR","QUEUED")</x:f>
        <x:v>CLEAR</x:v>
      </x:c>
      <x:c r="K979" s="72"/>
      <x:c r="L979" s="72"/>
      <x:c r="M979" s="72"/>
      <x:c r="N979" s="72"/>
    </x:row>
    <x:row r="980">
      <x:c r="C980" s="45" t="str">
        <x:f>'Path Daily'!C980</x:f>
        <x:v>P10</x:v>
      </x:c>
      <x:c r="D980" s="45" t="n">
        <x:f>'Path Daily'!D980</x:f>
        <x:v>63</x:v>
      </x:c>
      <x:c r="E980" s="53" t="n">
        <x:f>IF(D980=0,SUMIFS('Cargo Records'!$T$7:$T$70,'Cargo Records'!$J$7:$J$70,C980),0)</x:f>
        <x:v>0</x:v>
      </x:c>
      <x:c r="F980" s="53" t="n">
        <x:f>I979</x:f>
        <x:v>0</x:v>
      </x:c>
      <x:c r="G980" s="53" t="n">
        <x:f>'Path Daily'!M980</x:f>
        <x:v>3876</x:v>
      </x:c>
      <x:c r="H980" s="53" t="n">
        <x:f>MIN(E980+F980,G980)</x:f>
        <x:v>0</x:v>
      </x:c>
      <x:c r="I980" s="53" t="n">
        <x:f>E980+F980-H980</x:f>
        <x:v>0</x:v>
      </x:c>
      <x:c r="J980" s="45" t="str">
        <x:f>IF(I980=0,"CLEAR","QUEUED")</x:f>
        <x:v>CLEAR</x:v>
      </x:c>
      <x:c r="K980" s="72"/>
      <x:c r="L980" s="72"/>
      <x:c r="M980" s="72"/>
      <x:c r="N980" s="72"/>
    </x:row>
    <x:row r="981">
      <x:c r="C981" s="45" t="str">
        <x:f>'Path Daily'!C981</x:f>
        <x:v>P10</x:v>
      </x:c>
      <x:c r="D981" s="45" t="n">
        <x:f>'Path Daily'!D981</x:f>
        <x:v>64</x:v>
      </x:c>
      <x:c r="E981" s="53" t="n">
        <x:f>IF(D981=0,SUMIFS('Cargo Records'!$T$7:$T$70,'Cargo Records'!$J$7:$J$70,C981),0)</x:f>
        <x:v>0</x:v>
      </x:c>
      <x:c r="F981" s="53" t="n">
        <x:f>I980</x:f>
        <x:v>0</x:v>
      </x:c>
      <x:c r="G981" s="53" t="n">
        <x:f>'Path Daily'!M981</x:f>
        <x:v>9690</x:v>
      </x:c>
      <x:c r="H981" s="53" t="n">
        <x:f>MIN(E981+F981,G981)</x:f>
        <x:v>0</x:v>
      </x:c>
      <x:c r="I981" s="53" t="n">
        <x:f>E981+F981-H981</x:f>
        <x:v>0</x:v>
      </x:c>
      <x:c r="J981" s="45" t="str">
        <x:f>IF(I981=0,"CLEAR","QUEUED")</x:f>
        <x:v>CLEAR</x:v>
      </x:c>
      <x:c r="K981" s="72"/>
      <x:c r="L981" s="72"/>
      <x:c r="M981" s="72"/>
      <x:c r="N981" s="72"/>
    </x:row>
    <x:row r="982">
      <x:c r="C982" s="45" t="str">
        <x:f>'Path Daily'!C982</x:f>
        <x:v>P10</x:v>
      </x:c>
      <x:c r="D982" s="45" t="n">
        <x:f>'Path Daily'!D982</x:f>
        <x:v>65</x:v>
      </x:c>
      <x:c r="E982" s="53" t="n">
        <x:f>IF(D982=0,SUMIFS('Cargo Records'!$T$7:$T$70,'Cargo Records'!$J$7:$J$70,C982),0)</x:f>
        <x:v>0</x:v>
      </x:c>
      <x:c r="F982" s="53" t="n">
        <x:f>I981</x:f>
        <x:v>0</x:v>
      </x:c>
      <x:c r="G982" s="53" t="n">
        <x:f>'Path Daily'!M982</x:f>
        <x:v>9690</x:v>
      </x:c>
      <x:c r="H982" s="53" t="n">
        <x:f>MIN(E982+F982,G982)</x:f>
        <x:v>0</x:v>
      </x:c>
      <x:c r="I982" s="53" t="n">
        <x:f>E982+F982-H982</x:f>
        <x:v>0</x:v>
      </x:c>
      <x:c r="J982" s="45" t="str">
        <x:f>IF(I982=0,"CLEAR","QUEUED")</x:f>
        <x:v>CLEAR</x:v>
      </x:c>
      <x:c r="K982" s="72"/>
      <x:c r="L982" s="72"/>
      <x:c r="M982" s="72"/>
      <x:c r="N982" s="72"/>
    </x:row>
    <x:row r="983">
      <x:c r="C983" s="45" t="str">
        <x:f>'Path Daily'!C983</x:f>
        <x:v>P10</x:v>
      </x:c>
      <x:c r="D983" s="45" t="n">
        <x:f>'Path Daily'!D983</x:f>
        <x:v>66</x:v>
      </x:c>
      <x:c r="E983" s="53" t="n">
        <x:f>IF(D983=0,SUMIFS('Cargo Records'!$T$7:$T$70,'Cargo Records'!$J$7:$J$70,C983),0)</x:f>
        <x:v>0</x:v>
      </x:c>
      <x:c r="F983" s="53" t="n">
        <x:f>I982</x:f>
        <x:v>0</x:v>
      </x:c>
      <x:c r="G983" s="53" t="n">
        <x:f>'Path Daily'!M983</x:f>
        <x:v>9690</x:v>
      </x:c>
      <x:c r="H983" s="53" t="n">
        <x:f>MIN(E983+F983,G983)</x:f>
        <x:v>0</x:v>
      </x:c>
      <x:c r="I983" s="53" t="n">
        <x:f>E983+F983-H983</x:f>
        <x:v>0</x:v>
      </x:c>
      <x:c r="J983" s="45" t="str">
        <x:f>IF(I983=0,"CLEAR","QUEUED")</x:f>
        <x:v>CLEAR</x:v>
      </x:c>
      <x:c r="K983" s="72"/>
      <x:c r="L983" s="72"/>
      <x:c r="M983" s="72"/>
      <x:c r="N983" s="72"/>
    </x:row>
    <x:row r="984">
      <x:c r="C984" s="45" t="str">
        <x:f>'Path Daily'!C984</x:f>
        <x:v>P10</x:v>
      </x:c>
      <x:c r="D984" s="45" t="n">
        <x:f>'Path Daily'!D984</x:f>
        <x:v>67</x:v>
      </x:c>
      <x:c r="E984" s="53" t="n">
        <x:f>IF(D984=0,SUMIFS('Cargo Records'!$T$7:$T$70,'Cargo Records'!$J$7:$J$70,C984),0)</x:f>
        <x:v>0</x:v>
      </x:c>
      <x:c r="F984" s="53" t="n">
        <x:f>I983</x:f>
        <x:v>0</x:v>
      </x:c>
      <x:c r="G984" s="53" t="n">
        <x:f>'Path Daily'!M984</x:f>
        <x:v>9690</x:v>
      </x:c>
      <x:c r="H984" s="53" t="n">
        <x:f>MIN(E984+F984,G984)</x:f>
        <x:v>0</x:v>
      </x:c>
      <x:c r="I984" s="53" t="n">
        <x:f>E984+F984-H984</x:f>
        <x:v>0</x:v>
      </x:c>
      <x:c r="J984" s="45" t="str">
        <x:f>IF(I984=0,"CLEAR","QUEUED")</x:f>
        <x:v>CLEAR</x:v>
      </x:c>
      <x:c r="K984" s="72"/>
      <x:c r="L984" s="72"/>
      <x:c r="M984" s="72"/>
      <x:c r="N984" s="72"/>
    </x:row>
    <x:row r="985">
      <x:c r="C985" s="45" t="str">
        <x:f>'Path Daily'!C985</x:f>
        <x:v>P10</x:v>
      </x:c>
      <x:c r="D985" s="45" t="n">
        <x:f>'Path Daily'!D985</x:f>
        <x:v>68</x:v>
      </x:c>
      <x:c r="E985" s="53" t="n">
        <x:f>IF(D985=0,SUMIFS('Cargo Records'!$T$7:$T$70,'Cargo Records'!$J$7:$J$70,C985),0)</x:f>
        <x:v>0</x:v>
      </x:c>
      <x:c r="F985" s="53" t="n">
        <x:f>I984</x:f>
        <x:v>0</x:v>
      </x:c>
      <x:c r="G985" s="53" t="n">
        <x:f>'Path Daily'!M985</x:f>
        <x:v>9690</x:v>
      </x:c>
      <x:c r="H985" s="53" t="n">
        <x:f>MIN(E985+F985,G985)</x:f>
        <x:v>0</x:v>
      </x:c>
      <x:c r="I985" s="53" t="n">
        <x:f>E985+F985-H985</x:f>
        <x:v>0</x:v>
      </x:c>
      <x:c r="J985" s="45" t="str">
        <x:f>IF(I985=0,"CLEAR","QUEUED")</x:f>
        <x:v>CLEAR</x:v>
      </x:c>
      <x:c r="K985" s="72"/>
      <x:c r="L985" s="72"/>
      <x:c r="M985" s="72"/>
      <x:c r="N985" s="72"/>
    </x:row>
    <x:row r="986">
      <x:c r="C986" s="45" t="str">
        <x:f>'Path Daily'!C986</x:f>
        <x:v>P10</x:v>
      </x:c>
      <x:c r="D986" s="45" t="n">
        <x:f>'Path Daily'!D986</x:f>
        <x:v>69</x:v>
      </x:c>
      <x:c r="E986" s="53" t="n">
        <x:f>IF(D986=0,SUMIFS('Cargo Records'!$T$7:$T$70,'Cargo Records'!$J$7:$J$70,C986),0)</x:f>
        <x:v>0</x:v>
      </x:c>
      <x:c r="F986" s="53" t="n">
        <x:f>I985</x:f>
        <x:v>0</x:v>
      </x:c>
      <x:c r="G986" s="53" t="n">
        <x:f>'Path Daily'!M986</x:f>
        <x:v>9690</x:v>
      </x:c>
      <x:c r="H986" s="53" t="n">
        <x:f>MIN(E986+F986,G986)</x:f>
        <x:v>0</x:v>
      </x:c>
      <x:c r="I986" s="53" t="n">
        <x:f>E986+F986-H986</x:f>
        <x:v>0</x:v>
      </x:c>
      <x:c r="J986" s="45" t="str">
        <x:f>IF(I986=0,"CLEAR","QUEUED")</x:f>
        <x:v>CLEAR</x:v>
      </x:c>
      <x:c r="K986" s="72"/>
      <x:c r="L986" s="72"/>
      <x:c r="M986" s="72"/>
      <x:c r="N986" s="72"/>
    </x:row>
    <x:row r="987">
      <x:c r="C987" s="45" t="str">
        <x:f>'Path Daily'!C987</x:f>
        <x:v>P10</x:v>
      </x:c>
      <x:c r="D987" s="45" t="n">
        <x:f>'Path Daily'!D987</x:f>
        <x:v>70</x:v>
      </x:c>
      <x:c r="E987" s="53" t="n">
        <x:f>IF(D987=0,SUMIFS('Cargo Records'!$T$7:$T$70,'Cargo Records'!$J$7:$J$70,C987),0)</x:f>
        <x:v>0</x:v>
      </x:c>
      <x:c r="F987" s="53" t="n">
        <x:f>I986</x:f>
        <x:v>0</x:v>
      </x:c>
      <x:c r="G987" s="53" t="n">
        <x:f>'Path Daily'!M987</x:f>
        <x:v>9690</x:v>
      </x:c>
      <x:c r="H987" s="53" t="n">
        <x:f>MIN(E987+F987,G987)</x:f>
        <x:v>0</x:v>
      </x:c>
      <x:c r="I987" s="53" t="n">
        <x:f>E987+F987-H987</x:f>
        <x:v>0</x:v>
      </x:c>
      <x:c r="J987" s="45" t="str">
        <x:f>IF(I987=0,"CLEAR","QUEUED")</x:f>
        <x:v>CLEAR</x:v>
      </x:c>
      <x:c r="K987" s="72"/>
      <x:c r="L987" s="72"/>
      <x:c r="M987" s="72"/>
      <x:c r="N987" s="72"/>
    </x:row>
    <x:row r="988">
      <x:c r="C988" s="45" t="str">
        <x:f>'Path Daily'!C988</x:f>
        <x:v>P10</x:v>
      </x:c>
      <x:c r="D988" s="45" t="n">
        <x:f>'Path Daily'!D988</x:f>
        <x:v>71</x:v>
      </x:c>
      <x:c r="E988" s="53" t="n">
        <x:f>IF(D988=0,SUMIFS('Cargo Records'!$T$7:$T$70,'Cargo Records'!$J$7:$J$70,C988),0)</x:f>
        <x:v>0</x:v>
      </x:c>
      <x:c r="F988" s="53" t="n">
        <x:f>I987</x:f>
        <x:v>0</x:v>
      </x:c>
      <x:c r="G988" s="53" t="n">
        <x:f>'Path Daily'!M988</x:f>
        <x:v>9690</x:v>
      </x:c>
      <x:c r="H988" s="53" t="n">
        <x:f>MIN(E988+F988,G988)</x:f>
        <x:v>0</x:v>
      </x:c>
      <x:c r="I988" s="53" t="n">
        <x:f>E988+F988-H988</x:f>
        <x:v>0</x:v>
      </x:c>
      <x:c r="J988" s="45" t="str">
        <x:f>IF(I988=0,"CLEAR","QUEUED")</x:f>
        <x:v>CLEAR</x:v>
      </x:c>
      <x:c r="K988" s="72"/>
      <x:c r="L988" s="72"/>
      <x:c r="M988" s="72"/>
      <x:c r="N988" s="72"/>
    </x:row>
    <x:row r="989">
      <x:c r="C989" s="45" t="str">
        <x:f>'Path Daily'!C989</x:f>
        <x:v>P10</x:v>
      </x:c>
      <x:c r="D989" s="45" t="n">
        <x:f>'Path Daily'!D989</x:f>
        <x:v>72</x:v>
      </x:c>
      <x:c r="E989" s="53" t="n">
        <x:f>IF(D989=0,SUMIFS('Cargo Records'!$T$7:$T$70,'Cargo Records'!$J$7:$J$70,C989),0)</x:f>
        <x:v>0</x:v>
      </x:c>
      <x:c r="F989" s="53" t="n">
        <x:f>I988</x:f>
        <x:v>0</x:v>
      </x:c>
      <x:c r="G989" s="53" t="n">
        <x:f>'Path Daily'!M989</x:f>
        <x:v>9690</x:v>
      </x:c>
      <x:c r="H989" s="53" t="n">
        <x:f>MIN(E989+F989,G989)</x:f>
        <x:v>0</x:v>
      </x:c>
      <x:c r="I989" s="53" t="n">
        <x:f>E989+F989-H989</x:f>
        <x:v>0</x:v>
      </x:c>
      <x:c r="J989" s="45" t="str">
        <x:f>IF(I989=0,"CLEAR","QUEUED")</x:f>
        <x:v>CLEAR</x:v>
      </x:c>
      <x:c r="K989" s="72"/>
      <x:c r="L989" s="72"/>
      <x:c r="M989" s="72"/>
      <x:c r="N989" s="72"/>
    </x:row>
    <x:row r="990">
      <x:c r="C990" s="45" t="str">
        <x:f>'Path Daily'!C990</x:f>
        <x:v>P10</x:v>
      </x:c>
      <x:c r="D990" s="45" t="n">
        <x:f>'Path Daily'!D990</x:f>
        <x:v>73</x:v>
      </x:c>
      <x:c r="E990" s="53" t="n">
        <x:f>IF(D990=0,SUMIFS('Cargo Records'!$T$7:$T$70,'Cargo Records'!$J$7:$J$70,C990),0)</x:f>
        <x:v>0</x:v>
      </x:c>
      <x:c r="F990" s="53" t="n">
        <x:f>I989</x:f>
        <x:v>0</x:v>
      </x:c>
      <x:c r="G990" s="53" t="n">
        <x:f>'Path Daily'!M990</x:f>
        <x:v>9690</x:v>
      </x:c>
      <x:c r="H990" s="53" t="n">
        <x:f>MIN(E990+F990,G990)</x:f>
        <x:v>0</x:v>
      </x:c>
      <x:c r="I990" s="53" t="n">
        <x:f>E990+F990-H990</x:f>
        <x:v>0</x:v>
      </x:c>
      <x:c r="J990" s="45" t="str">
        <x:f>IF(I990=0,"CLEAR","QUEUED")</x:f>
        <x:v>CLEAR</x:v>
      </x:c>
      <x:c r="K990" s="72"/>
      <x:c r="L990" s="72"/>
      <x:c r="M990" s="72"/>
      <x:c r="N990" s="72"/>
    </x:row>
    <x:row r="991">
      <x:c r="C991" s="45" t="str">
        <x:f>'Path Daily'!C991</x:f>
        <x:v>P10</x:v>
      </x:c>
      <x:c r="D991" s="45" t="n">
        <x:f>'Path Daily'!D991</x:f>
        <x:v>74</x:v>
      </x:c>
      <x:c r="E991" s="53" t="n">
        <x:f>IF(D991=0,SUMIFS('Cargo Records'!$T$7:$T$70,'Cargo Records'!$J$7:$J$70,C991),0)</x:f>
        <x:v>0</x:v>
      </x:c>
      <x:c r="F991" s="53" t="n">
        <x:f>I990</x:f>
        <x:v>0</x:v>
      </x:c>
      <x:c r="G991" s="53" t="n">
        <x:f>'Path Daily'!M991</x:f>
        <x:v>9690</x:v>
      </x:c>
      <x:c r="H991" s="53" t="n">
        <x:f>MIN(E991+F991,G991)</x:f>
        <x:v>0</x:v>
      </x:c>
      <x:c r="I991" s="53" t="n">
        <x:f>E991+F991-H991</x:f>
        <x:v>0</x:v>
      </x:c>
      <x:c r="J991" s="45" t="str">
        <x:f>IF(I991=0,"CLEAR","QUEUED")</x:f>
        <x:v>CLEAR</x:v>
      </x:c>
      <x:c r="K991" s="72"/>
      <x:c r="L991" s="72"/>
      <x:c r="M991" s="72"/>
      <x:c r="N991" s="72"/>
    </x:row>
    <x:row r="992">
      <x:c r="C992" s="45" t="str">
        <x:f>'Path Daily'!C992</x:f>
        <x:v>P10</x:v>
      </x:c>
      <x:c r="D992" s="45" t="n">
        <x:f>'Path Daily'!D992</x:f>
        <x:v>75</x:v>
      </x:c>
      <x:c r="E992" s="53" t="n">
        <x:f>IF(D992=0,SUMIFS('Cargo Records'!$T$7:$T$70,'Cargo Records'!$J$7:$J$70,C992),0)</x:f>
        <x:v>0</x:v>
      </x:c>
      <x:c r="F992" s="53" t="n">
        <x:f>I991</x:f>
        <x:v>0</x:v>
      </x:c>
      <x:c r="G992" s="53" t="n">
        <x:f>'Path Daily'!M992</x:f>
        <x:v>9690</x:v>
      </x:c>
      <x:c r="H992" s="53" t="n">
        <x:f>MIN(E992+F992,G992)</x:f>
        <x:v>0</x:v>
      </x:c>
      <x:c r="I992" s="53" t="n">
        <x:f>E992+F992-H992</x:f>
        <x:v>0</x:v>
      </x:c>
      <x:c r="J992" s="45" t="str">
        <x:f>IF(I992=0,"CLEAR","QUEUED")</x:f>
        <x:v>CLEAR</x:v>
      </x:c>
      <x:c r="K992" s="72"/>
      <x:c r="L992" s="72"/>
      <x:c r="M992" s="72"/>
      <x:c r="N992" s="72"/>
    </x:row>
    <x:row r="993">
      <x:c r="C993" s="45" t="str">
        <x:f>'Path Daily'!C993</x:f>
        <x:v>P10</x:v>
      </x:c>
      <x:c r="D993" s="45" t="n">
        <x:f>'Path Daily'!D993</x:f>
        <x:v>76</x:v>
      </x:c>
      <x:c r="E993" s="53" t="n">
        <x:f>IF(D993=0,SUMIFS('Cargo Records'!$T$7:$T$70,'Cargo Records'!$J$7:$J$70,C993),0)</x:f>
        <x:v>0</x:v>
      </x:c>
      <x:c r="F993" s="53" t="n">
        <x:f>I992</x:f>
        <x:v>0</x:v>
      </x:c>
      <x:c r="G993" s="53" t="n">
        <x:f>'Path Daily'!M993</x:f>
        <x:v>9690</x:v>
      </x:c>
      <x:c r="H993" s="53" t="n">
        <x:f>MIN(E993+F993,G993)</x:f>
        <x:v>0</x:v>
      </x:c>
      <x:c r="I993" s="53" t="n">
        <x:f>E993+F993-H993</x:f>
        <x:v>0</x:v>
      </x:c>
      <x:c r="J993" s="45" t="str">
        <x:f>IF(I993=0,"CLEAR","QUEUED")</x:f>
        <x:v>CLEAR</x:v>
      </x:c>
      <x:c r="K993" s="72"/>
      <x:c r="L993" s="72"/>
      <x:c r="M993" s="72"/>
      <x:c r="N993" s="72"/>
    </x:row>
    <x:row r="994">
      <x:c r="C994" s="45" t="str">
        <x:f>'Path Daily'!C994</x:f>
        <x:v>P10</x:v>
      </x:c>
      <x:c r="D994" s="45" t="n">
        <x:f>'Path Daily'!D994</x:f>
        <x:v>77</x:v>
      </x:c>
      <x:c r="E994" s="53" t="n">
        <x:f>IF(D994=0,SUMIFS('Cargo Records'!$T$7:$T$70,'Cargo Records'!$J$7:$J$70,C994),0)</x:f>
        <x:v>0</x:v>
      </x:c>
      <x:c r="F994" s="53" t="n">
        <x:f>I993</x:f>
        <x:v>0</x:v>
      </x:c>
      <x:c r="G994" s="53" t="n">
        <x:f>'Path Daily'!M994</x:f>
        <x:v>9690</x:v>
      </x:c>
      <x:c r="H994" s="53" t="n">
        <x:f>MIN(E994+F994,G994)</x:f>
        <x:v>0</x:v>
      </x:c>
      <x:c r="I994" s="53" t="n">
        <x:f>E994+F994-H994</x:f>
        <x:v>0</x:v>
      </x:c>
      <x:c r="J994" s="45" t="str">
        <x:f>IF(I994=0,"CLEAR","QUEUED")</x:f>
        <x:v>CLEAR</x:v>
      </x:c>
      <x:c r="K994" s="72"/>
      <x:c r="L994" s="72"/>
      <x:c r="M994" s="72"/>
      <x:c r="N994" s="72"/>
    </x:row>
    <x:row r="995">
      <x:c r="C995" s="45" t="str">
        <x:f>'Path Daily'!C995</x:f>
        <x:v>P10</x:v>
      </x:c>
      <x:c r="D995" s="45" t="n">
        <x:f>'Path Daily'!D995</x:f>
        <x:v>78</x:v>
      </x:c>
      <x:c r="E995" s="53" t="n">
        <x:f>IF(D995=0,SUMIFS('Cargo Records'!$T$7:$T$70,'Cargo Records'!$J$7:$J$70,C995),0)</x:f>
        <x:v>0</x:v>
      </x:c>
      <x:c r="F995" s="53" t="n">
        <x:f>I994</x:f>
        <x:v>0</x:v>
      </x:c>
      <x:c r="G995" s="53" t="n">
        <x:f>'Path Daily'!M995</x:f>
        <x:v>9690</x:v>
      </x:c>
      <x:c r="H995" s="53" t="n">
        <x:f>MIN(E995+F995,G995)</x:f>
        <x:v>0</x:v>
      </x:c>
      <x:c r="I995" s="53" t="n">
        <x:f>E995+F995-H995</x:f>
        <x:v>0</x:v>
      </x:c>
      <x:c r="J995" s="45" t="str">
        <x:f>IF(I995=0,"CLEAR","QUEUED")</x:f>
        <x:v>CLEAR</x:v>
      </x:c>
      <x:c r="K995" s="72"/>
      <x:c r="L995" s="72"/>
      <x:c r="M995" s="72"/>
      <x:c r="N995" s="72"/>
    </x:row>
    <x:row r="996">
      <x:c r="C996" s="45" t="str">
        <x:f>'Path Daily'!C996</x:f>
        <x:v>P10</x:v>
      </x:c>
      <x:c r="D996" s="45" t="n">
        <x:f>'Path Daily'!D996</x:f>
        <x:v>79</x:v>
      </x:c>
      <x:c r="E996" s="53" t="n">
        <x:f>IF(D996=0,SUMIFS('Cargo Records'!$T$7:$T$70,'Cargo Records'!$J$7:$J$70,C996),0)</x:f>
        <x:v>0</x:v>
      </x:c>
      <x:c r="F996" s="53" t="n">
        <x:f>I995</x:f>
        <x:v>0</x:v>
      </x:c>
      <x:c r="G996" s="53" t="n">
        <x:f>'Path Daily'!M996</x:f>
        <x:v>9690</x:v>
      </x:c>
      <x:c r="H996" s="53" t="n">
        <x:f>MIN(E996+F996,G996)</x:f>
        <x:v>0</x:v>
      </x:c>
      <x:c r="I996" s="53" t="n">
        <x:f>E996+F996-H996</x:f>
        <x:v>0</x:v>
      </x:c>
      <x:c r="J996" s="45" t="str">
        <x:f>IF(I996=0,"CLEAR","QUEUED")</x:f>
        <x:v>CLEAR</x:v>
      </x:c>
      <x:c r="K996" s="72"/>
      <x:c r="L996" s="72"/>
      <x:c r="M996" s="72"/>
      <x:c r="N996" s="72"/>
    </x:row>
    <x:row r="997">
      <x:c r="C997" s="45" t="str">
        <x:f>'Path Daily'!C997</x:f>
        <x:v>P10</x:v>
      </x:c>
      <x:c r="D997" s="45" t="n">
        <x:f>'Path Daily'!D997</x:f>
        <x:v>80</x:v>
      </x:c>
      <x:c r="E997" s="53" t="n">
        <x:f>IF(D997=0,SUMIFS('Cargo Records'!$T$7:$T$70,'Cargo Records'!$J$7:$J$70,C997),0)</x:f>
        <x:v>0</x:v>
      </x:c>
      <x:c r="F997" s="53" t="n">
        <x:f>I996</x:f>
        <x:v>0</x:v>
      </x:c>
      <x:c r="G997" s="53" t="n">
        <x:f>'Path Daily'!M997</x:f>
        <x:v>9690</x:v>
      </x:c>
      <x:c r="H997" s="53" t="n">
        <x:f>MIN(E997+F997,G997)</x:f>
        <x:v>0</x:v>
      </x:c>
      <x:c r="I997" s="53" t="n">
        <x:f>E997+F997-H997</x:f>
        <x:v>0</x:v>
      </x:c>
      <x:c r="J997" s="45" t="str">
        <x:f>IF(I997=0,"CLEAR","QUEUED")</x:f>
        <x:v>CLEAR</x:v>
      </x:c>
      <x:c r="K997" s="72"/>
      <x:c r="L997" s="72"/>
      <x:c r="M997" s="72"/>
      <x:c r="N997" s="72"/>
    </x:row>
    <x:row r="998">
      <x:c r="C998" s="45" t="str">
        <x:f>'Path Daily'!C998</x:f>
        <x:v>P10</x:v>
      </x:c>
      <x:c r="D998" s="45" t="n">
        <x:f>'Path Daily'!D998</x:f>
        <x:v>81</x:v>
      </x:c>
      <x:c r="E998" s="53" t="n">
        <x:f>IF(D998=0,SUMIFS('Cargo Records'!$T$7:$T$70,'Cargo Records'!$J$7:$J$70,C998),0)</x:f>
        <x:v>0</x:v>
      </x:c>
      <x:c r="F998" s="53" t="n">
        <x:f>I997</x:f>
        <x:v>0</x:v>
      </x:c>
      <x:c r="G998" s="53" t="n">
        <x:f>'Path Daily'!M998</x:f>
        <x:v>9690</x:v>
      </x:c>
      <x:c r="H998" s="53" t="n">
        <x:f>MIN(E998+F998,G998)</x:f>
        <x:v>0</x:v>
      </x:c>
      <x:c r="I998" s="53" t="n">
        <x:f>E998+F998-H998</x:f>
        <x:v>0</x:v>
      </x:c>
      <x:c r="J998" s="45" t="str">
        <x:f>IF(I998=0,"CLEAR","QUEUED")</x:f>
        <x:v>CLEAR</x:v>
      </x:c>
      <x:c r="K998" s="72"/>
      <x:c r="L998" s="72"/>
      <x:c r="M998" s="72"/>
      <x:c r="N998" s="72"/>
    </x:row>
    <x:row r="999">
      <x:c r="C999" s="45" t="str">
        <x:f>'Path Daily'!C999</x:f>
        <x:v>P10</x:v>
      </x:c>
      <x:c r="D999" s="45" t="n">
        <x:f>'Path Daily'!D999</x:f>
        <x:v>82</x:v>
      </x:c>
      <x:c r="E999" s="53" t="n">
        <x:f>IF(D999=0,SUMIFS('Cargo Records'!$T$7:$T$70,'Cargo Records'!$J$7:$J$70,C999),0)</x:f>
        <x:v>0</x:v>
      </x:c>
      <x:c r="F999" s="53" t="n">
        <x:f>I998</x:f>
        <x:v>0</x:v>
      </x:c>
      <x:c r="G999" s="53" t="n">
        <x:f>'Path Daily'!M999</x:f>
        <x:v>9690</x:v>
      </x:c>
      <x:c r="H999" s="53" t="n">
        <x:f>MIN(E999+F999,G999)</x:f>
        <x:v>0</x:v>
      </x:c>
      <x:c r="I999" s="53" t="n">
        <x:f>E999+F999-H999</x:f>
        <x:v>0</x:v>
      </x:c>
      <x:c r="J999" s="45" t="str">
        <x:f>IF(I999=0,"CLEAR","QUEUED")</x:f>
        <x:v>CLEAR</x:v>
      </x:c>
      <x:c r="K999" s="72"/>
      <x:c r="L999" s="72"/>
      <x:c r="M999" s="72"/>
      <x:c r="N999" s="72"/>
    </x:row>
    <x:row r="1000">
      <x:c r="C1000" s="45" t="str">
        <x:f>'Path Daily'!C1000</x:f>
        <x:v>P10</x:v>
      </x:c>
      <x:c r="D1000" s="45" t="n">
        <x:f>'Path Daily'!D1000</x:f>
        <x:v>83</x:v>
      </x:c>
      <x:c r="E1000" s="53" t="n">
        <x:f>IF(D1000=0,SUMIFS('Cargo Records'!$T$7:$T$70,'Cargo Records'!$J$7:$J$70,C1000),0)</x:f>
        <x:v>0</x:v>
      </x:c>
      <x:c r="F1000" s="53" t="n">
        <x:f>I999</x:f>
        <x:v>0</x:v>
      </x:c>
      <x:c r="G1000" s="53" t="n">
        <x:f>'Path Daily'!M1000</x:f>
        <x:v>9690</x:v>
      </x:c>
      <x:c r="H1000" s="53" t="n">
        <x:f>MIN(E1000+F1000,G1000)</x:f>
        <x:v>0</x:v>
      </x:c>
      <x:c r="I1000" s="53" t="n">
        <x:f>E1000+F1000-H1000</x:f>
        <x:v>0</x:v>
      </x:c>
      <x:c r="J1000" s="45" t="str">
        <x:f>IF(I1000=0,"CLEAR","QUEUED")</x:f>
        <x:v>CLEAR</x:v>
      </x:c>
      <x:c r="K1000" s="72"/>
      <x:c r="L1000" s="72"/>
      <x:c r="M1000" s="72"/>
      <x:c r="N1000" s="72"/>
    </x:row>
    <x:row r="1001">
      <x:c r="C1001" s="45" t="str">
        <x:f>'Path Daily'!C1001</x:f>
        <x:v>P10</x:v>
      </x:c>
      <x:c r="D1001" s="45" t="n">
        <x:f>'Path Daily'!D1001</x:f>
        <x:v>84</x:v>
      </x:c>
      <x:c r="E1001" s="53" t="n">
        <x:f>IF(D1001=0,SUMIFS('Cargo Records'!$T$7:$T$70,'Cargo Records'!$J$7:$J$70,C1001),0)</x:f>
        <x:v>0</x:v>
      </x:c>
      <x:c r="F1001" s="53" t="n">
        <x:f>I1000</x:f>
        <x:v>0</x:v>
      </x:c>
      <x:c r="G1001" s="53" t="n">
        <x:f>'Path Daily'!M1001</x:f>
        <x:v>9690</x:v>
      </x:c>
      <x:c r="H1001" s="53" t="n">
        <x:f>MIN(E1001+F1001,G1001)</x:f>
        <x:v>0</x:v>
      </x:c>
      <x:c r="I1001" s="53" t="n">
        <x:f>E1001+F1001-H1001</x:f>
        <x:v>0</x:v>
      </x:c>
      <x:c r="J1001" s="45" t="str">
        <x:f>IF(I1001=0,"CLEAR","QUEUED")</x:f>
        <x:v>CLEAR</x:v>
      </x:c>
      <x:c r="K1001" s="72"/>
      <x:c r="L1001" s="72"/>
      <x:c r="M1001" s="72"/>
      <x:c r="N1001" s="72"/>
    </x:row>
    <x:row r="1002">
      <x:c r="C1002" s="45" t="str">
        <x:f>'Path Daily'!C1002</x:f>
        <x:v>P10</x:v>
      </x:c>
      <x:c r="D1002" s="45" t="n">
        <x:f>'Path Daily'!D1002</x:f>
        <x:v>85</x:v>
      </x:c>
      <x:c r="E1002" s="53" t="n">
        <x:f>IF(D1002=0,SUMIFS('Cargo Records'!$T$7:$T$70,'Cargo Records'!$J$7:$J$70,C1002),0)</x:f>
        <x:v>0</x:v>
      </x:c>
      <x:c r="F1002" s="53" t="n">
        <x:f>I1001</x:f>
        <x:v>0</x:v>
      </x:c>
      <x:c r="G1002" s="53" t="n">
        <x:f>'Path Daily'!M1002</x:f>
        <x:v>9690</x:v>
      </x:c>
      <x:c r="H1002" s="53" t="n">
        <x:f>MIN(E1002+F1002,G1002)</x:f>
        <x:v>0</x:v>
      </x:c>
      <x:c r="I1002" s="53" t="n">
        <x:f>E1002+F1002-H1002</x:f>
        <x:v>0</x:v>
      </x:c>
      <x:c r="J1002" s="45" t="str">
        <x:f>IF(I1002=0,"CLEAR","QUEUED")</x:f>
        <x:v>CLEAR</x:v>
      </x:c>
      <x:c r="K1002" s="72"/>
      <x:c r="L1002" s="72"/>
      <x:c r="M1002" s="72"/>
      <x:c r="N1002" s="72"/>
    </x:row>
    <x:row r="1003">
      <x:c r="C1003" s="45" t="str">
        <x:f>'Path Daily'!C1003</x:f>
        <x:v>P10</x:v>
      </x:c>
      <x:c r="D1003" s="45" t="n">
        <x:f>'Path Daily'!D1003</x:f>
        <x:v>86</x:v>
      </x:c>
      <x:c r="E1003" s="53" t="n">
        <x:f>IF(D1003=0,SUMIFS('Cargo Records'!$T$7:$T$70,'Cargo Records'!$J$7:$J$70,C1003),0)</x:f>
        <x:v>0</x:v>
      </x:c>
      <x:c r="F1003" s="53" t="n">
        <x:f>I1002</x:f>
        <x:v>0</x:v>
      </x:c>
      <x:c r="G1003" s="53" t="n">
        <x:f>'Path Daily'!M1003</x:f>
        <x:v>9690</x:v>
      </x:c>
      <x:c r="H1003" s="53" t="n">
        <x:f>MIN(E1003+F1003,G1003)</x:f>
        <x:v>0</x:v>
      </x:c>
      <x:c r="I1003" s="53" t="n">
        <x:f>E1003+F1003-H1003</x:f>
        <x:v>0</x:v>
      </x:c>
      <x:c r="J1003" s="45" t="str">
        <x:f>IF(I1003=0,"CLEAR","QUEUED")</x:f>
        <x:v>CLEAR</x:v>
      </x:c>
      <x:c r="K1003" s="72"/>
      <x:c r="L1003" s="72"/>
      <x:c r="M1003" s="72"/>
      <x:c r="N1003" s="72"/>
    </x:row>
    <x:row r="1004">
      <x:c r="C1004" s="45" t="str">
        <x:f>'Path Daily'!C1004</x:f>
        <x:v>P10</x:v>
      </x:c>
      <x:c r="D1004" s="45" t="n">
        <x:f>'Path Daily'!D1004</x:f>
        <x:v>87</x:v>
      </x:c>
      <x:c r="E1004" s="53" t="n">
        <x:f>IF(D1004=0,SUMIFS('Cargo Records'!$T$7:$T$70,'Cargo Records'!$J$7:$J$70,C1004),0)</x:f>
        <x:v>0</x:v>
      </x:c>
      <x:c r="F1004" s="53" t="n">
        <x:f>I1003</x:f>
        <x:v>0</x:v>
      </x:c>
      <x:c r="G1004" s="53" t="n">
        <x:f>'Path Daily'!M1004</x:f>
        <x:v>9690</x:v>
      </x:c>
      <x:c r="H1004" s="53" t="n">
        <x:f>MIN(E1004+F1004,G1004)</x:f>
        <x:v>0</x:v>
      </x:c>
      <x:c r="I1004" s="53" t="n">
        <x:f>E1004+F1004-H1004</x:f>
        <x:v>0</x:v>
      </x:c>
      <x:c r="J1004" s="45" t="str">
        <x:f>IF(I1004=0,"CLEAR","QUEUED")</x:f>
        <x:v>CLEAR</x:v>
      </x:c>
      <x:c r="K1004" s="72"/>
      <x:c r="L1004" s="72"/>
      <x:c r="M1004" s="72"/>
      <x:c r="N1004" s="72"/>
    </x:row>
    <x:row r="1005">
      <x:c r="C1005" s="45" t="str">
        <x:f>'Path Daily'!C1005</x:f>
        <x:v>P10</x:v>
      </x:c>
      <x:c r="D1005" s="45" t="n">
        <x:f>'Path Daily'!D1005</x:f>
        <x:v>88</x:v>
      </x:c>
      <x:c r="E1005" s="53" t="n">
        <x:f>IF(D1005=0,SUMIFS('Cargo Records'!$T$7:$T$70,'Cargo Records'!$J$7:$J$70,C1005),0)</x:f>
        <x:v>0</x:v>
      </x:c>
      <x:c r="F1005" s="53" t="n">
        <x:f>I1004</x:f>
        <x:v>0</x:v>
      </x:c>
      <x:c r="G1005" s="53" t="n">
        <x:f>'Path Daily'!M1005</x:f>
        <x:v>9690</x:v>
      </x:c>
      <x:c r="H1005" s="53" t="n">
        <x:f>MIN(E1005+F1005,G1005)</x:f>
        <x:v>0</x:v>
      </x:c>
      <x:c r="I1005" s="53" t="n">
        <x:f>E1005+F1005-H1005</x:f>
        <x:v>0</x:v>
      </x:c>
      <x:c r="J1005" s="45" t="str">
        <x:f>IF(I1005=0,"CLEAR","QUEUED")</x:f>
        <x:v>CLEAR</x:v>
      </x:c>
      <x:c r="K1005" s="72"/>
      <x:c r="L1005" s="72"/>
      <x:c r="M1005" s="72"/>
      <x:c r="N1005" s="72"/>
    </x:row>
    <x:row r="1006">
      <x:c r="C1006" s="45" t="str">
        <x:f>'Path Daily'!C1006</x:f>
        <x:v>P10</x:v>
      </x:c>
      <x:c r="D1006" s="45" t="n">
        <x:f>'Path Daily'!D1006</x:f>
        <x:v>89</x:v>
      </x:c>
      <x:c r="E1006" s="53" t="n">
        <x:f>IF(D1006=0,SUMIFS('Cargo Records'!$T$7:$T$70,'Cargo Records'!$J$7:$J$70,C1006),0)</x:f>
        <x:v>0</x:v>
      </x:c>
      <x:c r="F1006" s="53" t="n">
        <x:f>I1005</x:f>
        <x:v>0</x:v>
      </x:c>
      <x:c r="G1006" s="53" t="n">
        <x:f>'Path Daily'!M1006</x:f>
        <x:v>9690</x:v>
      </x:c>
      <x:c r="H1006" s="53" t="n">
        <x:f>MIN(E1006+F1006,G1006)</x:f>
        <x:v>0</x:v>
      </x:c>
      <x:c r="I1006" s="53" t="n">
        <x:f>E1006+F1006-H1006</x:f>
        <x:v>0</x:v>
      </x:c>
      <x:c r="J1006" s="45" t="str">
        <x:f>IF(I1006=0,"CLEAR","QUEUED")</x:f>
        <x:v>CLEAR</x:v>
      </x:c>
      <x:c r="K1006" s="72"/>
      <x:c r="L1006" s="72"/>
      <x:c r="M1006" s="72"/>
      <x:c r="N1006" s="72"/>
    </x:row>
    <x:row r="1007">
      <x:c r="C1007" s="45" t="str">
        <x:f>'Path Daily'!C1007</x:f>
        <x:v>P10</x:v>
      </x:c>
      <x:c r="D1007" s="45" t="n">
        <x:f>'Path Daily'!D1007</x:f>
        <x:v>90</x:v>
      </x:c>
      <x:c r="E1007" s="53" t="n">
        <x:f>IF(D1007=0,SUMIFS('Cargo Records'!$T$7:$T$70,'Cargo Records'!$J$7:$J$70,C1007),0)</x:f>
        <x:v>0</x:v>
      </x:c>
      <x:c r="F1007" s="53" t="n">
        <x:f>I1006</x:f>
        <x:v>0</x:v>
      </x:c>
      <x:c r="G1007" s="53" t="n">
        <x:f>'Path Daily'!M1007</x:f>
        <x:v>9690</x:v>
      </x:c>
      <x:c r="H1007" s="53" t="n">
        <x:f>MIN(E1007+F1007,G1007)</x:f>
        <x:v>0</x:v>
      </x:c>
      <x:c r="I1007" s="53" t="n">
        <x:f>E1007+F1007-H1007</x:f>
        <x:v>0</x:v>
      </x:c>
      <x:c r="J1007" s="45" t="str">
        <x:f>IF(I1007=0,"CLEAR","QUEUED")</x:f>
        <x:v>CLEAR</x:v>
      </x:c>
      <x:c r="K1007" s="72"/>
      <x:c r="L1007" s="72"/>
      <x:c r="M1007" s="72"/>
      <x:c r="N1007" s="72"/>
    </x:row>
    <x:row r="1008">
      <x:c r="C1008" s="45" t="str">
        <x:f>'Path Daily'!C1008</x:f>
        <x:v>P11</x:v>
      </x:c>
      <x:c r="D1008" s="45" t="n">
        <x:f>'Path Daily'!D1008</x:f>
        <x:v>0</x:v>
      </x:c>
      <x:c r="E1008" s="53" t="n">
        <x:f>IF(D1008=0,SUMIFS('Cargo Records'!$T$7:$T$70,'Cargo Records'!$J$7:$J$70,C1008),0)</x:f>
        <x:v>285545.45454545453</x:v>
      </x:c>
      <x:c r="F1008" s="53" t="n">
        <x:f>0</x:f>
        <x:v>0</x:v>
      </x:c>
      <x:c r="G1008" s="53" t="n">
        <x:f>'Path Daily'!M1008</x:f>
        <x:v>0</x:v>
      </x:c>
      <x:c r="H1008" s="53" t="n">
        <x:f>MIN(E1008+F1008,G1008)</x:f>
        <x:v>0</x:v>
      </x:c>
      <x:c r="I1008" s="53" t="n">
        <x:f>E1008+F1008-H1008</x:f>
        <x:v>285545.45454545453</x:v>
      </x:c>
      <x:c r="J1008" s="45" t="str">
        <x:f>IF(I1008=0,"CLEAR","QUEUED")</x:f>
        <x:v>QUEUED</x:v>
      </x:c>
      <x:c r="K1008" s="72"/>
      <x:c r="L1008" s="72"/>
      <x:c r="M1008" s="72"/>
      <x:c r="N1008" s="72"/>
    </x:row>
    <x:row r="1009">
      <x:c r="C1009" s="45" t="str">
        <x:f>'Path Daily'!C1009</x:f>
        <x:v>P11</x:v>
      </x:c>
      <x:c r="D1009" s="45" t="n">
        <x:f>'Path Daily'!D1009</x:f>
        <x:v>1</x:v>
      </x:c>
      <x:c r="E1009" s="53" t="n">
        <x:f>IF(D1009=0,SUMIFS('Cargo Records'!$T$7:$T$70,'Cargo Records'!$J$7:$J$70,C1009),0)</x:f>
        <x:v>0</x:v>
      </x:c>
      <x:c r="F1009" s="53" t="n">
        <x:f>I1008</x:f>
        <x:v>285545.45454545453</x:v>
      </x:c>
      <x:c r="G1009" s="53" t="n">
        <x:f>'Path Daily'!M1009</x:f>
        <x:v>0</x:v>
      </x:c>
      <x:c r="H1009" s="53" t="n">
        <x:f>MIN(E1009+F1009,G1009)</x:f>
        <x:v>0</x:v>
      </x:c>
      <x:c r="I1009" s="53" t="n">
        <x:f>E1009+F1009-H1009</x:f>
        <x:v>285545.45454545453</x:v>
      </x:c>
      <x:c r="J1009" s="45" t="str">
        <x:f>IF(I1009=0,"CLEAR","QUEUED")</x:f>
        <x:v>QUEUED</x:v>
      </x:c>
      <x:c r="K1009" s="72"/>
      <x:c r="L1009" s="72"/>
      <x:c r="M1009" s="72"/>
      <x:c r="N1009" s="72"/>
    </x:row>
    <x:row r="1010">
      <x:c r="C1010" s="45" t="str">
        <x:f>'Path Daily'!C1010</x:f>
        <x:v>P11</x:v>
      </x:c>
      <x:c r="D1010" s="45" t="n">
        <x:f>'Path Daily'!D1010</x:f>
        <x:v>2</x:v>
      </x:c>
      <x:c r="E1010" s="53" t="n">
        <x:f>IF(D1010=0,SUMIFS('Cargo Records'!$T$7:$T$70,'Cargo Records'!$J$7:$J$70,C1010),0)</x:f>
        <x:v>0</x:v>
      </x:c>
      <x:c r="F1010" s="53" t="n">
        <x:f>I1009</x:f>
        <x:v>285545.45454545453</x:v>
      </x:c>
      <x:c r="G1010" s="53" t="n">
        <x:f>'Path Daily'!M1010</x:f>
        <x:v>10304</x:v>
      </x:c>
      <x:c r="H1010" s="53" t="n">
        <x:f>MIN(E1010+F1010,G1010)</x:f>
        <x:v>10304</x:v>
      </x:c>
      <x:c r="I1010" s="53" t="n">
        <x:f>E1010+F1010-H1010</x:f>
        <x:v>275241.45454545453</x:v>
      </x:c>
      <x:c r="J1010" s="45" t="str">
        <x:f>IF(I1010=0,"CLEAR","QUEUED")</x:f>
        <x:v>QUEUED</x:v>
      </x:c>
      <x:c r="K1010" s="72"/>
      <x:c r="L1010" s="72"/>
      <x:c r="M1010" s="72"/>
      <x:c r="N1010" s="72"/>
    </x:row>
    <x:row r="1011">
      <x:c r="C1011" s="45" t="str">
        <x:f>'Path Daily'!C1011</x:f>
        <x:v>P11</x:v>
      </x:c>
      <x:c r="D1011" s="45" t="n">
        <x:f>'Path Daily'!D1011</x:f>
        <x:v>3</x:v>
      </x:c>
      <x:c r="E1011" s="53" t="n">
        <x:f>IF(D1011=0,SUMIFS('Cargo Records'!$T$7:$T$70,'Cargo Records'!$J$7:$J$70,C1011),0)</x:f>
        <x:v>0</x:v>
      </x:c>
      <x:c r="F1011" s="53" t="n">
        <x:f>I1010</x:f>
        <x:v>275241.45454545453</x:v>
      </x:c>
      <x:c r="G1011" s="53" t="n">
        <x:f>'Path Daily'!M1011</x:f>
        <x:v>10304</x:v>
      </x:c>
      <x:c r="H1011" s="53" t="n">
        <x:f>MIN(E1011+F1011,G1011)</x:f>
        <x:v>10304</x:v>
      </x:c>
      <x:c r="I1011" s="53" t="n">
        <x:f>E1011+F1011-H1011</x:f>
        <x:v>264937.45454545453</x:v>
      </x:c>
      <x:c r="J1011" s="45" t="str">
        <x:f>IF(I1011=0,"CLEAR","QUEUED")</x:f>
        <x:v>QUEUED</x:v>
      </x:c>
      <x:c r="K1011" s="72"/>
      <x:c r="L1011" s="72"/>
      <x:c r="M1011" s="72"/>
      <x:c r="N1011" s="72"/>
    </x:row>
    <x:row r="1012">
      <x:c r="C1012" s="45" t="str">
        <x:f>'Path Daily'!C1012</x:f>
        <x:v>P11</x:v>
      </x:c>
      <x:c r="D1012" s="45" t="n">
        <x:f>'Path Daily'!D1012</x:f>
        <x:v>4</x:v>
      </x:c>
      <x:c r="E1012" s="53" t="n">
        <x:f>IF(D1012=0,SUMIFS('Cargo Records'!$T$7:$T$70,'Cargo Records'!$J$7:$J$70,C1012),0)</x:f>
        <x:v>0</x:v>
      </x:c>
      <x:c r="F1012" s="53" t="n">
        <x:f>I1011</x:f>
        <x:v>264937.45454545453</x:v>
      </x:c>
      <x:c r="G1012" s="53" t="n">
        <x:f>'Path Daily'!M1012</x:f>
        <x:v>8372</x:v>
      </x:c>
      <x:c r="H1012" s="53" t="n">
        <x:f>MIN(E1012+F1012,G1012)</x:f>
        <x:v>8372</x:v>
      </x:c>
      <x:c r="I1012" s="53" t="n">
        <x:f>E1012+F1012-H1012</x:f>
        <x:v>256565.45454545453</x:v>
      </x:c>
      <x:c r="J1012" s="45" t="str">
        <x:f>IF(I1012=0,"CLEAR","QUEUED")</x:f>
        <x:v>QUEUED</x:v>
      </x:c>
      <x:c r="K1012" s="72"/>
      <x:c r="L1012" s="72"/>
      <x:c r="M1012" s="72"/>
      <x:c r="N1012" s="72"/>
    </x:row>
    <x:row r="1013">
      <x:c r="C1013" s="45" t="str">
        <x:f>'Path Daily'!C1013</x:f>
        <x:v>P11</x:v>
      </x:c>
      <x:c r="D1013" s="45" t="n">
        <x:f>'Path Daily'!D1013</x:f>
        <x:v>5</x:v>
      </x:c>
      <x:c r="E1013" s="53" t="n">
        <x:f>IF(D1013=0,SUMIFS('Cargo Records'!$T$7:$T$70,'Cargo Records'!$J$7:$J$70,C1013),0)</x:f>
        <x:v>0</x:v>
      </x:c>
      <x:c r="F1013" s="53" t="n">
        <x:f>I1012</x:f>
        <x:v>256565.45454545453</x:v>
      </x:c>
      <x:c r="G1013" s="53" t="n">
        <x:f>'Path Daily'!M1013</x:f>
        <x:v>8372</x:v>
      </x:c>
      <x:c r="H1013" s="53" t="n">
        <x:f>MIN(E1013+F1013,G1013)</x:f>
        <x:v>8372</x:v>
      </x:c>
      <x:c r="I1013" s="53" t="n">
        <x:f>E1013+F1013-H1013</x:f>
        <x:v>248193.45454545453</x:v>
      </x:c>
      <x:c r="J1013" s="45" t="str">
        <x:f>IF(I1013=0,"CLEAR","QUEUED")</x:f>
        <x:v>QUEUED</x:v>
      </x:c>
      <x:c r="K1013" s="72"/>
      <x:c r="L1013" s="72"/>
      <x:c r="M1013" s="72"/>
      <x:c r="N1013" s="72"/>
    </x:row>
    <x:row r="1014">
      <x:c r="C1014" s="45" t="str">
        <x:f>'Path Daily'!C1014</x:f>
        <x:v>P11</x:v>
      </x:c>
      <x:c r="D1014" s="45" t="n">
        <x:f>'Path Daily'!D1014</x:f>
        <x:v>6</x:v>
      </x:c>
      <x:c r="E1014" s="53" t="n">
        <x:f>IF(D1014=0,SUMIFS('Cargo Records'!$T$7:$T$70,'Cargo Records'!$J$7:$J$70,C1014),0)</x:f>
        <x:v>0</x:v>
      </x:c>
      <x:c r="F1014" s="53" t="n">
        <x:f>I1013</x:f>
        <x:v>248193.45454545453</x:v>
      </x:c>
      <x:c r="G1014" s="53" t="n">
        <x:f>'Path Daily'!M1014</x:f>
        <x:v>6697.6</x:v>
      </x:c>
      <x:c r="H1014" s="53" t="n">
        <x:f>MIN(E1014+F1014,G1014)</x:f>
        <x:v>6697.6</x:v>
      </x:c>
      <x:c r="I1014" s="53" t="n">
        <x:f>E1014+F1014-H1014</x:f>
        <x:v>241495.85454545452</x:v>
      </x:c>
      <x:c r="J1014" s="45" t="str">
        <x:f>IF(I1014=0,"CLEAR","QUEUED")</x:f>
        <x:v>QUEUED</x:v>
      </x:c>
      <x:c r="K1014" s="72"/>
      <x:c r="L1014" s="72"/>
      <x:c r="M1014" s="72"/>
      <x:c r="N1014" s="72"/>
    </x:row>
    <x:row r="1015">
      <x:c r="C1015" s="45" t="str">
        <x:f>'Path Daily'!C1015</x:f>
        <x:v>P11</x:v>
      </x:c>
      <x:c r="D1015" s="45" t="n">
        <x:f>'Path Daily'!D1015</x:f>
        <x:v>7</x:v>
      </x:c>
      <x:c r="E1015" s="53" t="n">
        <x:f>IF(D1015=0,SUMIFS('Cargo Records'!$T$7:$T$70,'Cargo Records'!$J$7:$J$70,C1015),0)</x:f>
        <x:v>0</x:v>
      </x:c>
      <x:c r="F1015" s="53" t="n">
        <x:f>I1014</x:f>
        <x:v>241495.85454545452</x:v>
      </x:c>
      <x:c r="G1015" s="53" t="n">
        <x:f>'Path Daily'!M1015</x:f>
        <x:v>6697.6</x:v>
      </x:c>
      <x:c r="H1015" s="53" t="n">
        <x:f>MIN(E1015+F1015,G1015)</x:f>
        <x:v>6697.6</x:v>
      </x:c>
      <x:c r="I1015" s="53" t="n">
        <x:f>E1015+F1015-H1015</x:f>
        <x:v>234798.25454545452</x:v>
      </x:c>
      <x:c r="J1015" s="45" t="str">
        <x:f>IF(I1015=0,"CLEAR","QUEUED")</x:f>
        <x:v>QUEUED</x:v>
      </x:c>
      <x:c r="K1015" s="72"/>
      <x:c r="L1015" s="72"/>
      <x:c r="M1015" s="72"/>
      <x:c r="N1015" s="72"/>
    </x:row>
    <x:row r="1016">
      <x:c r="C1016" s="45" t="str">
        <x:f>'Path Daily'!C1016</x:f>
        <x:v>P11</x:v>
      </x:c>
      <x:c r="D1016" s="45" t="n">
        <x:f>'Path Daily'!D1016</x:f>
        <x:v>8</x:v>
      </x:c>
      <x:c r="E1016" s="53" t="n">
        <x:f>IF(D1016=0,SUMIFS('Cargo Records'!$T$7:$T$70,'Cargo Records'!$J$7:$J$70,C1016),0)</x:f>
        <x:v>0</x:v>
      </x:c>
      <x:c r="F1016" s="53" t="n">
        <x:f>I1015</x:f>
        <x:v>234798.25454545452</x:v>
      </x:c>
      <x:c r="G1016" s="53" t="n">
        <x:f>'Path Daily'!M1016</x:f>
        <x:v>13156</x:v>
      </x:c>
      <x:c r="H1016" s="53" t="n">
        <x:f>MIN(E1016+F1016,G1016)</x:f>
        <x:v>13156</x:v>
      </x:c>
      <x:c r="I1016" s="53" t="n">
        <x:f>E1016+F1016-H1016</x:f>
        <x:v>221642.25454545452</x:v>
      </x:c>
      <x:c r="J1016" s="45" t="str">
        <x:f>IF(I1016=0,"CLEAR","QUEUED")</x:f>
        <x:v>QUEUED</x:v>
      </x:c>
      <x:c r="K1016" s="72"/>
      <x:c r="L1016" s="72"/>
      <x:c r="M1016" s="72"/>
      <x:c r="N1016" s="72"/>
    </x:row>
    <x:row r="1017">
      <x:c r="C1017" s="45" t="str">
        <x:f>'Path Daily'!C1017</x:f>
        <x:v>P11</x:v>
      </x:c>
      <x:c r="D1017" s="45" t="n">
        <x:f>'Path Daily'!D1017</x:f>
        <x:v>9</x:v>
      </x:c>
      <x:c r="E1017" s="53" t="n">
        <x:f>IF(D1017=0,SUMIFS('Cargo Records'!$T$7:$T$70,'Cargo Records'!$J$7:$J$70,C1017),0)</x:f>
        <x:v>0</x:v>
      </x:c>
      <x:c r="F1017" s="53" t="n">
        <x:f>I1016</x:f>
        <x:v>221642.25454545452</x:v>
      </x:c>
      <x:c r="G1017" s="53" t="n">
        <x:f>'Path Daily'!M1017</x:f>
        <x:v>13156</x:v>
      </x:c>
      <x:c r="H1017" s="53" t="n">
        <x:f>MIN(E1017+F1017,G1017)</x:f>
        <x:v>13156</x:v>
      </x:c>
      <x:c r="I1017" s="53" t="n">
        <x:f>E1017+F1017-H1017</x:f>
        <x:v>208486.25454545452</x:v>
      </x:c>
      <x:c r="J1017" s="45" t="str">
        <x:f>IF(I1017=0,"CLEAR","QUEUED")</x:f>
        <x:v>QUEUED</x:v>
      </x:c>
      <x:c r="K1017" s="72"/>
      <x:c r="L1017" s="72"/>
      <x:c r="M1017" s="72"/>
      <x:c r="N1017" s="72"/>
    </x:row>
    <x:row r="1018">
      <x:c r="C1018" s="45" t="str">
        <x:f>'Path Daily'!C1018</x:f>
        <x:v>P11</x:v>
      </x:c>
      <x:c r="D1018" s="45" t="n">
        <x:f>'Path Daily'!D1018</x:f>
        <x:v>10</x:v>
      </x:c>
      <x:c r="E1018" s="53" t="n">
        <x:f>IF(D1018=0,SUMIFS('Cargo Records'!$T$7:$T$70,'Cargo Records'!$J$7:$J$70,C1018),0)</x:f>
        <x:v>0</x:v>
      </x:c>
      <x:c r="F1018" s="53" t="n">
        <x:f>I1017</x:f>
        <x:v>208486.25454545452</x:v>
      </x:c>
      <x:c r="G1018" s="53" t="n">
        <x:f>'Path Daily'!M1018</x:f>
        <x:v>13156</x:v>
      </x:c>
      <x:c r="H1018" s="53" t="n">
        <x:f>MIN(E1018+F1018,G1018)</x:f>
        <x:v>13156</x:v>
      </x:c>
      <x:c r="I1018" s="53" t="n">
        <x:f>E1018+F1018-H1018</x:f>
        <x:v>195330.25454545452</x:v>
      </x:c>
      <x:c r="J1018" s="45" t="str">
        <x:f>IF(I1018=0,"CLEAR","QUEUED")</x:f>
        <x:v>QUEUED</x:v>
      </x:c>
      <x:c r="K1018" s="72"/>
      <x:c r="L1018" s="72"/>
      <x:c r="M1018" s="72"/>
      <x:c r="N1018" s="72"/>
    </x:row>
    <x:row r="1019">
      <x:c r="C1019" s="45" t="str">
        <x:f>'Path Daily'!C1019</x:f>
        <x:v>P11</x:v>
      </x:c>
      <x:c r="D1019" s="45" t="n">
        <x:f>'Path Daily'!D1019</x:f>
        <x:v>11</x:v>
      </x:c>
      <x:c r="E1019" s="53" t="n">
        <x:f>IF(D1019=0,SUMIFS('Cargo Records'!$T$7:$T$70,'Cargo Records'!$J$7:$J$70,C1019),0)</x:f>
        <x:v>0</x:v>
      </x:c>
      <x:c r="F1019" s="53" t="n">
        <x:f>I1018</x:f>
        <x:v>195330.25454545452</x:v>
      </x:c>
      <x:c r="G1019" s="53" t="n">
        <x:f>'Path Daily'!M1019</x:f>
        <x:v>13156</x:v>
      </x:c>
      <x:c r="H1019" s="53" t="n">
        <x:f>MIN(E1019+F1019,G1019)</x:f>
        <x:v>13156</x:v>
      </x:c>
      <x:c r="I1019" s="53" t="n">
        <x:f>E1019+F1019-H1019</x:f>
        <x:v>182174.25454545452</x:v>
      </x:c>
      <x:c r="J1019" s="45" t="str">
        <x:f>IF(I1019=0,"CLEAR","QUEUED")</x:f>
        <x:v>QUEUED</x:v>
      </x:c>
      <x:c r="K1019" s="72"/>
      <x:c r="L1019" s="72"/>
      <x:c r="M1019" s="72"/>
      <x:c r="N1019" s="72"/>
    </x:row>
    <x:row r="1020">
      <x:c r="C1020" s="45" t="str">
        <x:f>'Path Daily'!C1020</x:f>
        <x:v>P11</x:v>
      </x:c>
      <x:c r="D1020" s="45" t="n">
        <x:f>'Path Daily'!D1020</x:f>
        <x:v>12</x:v>
      </x:c>
      <x:c r="E1020" s="53" t="n">
        <x:f>IF(D1020=0,SUMIFS('Cargo Records'!$T$7:$T$70,'Cargo Records'!$J$7:$J$70,C1020),0)</x:f>
        <x:v>0</x:v>
      </x:c>
      <x:c r="F1020" s="53" t="n">
        <x:f>I1019</x:f>
        <x:v>182174.25454545452</x:v>
      </x:c>
      <x:c r="G1020" s="53" t="n">
        <x:f>'Path Daily'!M1020</x:f>
        <x:v>13156</x:v>
      </x:c>
      <x:c r="H1020" s="53" t="n">
        <x:f>MIN(E1020+F1020,G1020)</x:f>
        <x:v>13156</x:v>
      </x:c>
      <x:c r="I1020" s="53" t="n">
        <x:f>E1020+F1020-H1020</x:f>
        <x:v>169018.25454545452</x:v>
      </x:c>
      <x:c r="J1020" s="45" t="str">
        <x:f>IF(I1020=0,"CLEAR","QUEUED")</x:f>
        <x:v>QUEUED</x:v>
      </x:c>
      <x:c r="K1020" s="72"/>
      <x:c r="L1020" s="72"/>
      <x:c r="M1020" s="72"/>
      <x:c r="N1020" s="72"/>
    </x:row>
    <x:row r="1021">
      <x:c r="C1021" s="45" t="str">
        <x:f>'Path Daily'!C1021</x:f>
        <x:v>P11</x:v>
      </x:c>
      <x:c r="D1021" s="45" t="n">
        <x:f>'Path Daily'!D1021</x:f>
        <x:v>13</x:v>
      </x:c>
      <x:c r="E1021" s="53" t="n">
        <x:f>IF(D1021=0,SUMIFS('Cargo Records'!$T$7:$T$70,'Cargo Records'!$J$7:$J$70,C1021),0)</x:f>
        <x:v>0</x:v>
      </x:c>
      <x:c r="F1021" s="53" t="n">
        <x:f>I1020</x:f>
        <x:v>169018.25454545452</x:v>
      </x:c>
      <x:c r="G1021" s="53" t="n">
        <x:f>'Path Daily'!M1021</x:f>
        <x:v>13156</x:v>
      </x:c>
      <x:c r="H1021" s="53" t="n">
        <x:f>MIN(E1021+F1021,G1021)</x:f>
        <x:v>13156</x:v>
      </x:c>
      <x:c r="I1021" s="53" t="n">
        <x:f>E1021+F1021-H1021</x:f>
        <x:v>155862.25454545452</x:v>
      </x:c>
      <x:c r="J1021" s="45" t="str">
        <x:f>IF(I1021=0,"CLEAR","QUEUED")</x:f>
        <x:v>QUEUED</x:v>
      </x:c>
      <x:c r="K1021" s="72"/>
      <x:c r="L1021" s="72"/>
      <x:c r="M1021" s="72"/>
      <x:c r="N1021" s="72"/>
    </x:row>
    <x:row r="1022">
      <x:c r="C1022" s="45" t="str">
        <x:f>'Path Daily'!C1022</x:f>
        <x:v>P11</x:v>
      </x:c>
      <x:c r="D1022" s="45" t="n">
        <x:f>'Path Daily'!D1022</x:f>
        <x:v>14</x:v>
      </x:c>
      <x:c r="E1022" s="53" t="n">
        <x:f>IF(D1022=0,SUMIFS('Cargo Records'!$T$7:$T$70,'Cargo Records'!$J$7:$J$70,C1022),0)</x:f>
        <x:v>0</x:v>
      </x:c>
      <x:c r="F1022" s="53" t="n">
        <x:f>I1021</x:f>
        <x:v>155862.25454545452</x:v>
      </x:c>
      <x:c r="G1022" s="53" t="n">
        <x:f>'Path Daily'!M1022</x:f>
        <x:v>7893.6</x:v>
      </x:c>
      <x:c r="H1022" s="53" t="n">
        <x:f>MIN(E1022+F1022,G1022)</x:f>
        <x:v>7893.6</x:v>
      </x:c>
      <x:c r="I1022" s="53" t="n">
        <x:f>E1022+F1022-H1022</x:f>
        <x:v>147968.6545454545</x:v>
      </x:c>
      <x:c r="J1022" s="45" t="str">
        <x:f>IF(I1022=0,"CLEAR","QUEUED")</x:f>
        <x:v>QUEUED</x:v>
      </x:c>
      <x:c r="K1022" s="72"/>
      <x:c r="L1022" s="72"/>
      <x:c r="M1022" s="72"/>
      <x:c r="N1022" s="72"/>
    </x:row>
    <x:row r="1023">
      <x:c r="C1023" s="45" t="str">
        <x:f>'Path Daily'!C1023</x:f>
        <x:v>P11</x:v>
      </x:c>
      <x:c r="D1023" s="45" t="n">
        <x:f>'Path Daily'!D1023</x:f>
        <x:v>15</x:v>
      </x:c>
      <x:c r="E1023" s="53" t="n">
        <x:f>IF(D1023=0,SUMIFS('Cargo Records'!$T$7:$T$70,'Cargo Records'!$J$7:$J$70,C1023),0)</x:f>
        <x:v>0</x:v>
      </x:c>
      <x:c r="F1023" s="53" t="n">
        <x:f>I1022</x:f>
        <x:v>147968.6545454545</x:v>
      </x:c>
      <x:c r="G1023" s="53" t="n">
        <x:f>'Path Daily'!M1023</x:f>
        <x:v>6072</x:v>
      </x:c>
      <x:c r="H1023" s="53" t="n">
        <x:f>MIN(E1023+F1023,G1023)</x:f>
        <x:v>6072</x:v>
      </x:c>
      <x:c r="I1023" s="53" t="n">
        <x:f>E1023+F1023-H1023</x:f>
        <x:v>141896.6545454545</x:v>
      </x:c>
      <x:c r="J1023" s="45" t="str">
        <x:f>IF(I1023=0,"CLEAR","QUEUED")</x:f>
        <x:v>QUEUED</x:v>
      </x:c>
      <x:c r="K1023" s="72"/>
      <x:c r="L1023" s="72"/>
      <x:c r="M1023" s="72"/>
      <x:c r="N1023" s="72"/>
    </x:row>
    <x:row r="1024">
      <x:c r="C1024" s="45" t="str">
        <x:f>'Path Daily'!C1024</x:f>
        <x:v>P11</x:v>
      </x:c>
      <x:c r="D1024" s="45" t="n">
        <x:f>'Path Daily'!D1024</x:f>
        <x:v>16</x:v>
      </x:c>
      <x:c r="E1024" s="53" t="n">
        <x:f>IF(D1024=0,SUMIFS('Cargo Records'!$T$7:$T$70,'Cargo Records'!$J$7:$J$70,C1024),0)</x:f>
        <x:v>0</x:v>
      </x:c>
      <x:c r="F1024" s="53" t="n">
        <x:f>I1023</x:f>
        <x:v>141896.6545454545</x:v>
      </x:c>
      <x:c r="G1024" s="53" t="n">
        <x:f>'Path Daily'!M1024</x:f>
        <x:v>6072</x:v>
      </x:c>
      <x:c r="H1024" s="53" t="n">
        <x:f>MIN(E1024+F1024,G1024)</x:f>
        <x:v>6072</x:v>
      </x:c>
      <x:c r="I1024" s="53" t="n">
        <x:f>E1024+F1024-H1024</x:f>
        <x:v>135824.6545454545</x:v>
      </x:c>
      <x:c r="J1024" s="45" t="str">
        <x:f>IF(I1024=0,"CLEAR","QUEUED")</x:f>
        <x:v>QUEUED</x:v>
      </x:c>
      <x:c r="K1024" s="72"/>
      <x:c r="L1024" s="72"/>
      <x:c r="M1024" s="72"/>
      <x:c r="N1024" s="72"/>
    </x:row>
    <x:row r="1025">
      <x:c r="C1025" s="45" t="str">
        <x:f>'Path Daily'!C1025</x:f>
        <x:v>P11</x:v>
      </x:c>
      <x:c r="D1025" s="45" t="n">
        <x:f>'Path Daily'!D1025</x:f>
        <x:v>17</x:v>
      </x:c>
      <x:c r="E1025" s="53" t="n">
        <x:f>IF(D1025=0,SUMIFS('Cargo Records'!$T$7:$T$70,'Cargo Records'!$J$7:$J$70,C1025),0)</x:f>
        <x:v>0</x:v>
      </x:c>
      <x:c r="F1025" s="53" t="n">
        <x:f>I1024</x:f>
        <x:v>135824.6545454545</x:v>
      </x:c>
      <x:c r="G1025" s="53" t="n">
        <x:f>'Path Daily'!M1025</x:f>
        <x:v>10120</x:v>
      </x:c>
      <x:c r="H1025" s="53" t="n">
        <x:f>MIN(E1025+F1025,G1025)</x:f>
        <x:v>10120</x:v>
      </x:c>
      <x:c r="I1025" s="53" t="n">
        <x:f>E1025+F1025-H1025</x:f>
        <x:v>125704.65454545451</x:v>
      </x:c>
      <x:c r="J1025" s="45" t="str">
        <x:f>IF(I1025=0,"CLEAR","QUEUED")</x:f>
        <x:v>QUEUED</x:v>
      </x:c>
      <x:c r="K1025" s="72"/>
      <x:c r="L1025" s="72"/>
      <x:c r="M1025" s="72"/>
      <x:c r="N1025" s="72"/>
    </x:row>
    <x:row r="1026">
      <x:c r="C1026" s="45" t="str">
        <x:f>'Path Daily'!C1026</x:f>
        <x:v>P11</x:v>
      </x:c>
      <x:c r="D1026" s="45" t="n">
        <x:f>'Path Daily'!D1026</x:f>
        <x:v>18</x:v>
      </x:c>
      <x:c r="E1026" s="53" t="n">
        <x:f>IF(D1026=0,SUMIFS('Cargo Records'!$T$7:$T$70,'Cargo Records'!$J$7:$J$70,C1026),0)</x:f>
        <x:v>0</x:v>
      </x:c>
      <x:c r="F1026" s="53" t="n">
        <x:f>I1025</x:f>
        <x:v>125704.65454545451</x:v>
      </x:c>
      <x:c r="G1026" s="53" t="n">
        <x:f>'Path Daily'!M1026</x:f>
        <x:v>10120</x:v>
      </x:c>
      <x:c r="H1026" s="53" t="n">
        <x:f>MIN(E1026+F1026,G1026)</x:f>
        <x:v>10120</x:v>
      </x:c>
      <x:c r="I1026" s="53" t="n">
        <x:f>E1026+F1026-H1026</x:f>
        <x:v>115584.65454545451</x:v>
      </x:c>
      <x:c r="J1026" s="45" t="str">
        <x:f>IF(I1026=0,"CLEAR","QUEUED")</x:f>
        <x:v>QUEUED</x:v>
      </x:c>
      <x:c r="K1026" s="72"/>
      <x:c r="L1026" s="72"/>
      <x:c r="M1026" s="72"/>
      <x:c r="N1026" s="72"/>
    </x:row>
    <x:row r="1027">
      <x:c r="C1027" s="45" t="str">
        <x:f>'Path Daily'!C1027</x:f>
        <x:v>P11</x:v>
      </x:c>
      <x:c r="D1027" s="45" t="n">
        <x:f>'Path Daily'!D1027</x:f>
        <x:v>19</x:v>
      </x:c>
      <x:c r="E1027" s="53" t="n">
        <x:f>IF(D1027=0,SUMIFS('Cargo Records'!$T$7:$T$70,'Cargo Records'!$J$7:$J$70,C1027),0)</x:f>
        <x:v>0</x:v>
      </x:c>
      <x:c r="F1027" s="53" t="n">
        <x:f>I1026</x:f>
        <x:v>115584.65454545451</x:v>
      </x:c>
      <x:c r="G1027" s="53" t="n">
        <x:f>'Path Daily'!M1027</x:f>
        <x:v>10120</x:v>
      </x:c>
      <x:c r="H1027" s="53" t="n">
        <x:f>MIN(E1027+F1027,G1027)</x:f>
        <x:v>10120</x:v>
      </x:c>
      <x:c r="I1027" s="53" t="n">
        <x:f>E1027+F1027-H1027</x:f>
        <x:v>105464.65454545451</x:v>
      </x:c>
      <x:c r="J1027" s="45" t="str">
        <x:f>IF(I1027=0,"CLEAR","QUEUED")</x:f>
        <x:v>QUEUED</x:v>
      </x:c>
      <x:c r="K1027" s="72"/>
      <x:c r="L1027" s="72"/>
      <x:c r="M1027" s="72"/>
      <x:c r="N1027" s="72"/>
    </x:row>
    <x:row r="1028">
      <x:c r="C1028" s="45" t="str">
        <x:f>'Path Daily'!C1028</x:f>
        <x:v>P11</x:v>
      </x:c>
      <x:c r="D1028" s="45" t="n">
        <x:f>'Path Daily'!D1028</x:f>
        <x:v>20</x:v>
      </x:c>
      <x:c r="E1028" s="53" t="n">
        <x:f>IF(D1028=0,SUMIFS('Cargo Records'!$T$7:$T$70,'Cargo Records'!$J$7:$J$70,C1028),0)</x:f>
        <x:v>0</x:v>
      </x:c>
      <x:c r="F1028" s="53" t="n">
        <x:f>I1027</x:f>
        <x:v>105464.65454545451</x:v>
      </x:c>
      <x:c r="G1028" s="53" t="n">
        <x:f>'Path Daily'!M1028</x:f>
        <x:v>10120</x:v>
      </x:c>
      <x:c r="H1028" s="53" t="n">
        <x:f>MIN(E1028+F1028,G1028)</x:f>
        <x:v>10120</x:v>
      </x:c>
      <x:c r="I1028" s="53" t="n">
        <x:f>E1028+F1028-H1028</x:f>
        <x:v>95344.65454545451</x:v>
      </x:c>
      <x:c r="J1028" s="45" t="str">
        <x:f>IF(I1028=0,"CLEAR","QUEUED")</x:f>
        <x:v>QUEUED</x:v>
      </x:c>
      <x:c r="K1028" s="72"/>
      <x:c r="L1028" s="72"/>
      <x:c r="M1028" s="72"/>
      <x:c r="N1028" s="72"/>
    </x:row>
    <x:row r="1029">
      <x:c r="C1029" s="45" t="str">
        <x:f>'Path Daily'!C1029</x:f>
        <x:v>P11</x:v>
      </x:c>
      <x:c r="D1029" s="45" t="n">
        <x:f>'Path Daily'!D1029</x:f>
        <x:v>21</x:v>
      </x:c>
      <x:c r="E1029" s="53" t="n">
        <x:f>IF(D1029=0,SUMIFS('Cargo Records'!$T$7:$T$70,'Cargo Records'!$J$7:$J$70,C1029),0)</x:f>
        <x:v>0</x:v>
      </x:c>
      <x:c r="F1029" s="53" t="n">
        <x:f>I1028</x:f>
        <x:v>95344.65454545451</x:v>
      </x:c>
      <x:c r="G1029" s="53" t="n">
        <x:f>'Path Daily'!M1029</x:f>
        <x:v>8096</x:v>
      </x:c>
      <x:c r="H1029" s="53" t="n">
        <x:f>MIN(E1029+F1029,G1029)</x:f>
        <x:v>8096</x:v>
      </x:c>
      <x:c r="I1029" s="53" t="n">
        <x:f>E1029+F1029-H1029</x:f>
        <x:v>87248.65454545451</x:v>
      </x:c>
      <x:c r="J1029" s="45" t="str">
        <x:f>IF(I1029=0,"CLEAR","QUEUED")</x:f>
        <x:v>QUEUED</x:v>
      </x:c>
      <x:c r="K1029" s="72"/>
      <x:c r="L1029" s="72"/>
      <x:c r="M1029" s="72"/>
      <x:c r="N1029" s="72"/>
    </x:row>
    <x:row r="1030">
      <x:c r="C1030" s="45" t="str">
        <x:f>'Path Daily'!C1030</x:f>
        <x:v>P11</x:v>
      </x:c>
      <x:c r="D1030" s="45" t="n">
        <x:f>'Path Daily'!D1030</x:f>
        <x:v>22</x:v>
      </x:c>
      <x:c r="E1030" s="53" t="n">
        <x:f>IF(D1030=0,SUMIFS('Cargo Records'!$T$7:$T$70,'Cargo Records'!$J$7:$J$70,C1030),0)</x:f>
        <x:v>0</x:v>
      </x:c>
      <x:c r="F1030" s="53" t="n">
        <x:f>I1029</x:f>
        <x:v>87248.65454545451</x:v>
      </x:c>
      <x:c r="G1030" s="53" t="n">
        <x:f>'Path Daily'!M1030</x:f>
        <x:v>10120</x:v>
      </x:c>
      <x:c r="H1030" s="53" t="n">
        <x:f>MIN(E1030+F1030,G1030)</x:f>
        <x:v>10120</x:v>
      </x:c>
      <x:c r="I1030" s="53" t="n">
        <x:f>E1030+F1030-H1030</x:f>
        <x:v>77128.65454545451</x:v>
      </x:c>
      <x:c r="J1030" s="45" t="str">
        <x:f>IF(I1030=0,"CLEAR","QUEUED")</x:f>
        <x:v>QUEUED</x:v>
      </x:c>
      <x:c r="K1030" s="72"/>
      <x:c r="L1030" s="72"/>
      <x:c r="M1030" s="72"/>
      <x:c r="N1030" s="72"/>
    </x:row>
    <x:row r="1031">
      <x:c r="C1031" s="45" t="str">
        <x:f>'Path Daily'!C1031</x:f>
        <x:v>P11</x:v>
      </x:c>
      <x:c r="D1031" s="45" t="n">
        <x:f>'Path Daily'!D1031</x:f>
        <x:v>23</x:v>
      </x:c>
      <x:c r="E1031" s="53" t="n">
        <x:f>IF(D1031=0,SUMIFS('Cargo Records'!$T$7:$T$70,'Cargo Records'!$J$7:$J$70,C1031),0)</x:f>
        <x:v>0</x:v>
      </x:c>
      <x:c r="F1031" s="53" t="n">
        <x:f>I1030</x:f>
        <x:v>77128.65454545451</x:v>
      </x:c>
      <x:c r="G1031" s="53" t="n">
        <x:f>'Path Daily'!M1031</x:f>
        <x:v>10120</x:v>
      </x:c>
      <x:c r="H1031" s="53" t="n">
        <x:f>MIN(E1031+F1031,G1031)</x:f>
        <x:v>10120</x:v>
      </x:c>
      <x:c r="I1031" s="53" t="n">
        <x:f>E1031+F1031-H1031</x:f>
        <x:v>67008.65454545451</x:v>
      </x:c>
      <x:c r="J1031" s="45" t="str">
        <x:f>IF(I1031=0,"CLEAR","QUEUED")</x:f>
        <x:v>QUEUED</x:v>
      </x:c>
      <x:c r="K1031" s="72"/>
      <x:c r="L1031" s="72"/>
      <x:c r="M1031" s="72"/>
      <x:c r="N1031" s="72"/>
    </x:row>
    <x:row r="1032">
      <x:c r="C1032" s="45" t="str">
        <x:f>'Path Daily'!C1032</x:f>
        <x:v>P11</x:v>
      </x:c>
      <x:c r="D1032" s="45" t="n">
        <x:f>'Path Daily'!D1032</x:f>
        <x:v>24</x:v>
      </x:c>
      <x:c r="E1032" s="53" t="n">
        <x:f>IF(D1032=0,SUMIFS('Cargo Records'!$T$7:$T$70,'Cargo Records'!$J$7:$J$70,C1032),0)</x:f>
        <x:v>0</x:v>
      </x:c>
      <x:c r="F1032" s="53" t="n">
        <x:f>I1031</x:f>
        <x:v>67008.65454545451</x:v>
      </x:c>
      <x:c r="G1032" s="53" t="n">
        <x:f>'Path Daily'!M1032</x:f>
        <x:v>10120</x:v>
      </x:c>
      <x:c r="H1032" s="53" t="n">
        <x:f>MIN(E1032+F1032,G1032)</x:f>
        <x:v>10120</x:v>
      </x:c>
      <x:c r="I1032" s="53" t="n">
        <x:f>E1032+F1032-H1032</x:f>
        <x:v>56888.65454545451</x:v>
      </x:c>
      <x:c r="J1032" s="45" t="str">
        <x:f>IF(I1032=0,"CLEAR","QUEUED")</x:f>
        <x:v>QUEUED</x:v>
      </x:c>
      <x:c r="K1032" s="72"/>
      <x:c r="L1032" s="72"/>
      <x:c r="M1032" s="72"/>
      <x:c r="N1032" s="72"/>
    </x:row>
    <x:row r="1033">
      <x:c r="C1033" s="45" t="str">
        <x:f>'Path Daily'!C1033</x:f>
        <x:v>P11</x:v>
      </x:c>
      <x:c r="D1033" s="45" t="n">
        <x:f>'Path Daily'!D1033</x:f>
        <x:v>25</x:v>
      </x:c>
      <x:c r="E1033" s="53" t="n">
        <x:f>IF(D1033=0,SUMIFS('Cargo Records'!$T$7:$T$70,'Cargo Records'!$J$7:$J$70,C1033),0)</x:f>
        <x:v>0</x:v>
      </x:c>
      <x:c r="F1033" s="53" t="n">
        <x:f>I1032</x:f>
        <x:v>56888.65454545451</x:v>
      </x:c>
      <x:c r="G1033" s="53" t="n">
        <x:f>'Path Daily'!M1033</x:f>
        <x:v>10120</x:v>
      </x:c>
      <x:c r="H1033" s="53" t="n">
        <x:f>MIN(E1033+F1033,G1033)</x:f>
        <x:v>10120</x:v>
      </x:c>
      <x:c r="I1033" s="53" t="n">
        <x:f>E1033+F1033-H1033</x:f>
        <x:v>46768.65454545451</x:v>
      </x:c>
      <x:c r="J1033" s="45" t="str">
        <x:f>IF(I1033=0,"CLEAR","QUEUED")</x:f>
        <x:v>QUEUED</x:v>
      </x:c>
      <x:c r="K1033" s="72"/>
      <x:c r="L1033" s="72"/>
      <x:c r="M1033" s="72"/>
      <x:c r="N1033" s="72"/>
    </x:row>
    <x:row r="1034">
      <x:c r="C1034" s="45" t="str">
        <x:f>'Path Daily'!C1034</x:f>
        <x:v>P11</x:v>
      </x:c>
      <x:c r="D1034" s="45" t="n">
        <x:f>'Path Daily'!D1034</x:f>
        <x:v>26</x:v>
      </x:c>
      <x:c r="E1034" s="53" t="n">
        <x:f>IF(D1034=0,SUMIFS('Cargo Records'!$T$7:$T$70,'Cargo Records'!$J$7:$J$70,C1034),0)</x:f>
        <x:v>0</x:v>
      </x:c>
      <x:c r="F1034" s="53" t="n">
        <x:f>I1033</x:f>
        <x:v>46768.65454545451</x:v>
      </x:c>
      <x:c r="G1034" s="53" t="n">
        <x:f>'Path Daily'!M1034</x:f>
        <x:v>10120</x:v>
      </x:c>
      <x:c r="H1034" s="53" t="n">
        <x:f>MIN(E1034+F1034,G1034)</x:f>
        <x:v>10120</x:v>
      </x:c>
      <x:c r="I1034" s="53" t="n">
        <x:f>E1034+F1034-H1034</x:f>
        <x:v>36648.65454545451</x:v>
      </x:c>
      <x:c r="J1034" s="45" t="str">
        <x:f>IF(I1034=0,"CLEAR","QUEUED")</x:f>
        <x:v>QUEUED</x:v>
      </x:c>
      <x:c r="K1034" s="72"/>
      <x:c r="L1034" s="72"/>
      <x:c r="M1034" s="72"/>
      <x:c r="N1034" s="72"/>
    </x:row>
    <x:row r="1035">
      <x:c r="C1035" s="45" t="str">
        <x:f>'Path Daily'!C1035</x:f>
        <x:v>P11</x:v>
      </x:c>
      <x:c r="D1035" s="45" t="n">
        <x:f>'Path Daily'!D1035</x:f>
        <x:v>27</x:v>
      </x:c>
      <x:c r="E1035" s="53" t="n">
        <x:f>IF(D1035=0,SUMIFS('Cargo Records'!$T$7:$T$70,'Cargo Records'!$J$7:$J$70,C1035),0)</x:f>
        <x:v>0</x:v>
      </x:c>
      <x:c r="F1035" s="53" t="n">
        <x:f>I1034</x:f>
        <x:v>36648.65454545451</x:v>
      </x:c>
      <x:c r="G1035" s="53" t="n">
        <x:f>'Path Daily'!M1035</x:f>
        <x:v>10120</x:v>
      </x:c>
      <x:c r="H1035" s="53" t="n">
        <x:f>MIN(E1035+F1035,G1035)</x:f>
        <x:v>10120</x:v>
      </x:c>
      <x:c r="I1035" s="53" t="n">
        <x:f>E1035+F1035-H1035</x:f>
        <x:v>26528.654545454512</x:v>
      </x:c>
      <x:c r="J1035" s="45" t="str">
        <x:f>IF(I1035=0,"CLEAR","QUEUED")</x:f>
        <x:v>QUEUED</x:v>
      </x:c>
      <x:c r="K1035" s="72"/>
      <x:c r="L1035" s="72"/>
      <x:c r="M1035" s="72"/>
      <x:c r="N1035" s="72"/>
    </x:row>
    <x:row r="1036">
      <x:c r="C1036" s="45" t="str">
        <x:f>'Path Daily'!C1036</x:f>
        <x:v>P11</x:v>
      </x:c>
      <x:c r="D1036" s="45" t="n">
        <x:f>'Path Daily'!D1036</x:f>
        <x:v>28</x:v>
      </x:c>
      <x:c r="E1036" s="53" t="n">
        <x:f>IF(D1036=0,SUMIFS('Cargo Records'!$T$7:$T$70,'Cargo Records'!$J$7:$J$70,C1036),0)</x:f>
        <x:v>0</x:v>
      </x:c>
      <x:c r="F1036" s="53" t="n">
        <x:f>I1035</x:f>
        <x:v>26528.654545454512</x:v>
      </x:c>
      <x:c r="G1036" s="53" t="n">
        <x:f>'Path Daily'!M1036</x:f>
        <x:v>10120</x:v>
      </x:c>
      <x:c r="H1036" s="53" t="n">
        <x:f>MIN(E1036+F1036,G1036)</x:f>
        <x:v>10120</x:v>
      </x:c>
      <x:c r="I1036" s="53" t="n">
        <x:f>E1036+F1036-H1036</x:f>
        <x:v>16408.654545454512</x:v>
      </x:c>
      <x:c r="J1036" s="45" t="str">
        <x:f>IF(I1036=0,"CLEAR","QUEUED")</x:f>
        <x:v>QUEUED</x:v>
      </x:c>
      <x:c r="K1036" s="72"/>
      <x:c r="L1036" s="72"/>
      <x:c r="M1036" s="72"/>
      <x:c r="N1036" s="72"/>
    </x:row>
    <x:row r="1037">
      <x:c r="C1037" s="45" t="str">
        <x:f>'Path Daily'!C1037</x:f>
        <x:v>P11</x:v>
      </x:c>
      <x:c r="D1037" s="45" t="n">
        <x:f>'Path Daily'!D1037</x:f>
        <x:v>29</x:v>
      </x:c>
      <x:c r="E1037" s="53" t="n">
        <x:f>IF(D1037=0,SUMIFS('Cargo Records'!$T$7:$T$70,'Cargo Records'!$J$7:$J$70,C1037),0)</x:f>
        <x:v>0</x:v>
      </x:c>
      <x:c r="F1037" s="53" t="n">
        <x:f>I1036</x:f>
        <x:v>16408.654545454512</x:v>
      </x:c>
      <x:c r="G1037" s="53" t="n">
        <x:f>'Path Daily'!M1037</x:f>
        <x:v>10120</x:v>
      </x:c>
      <x:c r="H1037" s="53" t="n">
        <x:f>MIN(E1037+F1037,G1037)</x:f>
        <x:v>10120</x:v>
      </x:c>
      <x:c r="I1037" s="53" t="n">
        <x:f>E1037+F1037-H1037</x:f>
        <x:v>6288.654545454512</x:v>
      </x:c>
      <x:c r="J1037" s="45" t="str">
        <x:f>IF(I1037=0,"CLEAR","QUEUED")</x:f>
        <x:v>QUEUED</x:v>
      </x:c>
      <x:c r="K1037" s="72"/>
      <x:c r="L1037" s="72"/>
      <x:c r="M1037" s="72"/>
      <x:c r="N1037" s="72"/>
    </x:row>
    <x:row r="1038">
      <x:c r="C1038" s="45" t="str">
        <x:f>'Path Daily'!C1038</x:f>
        <x:v>P11</x:v>
      </x:c>
      <x:c r="D1038" s="45" t="n">
        <x:f>'Path Daily'!D1038</x:f>
        <x:v>30</x:v>
      </x:c>
      <x:c r="E1038" s="53" t="n">
        <x:f>IF(D1038=0,SUMIFS('Cargo Records'!$T$7:$T$70,'Cargo Records'!$J$7:$J$70,C1038),0)</x:f>
        <x:v>0</x:v>
      </x:c>
      <x:c r="F1038" s="53" t="n">
        <x:f>I1037</x:f>
        <x:v>6288.654545454512</x:v>
      </x:c>
      <x:c r="G1038" s="53" t="n">
        <x:f>'Path Daily'!M1038</x:f>
        <x:v>10120</x:v>
      </x:c>
      <x:c r="H1038" s="53" t="n">
        <x:f>MIN(E1038+F1038,G1038)</x:f>
        <x:v>6288.654545454512</x:v>
      </x:c>
      <x:c r="I1038" s="53" t="n">
        <x:f>E1038+F1038-H1038</x:f>
        <x:v>0</x:v>
      </x:c>
      <x:c r="J1038" s="45" t="str">
        <x:f>IF(I1038=0,"CLEAR","QUEUED")</x:f>
        <x:v>CLEAR</x:v>
      </x:c>
      <x:c r="K1038" s="72"/>
      <x:c r="L1038" s="72"/>
      <x:c r="M1038" s="72"/>
      <x:c r="N1038" s="72"/>
    </x:row>
    <x:row r="1039">
      <x:c r="C1039" s="45" t="str">
        <x:f>'Path Daily'!C1039</x:f>
        <x:v>P11</x:v>
      </x:c>
      <x:c r="D1039" s="45" t="n">
        <x:f>'Path Daily'!D1039</x:f>
        <x:v>31</x:v>
      </x:c>
      <x:c r="E1039" s="53" t="n">
        <x:f>IF(D1039=0,SUMIFS('Cargo Records'!$T$7:$T$70,'Cargo Records'!$J$7:$J$70,C1039),0)</x:f>
        <x:v>0</x:v>
      </x:c>
      <x:c r="F1039" s="53" t="n">
        <x:f>I1038</x:f>
        <x:v>0</x:v>
      </x:c>
      <x:c r="G1039" s="53" t="n">
        <x:f>'Path Daily'!M1039</x:f>
        <x:v>10120</x:v>
      </x:c>
      <x:c r="H1039" s="53" t="n">
        <x:f>MIN(E1039+F1039,G1039)</x:f>
        <x:v>0</x:v>
      </x:c>
      <x:c r="I1039" s="53" t="n">
        <x:f>E1039+F1039-H1039</x:f>
        <x:v>0</x:v>
      </x:c>
      <x:c r="J1039" s="45" t="str">
        <x:f>IF(I1039=0,"CLEAR","QUEUED")</x:f>
        <x:v>CLEAR</x:v>
      </x:c>
      <x:c r="K1039" s="72"/>
      <x:c r="L1039" s="72"/>
      <x:c r="M1039" s="72"/>
      <x:c r="N1039" s="72"/>
    </x:row>
    <x:row r="1040">
      <x:c r="C1040" s="45" t="str">
        <x:f>'Path Daily'!C1040</x:f>
        <x:v>P11</x:v>
      </x:c>
      <x:c r="D1040" s="45" t="n">
        <x:f>'Path Daily'!D1040</x:f>
        <x:v>32</x:v>
      </x:c>
      <x:c r="E1040" s="53" t="n">
        <x:f>IF(D1040=0,SUMIFS('Cargo Records'!$T$7:$T$70,'Cargo Records'!$J$7:$J$70,C1040),0)</x:f>
        <x:v>0</x:v>
      </x:c>
      <x:c r="F1040" s="53" t="n">
        <x:f>I1039</x:f>
        <x:v>0</x:v>
      </x:c>
      <x:c r="G1040" s="53" t="n">
        <x:f>'Path Daily'!M1040</x:f>
        <x:v>10120</x:v>
      </x:c>
      <x:c r="H1040" s="53" t="n">
        <x:f>MIN(E1040+F1040,G1040)</x:f>
        <x:v>0</x:v>
      </x:c>
      <x:c r="I1040" s="53" t="n">
        <x:f>E1040+F1040-H1040</x:f>
        <x:v>0</x:v>
      </x:c>
      <x:c r="J1040" s="45" t="str">
        <x:f>IF(I1040=0,"CLEAR","QUEUED")</x:f>
        <x:v>CLEAR</x:v>
      </x:c>
      <x:c r="K1040" s="72"/>
      <x:c r="L1040" s="72"/>
      <x:c r="M1040" s="72"/>
      <x:c r="N1040" s="72"/>
    </x:row>
    <x:row r="1041">
      <x:c r="C1041" s="45" t="str">
        <x:f>'Path Daily'!C1041</x:f>
        <x:v>P11</x:v>
      </x:c>
      <x:c r="D1041" s="45" t="n">
        <x:f>'Path Daily'!D1041</x:f>
        <x:v>33</x:v>
      </x:c>
      <x:c r="E1041" s="53" t="n">
        <x:f>IF(D1041=0,SUMIFS('Cargo Records'!$T$7:$T$70,'Cargo Records'!$J$7:$J$70,C1041),0)</x:f>
        <x:v>0</x:v>
      </x:c>
      <x:c r="F1041" s="53" t="n">
        <x:f>I1040</x:f>
        <x:v>0</x:v>
      </x:c>
      <x:c r="G1041" s="53" t="n">
        <x:f>'Path Daily'!M1041</x:f>
        <x:v>10120</x:v>
      </x:c>
      <x:c r="H1041" s="53" t="n">
        <x:f>MIN(E1041+F1041,G1041)</x:f>
        <x:v>0</x:v>
      </x:c>
      <x:c r="I1041" s="53" t="n">
        <x:f>E1041+F1041-H1041</x:f>
        <x:v>0</x:v>
      </x:c>
      <x:c r="J1041" s="45" t="str">
        <x:f>IF(I1041=0,"CLEAR","QUEUED")</x:f>
        <x:v>CLEAR</x:v>
      </x:c>
      <x:c r="K1041" s="72"/>
      <x:c r="L1041" s="72"/>
      <x:c r="M1041" s="72"/>
      <x:c r="N1041" s="72"/>
    </x:row>
    <x:row r="1042">
      <x:c r="C1042" s="45" t="str">
        <x:f>'Path Daily'!C1042</x:f>
        <x:v>P11</x:v>
      </x:c>
      <x:c r="D1042" s="45" t="n">
        <x:f>'Path Daily'!D1042</x:f>
        <x:v>34</x:v>
      </x:c>
      <x:c r="E1042" s="53" t="n">
        <x:f>IF(D1042=0,SUMIFS('Cargo Records'!$T$7:$T$70,'Cargo Records'!$J$7:$J$70,C1042),0)</x:f>
        <x:v>0</x:v>
      </x:c>
      <x:c r="F1042" s="53" t="n">
        <x:f>I1041</x:f>
        <x:v>0</x:v>
      </x:c>
      <x:c r="G1042" s="53" t="n">
        <x:f>'Path Daily'!M1042</x:f>
        <x:v>6072</x:v>
      </x:c>
      <x:c r="H1042" s="53" t="n">
        <x:f>MIN(E1042+F1042,G1042)</x:f>
        <x:v>0</x:v>
      </x:c>
      <x:c r="I1042" s="53" t="n">
        <x:f>E1042+F1042-H1042</x:f>
        <x:v>0</x:v>
      </x:c>
      <x:c r="J1042" s="45" t="str">
        <x:f>IF(I1042=0,"CLEAR","QUEUED")</x:f>
        <x:v>CLEAR</x:v>
      </x:c>
      <x:c r="K1042" s="72"/>
      <x:c r="L1042" s="72"/>
      <x:c r="M1042" s="72"/>
      <x:c r="N1042" s="72"/>
    </x:row>
    <x:row r="1043">
      <x:c r="C1043" s="45" t="str">
        <x:f>'Path Daily'!C1043</x:f>
        <x:v>P11</x:v>
      </x:c>
      <x:c r="D1043" s="45" t="n">
        <x:f>'Path Daily'!D1043</x:f>
        <x:v>35</x:v>
      </x:c>
      <x:c r="E1043" s="53" t="n">
        <x:f>IF(D1043=0,SUMIFS('Cargo Records'!$T$7:$T$70,'Cargo Records'!$J$7:$J$70,C1043),0)</x:f>
        <x:v>0</x:v>
      </x:c>
      <x:c r="F1043" s="53" t="n">
        <x:f>I1042</x:f>
        <x:v>0</x:v>
      </x:c>
      <x:c r="G1043" s="53" t="n">
        <x:f>'Path Daily'!M1043</x:f>
        <x:v>6072</x:v>
      </x:c>
      <x:c r="H1043" s="53" t="n">
        <x:f>MIN(E1043+F1043,G1043)</x:f>
        <x:v>0</x:v>
      </x:c>
      <x:c r="I1043" s="53" t="n">
        <x:f>E1043+F1043-H1043</x:f>
        <x:v>0</x:v>
      </x:c>
      <x:c r="J1043" s="45" t="str">
        <x:f>IF(I1043=0,"CLEAR","QUEUED")</x:f>
        <x:v>CLEAR</x:v>
      </x:c>
      <x:c r="K1043" s="72"/>
      <x:c r="L1043" s="72"/>
      <x:c r="M1043" s="72"/>
      <x:c r="N1043" s="72"/>
    </x:row>
    <x:row r="1044">
      <x:c r="C1044" s="45" t="str">
        <x:f>'Path Daily'!C1044</x:f>
        <x:v>P11</x:v>
      </x:c>
      <x:c r="D1044" s="45" t="n">
        <x:f>'Path Daily'!D1044</x:f>
        <x:v>36</x:v>
      </x:c>
      <x:c r="E1044" s="53" t="n">
        <x:f>IF(D1044=0,SUMIFS('Cargo Records'!$T$7:$T$70,'Cargo Records'!$J$7:$J$70,C1044),0)</x:f>
        <x:v>0</x:v>
      </x:c>
      <x:c r="F1044" s="53" t="n">
        <x:f>I1043</x:f>
        <x:v>0</x:v>
      </x:c>
      <x:c r="G1044" s="53" t="n">
        <x:f>'Path Daily'!M1044</x:f>
        <x:v>10120</x:v>
      </x:c>
      <x:c r="H1044" s="53" t="n">
        <x:f>MIN(E1044+F1044,G1044)</x:f>
        <x:v>0</x:v>
      </x:c>
      <x:c r="I1044" s="53" t="n">
        <x:f>E1044+F1044-H1044</x:f>
        <x:v>0</x:v>
      </x:c>
      <x:c r="J1044" s="45" t="str">
        <x:f>IF(I1044=0,"CLEAR","QUEUED")</x:f>
        <x:v>CLEAR</x:v>
      </x:c>
      <x:c r="K1044" s="72"/>
      <x:c r="L1044" s="72"/>
      <x:c r="M1044" s="72"/>
      <x:c r="N1044" s="72"/>
    </x:row>
    <x:row r="1045">
      <x:c r="C1045" s="45" t="str">
        <x:f>'Path Daily'!C1045</x:f>
        <x:v>P11</x:v>
      </x:c>
      <x:c r="D1045" s="45" t="n">
        <x:f>'Path Daily'!D1045</x:f>
        <x:v>37</x:v>
      </x:c>
      <x:c r="E1045" s="53" t="n">
        <x:f>IF(D1045=0,SUMIFS('Cargo Records'!$T$7:$T$70,'Cargo Records'!$J$7:$J$70,C1045),0)</x:f>
        <x:v>0</x:v>
      </x:c>
      <x:c r="F1045" s="53" t="n">
        <x:f>I1044</x:f>
        <x:v>0</x:v>
      </x:c>
      <x:c r="G1045" s="53" t="n">
        <x:f>'Path Daily'!M1045</x:f>
        <x:v>10120</x:v>
      </x:c>
      <x:c r="H1045" s="53" t="n">
        <x:f>MIN(E1045+F1045,G1045)</x:f>
        <x:v>0</x:v>
      </x:c>
      <x:c r="I1045" s="53" t="n">
        <x:f>E1045+F1045-H1045</x:f>
        <x:v>0</x:v>
      </x:c>
      <x:c r="J1045" s="45" t="str">
        <x:f>IF(I1045=0,"CLEAR","QUEUED")</x:f>
        <x:v>CLEAR</x:v>
      </x:c>
      <x:c r="K1045" s="72"/>
      <x:c r="L1045" s="72"/>
      <x:c r="M1045" s="72"/>
      <x:c r="N1045" s="72"/>
    </x:row>
    <x:row r="1046">
      <x:c r="C1046" s="45" t="str">
        <x:f>'Path Daily'!C1046</x:f>
        <x:v>P11</x:v>
      </x:c>
      <x:c r="D1046" s="45" t="n">
        <x:f>'Path Daily'!D1046</x:f>
        <x:v>38</x:v>
      </x:c>
      <x:c r="E1046" s="53" t="n">
        <x:f>IF(D1046=0,SUMIFS('Cargo Records'!$T$7:$T$70,'Cargo Records'!$J$7:$J$70,C1046),0)</x:f>
        <x:v>0</x:v>
      </x:c>
      <x:c r="F1046" s="53" t="n">
        <x:f>I1045</x:f>
        <x:v>0</x:v>
      </x:c>
      <x:c r="G1046" s="53" t="n">
        <x:f>'Path Daily'!M1046</x:f>
        <x:v>10120</x:v>
      </x:c>
      <x:c r="H1046" s="53" t="n">
        <x:f>MIN(E1046+F1046,G1046)</x:f>
        <x:v>0</x:v>
      </x:c>
      <x:c r="I1046" s="53" t="n">
        <x:f>E1046+F1046-H1046</x:f>
        <x:v>0</x:v>
      </x:c>
      <x:c r="J1046" s="45" t="str">
        <x:f>IF(I1046=0,"CLEAR","QUEUED")</x:f>
        <x:v>CLEAR</x:v>
      </x:c>
      <x:c r="K1046" s="72"/>
      <x:c r="L1046" s="72"/>
      <x:c r="M1046" s="72"/>
      <x:c r="N1046" s="72"/>
    </x:row>
    <x:row r="1047">
      <x:c r="C1047" s="45" t="str">
        <x:f>'Path Daily'!C1047</x:f>
        <x:v>P11</x:v>
      </x:c>
      <x:c r="D1047" s="45" t="n">
        <x:f>'Path Daily'!D1047</x:f>
        <x:v>39</x:v>
      </x:c>
      <x:c r="E1047" s="53" t="n">
        <x:f>IF(D1047=0,SUMIFS('Cargo Records'!$T$7:$T$70,'Cargo Records'!$J$7:$J$70,C1047),0)</x:f>
        <x:v>0</x:v>
      </x:c>
      <x:c r="F1047" s="53" t="n">
        <x:f>I1046</x:f>
        <x:v>0</x:v>
      </x:c>
      <x:c r="G1047" s="53" t="n">
        <x:f>'Path Daily'!M1047</x:f>
        <x:v>10120</x:v>
      </x:c>
      <x:c r="H1047" s="53" t="n">
        <x:f>MIN(E1047+F1047,G1047)</x:f>
        <x:v>0</x:v>
      </x:c>
      <x:c r="I1047" s="53" t="n">
        <x:f>E1047+F1047-H1047</x:f>
        <x:v>0</x:v>
      </x:c>
      <x:c r="J1047" s="45" t="str">
        <x:f>IF(I1047=0,"CLEAR","QUEUED")</x:f>
        <x:v>CLEAR</x:v>
      </x:c>
      <x:c r="K1047" s="72"/>
      <x:c r="L1047" s="72"/>
      <x:c r="M1047" s="72"/>
      <x:c r="N1047" s="72"/>
    </x:row>
    <x:row r="1048">
      <x:c r="C1048" s="45" t="str">
        <x:f>'Path Daily'!C1048</x:f>
        <x:v>P11</x:v>
      </x:c>
      <x:c r="D1048" s="45" t="n">
        <x:f>'Path Daily'!D1048</x:f>
        <x:v>40</x:v>
      </x:c>
      <x:c r="E1048" s="53" t="n">
        <x:f>IF(D1048=0,SUMIFS('Cargo Records'!$T$7:$T$70,'Cargo Records'!$J$7:$J$70,C1048),0)</x:f>
        <x:v>0</x:v>
      </x:c>
      <x:c r="F1048" s="53" t="n">
        <x:f>I1047</x:f>
        <x:v>0</x:v>
      </x:c>
      <x:c r="G1048" s="53" t="n">
        <x:f>'Path Daily'!M1048</x:f>
        <x:v>10120</x:v>
      </x:c>
      <x:c r="H1048" s="53" t="n">
        <x:f>MIN(E1048+F1048,G1048)</x:f>
        <x:v>0</x:v>
      </x:c>
      <x:c r="I1048" s="53" t="n">
        <x:f>E1048+F1048-H1048</x:f>
        <x:v>0</x:v>
      </x:c>
      <x:c r="J1048" s="45" t="str">
        <x:f>IF(I1048=0,"CLEAR","QUEUED")</x:f>
        <x:v>CLEAR</x:v>
      </x:c>
      <x:c r="K1048" s="72"/>
      <x:c r="L1048" s="72"/>
      <x:c r="M1048" s="72"/>
      <x:c r="N1048" s="72"/>
    </x:row>
    <x:row r="1049">
      <x:c r="C1049" s="45" t="str">
        <x:f>'Path Daily'!C1049</x:f>
        <x:v>P11</x:v>
      </x:c>
      <x:c r="D1049" s="45" t="n">
        <x:f>'Path Daily'!D1049</x:f>
        <x:v>41</x:v>
      </x:c>
      <x:c r="E1049" s="53" t="n">
        <x:f>IF(D1049=0,SUMIFS('Cargo Records'!$T$7:$T$70,'Cargo Records'!$J$7:$J$70,C1049),0)</x:f>
        <x:v>0</x:v>
      </x:c>
      <x:c r="F1049" s="53" t="n">
        <x:f>I1048</x:f>
        <x:v>0</x:v>
      </x:c>
      <x:c r="G1049" s="53" t="n">
        <x:f>'Path Daily'!M1049</x:f>
        <x:v>10120</x:v>
      </x:c>
      <x:c r="H1049" s="53" t="n">
        <x:f>MIN(E1049+F1049,G1049)</x:f>
        <x:v>0</x:v>
      </x:c>
      <x:c r="I1049" s="53" t="n">
        <x:f>E1049+F1049-H1049</x:f>
        <x:v>0</x:v>
      </x:c>
      <x:c r="J1049" s="45" t="str">
        <x:f>IF(I1049=0,"CLEAR","QUEUED")</x:f>
        <x:v>CLEAR</x:v>
      </x:c>
      <x:c r="K1049" s="72"/>
      <x:c r="L1049" s="72"/>
      <x:c r="M1049" s="72"/>
      <x:c r="N1049" s="72"/>
    </x:row>
    <x:row r="1050">
      <x:c r="C1050" s="45" t="str">
        <x:f>'Path Daily'!C1050</x:f>
        <x:v>P11</x:v>
      </x:c>
      <x:c r="D1050" s="45" t="n">
        <x:f>'Path Daily'!D1050</x:f>
        <x:v>42</x:v>
      </x:c>
      <x:c r="E1050" s="53" t="n">
        <x:f>IF(D1050=0,SUMIFS('Cargo Records'!$T$7:$T$70,'Cargo Records'!$J$7:$J$70,C1050),0)</x:f>
        <x:v>0</x:v>
      </x:c>
      <x:c r="F1050" s="53" t="n">
        <x:f>I1049</x:f>
        <x:v>0</x:v>
      </x:c>
      <x:c r="G1050" s="53" t="n">
        <x:f>'Path Daily'!M1050</x:f>
        <x:v>10120</x:v>
      </x:c>
      <x:c r="H1050" s="53" t="n">
        <x:f>MIN(E1050+F1050,G1050)</x:f>
        <x:v>0</x:v>
      </x:c>
      <x:c r="I1050" s="53" t="n">
        <x:f>E1050+F1050-H1050</x:f>
        <x:v>0</x:v>
      </x:c>
      <x:c r="J1050" s="45" t="str">
        <x:f>IF(I1050=0,"CLEAR","QUEUED")</x:f>
        <x:v>CLEAR</x:v>
      </x:c>
      <x:c r="K1050" s="72"/>
      <x:c r="L1050" s="72"/>
      <x:c r="M1050" s="72"/>
      <x:c r="N1050" s="72"/>
    </x:row>
    <x:row r="1051">
      <x:c r="C1051" s="45" t="str">
        <x:f>'Path Daily'!C1051</x:f>
        <x:v>P11</x:v>
      </x:c>
      <x:c r="D1051" s="45" t="n">
        <x:f>'Path Daily'!D1051</x:f>
        <x:v>43</x:v>
      </x:c>
      <x:c r="E1051" s="53" t="n">
        <x:f>IF(D1051=0,SUMIFS('Cargo Records'!$T$7:$T$70,'Cargo Records'!$J$7:$J$70,C1051),0)</x:f>
        <x:v>0</x:v>
      </x:c>
      <x:c r="F1051" s="53" t="n">
        <x:f>I1050</x:f>
        <x:v>0</x:v>
      </x:c>
      <x:c r="G1051" s="53" t="n">
        <x:f>'Path Daily'!M1051</x:f>
        <x:v>10120</x:v>
      </x:c>
      <x:c r="H1051" s="53" t="n">
        <x:f>MIN(E1051+F1051,G1051)</x:f>
        <x:v>0</x:v>
      </x:c>
      <x:c r="I1051" s="53" t="n">
        <x:f>E1051+F1051-H1051</x:f>
        <x:v>0</x:v>
      </x:c>
      <x:c r="J1051" s="45" t="str">
        <x:f>IF(I1051=0,"CLEAR","QUEUED")</x:f>
        <x:v>CLEAR</x:v>
      </x:c>
      <x:c r="K1051" s="72"/>
      <x:c r="L1051" s="72"/>
      <x:c r="M1051" s="72"/>
      <x:c r="N1051" s="72"/>
    </x:row>
    <x:row r="1052">
      <x:c r="C1052" s="45" t="str">
        <x:f>'Path Daily'!C1052</x:f>
        <x:v>P11</x:v>
      </x:c>
      <x:c r="D1052" s="45" t="n">
        <x:f>'Path Daily'!D1052</x:f>
        <x:v>44</x:v>
      </x:c>
      <x:c r="E1052" s="53" t="n">
        <x:f>IF(D1052=0,SUMIFS('Cargo Records'!$T$7:$T$70,'Cargo Records'!$J$7:$J$70,C1052),0)</x:f>
        <x:v>0</x:v>
      </x:c>
      <x:c r="F1052" s="53" t="n">
        <x:f>I1051</x:f>
        <x:v>0</x:v>
      </x:c>
      <x:c r="G1052" s="53" t="n">
        <x:f>'Path Daily'!M1052</x:f>
        <x:v>10120</x:v>
      </x:c>
      <x:c r="H1052" s="53" t="n">
        <x:f>MIN(E1052+F1052,G1052)</x:f>
        <x:v>0</x:v>
      </x:c>
      <x:c r="I1052" s="53" t="n">
        <x:f>E1052+F1052-H1052</x:f>
        <x:v>0</x:v>
      </x:c>
      <x:c r="J1052" s="45" t="str">
        <x:f>IF(I1052=0,"CLEAR","QUEUED")</x:f>
        <x:v>CLEAR</x:v>
      </x:c>
      <x:c r="K1052" s="72"/>
      <x:c r="L1052" s="72"/>
      <x:c r="M1052" s="72"/>
      <x:c r="N1052" s="72"/>
    </x:row>
    <x:row r="1053">
      <x:c r="C1053" s="45" t="str">
        <x:f>'Path Daily'!C1053</x:f>
        <x:v>P11</x:v>
      </x:c>
      <x:c r="D1053" s="45" t="n">
        <x:f>'Path Daily'!D1053</x:f>
        <x:v>45</x:v>
      </x:c>
      <x:c r="E1053" s="53" t="n">
        <x:f>IF(D1053=0,SUMIFS('Cargo Records'!$T$7:$T$70,'Cargo Records'!$J$7:$J$70,C1053),0)</x:f>
        <x:v>0</x:v>
      </x:c>
      <x:c r="F1053" s="53" t="n">
        <x:f>I1052</x:f>
        <x:v>0</x:v>
      </x:c>
      <x:c r="G1053" s="53" t="n">
        <x:f>'Path Daily'!M1053</x:f>
        <x:v>10120</x:v>
      </x:c>
      <x:c r="H1053" s="53" t="n">
        <x:f>MIN(E1053+F1053,G1053)</x:f>
        <x:v>0</x:v>
      </x:c>
      <x:c r="I1053" s="53" t="n">
        <x:f>E1053+F1053-H1053</x:f>
        <x:v>0</x:v>
      </x:c>
      <x:c r="J1053" s="45" t="str">
        <x:f>IF(I1053=0,"CLEAR","QUEUED")</x:f>
        <x:v>CLEAR</x:v>
      </x:c>
      <x:c r="K1053" s="72"/>
      <x:c r="L1053" s="72"/>
      <x:c r="M1053" s="72"/>
      <x:c r="N1053" s="72"/>
    </x:row>
    <x:row r="1054">
      <x:c r="C1054" s="45" t="str">
        <x:f>'Path Daily'!C1054</x:f>
        <x:v>P11</x:v>
      </x:c>
      <x:c r="D1054" s="45" t="n">
        <x:f>'Path Daily'!D1054</x:f>
        <x:v>46</x:v>
      </x:c>
      <x:c r="E1054" s="53" t="n">
        <x:f>IF(D1054=0,SUMIFS('Cargo Records'!$T$7:$T$70,'Cargo Records'!$J$7:$J$70,C1054),0)</x:f>
        <x:v>0</x:v>
      </x:c>
      <x:c r="F1054" s="53" t="n">
        <x:f>I1053</x:f>
        <x:v>0</x:v>
      </x:c>
      <x:c r="G1054" s="53" t="n">
        <x:f>'Path Daily'!M1054</x:f>
        <x:v>4857.599999999999</x:v>
      </x:c>
      <x:c r="H1054" s="53" t="n">
        <x:f>MIN(E1054+F1054,G1054)</x:f>
        <x:v>0</x:v>
      </x:c>
      <x:c r="I1054" s="53" t="n">
        <x:f>E1054+F1054-H1054</x:f>
        <x:v>0</x:v>
      </x:c>
      <x:c r="J1054" s="45" t="str">
        <x:f>IF(I1054=0,"CLEAR","QUEUED")</x:f>
        <x:v>CLEAR</x:v>
      </x:c>
      <x:c r="K1054" s="72"/>
      <x:c r="L1054" s="72"/>
      <x:c r="M1054" s="72"/>
      <x:c r="N1054" s="72"/>
    </x:row>
    <x:row r="1055">
      <x:c r="C1055" s="45" t="str">
        <x:f>'Path Daily'!C1055</x:f>
        <x:v>P11</x:v>
      </x:c>
      <x:c r="D1055" s="45" t="n">
        <x:f>'Path Daily'!D1055</x:f>
        <x:v>47</x:v>
      </x:c>
      <x:c r="E1055" s="53" t="n">
        <x:f>IF(D1055=0,SUMIFS('Cargo Records'!$T$7:$T$70,'Cargo Records'!$J$7:$J$70,C1055),0)</x:f>
        <x:v>0</x:v>
      </x:c>
      <x:c r="F1055" s="53" t="n">
        <x:f>I1054</x:f>
        <x:v>0</x:v>
      </x:c>
      <x:c r="G1055" s="53" t="n">
        <x:f>'Path Daily'!M1055</x:f>
        <x:v>6072</x:v>
      </x:c>
      <x:c r="H1055" s="53" t="n">
        <x:f>MIN(E1055+F1055,G1055)</x:f>
        <x:v>0</x:v>
      </x:c>
      <x:c r="I1055" s="53" t="n">
        <x:f>E1055+F1055-H1055</x:f>
        <x:v>0</x:v>
      </x:c>
      <x:c r="J1055" s="45" t="str">
        <x:f>IF(I1055=0,"CLEAR","QUEUED")</x:f>
        <x:v>CLEAR</x:v>
      </x:c>
      <x:c r="K1055" s="72"/>
      <x:c r="L1055" s="72"/>
      <x:c r="M1055" s="72"/>
      <x:c r="N1055" s="72"/>
    </x:row>
    <x:row r="1056">
      <x:c r="C1056" s="45" t="str">
        <x:f>'Path Daily'!C1056</x:f>
        <x:v>P11</x:v>
      </x:c>
      <x:c r="D1056" s="45" t="n">
        <x:f>'Path Daily'!D1056</x:f>
        <x:v>48</x:v>
      </x:c>
      <x:c r="E1056" s="53" t="n">
        <x:f>IF(D1056=0,SUMIFS('Cargo Records'!$T$7:$T$70,'Cargo Records'!$J$7:$J$70,C1056),0)</x:f>
        <x:v>0</x:v>
      </x:c>
      <x:c r="F1056" s="53" t="n">
        <x:f>I1055</x:f>
        <x:v>0</x:v>
      </x:c>
      <x:c r="G1056" s="53" t="n">
        <x:f>'Path Daily'!M1056</x:f>
        <x:v>6072</x:v>
      </x:c>
      <x:c r="H1056" s="53" t="n">
        <x:f>MIN(E1056+F1056,G1056)</x:f>
        <x:v>0</x:v>
      </x:c>
      <x:c r="I1056" s="53" t="n">
        <x:f>E1056+F1056-H1056</x:f>
        <x:v>0</x:v>
      </x:c>
      <x:c r="J1056" s="45" t="str">
        <x:f>IF(I1056=0,"CLEAR","QUEUED")</x:f>
        <x:v>CLEAR</x:v>
      </x:c>
      <x:c r="K1056" s="72"/>
      <x:c r="L1056" s="72"/>
      <x:c r="M1056" s="72"/>
      <x:c r="N1056" s="72"/>
    </x:row>
    <x:row r="1057">
      <x:c r="C1057" s="45" t="str">
        <x:f>'Path Daily'!C1057</x:f>
        <x:v>P11</x:v>
      </x:c>
      <x:c r="D1057" s="45" t="n">
        <x:f>'Path Daily'!D1057</x:f>
        <x:v>49</x:v>
      </x:c>
      <x:c r="E1057" s="53" t="n">
        <x:f>IF(D1057=0,SUMIFS('Cargo Records'!$T$7:$T$70,'Cargo Records'!$J$7:$J$70,C1057),0)</x:f>
        <x:v>0</x:v>
      </x:c>
      <x:c r="F1057" s="53" t="n">
        <x:f>I1056</x:f>
        <x:v>0</x:v>
      </x:c>
      <x:c r="G1057" s="53" t="n">
        <x:f>'Path Daily'!M1057</x:f>
        <x:v>6072</x:v>
      </x:c>
      <x:c r="H1057" s="53" t="n">
        <x:f>MIN(E1057+F1057,G1057)</x:f>
        <x:v>0</x:v>
      </x:c>
      <x:c r="I1057" s="53" t="n">
        <x:f>E1057+F1057-H1057</x:f>
        <x:v>0</x:v>
      </x:c>
      <x:c r="J1057" s="45" t="str">
        <x:f>IF(I1057=0,"CLEAR","QUEUED")</x:f>
        <x:v>CLEAR</x:v>
      </x:c>
      <x:c r="K1057" s="72"/>
      <x:c r="L1057" s="72"/>
      <x:c r="M1057" s="72"/>
      <x:c r="N1057" s="72"/>
    </x:row>
    <x:row r="1058">
      <x:c r="C1058" s="45" t="str">
        <x:f>'Path Daily'!C1058</x:f>
        <x:v>P11</x:v>
      </x:c>
      <x:c r="D1058" s="45" t="n">
        <x:f>'Path Daily'!D1058</x:f>
        <x:v>50</x:v>
      </x:c>
      <x:c r="E1058" s="53" t="n">
        <x:f>IF(D1058=0,SUMIFS('Cargo Records'!$T$7:$T$70,'Cargo Records'!$J$7:$J$70,C1058),0)</x:f>
        <x:v>0</x:v>
      </x:c>
      <x:c r="F1058" s="53" t="n">
        <x:f>I1057</x:f>
        <x:v>0</x:v>
      </x:c>
      <x:c r="G1058" s="53" t="n">
        <x:f>'Path Daily'!M1058</x:f>
        <x:v>6072</x:v>
      </x:c>
      <x:c r="H1058" s="53" t="n">
        <x:f>MIN(E1058+F1058,G1058)</x:f>
        <x:v>0</x:v>
      </x:c>
      <x:c r="I1058" s="53" t="n">
        <x:f>E1058+F1058-H1058</x:f>
        <x:v>0</x:v>
      </x:c>
      <x:c r="J1058" s="45" t="str">
        <x:f>IF(I1058=0,"CLEAR","QUEUED")</x:f>
        <x:v>CLEAR</x:v>
      </x:c>
      <x:c r="K1058" s="72"/>
      <x:c r="L1058" s="72"/>
      <x:c r="M1058" s="72"/>
      <x:c r="N1058" s="72"/>
    </x:row>
    <x:row r="1059">
      <x:c r="C1059" s="45" t="str">
        <x:f>'Path Daily'!C1059</x:f>
        <x:v>P11</x:v>
      </x:c>
      <x:c r="D1059" s="45" t="n">
        <x:f>'Path Daily'!D1059</x:f>
        <x:v>51</x:v>
      </x:c>
      <x:c r="E1059" s="53" t="n">
        <x:f>IF(D1059=0,SUMIFS('Cargo Records'!$T$7:$T$70,'Cargo Records'!$J$7:$J$70,C1059),0)</x:f>
        <x:v>0</x:v>
      </x:c>
      <x:c r="F1059" s="53" t="n">
        <x:f>I1058</x:f>
        <x:v>0</x:v>
      </x:c>
      <x:c r="G1059" s="53" t="n">
        <x:f>'Path Daily'!M1059</x:f>
        <x:v>6072</x:v>
      </x:c>
      <x:c r="H1059" s="53" t="n">
        <x:f>MIN(E1059+F1059,G1059)</x:f>
        <x:v>0</x:v>
      </x:c>
      <x:c r="I1059" s="53" t="n">
        <x:f>E1059+F1059-H1059</x:f>
        <x:v>0</x:v>
      </x:c>
      <x:c r="J1059" s="45" t="str">
        <x:f>IF(I1059=0,"CLEAR","QUEUED")</x:f>
        <x:v>CLEAR</x:v>
      </x:c>
      <x:c r="K1059" s="72"/>
      <x:c r="L1059" s="72"/>
      <x:c r="M1059" s="72"/>
      <x:c r="N1059" s="72"/>
    </x:row>
    <x:row r="1060">
      <x:c r="C1060" s="45" t="str">
        <x:f>'Path Daily'!C1060</x:f>
        <x:v>P11</x:v>
      </x:c>
      <x:c r="D1060" s="45" t="n">
        <x:f>'Path Daily'!D1060</x:f>
        <x:v>52</x:v>
      </x:c>
      <x:c r="E1060" s="53" t="n">
        <x:f>IF(D1060=0,SUMIFS('Cargo Records'!$T$7:$T$70,'Cargo Records'!$J$7:$J$70,C1060),0)</x:f>
        <x:v>0</x:v>
      </x:c>
      <x:c r="F1060" s="53" t="n">
        <x:f>I1059</x:f>
        <x:v>0</x:v>
      </x:c>
      <x:c r="G1060" s="53" t="n">
        <x:f>'Path Daily'!M1060</x:f>
        <x:v>6072</x:v>
      </x:c>
      <x:c r="H1060" s="53" t="n">
        <x:f>MIN(E1060+F1060,G1060)</x:f>
        <x:v>0</x:v>
      </x:c>
      <x:c r="I1060" s="53" t="n">
        <x:f>E1060+F1060-H1060</x:f>
        <x:v>0</x:v>
      </x:c>
      <x:c r="J1060" s="45" t="str">
        <x:f>IF(I1060=0,"CLEAR","QUEUED")</x:f>
        <x:v>CLEAR</x:v>
      </x:c>
      <x:c r="K1060" s="72"/>
      <x:c r="L1060" s="72"/>
      <x:c r="M1060" s="72"/>
      <x:c r="N1060" s="72"/>
    </x:row>
    <x:row r="1061">
      <x:c r="C1061" s="45" t="str">
        <x:f>'Path Daily'!C1061</x:f>
        <x:v>P11</x:v>
      </x:c>
      <x:c r="D1061" s="45" t="n">
        <x:f>'Path Daily'!D1061</x:f>
        <x:v>53</x:v>
      </x:c>
      <x:c r="E1061" s="53" t="n">
        <x:f>IF(D1061=0,SUMIFS('Cargo Records'!$T$7:$T$70,'Cargo Records'!$J$7:$J$70,C1061),0)</x:f>
        <x:v>0</x:v>
      </x:c>
      <x:c r="F1061" s="53" t="n">
        <x:f>I1060</x:f>
        <x:v>0</x:v>
      </x:c>
      <x:c r="G1061" s="53" t="n">
        <x:f>'Path Daily'!M1061</x:f>
        <x:v>6072</x:v>
      </x:c>
      <x:c r="H1061" s="53" t="n">
        <x:f>MIN(E1061+F1061,G1061)</x:f>
        <x:v>0</x:v>
      </x:c>
      <x:c r="I1061" s="53" t="n">
        <x:f>E1061+F1061-H1061</x:f>
        <x:v>0</x:v>
      </x:c>
      <x:c r="J1061" s="45" t="str">
        <x:f>IF(I1061=0,"CLEAR","QUEUED")</x:f>
        <x:v>CLEAR</x:v>
      </x:c>
      <x:c r="K1061" s="72"/>
      <x:c r="L1061" s="72"/>
      <x:c r="M1061" s="72"/>
      <x:c r="N1061" s="72"/>
    </x:row>
    <x:row r="1062">
      <x:c r="C1062" s="45" t="str">
        <x:f>'Path Daily'!C1062</x:f>
        <x:v>P11</x:v>
      </x:c>
      <x:c r="D1062" s="45" t="n">
        <x:f>'Path Daily'!D1062</x:f>
        <x:v>54</x:v>
      </x:c>
      <x:c r="E1062" s="53" t="n">
        <x:f>IF(D1062=0,SUMIFS('Cargo Records'!$T$7:$T$70,'Cargo Records'!$J$7:$J$70,C1062),0)</x:f>
        <x:v>0</x:v>
      </x:c>
      <x:c r="F1062" s="53" t="n">
        <x:f>I1061</x:f>
        <x:v>0</x:v>
      </x:c>
      <x:c r="G1062" s="53" t="n">
        <x:f>'Path Daily'!M1062</x:f>
        <x:v>6072</x:v>
      </x:c>
      <x:c r="H1062" s="53" t="n">
        <x:f>MIN(E1062+F1062,G1062)</x:f>
        <x:v>0</x:v>
      </x:c>
      <x:c r="I1062" s="53" t="n">
        <x:f>E1062+F1062-H1062</x:f>
        <x:v>0</x:v>
      </x:c>
      <x:c r="J1062" s="45" t="str">
        <x:f>IF(I1062=0,"CLEAR","QUEUED")</x:f>
        <x:v>CLEAR</x:v>
      </x:c>
      <x:c r="K1062" s="72"/>
      <x:c r="L1062" s="72"/>
      <x:c r="M1062" s="72"/>
      <x:c r="N1062" s="72"/>
    </x:row>
    <x:row r="1063">
      <x:c r="C1063" s="45" t="str">
        <x:f>'Path Daily'!C1063</x:f>
        <x:v>P11</x:v>
      </x:c>
      <x:c r="D1063" s="45" t="n">
        <x:f>'Path Daily'!D1063</x:f>
        <x:v>55</x:v>
      </x:c>
      <x:c r="E1063" s="53" t="n">
        <x:f>IF(D1063=0,SUMIFS('Cargo Records'!$T$7:$T$70,'Cargo Records'!$J$7:$J$70,C1063),0)</x:f>
        <x:v>0</x:v>
      </x:c>
      <x:c r="F1063" s="53" t="n">
        <x:f>I1062</x:f>
        <x:v>0</x:v>
      </x:c>
      <x:c r="G1063" s="53" t="n">
        <x:f>'Path Daily'!M1063</x:f>
        <x:v>6072</x:v>
      </x:c>
      <x:c r="H1063" s="53" t="n">
        <x:f>MIN(E1063+F1063,G1063)</x:f>
        <x:v>0</x:v>
      </x:c>
      <x:c r="I1063" s="53" t="n">
        <x:f>E1063+F1063-H1063</x:f>
        <x:v>0</x:v>
      </x:c>
      <x:c r="J1063" s="45" t="str">
        <x:f>IF(I1063=0,"CLEAR","QUEUED")</x:f>
        <x:v>CLEAR</x:v>
      </x:c>
      <x:c r="K1063" s="72"/>
      <x:c r="L1063" s="72"/>
      <x:c r="M1063" s="72"/>
      <x:c r="N1063" s="72"/>
    </x:row>
    <x:row r="1064">
      <x:c r="C1064" s="45" t="str">
        <x:f>'Path Daily'!C1064</x:f>
        <x:v>P11</x:v>
      </x:c>
      <x:c r="D1064" s="45" t="n">
        <x:f>'Path Daily'!D1064</x:f>
        <x:v>56</x:v>
      </x:c>
      <x:c r="E1064" s="53" t="n">
        <x:f>IF(D1064=0,SUMIFS('Cargo Records'!$T$7:$T$70,'Cargo Records'!$J$7:$J$70,C1064),0)</x:f>
        <x:v>0</x:v>
      </x:c>
      <x:c r="F1064" s="53" t="n">
        <x:f>I1063</x:f>
        <x:v>0</x:v>
      </x:c>
      <x:c r="G1064" s="53" t="n">
        <x:f>'Path Daily'!M1064</x:f>
        <x:v>6072</x:v>
      </x:c>
      <x:c r="H1064" s="53" t="n">
        <x:f>MIN(E1064+F1064,G1064)</x:f>
        <x:v>0</x:v>
      </x:c>
      <x:c r="I1064" s="53" t="n">
        <x:f>E1064+F1064-H1064</x:f>
        <x:v>0</x:v>
      </x:c>
      <x:c r="J1064" s="45" t="str">
        <x:f>IF(I1064=0,"CLEAR","QUEUED")</x:f>
        <x:v>CLEAR</x:v>
      </x:c>
      <x:c r="K1064" s="72"/>
      <x:c r="L1064" s="72"/>
      <x:c r="M1064" s="72"/>
      <x:c r="N1064" s="72"/>
    </x:row>
    <x:row r="1065">
      <x:c r="C1065" s="45" t="str">
        <x:f>'Path Daily'!C1065</x:f>
        <x:v>P11</x:v>
      </x:c>
      <x:c r="D1065" s="45" t="n">
        <x:f>'Path Daily'!D1065</x:f>
        <x:v>57</x:v>
      </x:c>
      <x:c r="E1065" s="53" t="n">
        <x:f>IF(D1065=0,SUMIFS('Cargo Records'!$T$7:$T$70,'Cargo Records'!$J$7:$J$70,C1065),0)</x:f>
        <x:v>0</x:v>
      </x:c>
      <x:c r="F1065" s="53" t="n">
        <x:f>I1064</x:f>
        <x:v>0</x:v>
      </x:c>
      <x:c r="G1065" s="53" t="n">
        <x:f>'Path Daily'!M1065</x:f>
        <x:v>6072</x:v>
      </x:c>
      <x:c r="H1065" s="53" t="n">
        <x:f>MIN(E1065+F1065,G1065)</x:f>
        <x:v>0</x:v>
      </x:c>
      <x:c r="I1065" s="53" t="n">
        <x:f>E1065+F1065-H1065</x:f>
        <x:v>0</x:v>
      </x:c>
      <x:c r="J1065" s="45" t="str">
        <x:f>IF(I1065=0,"CLEAR","QUEUED")</x:f>
        <x:v>CLEAR</x:v>
      </x:c>
      <x:c r="K1065" s="72"/>
      <x:c r="L1065" s="72"/>
      <x:c r="M1065" s="72"/>
      <x:c r="N1065" s="72"/>
    </x:row>
    <x:row r="1066">
      <x:c r="C1066" s="45" t="str">
        <x:f>'Path Daily'!C1066</x:f>
        <x:v>P11</x:v>
      </x:c>
      <x:c r="D1066" s="45" t="n">
        <x:f>'Path Daily'!D1066</x:f>
        <x:v>58</x:v>
      </x:c>
      <x:c r="E1066" s="53" t="n">
        <x:f>IF(D1066=0,SUMIFS('Cargo Records'!$T$7:$T$70,'Cargo Records'!$J$7:$J$70,C1066),0)</x:f>
        <x:v>0</x:v>
      </x:c>
      <x:c r="F1066" s="53" t="n">
        <x:f>I1065</x:f>
        <x:v>0</x:v>
      </x:c>
      <x:c r="G1066" s="53" t="n">
        <x:f>'Path Daily'!M1066</x:f>
        <x:v>6072</x:v>
      </x:c>
      <x:c r="H1066" s="53" t="n">
        <x:f>MIN(E1066+F1066,G1066)</x:f>
        <x:v>0</x:v>
      </x:c>
      <x:c r="I1066" s="53" t="n">
        <x:f>E1066+F1066-H1066</x:f>
        <x:v>0</x:v>
      </x:c>
      <x:c r="J1066" s="45" t="str">
        <x:f>IF(I1066=0,"CLEAR","QUEUED")</x:f>
        <x:v>CLEAR</x:v>
      </x:c>
      <x:c r="K1066" s="72"/>
      <x:c r="L1066" s="72"/>
      <x:c r="M1066" s="72"/>
      <x:c r="N1066" s="72"/>
    </x:row>
    <x:row r="1067">
      <x:c r="C1067" s="45" t="str">
        <x:f>'Path Daily'!C1067</x:f>
        <x:v>P11</x:v>
      </x:c>
      <x:c r="D1067" s="45" t="n">
        <x:f>'Path Daily'!D1067</x:f>
        <x:v>59</x:v>
      </x:c>
      <x:c r="E1067" s="53" t="n">
        <x:f>IF(D1067=0,SUMIFS('Cargo Records'!$T$7:$T$70,'Cargo Records'!$J$7:$J$70,C1067),0)</x:f>
        <x:v>0</x:v>
      </x:c>
      <x:c r="F1067" s="53" t="n">
        <x:f>I1066</x:f>
        <x:v>0</x:v>
      </x:c>
      <x:c r="G1067" s="53" t="n">
        <x:f>'Path Daily'!M1067</x:f>
        <x:v>6072</x:v>
      </x:c>
      <x:c r="H1067" s="53" t="n">
        <x:f>MIN(E1067+F1067,G1067)</x:f>
        <x:v>0</x:v>
      </x:c>
      <x:c r="I1067" s="53" t="n">
        <x:f>E1067+F1067-H1067</x:f>
        <x:v>0</x:v>
      </x:c>
      <x:c r="J1067" s="45" t="str">
        <x:f>IF(I1067=0,"CLEAR","QUEUED")</x:f>
        <x:v>CLEAR</x:v>
      </x:c>
      <x:c r="K1067" s="72"/>
      <x:c r="L1067" s="72"/>
      <x:c r="M1067" s="72"/>
      <x:c r="N1067" s="72"/>
    </x:row>
    <x:row r="1068">
      <x:c r="C1068" s="45" t="str">
        <x:f>'Path Daily'!C1068</x:f>
        <x:v>P11</x:v>
      </x:c>
      <x:c r="D1068" s="45" t="n">
        <x:f>'Path Daily'!D1068</x:f>
        <x:v>60</x:v>
      </x:c>
      <x:c r="E1068" s="53" t="n">
        <x:f>IF(D1068=0,SUMIFS('Cargo Records'!$T$7:$T$70,'Cargo Records'!$J$7:$J$70,C1068),0)</x:f>
        <x:v>0</x:v>
      </x:c>
      <x:c r="F1068" s="53" t="n">
        <x:f>I1067</x:f>
        <x:v>0</x:v>
      </x:c>
      <x:c r="G1068" s="53" t="n">
        <x:f>'Path Daily'!M1068</x:f>
        <x:v>6072</x:v>
      </x:c>
      <x:c r="H1068" s="53" t="n">
        <x:f>MIN(E1068+F1068,G1068)</x:f>
        <x:v>0</x:v>
      </x:c>
      <x:c r="I1068" s="53" t="n">
        <x:f>E1068+F1068-H1068</x:f>
        <x:v>0</x:v>
      </x:c>
      <x:c r="J1068" s="45" t="str">
        <x:f>IF(I1068=0,"CLEAR","QUEUED")</x:f>
        <x:v>CLEAR</x:v>
      </x:c>
      <x:c r="K1068" s="72"/>
      <x:c r="L1068" s="72"/>
      <x:c r="M1068" s="72"/>
      <x:c r="N1068" s="72"/>
    </x:row>
    <x:row r="1069">
      <x:c r="C1069" s="45" t="str">
        <x:f>'Path Daily'!C1069</x:f>
        <x:v>P11</x:v>
      </x:c>
      <x:c r="D1069" s="45" t="n">
        <x:f>'Path Daily'!D1069</x:f>
        <x:v>61</x:v>
      </x:c>
      <x:c r="E1069" s="53" t="n">
        <x:f>IF(D1069=0,SUMIFS('Cargo Records'!$T$7:$T$70,'Cargo Records'!$J$7:$J$70,C1069),0)</x:f>
        <x:v>0</x:v>
      </x:c>
      <x:c r="F1069" s="53" t="n">
        <x:f>I1068</x:f>
        <x:v>0</x:v>
      </x:c>
      <x:c r="G1069" s="53" t="n">
        <x:f>'Path Daily'!M1069</x:f>
        <x:v>3643.2</x:v>
      </x:c>
      <x:c r="H1069" s="53" t="n">
        <x:f>MIN(E1069+F1069,G1069)</x:f>
        <x:v>0</x:v>
      </x:c>
      <x:c r="I1069" s="53" t="n">
        <x:f>E1069+F1069-H1069</x:f>
        <x:v>0</x:v>
      </x:c>
      <x:c r="J1069" s="45" t="str">
        <x:f>IF(I1069=0,"CLEAR","QUEUED")</x:f>
        <x:v>CLEAR</x:v>
      </x:c>
      <x:c r="K1069" s="72"/>
      <x:c r="L1069" s="72"/>
      <x:c r="M1069" s="72"/>
      <x:c r="N1069" s="72"/>
    </x:row>
    <x:row r="1070">
      <x:c r="C1070" s="45" t="str">
        <x:f>'Path Daily'!C1070</x:f>
        <x:v>P11</x:v>
      </x:c>
      <x:c r="D1070" s="45" t="n">
        <x:f>'Path Daily'!D1070</x:f>
        <x:v>62</x:v>
      </x:c>
      <x:c r="E1070" s="53" t="n">
        <x:f>IF(D1070=0,SUMIFS('Cargo Records'!$T$7:$T$70,'Cargo Records'!$J$7:$J$70,C1070),0)</x:f>
        <x:v>0</x:v>
      </x:c>
      <x:c r="F1070" s="53" t="n">
        <x:f>I1069</x:f>
        <x:v>0</x:v>
      </x:c>
      <x:c r="G1070" s="53" t="n">
        <x:f>'Path Daily'!M1070</x:f>
        <x:v>3643.2</x:v>
      </x:c>
      <x:c r="H1070" s="53" t="n">
        <x:f>MIN(E1070+F1070,G1070)</x:f>
        <x:v>0</x:v>
      </x:c>
      <x:c r="I1070" s="53" t="n">
        <x:f>E1070+F1070-H1070</x:f>
        <x:v>0</x:v>
      </x:c>
      <x:c r="J1070" s="45" t="str">
        <x:f>IF(I1070=0,"CLEAR","QUEUED")</x:f>
        <x:v>CLEAR</x:v>
      </x:c>
      <x:c r="K1070" s="72"/>
      <x:c r="L1070" s="72"/>
      <x:c r="M1070" s="72"/>
      <x:c r="N1070" s="72"/>
    </x:row>
    <x:row r="1071">
      <x:c r="C1071" s="45" t="str">
        <x:f>'Path Daily'!C1071</x:f>
        <x:v>P11</x:v>
      </x:c>
      <x:c r="D1071" s="45" t="n">
        <x:f>'Path Daily'!D1071</x:f>
        <x:v>63</x:v>
      </x:c>
      <x:c r="E1071" s="53" t="n">
        <x:f>IF(D1071=0,SUMIFS('Cargo Records'!$T$7:$T$70,'Cargo Records'!$J$7:$J$70,C1071),0)</x:f>
        <x:v>0</x:v>
      </x:c>
      <x:c r="F1071" s="53" t="n">
        <x:f>I1070</x:f>
        <x:v>0</x:v>
      </x:c>
      <x:c r="G1071" s="53" t="n">
        <x:f>'Path Daily'!M1071</x:f>
        <x:v>3643.2</x:v>
      </x:c>
      <x:c r="H1071" s="53" t="n">
        <x:f>MIN(E1071+F1071,G1071)</x:f>
        <x:v>0</x:v>
      </x:c>
      <x:c r="I1071" s="53" t="n">
        <x:f>E1071+F1071-H1071</x:f>
        <x:v>0</x:v>
      </x:c>
      <x:c r="J1071" s="45" t="str">
        <x:f>IF(I1071=0,"CLEAR","QUEUED")</x:f>
        <x:v>CLEAR</x:v>
      </x:c>
      <x:c r="K1071" s="72"/>
      <x:c r="L1071" s="72"/>
      <x:c r="M1071" s="72"/>
      <x:c r="N1071" s="72"/>
    </x:row>
    <x:row r="1072">
      <x:c r="C1072" s="45" t="str">
        <x:f>'Path Daily'!C1072</x:f>
        <x:v>P11</x:v>
      </x:c>
      <x:c r="D1072" s="45" t="n">
        <x:f>'Path Daily'!D1072</x:f>
        <x:v>64</x:v>
      </x:c>
      <x:c r="E1072" s="53" t="n">
        <x:f>IF(D1072=0,SUMIFS('Cargo Records'!$T$7:$T$70,'Cargo Records'!$J$7:$J$70,C1072),0)</x:f>
        <x:v>0</x:v>
      </x:c>
      <x:c r="F1072" s="53" t="n">
        <x:f>I1071</x:f>
        <x:v>0</x:v>
      </x:c>
      <x:c r="G1072" s="53" t="n">
        <x:f>'Path Daily'!M1072</x:f>
        <x:v>6072</x:v>
      </x:c>
      <x:c r="H1072" s="53" t="n">
        <x:f>MIN(E1072+F1072,G1072)</x:f>
        <x:v>0</x:v>
      </x:c>
      <x:c r="I1072" s="53" t="n">
        <x:f>E1072+F1072-H1072</x:f>
        <x:v>0</x:v>
      </x:c>
      <x:c r="J1072" s="45" t="str">
        <x:f>IF(I1072=0,"CLEAR","QUEUED")</x:f>
        <x:v>CLEAR</x:v>
      </x:c>
      <x:c r="K1072" s="72"/>
      <x:c r="L1072" s="72"/>
      <x:c r="M1072" s="72"/>
      <x:c r="N1072" s="72"/>
    </x:row>
    <x:row r="1073">
      <x:c r="C1073" s="45" t="str">
        <x:f>'Path Daily'!C1073</x:f>
        <x:v>P11</x:v>
      </x:c>
      <x:c r="D1073" s="45" t="n">
        <x:f>'Path Daily'!D1073</x:f>
        <x:v>65</x:v>
      </x:c>
      <x:c r="E1073" s="53" t="n">
        <x:f>IF(D1073=0,SUMIFS('Cargo Records'!$T$7:$T$70,'Cargo Records'!$J$7:$J$70,C1073),0)</x:f>
        <x:v>0</x:v>
      </x:c>
      <x:c r="F1073" s="53" t="n">
        <x:f>I1072</x:f>
        <x:v>0</x:v>
      </x:c>
      <x:c r="G1073" s="53" t="n">
        <x:f>'Path Daily'!M1073</x:f>
        <x:v>6072</x:v>
      </x:c>
      <x:c r="H1073" s="53" t="n">
        <x:f>MIN(E1073+F1073,G1073)</x:f>
        <x:v>0</x:v>
      </x:c>
      <x:c r="I1073" s="53" t="n">
        <x:f>E1073+F1073-H1073</x:f>
        <x:v>0</x:v>
      </x:c>
      <x:c r="J1073" s="45" t="str">
        <x:f>IF(I1073=0,"CLEAR","QUEUED")</x:f>
        <x:v>CLEAR</x:v>
      </x:c>
      <x:c r="K1073" s="72"/>
      <x:c r="L1073" s="72"/>
      <x:c r="M1073" s="72"/>
      <x:c r="N1073" s="72"/>
    </x:row>
    <x:row r="1074">
      <x:c r="C1074" s="45" t="str">
        <x:f>'Path Daily'!C1074</x:f>
        <x:v>P11</x:v>
      </x:c>
      <x:c r="D1074" s="45" t="n">
        <x:f>'Path Daily'!D1074</x:f>
        <x:v>66</x:v>
      </x:c>
      <x:c r="E1074" s="53" t="n">
        <x:f>IF(D1074=0,SUMIFS('Cargo Records'!$T$7:$T$70,'Cargo Records'!$J$7:$J$70,C1074),0)</x:f>
        <x:v>0</x:v>
      </x:c>
      <x:c r="F1074" s="53" t="n">
        <x:f>I1073</x:f>
        <x:v>0</x:v>
      </x:c>
      <x:c r="G1074" s="53" t="n">
        <x:f>'Path Daily'!M1074</x:f>
        <x:v>6072</x:v>
      </x:c>
      <x:c r="H1074" s="53" t="n">
        <x:f>MIN(E1074+F1074,G1074)</x:f>
        <x:v>0</x:v>
      </x:c>
      <x:c r="I1074" s="53" t="n">
        <x:f>E1074+F1074-H1074</x:f>
        <x:v>0</x:v>
      </x:c>
      <x:c r="J1074" s="45" t="str">
        <x:f>IF(I1074=0,"CLEAR","QUEUED")</x:f>
        <x:v>CLEAR</x:v>
      </x:c>
      <x:c r="K1074" s="72"/>
      <x:c r="L1074" s="72"/>
      <x:c r="M1074" s="72"/>
      <x:c r="N1074" s="72"/>
    </x:row>
    <x:row r="1075">
      <x:c r="C1075" s="45" t="str">
        <x:f>'Path Daily'!C1075</x:f>
        <x:v>P11</x:v>
      </x:c>
      <x:c r="D1075" s="45" t="n">
        <x:f>'Path Daily'!D1075</x:f>
        <x:v>67</x:v>
      </x:c>
      <x:c r="E1075" s="53" t="n">
        <x:f>IF(D1075=0,SUMIFS('Cargo Records'!$T$7:$T$70,'Cargo Records'!$J$7:$J$70,C1075),0)</x:f>
        <x:v>0</x:v>
      </x:c>
      <x:c r="F1075" s="53" t="n">
        <x:f>I1074</x:f>
        <x:v>0</x:v>
      </x:c>
      <x:c r="G1075" s="53" t="n">
        <x:f>'Path Daily'!M1075</x:f>
        <x:v>6072</x:v>
      </x:c>
      <x:c r="H1075" s="53" t="n">
        <x:f>MIN(E1075+F1075,G1075)</x:f>
        <x:v>0</x:v>
      </x:c>
      <x:c r="I1075" s="53" t="n">
        <x:f>E1075+F1075-H1075</x:f>
        <x:v>0</x:v>
      </x:c>
      <x:c r="J1075" s="45" t="str">
        <x:f>IF(I1075=0,"CLEAR","QUEUED")</x:f>
        <x:v>CLEAR</x:v>
      </x:c>
      <x:c r="K1075" s="72"/>
      <x:c r="L1075" s="72"/>
      <x:c r="M1075" s="72"/>
      <x:c r="N1075" s="72"/>
    </x:row>
    <x:row r="1076">
      <x:c r="C1076" s="45" t="str">
        <x:f>'Path Daily'!C1076</x:f>
        <x:v>P11</x:v>
      </x:c>
      <x:c r="D1076" s="45" t="n">
        <x:f>'Path Daily'!D1076</x:f>
        <x:v>68</x:v>
      </x:c>
      <x:c r="E1076" s="53" t="n">
        <x:f>IF(D1076=0,SUMIFS('Cargo Records'!$T$7:$T$70,'Cargo Records'!$J$7:$J$70,C1076),0)</x:f>
        <x:v>0</x:v>
      </x:c>
      <x:c r="F1076" s="53" t="n">
        <x:f>I1075</x:f>
        <x:v>0</x:v>
      </x:c>
      <x:c r="G1076" s="53" t="n">
        <x:f>'Path Daily'!M1076</x:f>
        <x:v>6072</x:v>
      </x:c>
      <x:c r="H1076" s="53" t="n">
        <x:f>MIN(E1076+F1076,G1076)</x:f>
        <x:v>0</x:v>
      </x:c>
      <x:c r="I1076" s="53" t="n">
        <x:f>E1076+F1076-H1076</x:f>
        <x:v>0</x:v>
      </x:c>
      <x:c r="J1076" s="45" t="str">
        <x:f>IF(I1076=0,"CLEAR","QUEUED")</x:f>
        <x:v>CLEAR</x:v>
      </x:c>
      <x:c r="K1076" s="72"/>
      <x:c r="L1076" s="72"/>
      <x:c r="M1076" s="72"/>
      <x:c r="N1076" s="72"/>
    </x:row>
    <x:row r="1077">
      <x:c r="C1077" s="45" t="str">
        <x:f>'Path Daily'!C1077</x:f>
        <x:v>P11</x:v>
      </x:c>
      <x:c r="D1077" s="45" t="n">
        <x:f>'Path Daily'!D1077</x:f>
        <x:v>69</x:v>
      </x:c>
      <x:c r="E1077" s="53" t="n">
        <x:f>IF(D1077=0,SUMIFS('Cargo Records'!$T$7:$T$70,'Cargo Records'!$J$7:$J$70,C1077),0)</x:f>
        <x:v>0</x:v>
      </x:c>
      <x:c r="F1077" s="53" t="n">
        <x:f>I1076</x:f>
        <x:v>0</x:v>
      </x:c>
      <x:c r="G1077" s="53" t="n">
        <x:f>'Path Daily'!M1077</x:f>
        <x:v>6072</x:v>
      </x:c>
      <x:c r="H1077" s="53" t="n">
        <x:f>MIN(E1077+F1077,G1077)</x:f>
        <x:v>0</x:v>
      </x:c>
      <x:c r="I1077" s="53" t="n">
        <x:f>E1077+F1077-H1077</x:f>
        <x:v>0</x:v>
      </x:c>
      <x:c r="J1077" s="45" t="str">
        <x:f>IF(I1077=0,"CLEAR","QUEUED")</x:f>
        <x:v>CLEAR</x:v>
      </x:c>
      <x:c r="K1077" s="72"/>
      <x:c r="L1077" s="72"/>
      <x:c r="M1077" s="72"/>
      <x:c r="N1077" s="72"/>
    </x:row>
    <x:row r="1078">
      <x:c r="C1078" s="45" t="str">
        <x:f>'Path Daily'!C1078</x:f>
        <x:v>P11</x:v>
      </x:c>
      <x:c r="D1078" s="45" t="n">
        <x:f>'Path Daily'!D1078</x:f>
        <x:v>70</x:v>
      </x:c>
      <x:c r="E1078" s="53" t="n">
        <x:f>IF(D1078=0,SUMIFS('Cargo Records'!$T$7:$T$70,'Cargo Records'!$J$7:$J$70,C1078),0)</x:f>
        <x:v>0</x:v>
      </x:c>
      <x:c r="F1078" s="53" t="n">
        <x:f>I1077</x:f>
        <x:v>0</x:v>
      </x:c>
      <x:c r="G1078" s="53" t="n">
        <x:f>'Path Daily'!M1078</x:f>
        <x:v>6072</x:v>
      </x:c>
      <x:c r="H1078" s="53" t="n">
        <x:f>MIN(E1078+F1078,G1078)</x:f>
        <x:v>0</x:v>
      </x:c>
      <x:c r="I1078" s="53" t="n">
        <x:f>E1078+F1078-H1078</x:f>
        <x:v>0</x:v>
      </x:c>
      <x:c r="J1078" s="45" t="str">
        <x:f>IF(I1078=0,"CLEAR","QUEUED")</x:f>
        <x:v>CLEAR</x:v>
      </x:c>
      <x:c r="K1078" s="72"/>
      <x:c r="L1078" s="72"/>
      <x:c r="M1078" s="72"/>
      <x:c r="N1078" s="72"/>
    </x:row>
    <x:row r="1079">
      <x:c r="C1079" s="45" t="str">
        <x:f>'Path Daily'!C1079</x:f>
        <x:v>P11</x:v>
      </x:c>
      <x:c r="D1079" s="45" t="n">
        <x:f>'Path Daily'!D1079</x:f>
        <x:v>71</x:v>
      </x:c>
      <x:c r="E1079" s="53" t="n">
        <x:f>IF(D1079=0,SUMIFS('Cargo Records'!$T$7:$T$70,'Cargo Records'!$J$7:$J$70,C1079),0)</x:f>
        <x:v>0</x:v>
      </x:c>
      <x:c r="F1079" s="53" t="n">
        <x:f>I1078</x:f>
        <x:v>0</x:v>
      </x:c>
      <x:c r="G1079" s="53" t="n">
        <x:f>'Path Daily'!M1079</x:f>
        <x:v>6072</x:v>
      </x:c>
      <x:c r="H1079" s="53" t="n">
        <x:f>MIN(E1079+F1079,G1079)</x:f>
        <x:v>0</x:v>
      </x:c>
      <x:c r="I1079" s="53" t="n">
        <x:f>E1079+F1079-H1079</x:f>
        <x:v>0</x:v>
      </x:c>
      <x:c r="J1079" s="45" t="str">
        <x:f>IF(I1079=0,"CLEAR","QUEUED")</x:f>
        <x:v>CLEAR</x:v>
      </x:c>
      <x:c r="K1079" s="72"/>
      <x:c r="L1079" s="72"/>
      <x:c r="M1079" s="72"/>
      <x:c r="N1079" s="72"/>
    </x:row>
    <x:row r="1080">
      <x:c r="C1080" s="45" t="str">
        <x:f>'Path Daily'!C1080</x:f>
        <x:v>P11</x:v>
      </x:c>
      <x:c r="D1080" s="45" t="n">
        <x:f>'Path Daily'!D1080</x:f>
        <x:v>72</x:v>
      </x:c>
      <x:c r="E1080" s="53" t="n">
        <x:f>IF(D1080=0,SUMIFS('Cargo Records'!$T$7:$T$70,'Cargo Records'!$J$7:$J$70,C1080),0)</x:f>
        <x:v>0</x:v>
      </x:c>
      <x:c r="F1080" s="53" t="n">
        <x:f>I1079</x:f>
        <x:v>0</x:v>
      </x:c>
      <x:c r="G1080" s="53" t="n">
        <x:f>'Path Daily'!M1080</x:f>
        <x:v>6072</x:v>
      </x:c>
      <x:c r="H1080" s="53" t="n">
        <x:f>MIN(E1080+F1080,G1080)</x:f>
        <x:v>0</x:v>
      </x:c>
      <x:c r="I1080" s="53" t="n">
        <x:f>E1080+F1080-H1080</x:f>
        <x:v>0</x:v>
      </x:c>
      <x:c r="J1080" s="45" t="str">
        <x:f>IF(I1080=0,"CLEAR","QUEUED")</x:f>
        <x:v>CLEAR</x:v>
      </x:c>
      <x:c r="K1080" s="72"/>
      <x:c r="L1080" s="72"/>
      <x:c r="M1080" s="72"/>
      <x:c r="N1080" s="72"/>
    </x:row>
    <x:row r="1081">
      <x:c r="C1081" s="45" t="str">
        <x:f>'Path Daily'!C1081</x:f>
        <x:v>P11</x:v>
      </x:c>
      <x:c r="D1081" s="45" t="n">
        <x:f>'Path Daily'!D1081</x:f>
        <x:v>73</x:v>
      </x:c>
      <x:c r="E1081" s="53" t="n">
        <x:f>IF(D1081=0,SUMIFS('Cargo Records'!$T$7:$T$70,'Cargo Records'!$J$7:$J$70,C1081),0)</x:f>
        <x:v>0</x:v>
      </x:c>
      <x:c r="F1081" s="53" t="n">
        <x:f>I1080</x:f>
        <x:v>0</x:v>
      </x:c>
      <x:c r="G1081" s="53" t="n">
        <x:f>'Path Daily'!M1081</x:f>
        <x:v>6072</x:v>
      </x:c>
      <x:c r="H1081" s="53" t="n">
        <x:f>MIN(E1081+F1081,G1081)</x:f>
        <x:v>0</x:v>
      </x:c>
      <x:c r="I1081" s="53" t="n">
        <x:f>E1081+F1081-H1081</x:f>
        <x:v>0</x:v>
      </x:c>
      <x:c r="J1081" s="45" t="str">
        <x:f>IF(I1081=0,"CLEAR","QUEUED")</x:f>
        <x:v>CLEAR</x:v>
      </x:c>
      <x:c r="K1081" s="72"/>
      <x:c r="L1081" s="72"/>
      <x:c r="M1081" s="72"/>
      <x:c r="N1081" s="72"/>
    </x:row>
    <x:row r="1082">
      <x:c r="C1082" s="45" t="str">
        <x:f>'Path Daily'!C1082</x:f>
        <x:v>P11</x:v>
      </x:c>
      <x:c r="D1082" s="45" t="n">
        <x:f>'Path Daily'!D1082</x:f>
        <x:v>74</x:v>
      </x:c>
      <x:c r="E1082" s="53" t="n">
        <x:f>IF(D1082=0,SUMIFS('Cargo Records'!$T$7:$T$70,'Cargo Records'!$J$7:$J$70,C1082),0)</x:f>
        <x:v>0</x:v>
      </x:c>
      <x:c r="F1082" s="53" t="n">
        <x:f>I1081</x:f>
        <x:v>0</x:v>
      </x:c>
      <x:c r="G1082" s="53" t="n">
        <x:f>'Path Daily'!M1082</x:f>
        <x:v>6072</x:v>
      </x:c>
      <x:c r="H1082" s="53" t="n">
        <x:f>MIN(E1082+F1082,G1082)</x:f>
        <x:v>0</x:v>
      </x:c>
      <x:c r="I1082" s="53" t="n">
        <x:f>E1082+F1082-H1082</x:f>
        <x:v>0</x:v>
      </x:c>
      <x:c r="J1082" s="45" t="str">
        <x:f>IF(I1082=0,"CLEAR","QUEUED")</x:f>
        <x:v>CLEAR</x:v>
      </x:c>
      <x:c r="K1082" s="72"/>
      <x:c r="L1082" s="72"/>
      <x:c r="M1082" s="72"/>
      <x:c r="N1082" s="72"/>
    </x:row>
    <x:row r="1083">
      <x:c r="C1083" s="45" t="str">
        <x:f>'Path Daily'!C1083</x:f>
        <x:v>P11</x:v>
      </x:c>
      <x:c r="D1083" s="45" t="n">
        <x:f>'Path Daily'!D1083</x:f>
        <x:v>75</x:v>
      </x:c>
      <x:c r="E1083" s="53" t="n">
        <x:f>IF(D1083=0,SUMIFS('Cargo Records'!$T$7:$T$70,'Cargo Records'!$J$7:$J$70,C1083),0)</x:f>
        <x:v>0</x:v>
      </x:c>
      <x:c r="F1083" s="53" t="n">
        <x:f>I1082</x:f>
        <x:v>0</x:v>
      </x:c>
      <x:c r="G1083" s="53" t="n">
        <x:f>'Path Daily'!M1083</x:f>
        <x:v>6072</x:v>
      </x:c>
      <x:c r="H1083" s="53" t="n">
        <x:f>MIN(E1083+F1083,G1083)</x:f>
        <x:v>0</x:v>
      </x:c>
      <x:c r="I1083" s="53" t="n">
        <x:f>E1083+F1083-H1083</x:f>
        <x:v>0</x:v>
      </x:c>
      <x:c r="J1083" s="45" t="str">
        <x:f>IF(I1083=0,"CLEAR","QUEUED")</x:f>
        <x:v>CLEAR</x:v>
      </x:c>
      <x:c r="K1083" s="72"/>
      <x:c r="L1083" s="72"/>
      <x:c r="M1083" s="72"/>
      <x:c r="N1083" s="72"/>
    </x:row>
    <x:row r="1084">
      <x:c r="C1084" s="45" t="str">
        <x:f>'Path Daily'!C1084</x:f>
        <x:v>P11</x:v>
      </x:c>
      <x:c r="D1084" s="45" t="n">
        <x:f>'Path Daily'!D1084</x:f>
        <x:v>76</x:v>
      </x:c>
      <x:c r="E1084" s="53" t="n">
        <x:f>IF(D1084=0,SUMIFS('Cargo Records'!$T$7:$T$70,'Cargo Records'!$J$7:$J$70,C1084),0)</x:f>
        <x:v>0</x:v>
      </x:c>
      <x:c r="F1084" s="53" t="n">
        <x:f>I1083</x:f>
        <x:v>0</x:v>
      </x:c>
      <x:c r="G1084" s="53" t="n">
        <x:f>'Path Daily'!M1084</x:f>
        <x:v>6072</x:v>
      </x:c>
      <x:c r="H1084" s="53" t="n">
        <x:f>MIN(E1084+F1084,G1084)</x:f>
        <x:v>0</x:v>
      </x:c>
      <x:c r="I1084" s="53" t="n">
        <x:f>E1084+F1084-H1084</x:f>
        <x:v>0</x:v>
      </x:c>
      <x:c r="J1084" s="45" t="str">
        <x:f>IF(I1084=0,"CLEAR","QUEUED")</x:f>
        <x:v>CLEAR</x:v>
      </x:c>
      <x:c r="K1084" s="72"/>
      <x:c r="L1084" s="72"/>
      <x:c r="M1084" s="72"/>
      <x:c r="N1084" s="72"/>
    </x:row>
    <x:row r="1085">
      <x:c r="C1085" s="45" t="str">
        <x:f>'Path Daily'!C1085</x:f>
        <x:v>P11</x:v>
      </x:c>
      <x:c r="D1085" s="45" t="n">
        <x:f>'Path Daily'!D1085</x:f>
        <x:v>77</x:v>
      </x:c>
      <x:c r="E1085" s="53" t="n">
        <x:f>IF(D1085=0,SUMIFS('Cargo Records'!$T$7:$T$70,'Cargo Records'!$J$7:$J$70,C1085),0)</x:f>
        <x:v>0</x:v>
      </x:c>
      <x:c r="F1085" s="53" t="n">
        <x:f>I1084</x:f>
        <x:v>0</x:v>
      </x:c>
      <x:c r="G1085" s="53" t="n">
        <x:f>'Path Daily'!M1085</x:f>
        <x:v>6072</x:v>
      </x:c>
      <x:c r="H1085" s="53" t="n">
        <x:f>MIN(E1085+F1085,G1085)</x:f>
        <x:v>0</x:v>
      </x:c>
      <x:c r="I1085" s="53" t="n">
        <x:f>E1085+F1085-H1085</x:f>
        <x:v>0</x:v>
      </x:c>
      <x:c r="J1085" s="45" t="str">
        <x:f>IF(I1085=0,"CLEAR","QUEUED")</x:f>
        <x:v>CLEAR</x:v>
      </x:c>
      <x:c r="K1085" s="72"/>
      <x:c r="L1085" s="72"/>
      <x:c r="M1085" s="72"/>
      <x:c r="N1085" s="72"/>
    </x:row>
    <x:row r="1086">
      <x:c r="C1086" s="45" t="str">
        <x:f>'Path Daily'!C1086</x:f>
        <x:v>P11</x:v>
      </x:c>
      <x:c r="D1086" s="45" t="n">
        <x:f>'Path Daily'!D1086</x:f>
        <x:v>78</x:v>
      </x:c>
      <x:c r="E1086" s="53" t="n">
        <x:f>IF(D1086=0,SUMIFS('Cargo Records'!$T$7:$T$70,'Cargo Records'!$J$7:$J$70,C1086),0)</x:f>
        <x:v>0</x:v>
      </x:c>
      <x:c r="F1086" s="53" t="n">
        <x:f>I1085</x:f>
        <x:v>0</x:v>
      </x:c>
      <x:c r="G1086" s="53" t="n">
        <x:f>'Path Daily'!M1086</x:f>
        <x:v>6072</x:v>
      </x:c>
      <x:c r="H1086" s="53" t="n">
        <x:f>MIN(E1086+F1086,G1086)</x:f>
        <x:v>0</x:v>
      </x:c>
      <x:c r="I1086" s="53" t="n">
        <x:f>E1086+F1086-H1086</x:f>
        <x:v>0</x:v>
      </x:c>
      <x:c r="J1086" s="45" t="str">
        <x:f>IF(I1086=0,"CLEAR","QUEUED")</x:f>
        <x:v>CLEAR</x:v>
      </x:c>
      <x:c r="K1086" s="72"/>
      <x:c r="L1086" s="72"/>
      <x:c r="M1086" s="72"/>
      <x:c r="N1086" s="72"/>
    </x:row>
    <x:row r="1087">
      <x:c r="C1087" s="45" t="str">
        <x:f>'Path Daily'!C1087</x:f>
        <x:v>P11</x:v>
      </x:c>
      <x:c r="D1087" s="45" t="n">
        <x:f>'Path Daily'!D1087</x:f>
        <x:v>79</x:v>
      </x:c>
      <x:c r="E1087" s="53" t="n">
        <x:f>IF(D1087=0,SUMIFS('Cargo Records'!$T$7:$T$70,'Cargo Records'!$J$7:$J$70,C1087),0)</x:f>
        <x:v>0</x:v>
      </x:c>
      <x:c r="F1087" s="53" t="n">
        <x:f>I1086</x:f>
        <x:v>0</x:v>
      </x:c>
      <x:c r="G1087" s="53" t="n">
        <x:f>'Path Daily'!M1087</x:f>
        <x:v>6072</x:v>
      </x:c>
      <x:c r="H1087" s="53" t="n">
        <x:f>MIN(E1087+F1087,G1087)</x:f>
        <x:v>0</x:v>
      </x:c>
      <x:c r="I1087" s="53" t="n">
        <x:f>E1087+F1087-H1087</x:f>
        <x:v>0</x:v>
      </x:c>
      <x:c r="J1087" s="45" t="str">
        <x:f>IF(I1087=0,"CLEAR","QUEUED")</x:f>
        <x:v>CLEAR</x:v>
      </x:c>
      <x:c r="K1087" s="72"/>
      <x:c r="L1087" s="72"/>
      <x:c r="M1087" s="72"/>
      <x:c r="N1087" s="72"/>
    </x:row>
    <x:row r="1088">
      <x:c r="C1088" s="45" t="str">
        <x:f>'Path Daily'!C1088</x:f>
        <x:v>P11</x:v>
      </x:c>
      <x:c r="D1088" s="45" t="n">
        <x:f>'Path Daily'!D1088</x:f>
        <x:v>80</x:v>
      </x:c>
      <x:c r="E1088" s="53" t="n">
        <x:f>IF(D1088=0,SUMIFS('Cargo Records'!$T$7:$T$70,'Cargo Records'!$J$7:$J$70,C1088),0)</x:f>
        <x:v>0</x:v>
      </x:c>
      <x:c r="F1088" s="53" t="n">
        <x:f>I1087</x:f>
        <x:v>0</x:v>
      </x:c>
      <x:c r="G1088" s="53" t="n">
        <x:f>'Path Daily'!M1088</x:f>
        <x:v>6072</x:v>
      </x:c>
      <x:c r="H1088" s="53" t="n">
        <x:f>MIN(E1088+F1088,G1088)</x:f>
        <x:v>0</x:v>
      </x:c>
      <x:c r="I1088" s="53" t="n">
        <x:f>E1088+F1088-H1088</x:f>
        <x:v>0</x:v>
      </x:c>
      <x:c r="J1088" s="45" t="str">
        <x:f>IF(I1088=0,"CLEAR","QUEUED")</x:f>
        <x:v>CLEAR</x:v>
      </x:c>
      <x:c r="K1088" s="72"/>
      <x:c r="L1088" s="72"/>
      <x:c r="M1088" s="72"/>
      <x:c r="N1088" s="72"/>
    </x:row>
    <x:row r="1089">
      <x:c r="C1089" s="45" t="str">
        <x:f>'Path Daily'!C1089</x:f>
        <x:v>P11</x:v>
      </x:c>
      <x:c r="D1089" s="45" t="n">
        <x:f>'Path Daily'!D1089</x:f>
        <x:v>81</x:v>
      </x:c>
      <x:c r="E1089" s="53" t="n">
        <x:f>IF(D1089=0,SUMIFS('Cargo Records'!$T$7:$T$70,'Cargo Records'!$J$7:$J$70,C1089),0)</x:f>
        <x:v>0</x:v>
      </x:c>
      <x:c r="F1089" s="53" t="n">
        <x:f>I1088</x:f>
        <x:v>0</x:v>
      </x:c>
      <x:c r="G1089" s="53" t="n">
        <x:f>'Path Daily'!M1089</x:f>
        <x:v>6072</x:v>
      </x:c>
      <x:c r="H1089" s="53" t="n">
        <x:f>MIN(E1089+F1089,G1089)</x:f>
        <x:v>0</x:v>
      </x:c>
      <x:c r="I1089" s="53" t="n">
        <x:f>E1089+F1089-H1089</x:f>
        <x:v>0</x:v>
      </x:c>
      <x:c r="J1089" s="45" t="str">
        <x:f>IF(I1089=0,"CLEAR","QUEUED")</x:f>
        <x:v>CLEAR</x:v>
      </x:c>
      <x:c r="K1089" s="72"/>
      <x:c r="L1089" s="72"/>
      <x:c r="M1089" s="72"/>
      <x:c r="N1089" s="72"/>
    </x:row>
    <x:row r="1090">
      <x:c r="C1090" s="45" t="str">
        <x:f>'Path Daily'!C1090</x:f>
        <x:v>P11</x:v>
      </x:c>
      <x:c r="D1090" s="45" t="n">
        <x:f>'Path Daily'!D1090</x:f>
        <x:v>82</x:v>
      </x:c>
      <x:c r="E1090" s="53" t="n">
        <x:f>IF(D1090=0,SUMIFS('Cargo Records'!$T$7:$T$70,'Cargo Records'!$J$7:$J$70,C1090),0)</x:f>
        <x:v>0</x:v>
      </x:c>
      <x:c r="F1090" s="53" t="n">
        <x:f>I1089</x:f>
        <x:v>0</x:v>
      </x:c>
      <x:c r="G1090" s="53" t="n">
        <x:f>'Path Daily'!M1090</x:f>
        <x:v>6072</x:v>
      </x:c>
      <x:c r="H1090" s="53" t="n">
        <x:f>MIN(E1090+F1090,G1090)</x:f>
        <x:v>0</x:v>
      </x:c>
      <x:c r="I1090" s="53" t="n">
        <x:f>E1090+F1090-H1090</x:f>
        <x:v>0</x:v>
      </x:c>
      <x:c r="J1090" s="45" t="str">
        <x:f>IF(I1090=0,"CLEAR","QUEUED")</x:f>
        <x:v>CLEAR</x:v>
      </x:c>
      <x:c r="K1090" s="72"/>
      <x:c r="L1090" s="72"/>
      <x:c r="M1090" s="72"/>
      <x:c r="N1090" s="72"/>
    </x:row>
    <x:row r="1091">
      <x:c r="C1091" s="45" t="str">
        <x:f>'Path Daily'!C1091</x:f>
        <x:v>P11</x:v>
      </x:c>
      <x:c r="D1091" s="45" t="n">
        <x:f>'Path Daily'!D1091</x:f>
        <x:v>83</x:v>
      </x:c>
      <x:c r="E1091" s="53" t="n">
        <x:f>IF(D1091=0,SUMIFS('Cargo Records'!$T$7:$T$70,'Cargo Records'!$J$7:$J$70,C1091),0)</x:f>
        <x:v>0</x:v>
      </x:c>
      <x:c r="F1091" s="53" t="n">
        <x:f>I1090</x:f>
        <x:v>0</x:v>
      </x:c>
      <x:c r="G1091" s="53" t="n">
        <x:f>'Path Daily'!M1091</x:f>
        <x:v>6072</x:v>
      </x:c>
      <x:c r="H1091" s="53" t="n">
        <x:f>MIN(E1091+F1091,G1091)</x:f>
        <x:v>0</x:v>
      </x:c>
      <x:c r="I1091" s="53" t="n">
        <x:f>E1091+F1091-H1091</x:f>
        <x:v>0</x:v>
      </x:c>
      <x:c r="J1091" s="45" t="str">
        <x:f>IF(I1091=0,"CLEAR","QUEUED")</x:f>
        <x:v>CLEAR</x:v>
      </x:c>
      <x:c r="K1091" s="72"/>
      <x:c r="L1091" s="72"/>
      <x:c r="M1091" s="72"/>
      <x:c r="N1091" s="72"/>
    </x:row>
    <x:row r="1092">
      <x:c r="C1092" s="45" t="str">
        <x:f>'Path Daily'!C1092</x:f>
        <x:v>P11</x:v>
      </x:c>
      <x:c r="D1092" s="45" t="n">
        <x:f>'Path Daily'!D1092</x:f>
        <x:v>84</x:v>
      </x:c>
      <x:c r="E1092" s="53" t="n">
        <x:f>IF(D1092=0,SUMIFS('Cargo Records'!$T$7:$T$70,'Cargo Records'!$J$7:$J$70,C1092),0)</x:f>
        <x:v>0</x:v>
      </x:c>
      <x:c r="F1092" s="53" t="n">
        <x:f>I1091</x:f>
        <x:v>0</x:v>
      </x:c>
      <x:c r="G1092" s="53" t="n">
        <x:f>'Path Daily'!M1092</x:f>
        <x:v>6072</x:v>
      </x:c>
      <x:c r="H1092" s="53" t="n">
        <x:f>MIN(E1092+F1092,G1092)</x:f>
        <x:v>0</x:v>
      </x:c>
      <x:c r="I1092" s="53" t="n">
        <x:f>E1092+F1092-H1092</x:f>
        <x:v>0</x:v>
      </x:c>
      <x:c r="J1092" s="45" t="str">
        <x:f>IF(I1092=0,"CLEAR","QUEUED")</x:f>
        <x:v>CLEAR</x:v>
      </x:c>
      <x:c r="K1092" s="72"/>
      <x:c r="L1092" s="72"/>
      <x:c r="M1092" s="72"/>
      <x:c r="N1092" s="72"/>
    </x:row>
    <x:row r="1093">
      <x:c r="C1093" s="45" t="str">
        <x:f>'Path Daily'!C1093</x:f>
        <x:v>P11</x:v>
      </x:c>
      <x:c r="D1093" s="45" t="n">
        <x:f>'Path Daily'!D1093</x:f>
        <x:v>85</x:v>
      </x:c>
      <x:c r="E1093" s="53" t="n">
        <x:f>IF(D1093=0,SUMIFS('Cargo Records'!$T$7:$T$70,'Cargo Records'!$J$7:$J$70,C1093),0)</x:f>
        <x:v>0</x:v>
      </x:c>
      <x:c r="F1093" s="53" t="n">
        <x:f>I1092</x:f>
        <x:v>0</x:v>
      </x:c>
      <x:c r="G1093" s="53" t="n">
        <x:f>'Path Daily'!M1093</x:f>
        <x:v>6072</x:v>
      </x:c>
      <x:c r="H1093" s="53" t="n">
        <x:f>MIN(E1093+F1093,G1093)</x:f>
        <x:v>0</x:v>
      </x:c>
      <x:c r="I1093" s="53" t="n">
        <x:f>E1093+F1093-H1093</x:f>
        <x:v>0</x:v>
      </x:c>
      <x:c r="J1093" s="45" t="str">
        <x:f>IF(I1093=0,"CLEAR","QUEUED")</x:f>
        <x:v>CLEAR</x:v>
      </x:c>
      <x:c r="K1093" s="72"/>
      <x:c r="L1093" s="72"/>
      <x:c r="M1093" s="72"/>
      <x:c r="N1093" s="72"/>
    </x:row>
    <x:row r="1094">
      <x:c r="C1094" s="45" t="str">
        <x:f>'Path Daily'!C1094</x:f>
        <x:v>P11</x:v>
      </x:c>
      <x:c r="D1094" s="45" t="n">
        <x:f>'Path Daily'!D1094</x:f>
        <x:v>86</x:v>
      </x:c>
      <x:c r="E1094" s="53" t="n">
        <x:f>IF(D1094=0,SUMIFS('Cargo Records'!$T$7:$T$70,'Cargo Records'!$J$7:$J$70,C1094),0)</x:f>
        <x:v>0</x:v>
      </x:c>
      <x:c r="F1094" s="53" t="n">
        <x:f>I1093</x:f>
        <x:v>0</x:v>
      </x:c>
      <x:c r="G1094" s="53" t="n">
        <x:f>'Path Daily'!M1094</x:f>
        <x:v>6072</x:v>
      </x:c>
      <x:c r="H1094" s="53" t="n">
        <x:f>MIN(E1094+F1094,G1094)</x:f>
        <x:v>0</x:v>
      </x:c>
      <x:c r="I1094" s="53" t="n">
        <x:f>E1094+F1094-H1094</x:f>
        <x:v>0</x:v>
      </x:c>
      <x:c r="J1094" s="45" t="str">
        <x:f>IF(I1094=0,"CLEAR","QUEUED")</x:f>
        <x:v>CLEAR</x:v>
      </x:c>
      <x:c r="K1094" s="72"/>
      <x:c r="L1094" s="72"/>
      <x:c r="M1094" s="72"/>
      <x:c r="N1094" s="72"/>
    </x:row>
    <x:row r="1095">
      <x:c r="C1095" s="45" t="str">
        <x:f>'Path Daily'!C1095</x:f>
        <x:v>P11</x:v>
      </x:c>
      <x:c r="D1095" s="45" t="n">
        <x:f>'Path Daily'!D1095</x:f>
        <x:v>87</x:v>
      </x:c>
      <x:c r="E1095" s="53" t="n">
        <x:f>IF(D1095=0,SUMIFS('Cargo Records'!$T$7:$T$70,'Cargo Records'!$J$7:$J$70,C1095),0)</x:f>
        <x:v>0</x:v>
      </x:c>
      <x:c r="F1095" s="53" t="n">
        <x:f>I1094</x:f>
        <x:v>0</x:v>
      </x:c>
      <x:c r="G1095" s="53" t="n">
        <x:f>'Path Daily'!M1095</x:f>
        <x:v>6072</x:v>
      </x:c>
      <x:c r="H1095" s="53" t="n">
        <x:f>MIN(E1095+F1095,G1095)</x:f>
        <x:v>0</x:v>
      </x:c>
      <x:c r="I1095" s="53" t="n">
        <x:f>E1095+F1095-H1095</x:f>
        <x:v>0</x:v>
      </x:c>
      <x:c r="J1095" s="45" t="str">
        <x:f>IF(I1095=0,"CLEAR","QUEUED")</x:f>
        <x:v>CLEAR</x:v>
      </x:c>
      <x:c r="K1095" s="72"/>
      <x:c r="L1095" s="72"/>
      <x:c r="M1095" s="72"/>
      <x:c r="N1095" s="72"/>
    </x:row>
    <x:row r="1096">
      <x:c r="C1096" s="45" t="str">
        <x:f>'Path Daily'!C1096</x:f>
        <x:v>P11</x:v>
      </x:c>
      <x:c r="D1096" s="45" t="n">
        <x:f>'Path Daily'!D1096</x:f>
        <x:v>88</x:v>
      </x:c>
      <x:c r="E1096" s="53" t="n">
        <x:f>IF(D1096=0,SUMIFS('Cargo Records'!$T$7:$T$70,'Cargo Records'!$J$7:$J$70,C1096),0)</x:f>
        <x:v>0</x:v>
      </x:c>
      <x:c r="F1096" s="53" t="n">
        <x:f>I1095</x:f>
        <x:v>0</x:v>
      </x:c>
      <x:c r="G1096" s="53" t="n">
        <x:f>'Path Daily'!M1096</x:f>
        <x:v>6072</x:v>
      </x:c>
      <x:c r="H1096" s="53" t="n">
        <x:f>MIN(E1096+F1096,G1096)</x:f>
        <x:v>0</x:v>
      </x:c>
      <x:c r="I1096" s="53" t="n">
        <x:f>E1096+F1096-H1096</x:f>
        <x:v>0</x:v>
      </x:c>
      <x:c r="J1096" s="45" t="str">
        <x:f>IF(I1096=0,"CLEAR","QUEUED")</x:f>
        <x:v>CLEAR</x:v>
      </x:c>
      <x:c r="K1096" s="72"/>
      <x:c r="L1096" s="72"/>
      <x:c r="M1096" s="72"/>
      <x:c r="N1096" s="72"/>
    </x:row>
    <x:row r="1097">
      <x:c r="C1097" s="45" t="str">
        <x:f>'Path Daily'!C1097</x:f>
        <x:v>P11</x:v>
      </x:c>
      <x:c r="D1097" s="45" t="n">
        <x:f>'Path Daily'!D1097</x:f>
        <x:v>89</x:v>
      </x:c>
      <x:c r="E1097" s="53" t="n">
        <x:f>IF(D1097=0,SUMIFS('Cargo Records'!$T$7:$T$70,'Cargo Records'!$J$7:$J$70,C1097),0)</x:f>
        <x:v>0</x:v>
      </x:c>
      <x:c r="F1097" s="53" t="n">
        <x:f>I1096</x:f>
        <x:v>0</x:v>
      </x:c>
      <x:c r="G1097" s="53" t="n">
        <x:f>'Path Daily'!M1097</x:f>
        <x:v>6072</x:v>
      </x:c>
      <x:c r="H1097" s="53" t="n">
        <x:f>MIN(E1097+F1097,G1097)</x:f>
        <x:v>0</x:v>
      </x:c>
      <x:c r="I1097" s="53" t="n">
        <x:f>E1097+F1097-H1097</x:f>
        <x:v>0</x:v>
      </x:c>
      <x:c r="J1097" s="45" t="str">
        <x:f>IF(I1097=0,"CLEAR","QUEUED")</x:f>
        <x:v>CLEAR</x:v>
      </x:c>
      <x:c r="K1097" s="72"/>
      <x:c r="L1097" s="72"/>
      <x:c r="M1097" s="72"/>
      <x:c r="N1097" s="72"/>
    </x:row>
    <x:row r="1098">
      <x:c r="C1098" s="45" t="str">
        <x:f>'Path Daily'!C1098</x:f>
        <x:v>P11</x:v>
      </x:c>
      <x:c r="D1098" s="45" t="n">
        <x:f>'Path Daily'!D1098</x:f>
        <x:v>90</x:v>
      </x:c>
      <x:c r="E1098" s="53" t="n">
        <x:f>IF(D1098=0,SUMIFS('Cargo Records'!$T$7:$T$70,'Cargo Records'!$J$7:$J$70,C1098),0)</x:f>
        <x:v>0</x:v>
      </x:c>
      <x:c r="F1098" s="53" t="n">
        <x:f>I1097</x:f>
        <x:v>0</x:v>
      </x:c>
      <x:c r="G1098" s="53" t="n">
        <x:f>'Path Daily'!M1098</x:f>
        <x:v>6072</x:v>
      </x:c>
      <x:c r="H1098" s="53" t="n">
        <x:f>MIN(E1098+F1098,G1098)</x:f>
        <x:v>0</x:v>
      </x:c>
      <x:c r="I1098" s="53" t="n">
        <x:f>E1098+F1098-H1098</x:f>
        <x:v>0</x:v>
      </x:c>
      <x:c r="J1098" s="45" t="str">
        <x:f>IF(I1098=0,"CLEAR","QUEUED")</x:f>
        <x:v>CLEAR</x:v>
      </x:c>
      <x:c r="K1098" s="72"/>
      <x:c r="L1098" s="72"/>
      <x:c r="M1098" s="72"/>
      <x:c r="N1098" s="72"/>
    </x:row>
  </x:sheetData>
  <x:mergeCells>
    <x:mergeCell ref="C2:N2"/>
    <x:mergeCell ref="C3:N3"/>
  </x:mergeCells>
  <x:conditionalFormatting sqref="J7:J1098">
    <x:cfRule type="containsText" dxfId="15" priority="1" operator="containsText" text="PASS"/>
    <x:cfRule type="containsText" dxfId="16" priority="2" operator="containsText" text="CLOSE"/>
    <x:cfRule type="containsText" dxfId="17" priority="3" operator="containsText" text="FAIL"/>
    <x:cfRule type="containsText" dxfId="18" priority="4" operator="containsText" text="LATE"/>
    <x:cfRule type="containsText" dxfId="19" priority="5" operator="containsText" text="OPEN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4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10" hidden="0" customWidth="1"/>
    <x:col min="10" max="10" width="14" hidden="0" customWidth="1"/>
    <x:col min="11" max="11" width="15" hidden="0" customWidth="1"/>
    <x:col min="12" max="12" width="12" hidden="0" customWidth="1"/>
  </x:cols>
  <x:sheetData>
    <x:row r="2" ht="24" customHeight="1">
      <x:c r="C2" s="69" t="str">
        <x:v>Deployment Wave Closure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Required band masses reconcile to Pass 24. Arrival status is calculated from individual load records under the selected path stress case.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Band</x:v>
      </x:c>
      <x:c r="D6" s="17" t="str">
        <x:v>Public promise</x:v>
      </x:c>
      <x:c r="E6" s="17" t="str">
        <x:v>Deadline d</x:v>
      </x:c>
      <x:c r="F6" s="17" t="str">
        <x:v>Required mass t</x:v>
      </x:c>
      <x:c r="G6" s="17" t="str">
        <x:v>Delivered mass by deadline</x:v>
      </x:c>
      <x:c r="H6" s="17" t="str">
        <x:v>Mass closure ratio</x:v>
      </x:c>
      <x:c r="I6" s="17" t="str">
        <x:v>Loads</x:v>
      </x:c>
      <x:c r="J6" s="17" t="str">
        <x:v>Loads on time</x:v>
      </x:c>
      <x:c r="K6" s="17" t="str">
        <x:v>Latest arrival d</x:v>
      </x:c>
      <x:c r="L6" s="18" t="str">
        <x:v>Status</x:v>
      </x:c>
      <x:c r="M6" s="72"/>
    </x:row>
    <x:row r="7">
      <x:c r="C7" s="20" t="str">
        <x:v>R1</x:v>
      </x:c>
      <x:c r="D7" s="20" t="str">
        <x:v>Minimum viable service</x:v>
      </x:c>
      <x:c r="E7" s="20" t="n">
        <x:v>3</x:v>
      </x:c>
      <x:c r="F7" s="47" t="n">
        <x:f>SUMIFS('Cargo Records'!$O$7:$O$70,'Cargo Records'!$D$7:$D$70,C7)</x:f>
        <x:v>88130</x:v>
      </x:c>
      <x:c r="G7" s="47" t="n">
        <x:f>SUMIFS('Cargo Clearance'!$H$7:$H$70,'Cargo Clearance'!$D$7:$D$70,C7,'Cargo Clearance'!$L$7:$L$70,"&lt;="&amp;E7)</x:f>
        <x:v>88130</x:v>
      </x:c>
      <x:c r="H7" s="54" t="n">
        <x:f>G7/F7</x:f>
        <x:v>1</x:v>
      </x:c>
      <x:c r="I7" s="45" t="n">
        <x:f>COUNTIF('Cargo Records'!$D$7:$D$70,C7)</x:f>
        <x:v>16</x:v>
      </x:c>
      <x:c r="J7" s="45" t="n">
        <x:f>COUNTIFS('Cargo Clearance'!$D$7:$D$70,C7,'Cargo Clearance'!$O$7:$O$70,"CLOSE")</x:f>
        <x:v>16</x:v>
      </x:c>
      <x:c r="K7" s="45" t="n">
        <x:f>MAX('Cargo Clearance'!$L$7:$L$22)</x:f>
        <x:v>3</x:v>
      </x:c>
      <x:c r="L7" s="20" t="str">
        <x:f>IF(AND(H7&gt;=1,J7=I7),"CLOSE","FAIL")</x:f>
        <x:v>CLOSE</x:v>
      </x:c>
      <x:c r="M7" s="72"/>
    </x:row>
    <x:row r="8">
      <x:c r="C8" s="20" t="str">
        <x:v>R2</x:v>
      </x:c>
      <x:c r="D8" s="20" t="str">
        <x:v>Initial operating capability</x:v>
      </x:c>
      <x:c r="E8" s="20" t="n">
        <x:v>14</x:v>
      </x:c>
      <x:c r="F8" s="47" t="n">
        <x:f>SUMIFS('Cargo Records'!$O$7:$O$70,'Cargo Records'!$D$7:$D$70,C8)</x:f>
        <x:v>317268</x:v>
      </x:c>
      <x:c r="G8" s="47" t="n">
        <x:f>SUMIFS('Cargo Clearance'!$H$7:$H$70,'Cargo Clearance'!$D$7:$D$70,C8,'Cargo Clearance'!$L$7:$L$70,"&lt;="&amp;E8)</x:f>
        <x:v>317268</x:v>
      </x:c>
      <x:c r="H8" s="54" t="n">
        <x:f>G8/F8</x:f>
        <x:v>1</x:v>
      </x:c>
      <x:c r="I8" s="45" t="n">
        <x:f>COUNTIF('Cargo Records'!$D$7:$D$70,C8)</x:f>
        <x:v>16</x:v>
      </x:c>
      <x:c r="J8" s="45" t="n">
        <x:f>COUNTIFS('Cargo Clearance'!$D$7:$D$70,C8,'Cargo Clearance'!$O$7:$O$70,"CLOSE")</x:f>
        <x:v>16</x:v>
      </x:c>
      <x:c r="K8" s="45" t="n">
        <x:f>MAX('Cargo Clearance'!$L$23:$L$38)</x:f>
        <x:v>13</x:v>
      </x:c>
      <x:c r="L8" s="20" t="str">
        <x:f>IF(AND(H8&gt;=1,J8=I8),"CLOSE","FAIL")</x:f>
        <x:v>CLOSE</x:v>
      </x:c>
      <x:c r="M8" s="72"/>
    </x:row>
    <x:row r="9">
      <x:c r="C9" s="20" t="str">
        <x:v>R3</x:v>
      </x:c>
      <x:c r="D9" s="20" t="str">
        <x:v>Complete operating formation</x:v>
      </x:c>
      <x:c r="E9" s="20" t="n">
        <x:v>45</x:v>
      </x:c>
      <x:c r="F9" s="47" t="n">
        <x:f>SUMIFS('Cargo Records'!$O$7:$O$70,'Cargo Records'!$D$7:$D$70,C9)</x:f>
        <x:v>828422</x:v>
      </x:c>
      <x:c r="G9" s="47" t="n">
        <x:f>SUMIFS('Cargo Clearance'!$H$7:$H$70,'Cargo Clearance'!$D$7:$D$70,C9,'Cargo Clearance'!$L$7:$L$70,"&lt;="&amp;E9)</x:f>
        <x:v>828422</x:v>
      </x:c>
      <x:c r="H9" s="54" t="n">
        <x:f>G9/F9</x:f>
        <x:v>1</x:v>
      </x:c>
      <x:c r="I9" s="45" t="n">
        <x:f>COUNTIF('Cargo Records'!$D$7:$D$70,C9)</x:f>
        <x:v>16</x:v>
      </x:c>
      <x:c r="J9" s="45" t="n">
        <x:f>COUNTIFS('Cargo Clearance'!$D$7:$D$70,C9,'Cargo Clearance'!$O$7:$O$70,"CLOSE")</x:f>
        <x:v>16</x:v>
      </x:c>
      <x:c r="K9" s="45" t="n">
        <x:f>MAX('Cargo Clearance'!$L$39:$L$54)</x:f>
        <x:v>27</x:v>
      </x:c>
      <x:c r="L9" s="20" t="str">
        <x:f>IF(AND(H9&gt;=1,J9=I9),"CLOSE","FAIL")</x:f>
        <x:v>CLOSE</x:v>
      </x:c>
      <x:c r="M9" s="72"/>
    </x:row>
    <x:row r="10">
      <x:c r="C10" s="20" t="str">
        <x:v>R4</x:v>
      </x:c>
      <x:c r="D10" s="20" t="str">
        <x:v>Depth, replacement and endurance</x:v>
      </x:c>
      <x:c r="E10" s="20" t="n">
        <x:v>90</x:v>
      </x:c>
      <x:c r="F10" s="47" t="n">
        <x:f>SUMIFS('Cargo Records'!$O$7:$O$70,'Cargo Records'!$D$7:$D$70,C10)</x:f>
        <x:v>528780</x:v>
      </x:c>
      <x:c r="G10" s="47" t="n">
        <x:f>SUMIFS('Cargo Clearance'!$H$7:$H$70,'Cargo Clearance'!$D$7:$D$70,C10,'Cargo Clearance'!$L$7:$L$70,"&lt;="&amp;E10)</x:f>
        <x:v>528780</x:v>
      </x:c>
      <x:c r="H10" s="54" t="n">
        <x:f>G10/F10</x:f>
        <x:v>1</x:v>
      </x:c>
      <x:c r="I10" s="45" t="n">
        <x:f>COUNTIF('Cargo Records'!$D$7:$D$70,C10)</x:f>
        <x:v>16</x:v>
      </x:c>
      <x:c r="J10" s="45" t="n">
        <x:f>COUNTIFS('Cargo Clearance'!$D$7:$D$70,C10,'Cargo Clearance'!$O$7:$O$70,"CLOSE")</x:f>
        <x:v>16</x:v>
      </x:c>
      <x:c r="K10" s="45" t="n">
        <x:f>MAX('Cargo Clearance'!$L$55:$L$70)</x:f>
        <x:v>25</x:v>
      </x:c>
      <x:c r="L10" s="20" t="str">
        <x:f>IF(AND(H10&gt;=1,J10=I10),"CLOSE","FAIL")</x:f>
        <x:v>CLOSE</x:v>
      </x:c>
      <x:c r="M10" s="72"/>
    </x:row>
  </x:sheetData>
  <x:mergeCells>
    <x:mergeCell ref="C2:M2"/>
    <x:mergeCell ref="C3:M3"/>
  </x:mergeCells>
  <x:conditionalFormatting sqref="L7:L10">
    <x:cfRule type="containsText" dxfId="20" priority="1" operator="containsText" text="PASS"/>
    <x:cfRule type="containsText" dxfId="21" priority="2" operator="containsText" text="CLOSE"/>
    <x:cfRule type="containsText" dxfId="22" priority="3" operator="containsText" text="FAIL"/>
    <x:cfRule type="containsText" dxfId="23" priority="4" operator="containsText" text="LATE"/>
    <x:cfRule type="containsText" dxfId="24" priority="5" operator="containsText" text="OPEN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24" hidden="0" customWidth="1"/>
    <x:col min="5" max="5" width="10" hidden="0" customWidth="1"/>
    <x:col min="6" max="6" width="20" hidden="0" customWidth="1"/>
    <x:col min="7" max="7" width="16" hidden="0" customWidth="1"/>
    <x:col min="8" max="8" width="12" hidden="0" customWidth="1"/>
    <x:col min="9" max="9" width="18" hidden="0" customWidth="1"/>
    <x:col min="10" max="10" width="20" hidden="0" customWidth="1"/>
  </x:cols>
  <x:sheetData>
    <x:row r="2" ht="24" customHeight="1">
      <x:c r="C2" s="69" t="str">
        <x:v>Zone–Path Access Matrix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A path counts only if it serves the service island and has effective capacity by day 14. Correlation groups, not path names, determine independence.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Zone ID</x:v>
      </x:c>
      <x:c r="D6" s="17" t="str">
        <x:v>Service island</x:v>
      </x:c>
      <x:c r="E6" s="17" t="str">
        <x:v>Path ID</x:v>
      </x:c>
      <x:c r="F6" s="17" t="str">
        <x:v>Correlation group</x:v>
      </x:c>
      <x:c r="G6" s="17" t="str">
        <x:v>Mode</x:v>
      </x:c>
      <x:c r="H6" s="17" t="str">
        <x:v>Serves zone</x:v>
      </x:c>
      <x:c r="I6" s="17" t="str">
        <x:v>Day-14 capacity</x:v>
      </x:c>
      <x:c r="J6" s="18" t="str">
        <x:v>Day-14 usable capacity</x:v>
      </x:c>
      <x:c r="K6" s="72"/>
      <x:c r="L6" s="72"/>
      <x:c r="M6" s="72"/>
      <x:c r="N6" s="72"/>
    </x:row>
    <x:row r="7">
      <x:c r="C7" s="20" t="str">
        <x:v>Z1</x:v>
      </x:c>
      <x:c r="D7" s="20" t="str">
        <x:v>Puget North</x:v>
      </x:c>
      <x:c r="E7" s="20" t="str">
        <x:v>P0</x:v>
      </x:c>
      <x:c r="F7" s="20" t="str">
        <x:v>Local distributed</x:v>
      </x:c>
      <x:c r="G7" s="20" t="str">
        <x:v>Cached</x:v>
      </x:c>
      <x:c r="H7" s="20" t="n">
        <x:v>1</x:v>
      </x:c>
      <x:c r="I7" s="47" t="n">
        <x:f>'Path Daily'!J21</x:f>
        <x:v>0</x:v>
      </x:c>
      <x:c r="J7" s="47" t="n">
        <x:f>H7*I7</x:f>
        <x:v>0</x:v>
      </x:c>
      <x:c r="K7" s="72"/>
      <x:c r="L7" s="72"/>
      <x:c r="M7" s="72"/>
      <x:c r="N7" s="72"/>
    </x:row>
    <x:row r="8">
      <x:c r="C8" s="20" t="str">
        <x:v>Z1</x:v>
      </x:c>
      <x:c r="D8" s="20" t="str">
        <x:v>Puget North</x:v>
      </x:c>
      <x:c r="E8" s="20" t="str">
        <x:v>P1</x:v>
      </x:c>
      <x:c r="F8" s="20" t="str">
        <x:v>North air</x:v>
      </x:c>
      <x:c r="G8" s="20" t="str">
        <x:v>Air</x:v>
      </x:c>
      <x:c r="H8" s="20" t="n">
        <x:v>1</x:v>
      </x:c>
      <x:c r="I8" s="47" t="n">
        <x:f>'Path Daily'!J112</x:f>
        <x:v>12880</x:v>
      </x:c>
      <x:c r="J8" s="47" t="n">
        <x:f>H8*I8</x:f>
        <x:v>12880</x:v>
      </x:c>
      <x:c r="K8" s="72"/>
      <x:c r="L8" s="72"/>
      <x:c r="M8" s="72"/>
      <x:c r="N8" s="72"/>
    </x:row>
    <x:row r="9">
      <x:c r="C9" s="20" t="str">
        <x:v>Z1</x:v>
      </x:c>
      <x:c r="D9" s="20" t="str">
        <x:v>Puget North</x:v>
      </x:c>
      <x:c r="E9" s="20" t="str">
        <x:v>P2</x:v>
      </x:c>
      <x:c r="F9" s="20" t="str">
        <x:v>South air</x:v>
      </x:c>
      <x:c r="G9" s="20" t="str">
        <x:v>Air</x:v>
      </x:c>
      <x:c r="H9" s="20" t="n">
        <x:v>0</x:v>
      </x:c>
      <x:c r="I9" s="47" t="n">
        <x:f>'Path Daily'!J203</x:f>
        <x:v>14167.999999999998</x:v>
      </x:c>
      <x:c r="J9" s="47" t="n">
        <x:f>H9*I9</x:f>
        <x:v>0</x:v>
      </x:c>
      <x:c r="K9" s="72"/>
      <x:c r="L9" s="72"/>
      <x:c r="M9" s="72"/>
      <x:c r="N9" s="72"/>
    </x:row>
    <x:row r="10">
      <x:c r="C10" s="20" t="str">
        <x:v>Z1</x:v>
      </x:c>
      <x:c r="D10" s="20" t="str">
        <x:v>Puget North</x:v>
      </x:c>
      <x:c r="E10" s="20" t="str">
        <x:v>P3</x:v>
      </x:c>
      <x:c r="F10" s="20" t="str">
        <x:v>Vertical network</x:v>
      </x:c>
      <x:c r="G10" s="20" t="str">
        <x:v>Vertical lift</x:v>
      </x:c>
      <x:c r="H10" s="20" t="n">
        <x:v>1</x:v>
      </x:c>
      <x:c r="I10" s="47" t="n">
        <x:f>'Path Daily'!J294</x:f>
        <x:v>10530</x:v>
      </x:c>
      <x:c r="J10" s="47" t="n">
        <x:f>H10*I10</x:f>
        <x:v>10530</x:v>
      </x:c>
      <x:c r="K10" s="72"/>
      <x:c r="L10" s="72"/>
      <x:c r="M10" s="72"/>
      <x:c r="N10" s="72"/>
    </x:row>
    <x:row r="11">
      <x:c r="C11" s="20" t="str">
        <x:v>Z1</x:v>
      </x:c>
      <x:c r="D11" s="20" t="str">
        <x:v>Puget North</x:v>
      </x:c>
      <x:c r="E11" s="20" t="str">
        <x:v>P4</x:v>
      </x:c>
      <x:c r="F11" s="20" t="str">
        <x:v>Puget maritime</x:v>
      </x:c>
      <x:c r="G11" s="20" t="str">
        <x:v>Littoral</x:v>
      </x:c>
      <x:c r="H11" s="20" t="n">
        <x:v>1</x:v>
      </x:c>
      <x:c r="I11" s="47" t="n">
        <x:f>'Path Daily'!J385</x:f>
        <x:v>12672</x:v>
      </x:c>
      <x:c r="J11" s="47" t="n">
        <x:f>H11*I11</x:f>
        <x:v>12672</x:v>
      </x:c>
      <x:c r="K11" s="72"/>
      <x:c r="L11" s="72"/>
      <x:c r="M11" s="72"/>
      <x:c r="N11" s="72"/>
    </x:row>
    <x:row r="12">
      <x:c r="C12" s="20" t="str">
        <x:v>Z1</x:v>
      </x:c>
      <x:c r="D12" s="20" t="str">
        <x:v>Puget North</x:v>
      </x:c>
      <x:c r="E12" s="20" t="str">
        <x:v>P5</x:v>
      </x:c>
      <x:c r="F12" s="20" t="str">
        <x:v>Coastal maritime</x:v>
      </x:c>
      <x:c r="G12" s="20" t="str">
        <x:v>Littoral</x:v>
      </x:c>
      <x:c r="H12" s="20" t="n">
        <x:v>0</x:v>
      </x:c>
      <x:c r="I12" s="47" t="n">
        <x:f>'Path Daily'!J476</x:f>
        <x:v>14520</x:v>
      </x:c>
      <x:c r="J12" s="47" t="n">
        <x:f>H12*I12</x:f>
        <x:v>0</x:v>
      </x:c>
      <x:c r="K12" s="72"/>
      <x:c r="L12" s="72"/>
      <x:c r="M12" s="72"/>
      <x:c r="N12" s="72"/>
    </x:row>
    <x:row r="13">
      <x:c r="C13" s="20" t="str">
        <x:v>Z1</x:v>
      </x:c>
      <x:c r="D13" s="20" t="str">
        <x:v>Puget North</x:v>
      </x:c>
      <x:c r="E13" s="20" t="str">
        <x:v>P6</x:v>
      </x:c>
      <x:c r="F13" s="20" t="str">
        <x:v>Puget maritime</x:v>
      </x:c>
      <x:c r="G13" s="20" t="str">
        <x:v>Ocean</x:v>
      </x:c>
      <x:c r="H13" s="20" t="n">
        <x:v>1</x:v>
      </x:c>
      <x:c r="I13" s="47" t="n">
        <x:f>'Path Daily'!J567</x:f>
        <x:v>10660</x:v>
      </x:c>
      <x:c r="J13" s="47" t="n">
        <x:f>H13*I13</x:f>
        <x:v>10660</x:v>
      </x:c>
      <x:c r="K13" s="72"/>
      <x:c r="L13" s="72"/>
      <x:c r="M13" s="72"/>
      <x:c r="N13" s="72"/>
    </x:row>
    <x:row r="14">
      <x:c r="C14" s="20" t="str">
        <x:v>Z1</x:v>
      </x:c>
      <x:c r="D14" s="20" t="str">
        <x:v>Puget North</x:v>
      </x:c>
      <x:c r="E14" s="20" t="str">
        <x:v>P7</x:v>
      </x:c>
      <x:c r="F14" s="20" t="str">
        <x:v>Inland water</x:v>
      </x:c>
      <x:c r="G14" s="20" t="str">
        <x:v>Inland water</x:v>
      </x:c>
      <x:c r="H14" s="20" t="n">
        <x:v>0</x:v>
      </x:c>
      <x:c r="I14" s="47" t="n">
        <x:f>'Path Daily'!J658</x:f>
        <x:v>18480</x:v>
      </x:c>
      <x:c r="J14" s="47" t="n">
        <x:f>H14*I14</x:f>
        <x:v>0</x:v>
      </x:c>
      <x:c r="K14" s="72"/>
      <x:c r="L14" s="72"/>
      <x:c r="M14" s="72"/>
      <x:c r="N14" s="72"/>
    </x:row>
    <x:row r="15">
      <x:c r="C15" s="20" t="str">
        <x:v>Z1</x:v>
      </x:c>
      <x:c r="D15" s="20" t="str">
        <x:v>Puget North</x:v>
      </x:c>
      <x:c r="E15" s="20" t="str">
        <x:v>P8</x:v>
      </x:c>
      <x:c r="F15" s="20" t="str">
        <x:v>WA surface</x:v>
      </x:c>
      <x:c r="G15" s="20" t="str">
        <x:v>Road</x:v>
      </x:c>
      <x:c r="H15" s="20" t="n">
        <x:v>1</x:v>
      </x:c>
      <x:c r="I15" s="47" t="n">
        <x:f>'Path Daily'!J749</x:f>
        <x:v>3600</x:v>
      </x:c>
      <x:c r="J15" s="47" t="n">
        <x:f>H15*I15</x:f>
        <x:v>3600</x:v>
      </x:c>
      <x:c r="K15" s="72"/>
      <x:c r="L15" s="72"/>
      <x:c r="M15" s="72"/>
      <x:c r="N15" s="72"/>
    </x:row>
    <x:row r="16">
      <x:c r="C16" s="20" t="str">
        <x:v>Z1</x:v>
      </x:c>
      <x:c r="D16" s="20" t="str">
        <x:v>Puget North</x:v>
      </x:c>
      <x:c r="E16" s="20" t="str">
        <x:v>P9</x:v>
      </x:c>
      <x:c r="F16" s="20" t="str">
        <x:v>OR surface</x:v>
      </x:c>
      <x:c r="G16" s="20" t="str">
        <x:v>Road</x:v>
      </x:c>
      <x:c r="H16" s="20" t="n">
        <x:v>0</x:v>
      </x:c>
      <x:c r="I16" s="47" t="n">
        <x:f>'Path Daily'!J840</x:f>
        <x:v>3375</x:v>
      </x:c>
      <x:c r="J16" s="47" t="n">
        <x:f>H16*I16</x:f>
        <x:v>0</x:v>
      </x:c>
      <x:c r="K16" s="72"/>
      <x:c r="L16" s="72"/>
      <x:c r="M16" s="72"/>
      <x:c r="N16" s="72"/>
    </x:row>
    <x:row r="17">
      <x:c r="C17" s="20" t="str">
        <x:v>Z1</x:v>
      </x:c>
      <x:c r="D17" s="20" t="str">
        <x:v>Puget North</x:v>
      </x:c>
      <x:c r="E17" s="20" t="str">
        <x:v>P10</x:v>
      </x:c>
      <x:c r="F17" s="20" t="str">
        <x:v>Rail</x:v>
      </x:c>
      <x:c r="G17" s="20" t="str">
        <x:v>Rail</x:v>
      </x:c>
      <x:c r="H17" s="20" t="n">
        <x:v>0</x:v>
      </x:c>
      <x:c r="I17" s="47" t="n">
        <x:f>'Path Daily'!J931</x:f>
        <x:v>5440</x:v>
      </x:c>
      <x:c r="J17" s="47" t="n">
        <x:f>H17*I17</x:f>
        <x:v>0</x:v>
      </x:c>
      <x:c r="K17" s="72"/>
      <x:c r="L17" s="72"/>
      <x:c r="M17" s="72"/>
      <x:c r="N17" s="72"/>
    </x:row>
    <x:row r="18">
      <x:c r="C18" s="20" t="str">
        <x:v>Z1</x:v>
      </x:c>
      <x:c r="D18" s="20" t="str">
        <x:v>Puget North</x:v>
      </x:c>
      <x:c r="E18" s="20" t="str">
        <x:v>P11</x:v>
      </x:c>
      <x:c r="F18" s="20" t="str">
        <x:v>Offshore support</x:v>
      </x:c>
      <x:c r="G18" s="20" t="str">
        <x:v>Ocean support</x:v>
      </x:c>
      <x:c r="H18" s="20" t="n">
        <x:v>1</x:v>
      </x:c>
      <x:c r="I18" s="47" t="n">
        <x:f>'Path Daily'!J1022</x:f>
        <x:v>12144</x:v>
      </x:c>
      <x:c r="J18" s="47" t="n">
        <x:f>H18*I18</x:f>
        <x:v>12144</x:v>
      </x:c>
      <x:c r="K18" s="72"/>
      <x:c r="L18" s="72"/>
      <x:c r="M18" s="72"/>
      <x:c r="N18" s="72"/>
    </x:row>
    <x:row r="19">
      <x:c r="C19" s="20" t="str">
        <x:v>Z2</x:v>
      </x:c>
      <x:c r="D19" s="20" t="str">
        <x:v>Puget Central</x:v>
      </x:c>
      <x:c r="E19" s="20" t="str">
        <x:v>P0</x:v>
      </x:c>
      <x:c r="F19" s="20" t="str">
        <x:v>Local distributed</x:v>
      </x:c>
      <x:c r="G19" s="20" t="str">
        <x:v>Cached</x:v>
      </x:c>
      <x:c r="H19" s="20" t="n">
        <x:v>1</x:v>
      </x:c>
      <x:c r="I19" s="47" t="n">
        <x:f>'Path Daily'!J21</x:f>
        <x:v>0</x:v>
      </x:c>
      <x:c r="J19" s="47" t="n">
        <x:f>H19*I19</x:f>
        <x:v>0</x:v>
      </x:c>
      <x:c r="K19" s="72"/>
      <x:c r="L19" s="72"/>
      <x:c r="M19" s="72"/>
      <x:c r="N19" s="72"/>
    </x:row>
    <x:row r="20">
      <x:c r="C20" s="20" t="str">
        <x:v>Z2</x:v>
      </x:c>
      <x:c r="D20" s="20" t="str">
        <x:v>Puget Central</x:v>
      </x:c>
      <x:c r="E20" s="20" t="str">
        <x:v>P1</x:v>
      </x:c>
      <x:c r="F20" s="20" t="str">
        <x:v>North air</x:v>
      </x:c>
      <x:c r="G20" s="20" t="str">
        <x:v>Air</x:v>
      </x:c>
      <x:c r="H20" s="20" t="n">
        <x:v>1</x:v>
      </x:c>
      <x:c r="I20" s="47" t="n">
        <x:f>'Path Daily'!J112</x:f>
        <x:v>12880</x:v>
      </x:c>
      <x:c r="J20" s="47" t="n">
        <x:f>H20*I20</x:f>
        <x:v>12880</x:v>
      </x:c>
      <x:c r="K20" s="72"/>
      <x:c r="L20" s="72"/>
      <x:c r="M20" s="72"/>
      <x:c r="N20" s="72"/>
    </x:row>
    <x:row r="21">
      <x:c r="C21" s="20" t="str">
        <x:v>Z2</x:v>
      </x:c>
      <x:c r="D21" s="20" t="str">
        <x:v>Puget Central</x:v>
      </x:c>
      <x:c r="E21" s="20" t="str">
        <x:v>P2</x:v>
      </x:c>
      <x:c r="F21" s="20" t="str">
        <x:v>South air</x:v>
      </x:c>
      <x:c r="G21" s="20" t="str">
        <x:v>Air</x:v>
      </x:c>
      <x:c r="H21" s="20" t="n">
        <x:v>0</x:v>
      </x:c>
      <x:c r="I21" s="47" t="n">
        <x:f>'Path Daily'!J203</x:f>
        <x:v>14167.999999999998</x:v>
      </x:c>
      <x:c r="J21" s="47" t="n">
        <x:f>H21*I21</x:f>
        <x:v>0</x:v>
      </x:c>
      <x:c r="K21" s="72"/>
      <x:c r="L21" s="72"/>
      <x:c r="M21" s="72"/>
      <x:c r="N21" s="72"/>
    </x:row>
    <x:row r="22">
      <x:c r="C22" s="20" t="str">
        <x:v>Z2</x:v>
      </x:c>
      <x:c r="D22" s="20" t="str">
        <x:v>Puget Central</x:v>
      </x:c>
      <x:c r="E22" s="20" t="str">
        <x:v>P3</x:v>
      </x:c>
      <x:c r="F22" s="20" t="str">
        <x:v>Vertical network</x:v>
      </x:c>
      <x:c r="G22" s="20" t="str">
        <x:v>Vertical lift</x:v>
      </x:c>
      <x:c r="H22" s="20" t="n">
        <x:v>1</x:v>
      </x:c>
      <x:c r="I22" s="47" t="n">
        <x:f>'Path Daily'!J294</x:f>
        <x:v>10530</x:v>
      </x:c>
      <x:c r="J22" s="47" t="n">
        <x:f>H22*I22</x:f>
        <x:v>10530</x:v>
      </x:c>
      <x:c r="K22" s="72"/>
      <x:c r="L22" s="72"/>
      <x:c r="M22" s="72"/>
      <x:c r="N22" s="72"/>
    </x:row>
    <x:row r="23">
      <x:c r="C23" s="20" t="str">
        <x:v>Z2</x:v>
      </x:c>
      <x:c r="D23" s="20" t="str">
        <x:v>Puget Central</x:v>
      </x:c>
      <x:c r="E23" s="20" t="str">
        <x:v>P4</x:v>
      </x:c>
      <x:c r="F23" s="20" t="str">
        <x:v>Puget maritime</x:v>
      </x:c>
      <x:c r="G23" s="20" t="str">
        <x:v>Littoral</x:v>
      </x:c>
      <x:c r="H23" s="20" t="n">
        <x:v>1</x:v>
      </x:c>
      <x:c r="I23" s="47" t="n">
        <x:f>'Path Daily'!J385</x:f>
        <x:v>12672</x:v>
      </x:c>
      <x:c r="J23" s="47" t="n">
        <x:f>H23*I23</x:f>
        <x:v>12672</x:v>
      </x:c>
      <x:c r="K23" s="72"/>
      <x:c r="L23" s="72"/>
      <x:c r="M23" s="72"/>
      <x:c r="N23" s="72"/>
    </x:row>
    <x:row r="24">
      <x:c r="C24" s="20" t="str">
        <x:v>Z2</x:v>
      </x:c>
      <x:c r="D24" s="20" t="str">
        <x:v>Puget Central</x:v>
      </x:c>
      <x:c r="E24" s="20" t="str">
        <x:v>P5</x:v>
      </x:c>
      <x:c r="F24" s="20" t="str">
        <x:v>Coastal maritime</x:v>
      </x:c>
      <x:c r="G24" s="20" t="str">
        <x:v>Littoral</x:v>
      </x:c>
      <x:c r="H24" s="20" t="n">
        <x:v>0</x:v>
      </x:c>
      <x:c r="I24" s="47" t="n">
        <x:f>'Path Daily'!J476</x:f>
        <x:v>14520</x:v>
      </x:c>
      <x:c r="J24" s="47" t="n">
        <x:f>H24*I24</x:f>
        <x:v>0</x:v>
      </x:c>
      <x:c r="K24" s="72"/>
      <x:c r="L24" s="72"/>
      <x:c r="M24" s="72"/>
      <x:c r="N24" s="72"/>
    </x:row>
    <x:row r="25">
      <x:c r="C25" s="20" t="str">
        <x:v>Z2</x:v>
      </x:c>
      <x:c r="D25" s="20" t="str">
        <x:v>Puget Central</x:v>
      </x:c>
      <x:c r="E25" s="20" t="str">
        <x:v>P6</x:v>
      </x:c>
      <x:c r="F25" s="20" t="str">
        <x:v>Puget maritime</x:v>
      </x:c>
      <x:c r="G25" s="20" t="str">
        <x:v>Ocean</x:v>
      </x:c>
      <x:c r="H25" s="20" t="n">
        <x:v>1</x:v>
      </x:c>
      <x:c r="I25" s="47" t="n">
        <x:f>'Path Daily'!J567</x:f>
        <x:v>10660</x:v>
      </x:c>
      <x:c r="J25" s="47" t="n">
        <x:f>H25*I25</x:f>
        <x:v>10660</x:v>
      </x:c>
      <x:c r="K25" s="72"/>
      <x:c r="L25" s="72"/>
      <x:c r="M25" s="72"/>
      <x:c r="N25" s="72"/>
    </x:row>
    <x:row r="26">
      <x:c r="C26" s="20" t="str">
        <x:v>Z2</x:v>
      </x:c>
      <x:c r="D26" s="20" t="str">
        <x:v>Puget Central</x:v>
      </x:c>
      <x:c r="E26" s="20" t="str">
        <x:v>P7</x:v>
      </x:c>
      <x:c r="F26" s="20" t="str">
        <x:v>Inland water</x:v>
      </x:c>
      <x:c r="G26" s="20" t="str">
        <x:v>Inland water</x:v>
      </x:c>
      <x:c r="H26" s="20" t="n">
        <x:v>0</x:v>
      </x:c>
      <x:c r="I26" s="47" t="n">
        <x:f>'Path Daily'!J658</x:f>
        <x:v>18480</x:v>
      </x:c>
      <x:c r="J26" s="47" t="n">
        <x:f>H26*I26</x:f>
        <x:v>0</x:v>
      </x:c>
      <x:c r="K26" s="72"/>
      <x:c r="L26" s="72"/>
      <x:c r="M26" s="72"/>
      <x:c r="N26" s="72"/>
    </x:row>
    <x:row r="27">
      <x:c r="C27" s="20" t="str">
        <x:v>Z2</x:v>
      </x:c>
      <x:c r="D27" s="20" t="str">
        <x:v>Puget Central</x:v>
      </x:c>
      <x:c r="E27" s="20" t="str">
        <x:v>P8</x:v>
      </x:c>
      <x:c r="F27" s="20" t="str">
        <x:v>WA surface</x:v>
      </x:c>
      <x:c r="G27" s="20" t="str">
        <x:v>Road</x:v>
      </x:c>
      <x:c r="H27" s="20" t="n">
        <x:v>1</x:v>
      </x:c>
      <x:c r="I27" s="47" t="n">
        <x:f>'Path Daily'!J749</x:f>
        <x:v>3600</x:v>
      </x:c>
      <x:c r="J27" s="47" t="n">
        <x:f>H27*I27</x:f>
        <x:v>3600</x:v>
      </x:c>
      <x:c r="K27" s="72"/>
      <x:c r="L27" s="72"/>
      <x:c r="M27" s="72"/>
      <x:c r="N27" s="72"/>
    </x:row>
    <x:row r="28">
      <x:c r="C28" s="20" t="str">
        <x:v>Z2</x:v>
      </x:c>
      <x:c r="D28" s="20" t="str">
        <x:v>Puget Central</x:v>
      </x:c>
      <x:c r="E28" s="20" t="str">
        <x:v>P9</x:v>
      </x:c>
      <x:c r="F28" s="20" t="str">
        <x:v>OR surface</x:v>
      </x:c>
      <x:c r="G28" s="20" t="str">
        <x:v>Road</x:v>
      </x:c>
      <x:c r="H28" s="20" t="n">
        <x:v>0</x:v>
      </x:c>
      <x:c r="I28" s="47" t="n">
        <x:f>'Path Daily'!J840</x:f>
        <x:v>3375</x:v>
      </x:c>
      <x:c r="J28" s="47" t="n">
        <x:f>H28*I28</x:f>
        <x:v>0</x:v>
      </x:c>
      <x:c r="K28" s="72"/>
      <x:c r="L28" s="72"/>
      <x:c r="M28" s="72"/>
      <x:c r="N28" s="72"/>
    </x:row>
    <x:row r="29">
      <x:c r="C29" s="20" t="str">
        <x:v>Z2</x:v>
      </x:c>
      <x:c r="D29" s="20" t="str">
        <x:v>Puget Central</x:v>
      </x:c>
      <x:c r="E29" s="20" t="str">
        <x:v>P10</x:v>
      </x:c>
      <x:c r="F29" s="20" t="str">
        <x:v>Rail</x:v>
      </x:c>
      <x:c r="G29" s="20" t="str">
        <x:v>Rail</x:v>
      </x:c>
      <x:c r="H29" s="20" t="n">
        <x:v>1</x:v>
      </x:c>
      <x:c r="I29" s="47" t="n">
        <x:f>'Path Daily'!J931</x:f>
        <x:v>5440</x:v>
      </x:c>
      <x:c r="J29" s="47" t="n">
        <x:f>H29*I29</x:f>
        <x:v>5440</x:v>
      </x:c>
      <x:c r="K29" s="72"/>
      <x:c r="L29" s="72"/>
      <x:c r="M29" s="72"/>
      <x:c r="N29" s="72"/>
    </x:row>
    <x:row r="30">
      <x:c r="C30" s="20" t="str">
        <x:v>Z2</x:v>
      </x:c>
      <x:c r="D30" s="20" t="str">
        <x:v>Puget Central</x:v>
      </x:c>
      <x:c r="E30" s="20" t="str">
        <x:v>P11</x:v>
      </x:c>
      <x:c r="F30" s="20" t="str">
        <x:v>Offshore support</x:v>
      </x:c>
      <x:c r="G30" s="20" t="str">
        <x:v>Ocean support</x:v>
      </x:c>
      <x:c r="H30" s="20" t="n">
        <x:v>1</x:v>
      </x:c>
      <x:c r="I30" s="47" t="n">
        <x:f>'Path Daily'!J1022</x:f>
        <x:v>12144</x:v>
      </x:c>
      <x:c r="J30" s="47" t="n">
        <x:f>H30*I30</x:f>
        <x:v>12144</x:v>
      </x:c>
      <x:c r="K30" s="72"/>
      <x:c r="L30" s="72"/>
      <x:c r="M30" s="72"/>
      <x:c r="N30" s="72"/>
    </x:row>
    <x:row r="31">
      <x:c r="C31" s="20" t="str">
        <x:v>Z3</x:v>
      </x:c>
      <x:c r="D31" s="20" t="str">
        <x:v>Puget South</x:v>
      </x:c>
      <x:c r="E31" s="20" t="str">
        <x:v>P0</x:v>
      </x:c>
      <x:c r="F31" s="20" t="str">
        <x:v>Local distributed</x:v>
      </x:c>
      <x:c r="G31" s="20" t="str">
        <x:v>Cached</x:v>
      </x:c>
      <x:c r="H31" s="20" t="n">
        <x:v>1</x:v>
      </x:c>
      <x:c r="I31" s="47" t="n">
        <x:f>'Path Daily'!J21</x:f>
        <x:v>0</x:v>
      </x:c>
      <x:c r="J31" s="47" t="n">
        <x:f>H31*I31</x:f>
        <x:v>0</x:v>
      </x:c>
      <x:c r="K31" s="72"/>
      <x:c r="L31" s="72"/>
      <x:c r="M31" s="72"/>
      <x:c r="N31" s="72"/>
    </x:row>
    <x:row r="32">
      <x:c r="C32" s="20" t="str">
        <x:v>Z3</x:v>
      </x:c>
      <x:c r="D32" s="20" t="str">
        <x:v>Puget South</x:v>
      </x:c>
      <x:c r="E32" s="20" t="str">
        <x:v>P1</x:v>
      </x:c>
      <x:c r="F32" s="20" t="str">
        <x:v>North air</x:v>
      </x:c>
      <x:c r="G32" s="20" t="str">
        <x:v>Air</x:v>
      </x:c>
      <x:c r="H32" s="20" t="n">
        <x:v>1</x:v>
      </x:c>
      <x:c r="I32" s="47" t="n">
        <x:f>'Path Daily'!J112</x:f>
        <x:v>12880</x:v>
      </x:c>
      <x:c r="J32" s="47" t="n">
        <x:f>H32*I32</x:f>
        <x:v>12880</x:v>
      </x:c>
      <x:c r="K32" s="72"/>
      <x:c r="L32" s="72"/>
      <x:c r="M32" s="72"/>
      <x:c r="N32" s="72"/>
    </x:row>
    <x:row r="33">
      <x:c r="C33" s="20" t="str">
        <x:v>Z3</x:v>
      </x:c>
      <x:c r="D33" s="20" t="str">
        <x:v>Puget South</x:v>
      </x:c>
      <x:c r="E33" s="20" t="str">
        <x:v>P2</x:v>
      </x:c>
      <x:c r="F33" s="20" t="str">
        <x:v>South air</x:v>
      </x:c>
      <x:c r="G33" s="20" t="str">
        <x:v>Air</x:v>
      </x:c>
      <x:c r="H33" s="20" t="n">
        <x:v>0</x:v>
      </x:c>
      <x:c r="I33" s="47" t="n">
        <x:f>'Path Daily'!J203</x:f>
        <x:v>14167.999999999998</x:v>
      </x:c>
      <x:c r="J33" s="47" t="n">
        <x:f>H33*I33</x:f>
        <x:v>0</x:v>
      </x:c>
      <x:c r="K33" s="72"/>
      <x:c r="L33" s="72"/>
      <x:c r="M33" s="72"/>
      <x:c r="N33" s="72"/>
    </x:row>
    <x:row r="34">
      <x:c r="C34" s="20" t="str">
        <x:v>Z3</x:v>
      </x:c>
      <x:c r="D34" s="20" t="str">
        <x:v>Puget South</x:v>
      </x:c>
      <x:c r="E34" s="20" t="str">
        <x:v>P3</x:v>
      </x:c>
      <x:c r="F34" s="20" t="str">
        <x:v>Vertical network</x:v>
      </x:c>
      <x:c r="G34" s="20" t="str">
        <x:v>Vertical lift</x:v>
      </x:c>
      <x:c r="H34" s="20" t="n">
        <x:v>1</x:v>
      </x:c>
      <x:c r="I34" s="47" t="n">
        <x:f>'Path Daily'!J294</x:f>
        <x:v>10530</x:v>
      </x:c>
      <x:c r="J34" s="47" t="n">
        <x:f>H34*I34</x:f>
        <x:v>10530</x:v>
      </x:c>
      <x:c r="K34" s="72"/>
      <x:c r="L34" s="72"/>
      <x:c r="M34" s="72"/>
      <x:c r="N34" s="72"/>
    </x:row>
    <x:row r="35">
      <x:c r="C35" s="20" t="str">
        <x:v>Z3</x:v>
      </x:c>
      <x:c r="D35" s="20" t="str">
        <x:v>Puget South</x:v>
      </x:c>
      <x:c r="E35" s="20" t="str">
        <x:v>P4</x:v>
      </x:c>
      <x:c r="F35" s="20" t="str">
        <x:v>Puget maritime</x:v>
      </x:c>
      <x:c r="G35" s="20" t="str">
        <x:v>Littoral</x:v>
      </x:c>
      <x:c r="H35" s="20" t="n">
        <x:v>1</x:v>
      </x:c>
      <x:c r="I35" s="47" t="n">
        <x:f>'Path Daily'!J385</x:f>
        <x:v>12672</x:v>
      </x:c>
      <x:c r="J35" s="47" t="n">
        <x:f>H35*I35</x:f>
        <x:v>12672</x:v>
      </x:c>
      <x:c r="K35" s="72"/>
      <x:c r="L35" s="72"/>
      <x:c r="M35" s="72"/>
      <x:c r="N35" s="72"/>
    </x:row>
    <x:row r="36">
      <x:c r="C36" s="20" t="str">
        <x:v>Z3</x:v>
      </x:c>
      <x:c r="D36" s="20" t="str">
        <x:v>Puget South</x:v>
      </x:c>
      <x:c r="E36" s="20" t="str">
        <x:v>P5</x:v>
      </x:c>
      <x:c r="F36" s="20" t="str">
        <x:v>Coastal maritime</x:v>
      </x:c>
      <x:c r="G36" s="20" t="str">
        <x:v>Littoral</x:v>
      </x:c>
      <x:c r="H36" s="20" t="n">
        <x:v>0</x:v>
      </x:c>
      <x:c r="I36" s="47" t="n">
        <x:f>'Path Daily'!J476</x:f>
        <x:v>14520</x:v>
      </x:c>
      <x:c r="J36" s="47" t="n">
        <x:f>H36*I36</x:f>
        <x:v>0</x:v>
      </x:c>
      <x:c r="K36" s="72"/>
      <x:c r="L36" s="72"/>
      <x:c r="M36" s="72"/>
      <x:c r="N36" s="72"/>
    </x:row>
    <x:row r="37">
      <x:c r="C37" s="20" t="str">
        <x:v>Z3</x:v>
      </x:c>
      <x:c r="D37" s="20" t="str">
        <x:v>Puget South</x:v>
      </x:c>
      <x:c r="E37" s="20" t="str">
        <x:v>P6</x:v>
      </x:c>
      <x:c r="F37" s="20" t="str">
        <x:v>Puget maritime</x:v>
      </x:c>
      <x:c r="G37" s="20" t="str">
        <x:v>Ocean</x:v>
      </x:c>
      <x:c r="H37" s="20" t="n">
        <x:v>1</x:v>
      </x:c>
      <x:c r="I37" s="47" t="n">
        <x:f>'Path Daily'!J567</x:f>
        <x:v>10660</x:v>
      </x:c>
      <x:c r="J37" s="47" t="n">
        <x:f>H37*I37</x:f>
        <x:v>10660</x:v>
      </x:c>
      <x:c r="K37" s="72"/>
      <x:c r="L37" s="72"/>
      <x:c r="M37" s="72"/>
      <x:c r="N37" s="72"/>
    </x:row>
    <x:row r="38">
      <x:c r="C38" s="20" t="str">
        <x:v>Z3</x:v>
      </x:c>
      <x:c r="D38" s="20" t="str">
        <x:v>Puget South</x:v>
      </x:c>
      <x:c r="E38" s="20" t="str">
        <x:v>P7</x:v>
      </x:c>
      <x:c r="F38" s="20" t="str">
        <x:v>Inland water</x:v>
      </x:c>
      <x:c r="G38" s="20" t="str">
        <x:v>Inland water</x:v>
      </x:c>
      <x:c r="H38" s="20" t="n">
        <x:v>1</x:v>
      </x:c>
      <x:c r="I38" s="47" t="n">
        <x:f>'Path Daily'!J658</x:f>
        <x:v>18480</x:v>
      </x:c>
      <x:c r="J38" s="47" t="n">
        <x:f>H38*I38</x:f>
        <x:v>18480</x:v>
      </x:c>
      <x:c r="K38" s="72"/>
      <x:c r="L38" s="72"/>
      <x:c r="M38" s="72"/>
      <x:c r="N38" s="72"/>
    </x:row>
    <x:row r="39">
      <x:c r="C39" s="20" t="str">
        <x:v>Z3</x:v>
      </x:c>
      <x:c r="D39" s="20" t="str">
        <x:v>Puget South</x:v>
      </x:c>
      <x:c r="E39" s="20" t="str">
        <x:v>P8</x:v>
      </x:c>
      <x:c r="F39" s="20" t="str">
        <x:v>WA surface</x:v>
      </x:c>
      <x:c r="G39" s="20" t="str">
        <x:v>Road</x:v>
      </x:c>
      <x:c r="H39" s="20" t="n">
        <x:v>1</x:v>
      </x:c>
      <x:c r="I39" s="47" t="n">
        <x:f>'Path Daily'!J749</x:f>
        <x:v>3600</x:v>
      </x:c>
      <x:c r="J39" s="47" t="n">
        <x:f>H39*I39</x:f>
        <x:v>3600</x:v>
      </x:c>
      <x:c r="K39" s="72"/>
      <x:c r="L39" s="72"/>
      <x:c r="M39" s="72"/>
      <x:c r="N39" s="72"/>
    </x:row>
    <x:row r="40">
      <x:c r="C40" s="20" t="str">
        <x:v>Z3</x:v>
      </x:c>
      <x:c r="D40" s="20" t="str">
        <x:v>Puget South</x:v>
      </x:c>
      <x:c r="E40" s="20" t="str">
        <x:v>P9</x:v>
      </x:c>
      <x:c r="F40" s="20" t="str">
        <x:v>OR surface</x:v>
      </x:c>
      <x:c r="G40" s="20" t="str">
        <x:v>Road</x:v>
      </x:c>
      <x:c r="H40" s="20" t="n">
        <x:v>0</x:v>
      </x:c>
      <x:c r="I40" s="47" t="n">
        <x:f>'Path Daily'!J840</x:f>
        <x:v>3375</x:v>
      </x:c>
      <x:c r="J40" s="47" t="n">
        <x:f>H40*I40</x:f>
        <x:v>0</x:v>
      </x:c>
      <x:c r="K40" s="72"/>
      <x:c r="L40" s="72"/>
      <x:c r="M40" s="72"/>
      <x:c r="N40" s="72"/>
    </x:row>
    <x:row r="41">
      <x:c r="C41" s="20" t="str">
        <x:v>Z3</x:v>
      </x:c>
      <x:c r="D41" s="20" t="str">
        <x:v>Puget South</x:v>
      </x:c>
      <x:c r="E41" s="20" t="str">
        <x:v>P10</x:v>
      </x:c>
      <x:c r="F41" s="20" t="str">
        <x:v>Rail</x:v>
      </x:c>
      <x:c r="G41" s="20" t="str">
        <x:v>Rail</x:v>
      </x:c>
      <x:c r="H41" s="20" t="n">
        <x:v>1</x:v>
      </x:c>
      <x:c r="I41" s="47" t="n">
        <x:f>'Path Daily'!J931</x:f>
        <x:v>5440</x:v>
      </x:c>
      <x:c r="J41" s="47" t="n">
        <x:f>H41*I41</x:f>
        <x:v>5440</x:v>
      </x:c>
      <x:c r="K41" s="72"/>
      <x:c r="L41" s="72"/>
      <x:c r="M41" s="72"/>
      <x:c r="N41" s="72"/>
    </x:row>
    <x:row r="42">
      <x:c r="C42" s="20" t="str">
        <x:v>Z3</x:v>
      </x:c>
      <x:c r="D42" s="20" t="str">
        <x:v>Puget South</x:v>
      </x:c>
      <x:c r="E42" s="20" t="str">
        <x:v>P11</x:v>
      </x:c>
      <x:c r="F42" s="20" t="str">
        <x:v>Offshore support</x:v>
      </x:c>
      <x:c r="G42" s="20" t="str">
        <x:v>Ocean support</x:v>
      </x:c>
      <x:c r="H42" s="20" t="n">
        <x:v>1</x:v>
      </x:c>
      <x:c r="I42" s="47" t="n">
        <x:f>'Path Daily'!J1022</x:f>
        <x:v>12144</x:v>
      </x:c>
      <x:c r="J42" s="47" t="n">
        <x:f>H42*I42</x:f>
        <x:v>12144</x:v>
      </x:c>
      <x:c r="K42" s="72"/>
      <x:c r="L42" s="72"/>
      <x:c r="M42" s="72"/>
      <x:c r="N42" s="72"/>
    </x:row>
    <x:row r="43">
      <x:c r="C43" s="20" t="str">
        <x:v>Z4</x:v>
      </x:c>
      <x:c r="D43" s="20" t="str">
        <x:v>Southwest Washington</x:v>
      </x:c>
      <x:c r="E43" s="20" t="str">
        <x:v>P0</x:v>
      </x:c>
      <x:c r="F43" s="20" t="str">
        <x:v>Local distributed</x:v>
      </x:c>
      <x:c r="G43" s="20" t="str">
        <x:v>Cached</x:v>
      </x:c>
      <x:c r="H43" s="20" t="n">
        <x:v>1</x:v>
      </x:c>
      <x:c r="I43" s="47" t="n">
        <x:f>'Path Daily'!J21</x:f>
        <x:v>0</x:v>
      </x:c>
      <x:c r="J43" s="47" t="n">
        <x:f>H43*I43</x:f>
        <x:v>0</x:v>
      </x:c>
      <x:c r="K43" s="72"/>
      <x:c r="L43" s="72"/>
      <x:c r="M43" s="72"/>
      <x:c r="N43" s="72"/>
    </x:row>
    <x:row r="44">
      <x:c r="C44" s="20" t="str">
        <x:v>Z4</x:v>
      </x:c>
      <x:c r="D44" s="20" t="str">
        <x:v>Southwest Washington</x:v>
      </x:c>
      <x:c r="E44" s="20" t="str">
        <x:v>P1</x:v>
      </x:c>
      <x:c r="F44" s="20" t="str">
        <x:v>North air</x:v>
      </x:c>
      <x:c r="G44" s="20" t="str">
        <x:v>Air</x:v>
      </x:c>
      <x:c r="H44" s="20" t="n">
        <x:v>1</x:v>
      </x:c>
      <x:c r="I44" s="47" t="n">
        <x:f>'Path Daily'!J112</x:f>
        <x:v>12880</x:v>
      </x:c>
      <x:c r="J44" s="47" t="n">
        <x:f>H44*I44</x:f>
        <x:v>12880</x:v>
      </x:c>
      <x:c r="K44" s="72"/>
      <x:c r="L44" s="72"/>
      <x:c r="M44" s="72"/>
      <x:c r="N44" s="72"/>
    </x:row>
    <x:row r="45">
      <x:c r="C45" s="20" t="str">
        <x:v>Z4</x:v>
      </x:c>
      <x:c r="D45" s="20" t="str">
        <x:v>Southwest Washington</x:v>
      </x:c>
      <x:c r="E45" s="20" t="str">
        <x:v>P2</x:v>
      </x:c>
      <x:c r="F45" s="20" t="str">
        <x:v>South air</x:v>
      </x:c>
      <x:c r="G45" s="20" t="str">
        <x:v>Air</x:v>
      </x:c>
      <x:c r="H45" s="20" t="n">
        <x:v>1</x:v>
      </x:c>
      <x:c r="I45" s="47" t="n">
        <x:f>'Path Daily'!J203</x:f>
        <x:v>14167.999999999998</x:v>
      </x:c>
      <x:c r="J45" s="47" t="n">
        <x:f>H45*I45</x:f>
        <x:v>14167.999999999998</x:v>
      </x:c>
      <x:c r="K45" s="72"/>
      <x:c r="L45" s="72"/>
      <x:c r="M45" s="72"/>
      <x:c r="N45" s="72"/>
    </x:row>
    <x:row r="46">
      <x:c r="C46" s="20" t="str">
        <x:v>Z4</x:v>
      </x:c>
      <x:c r="D46" s="20" t="str">
        <x:v>Southwest Washington</x:v>
      </x:c>
      <x:c r="E46" s="20" t="str">
        <x:v>P3</x:v>
      </x:c>
      <x:c r="F46" s="20" t="str">
        <x:v>Vertical network</x:v>
      </x:c>
      <x:c r="G46" s="20" t="str">
        <x:v>Vertical lift</x:v>
      </x:c>
      <x:c r="H46" s="20" t="n">
        <x:v>1</x:v>
      </x:c>
      <x:c r="I46" s="47" t="n">
        <x:f>'Path Daily'!J294</x:f>
        <x:v>10530</x:v>
      </x:c>
      <x:c r="J46" s="47" t="n">
        <x:f>H46*I46</x:f>
        <x:v>10530</x:v>
      </x:c>
      <x:c r="K46" s="72"/>
      <x:c r="L46" s="72"/>
      <x:c r="M46" s="72"/>
      <x:c r="N46" s="72"/>
    </x:row>
    <x:row r="47">
      <x:c r="C47" s="20" t="str">
        <x:v>Z4</x:v>
      </x:c>
      <x:c r="D47" s="20" t="str">
        <x:v>Southwest Washington</x:v>
      </x:c>
      <x:c r="E47" s="20" t="str">
        <x:v>P4</x:v>
      </x:c>
      <x:c r="F47" s="20" t="str">
        <x:v>Puget maritime</x:v>
      </x:c>
      <x:c r="G47" s="20" t="str">
        <x:v>Littoral</x:v>
      </x:c>
      <x:c r="H47" s="20" t="n">
        <x:v>1</x:v>
      </x:c>
      <x:c r="I47" s="47" t="n">
        <x:f>'Path Daily'!J385</x:f>
        <x:v>12672</x:v>
      </x:c>
      <x:c r="J47" s="47" t="n">
        <x:f>H47*I47</x:f>
        <x:v>12672</x:v>
      </x:c>
      <x:c r="K47" s="72"/>
      <x:c r="L47" s="72"/>
      <x:c r="M47" s="72"/>
      <x:c r="N47" s="72"/>
    </x:row>
    <x:row r="48">
      <x:c r="C48" s="20" t="str">
        <x:v>Z4</x:v>
      </x:c>
      <x:c r="D48" s="20" t="str">
        <x:v>Southwest Washington</x:v>
      </x:c>
      <x:c r="E48" s="20" t="str">
        <x:v>P5</x:v>
      </x:c>
      <x:c r="F48" s="20" t="str">
        <x:v>Coastal maritime</x:v>
      </x:c>
      <x:c r="G48" s="20" t="str">
        <x:v>Littoral</x:v>
      </x:c>
      <x:c r="H48" s="20" t="n">
        <x:v>0</x:v>
      </x:c>
      <x:c r="I48" s="47" t="n">
        <x:f>'Path Daily'!J476</x:f>
        <x:v>14520</x:v>
      </x:c>
      <x:c r="J48" s="47" t="n">
        <x:f>H48*I48</x:f>
        <x:v>0</x:v>
      </x:c>
      <x:c r="K48" s="72"/>
      <x:c r="L48" s="72"/>
      <x:c r="M48" s="72"/>
      <x:c r="N48" s="72"/>
    </x:row>
    <x:row r="49">
      <x:c r="C49" s="20" t="str">
        <x:v>Z4</x:v>
      </x:c>
      <x:c r="D49" s="20" t="str">
        <x:v>Southwest Washington</x:v>
      </x:c>
      <x:c r="E49" s="20" t="str">
        <x:v>P6</x:v>
      </x:c>
      <x:c r="F49" s="20" t="str">
        <x:v>Puget maritime</x:v>
      </x:c>
      <x:c r="G49" s="20" t="str">
        <x:v>Ocean</x:v>
      </x:c>
      <x:c r="H49" s="20" t="n">
        <x:v>1</x:v>
      </x:c>
      <x:c r="I49" s="47" t="n">
        <x:f>'Path Daily'!J567</x:f>
        <x:v>10660</x:v>
      </x:c>
      <x:c r="J49" s="47" t="n">
        <x:f>H49*I49</x:f>
        <x:v>10660</x:v>
      </x:c>
      <x:c r="K49" s="72"/>
      <x:c r="L49" s="72"/>
      <x:c r="M49" s="72"/>
      <x:c r="N49" s="72"/>
    </x:row>
    <x:row r="50">
      <x:c r="C50" s="20" t="str">
        <x:v>Z4</x:v>
      </x:c>
      <x:c r="D50" s="20" t="str">
        <x:v>Southwest Washington</x:v>
      </x:c>
      <x:c r="E50" s="20" t="str">
        <x:v>P7</x:v>
      </x:c>
      <x:c r="F50" s="20" t="str">
        <x:v>Inland water</x:v>
      </x:c>
      <x:c r="G50" s="20" t="str">
        <x:v>Inland water</x:v>
      </x:c>
      <x:c r="H50" s="20" t="n">
        <x:v>1</x:v>
      </x:c>
      <x:c r="I50" s="47" t="n">
        <x:f>'Path Daily'!J658</x:f>
        <x:v>18480</x:v>
      </x:c>
      <x:c r="J50" s="47" t="n">
        <x:f>H50*I50</x:f>
        <x:v>18480</x:v>
      </x:c>
      <x:c r="K50" s="72"/>
      <x:c r="L50" s="72"/>
      <x:c r="M50" s="72"/>
      <x:c r="N50" s="72"/>
    </x:row>
    <x:row r="51">
      <x:c r="C51" s="20" t="str">
        <x:v>Z4</x:v>
      </x:c>
      <x:c r="D51" s="20" t="str">
        <x:v>Southwest Washington</x:v>
      </x:c>
      <x:c r="E51" s="20" t="str">
        <x:v>P8</x:v>
      </x:c>
      <x:c r="F51" s="20" t="str">
        <x:v>WA surface</x:v>
      </x:c>
      <x:c r="G51" s="20" t="str">
        <x:v>Road</x:v>
      </x:c>
      <x:c r="H51" s="20" t="n">
        <x:v>1</x:v>
      </x:c>
      <x:c r="I51" s="47" t="n">
        <x:f>'Path Daily'!J749</x:f>
        <x:v>3600</x:v>
      </x:c>
      <x:c r="J51" s="47" t="n">
        <x:f>H51*I51</x:f>
        <x:v>3600</x:v>
      </x:c>
      <x:c r="K51" s="72"/>
      <x:c r="L51" s="72"/>
      <x:c r="M51" s="72"/>
      <x:c r="N51" s="72"/>
    </x:row>
    <x:row r="52">
      <x:c r="C52" s="20" t="str">
        <x:v>Z4</x:v>
      </x:c>
      <x:c r="D52" s="20" t="str">
        <x:v>Southwest Washington</x:v>
      </x:c>
      <x:c r="E52" s="20" t="str">
        <x:v>P9</x:v>
      </x:c>
      <x:c r="F52" s="20" t="str">
        <x:v>OR surface</x:v>
      </x:c>
      <x:c r="G52" s="20" t="str">
        <x:v>Road</x:v>
      </x:c>
      <x:c r="H52" s="20" t="n">
        <x:v>1</x:v>
      </x:c>
      <x:c r="I52" s="47" t="n">
        <x:f>'Path Daily'!J840</x:f>
        <x:v>3375</x:v>
      </x:c>
      <x:c r="J52" s="47" t="n">
        <x:f>H52*I52</x:f>
        <x:v>3375</x:v>
      </x:c>
      <x:c r="K52" s="72"/>
      <x:c r="L52" s="72"/>
      <x:c r="M52" s="72"/>
      <x:c r="N52" s="72"/>
    </x:row>
    <x:row r="53">
      <x:c r="C53" s="20" t="str">
        <x:v>Z4</x:v>
      </x:c>
      <x:c r="D53" s="20" t="str">
        <x:v>Southwest Washington</x:v>
      </x:c>
      <x:c r="E53" s="20" t="str">
        <x:v>P10</x:v>
      </x:c>
      <x:c r="F53" s="20" t="str">
        <x:v>Rail</x:v>
      </x:c>
      <x:c r="G53" s="20" t="str">
        <x:v>Rail</x:v>
      </x:c>
      <x:c r="H53" s="20" t="n">
        <x:v>1</x:v>
      </x:c>
      <x:c r="I53" s="47" t="n">
        <x:f>'Path Daily'!J931</x:f>
        <x:v>5440</x:v>
      </x:c>
      <x:c r="J53" s="47" t="n">
        <x:f>H53*I53</x:f>
        <x:v>5440</x:v>
      </x:c>
      <x:c r="K53" s="72"/>
      <x:c r="L53" s="72"/>
      <x:c r="M53" s="72"/>
      <x:c r="N53" s="72"/>
    </x:row>
    <x:row r="54">
      <x:c r="C54" s="20" t="str">
        <x:v>Z4</x:v>
      </x:c>
      <x:c r="D54" s="20" t="str">
        <x:v>Southwest Washington</x:v>
      </x:c>
      <x:c r="E54" s="20" t="str">
        <x:v>P11</x:v>
      </x:c>
      <x:c r="F54" s="20" t="str">
        <x:v>Offshore support</x:v>
      </x:c>
      <x:c r="G54" s="20" t="str">
        <x:v>Ocean support</x:v>
      </x:c>
      <x:c r="H54" s="20" t="n">
        <x:v>1</x:v>
      </x:c>
      <x:c r="I54" s="47" t="n">
        <x:f>'Path Daily'!J1022</x:f>
        <x:v>12144</x:v>
      </x:c>
      <x:c r="J54" s="47" t="n">
        <x:f>H54*I54</x:f>
        <x:v>12144</x:v>
      </x:c>
      <x:c r="K54" s="72"/>
      <x:c r="L54" s="72"/>
      <x:c r="M54" s="72"/>
      <x:c r="N54" s="72"/>
    </x:row>
    <x:row r="55">
      <x:c r="C55" s="20" t="str">
        <x:v>Z5</x:v>
      </x:c>
      <x:c r="D55" s="20" t="str">
        <x:v>Oregon North Coast</x:v>
      </x:c>
      <x:c r="E55" s="20" t="str">
        <x:v>P0</x:v>
      </x:c>
      <x:c r="F55" s="20" t="str">
        <x:v>Local distributed</x:v>
      </x:c>
      <x:c r="G55" s="20" t="str">
        <x:v>Cached</x:v>
      </x:c>
      <x:c r="H55" s="20" t="n">
        <x:v>1</x:v>
      </x:c>
      <x:c r="I55" s="47" t="n">
        <x:f>'Path Daily'!J21</x:f>
        <x:v>0</x:v>
      </x:c>
      <x:c r="J55" s="47" t="n">
        <x:f>H55*I55</x:f>
        <x:v>0</x:v>
      </x:c>
      <x:c r="K55" s="72"/>
      <x:c r="L55" s="72"/>
      <x:c r="M55" s="72"/>
      <x:c r="N55" s="72"/>
    </x:row>
    <x:row r="56">
      <x:c r="C56" s="20" t="str">
        <x:v>Z5</x:v>
      </x:c>
      <x:c r="D56" s="20" t="str">
        <x:v>Oregon North Coast</x:v>
      </x:c>
      <x:c r="E56" s="20" t="str">
        <x:v>P1</x:v>
      </x:c>
      <x:c r="F56" s="20" t="str">
        <x:v>North air</x:v>
      </x:c>
      <x:c r="G56" s="20" t="str">
        <x:v>Air</x:v>
      </x:c>
      <x:c r="H56" s="20" t="n">
        <x:v>0</x:v>
      </x:c>
      <x:c r="I56" s="47" t="n">
        <x:f>'Path Daily'!J112</x:f>
        <x:v>12880</x:v>
      </x:c>
      <x:c r="J56" s="47" t="n">
        <x:f>H56*I56</x:f>
        <x:v>0</x:v>
      </x:c>
      <x:c r="K56" s="72"/>
      <x:c r="L56" s="72"/>
      <x:c r="M56" s="72"/>
      <x:c r="N56" s="72"/>
    </x:row>
    <x:row r="57">
      <x:c r="C57" s="20" t="str">
        <x:v>Z5</x:v>
      </x:c>
      <x:c r="D57" s="20" t="str">
        <x:v>Oregon North Coast</x:v>
      </x:c>
      <x:c r="E57" s="20" t="str">
        <x:v>P2</x:v>
      </x:c>
      <x:c r="F57" s="20" t="str">
        <x:v>South air</x:v>
      </x:c>
      <x:c r="G57" s="20" t="str">
        <x:v>Air</x:v>
      </x:c>
      <x:c r="H57" s="20" t="n">
        <x:v>1</x:v>
      </x:c>
      <x:c r="I57" s="47" t="n">
        <x:f>'Path Daily'!J203</x:f>
        <x:v>14167.999999999998</x:v>
      </x:c>
      <x:c r="J57" s="47" t="n">
        <x:f>H57*I57</x:f>
        <x:v>14167.999999999998</x:v>
      </x:c>
      <x:c r="K57" s="72"/>
      <x:c r="L57" s="72"/>
      <x:c r="M57" s="72"/>
      <x:c r="N57" s="72"/>
    </x:row>
    <x:row r="58">
      <x:c r="C58" s="20" t="str">
        <x:v>Z5</x:v>
      </x:c>
      <x:c r="D58" s="20" t="str">
        <x:v>Oregon North Coast</x:v>
      </x:c>
      <x:c r="E58" s="20" t="str">
        <x:v>P3</x:v>
      </x:c>
      <x:c r="F58" s="20" t="str">
        <x:v>Vertical network</x:v>
      </x:c>
      <x:c r="G58" s="20" t="str">
        <x:v>Vertical lift</x:v>
      </x:c>
      <x:c r="H58" s="20" t="n">
        <x:v>1</x:v>
      </x:c>
      <x:c r="I58" s="47" t="n">
        <x:f>'Path Daily'!J294</x:f>
        <x:v>10530</x:v>
      </x:c>
      <x:c r="J58" s="47" t="n">
        <x:f>H58*I58</x:f>
        <x:v>10530</x:v>
      </x:c>
      <x:c r="K58" s="72"/>
      <x:c r="L58" s="72"/>
      <x:c r="M58" s="72"/>
      <x:c r="N58" s="72"/>
    </x:row>
    <x:row r="59">
      <x:c r="C59" s="20" t="str">
        <x:v>Z5</x:v>
      </x:c>
      <x:c r="D59" s="20" t="str">
        <x:v>Oregon North Coast</x:v>
      </x:c>
      <x:c r="E59" s="20" t="str">
        <x:v>P4</x:v>
      </x:c>
      <x:c r="F59" s="20" t="str">
        <x:v>Puget maritime</x:v>
      </x:c>
      <x:c r="G59" s="20" t="str">
        <x:v>Littoral</x:v>
      </x:c>
      <x:c r="H59" s="20" t="n">
        <x:v>0</x:v>
      </x:c>
      <x:c r="I59" s="47" t="n">
        <x:f>'Path Daily'!J385</x:f>
        <x:v>12672</x:v>
      </x:c>
      <x:c r="J59" s="47" t="n">
        <x:f>H59*I59</x:f>
        <x:v>0</x:v>
      </x:c>
      <x:c r="K59" s="72"/>
      <x:c r="L59" s="72"/>
      <x:c r="M59" s="72"/>
      <x:c r="N59" s="72"/>
    </x:row>
    <x:row r="60">
      <x:c r="C60" s="20" t="str">
        <x:v>Z5</x:v>
      </x:c>
      <x:c r="D60" s="20" t="str">
        <x:v>Oregon North Coast</x:v>
      </x:c>
      <x:c r="E60" s="20" t="str">
        <x:v>P5</x:v>
      </x:c>
      <x:c r="F60" s="20" t="str">
        <x:v>Coastal maritime</x:v>
      </x:c>
      <x:c r="G60" s="20" t="str">
        <x:v>Littoral</x:v>
      </x:c>
      <x:c r="H60" s="20" t="n">
        <x:v>1</x:v>
      </x:c>
      <x:c r="I60" s="47" t="n">
        <x:f>'Path Daily'!J476</x:f>
        <x:v>14520</x:v>
      </x:c>
      <x:c r="J60" s="47" t="n">
        <x:f>H60*I60</x:f>
        <x:v>14520</x:v>
      </x:c>
      <x:c r="K60" s="72"/>
      <x:c r="L60" s="72"/>
      <x:c r="M60" s="72"/>
      <x:c r="N60" s="72"/>
    </x:row>
    <x:row r="61">
      <x:c r="C61" s="20" t="str">
        <x:v>Z5</x:v>
      </x:c>
      <x:c r="D61" s="20" t="str">
        <x:v>Oregon North Coast</x:v>
      </x:c>
      <x:c r="E61" s="20" t="str">
        <x:v>P6</x:v>
      </x:c>
      <x:c r="F61" s="20" t="str">
        <x:v>Puget maritime</x:v>
      </x:c>
      <x:c r="G61" s="20" t="str">
        <x:v>Ocean</x:v>
      </x:c>
      <x:c r="H61" s="20" t="n">
        <x:v>0</x:v>
      </x:c>
      <x:c r="I61" s="47" t="n">
        <x:f>'Path Daily'!J567</x:f>
        <x:v>10660</x:v>
      </x:c>
      <x:c r="J61" s="47" t="n">
        <x:f>H61*I61</x:f>
        <x:v>0</x:v>
      </x:c>
      <x:c r="K61" s="72"/>
      <x:c r="L61" s="72"/>
      <x:c r="M61" s="72"/>
      <x:c r="N61" s="72"/>
    </x:row>
    <x:row r="62">
      <x:c r="C62" s="20" t="str">
        <x:v>Z5</x:v>
      </x:c>
      <x:c r="D62" s="20" t="str">
        <x:v>Oregon North Coast</x:v>
      </x:c>
      <x:c r="E62" s="20" t="str">
        <x:v>P7</x:v>
      </x:c>
      <x:c r="F62" s="20" t="str">
        <x:v>Inland water</x:v>
      </x:c>
      <x:c r="G62" s="20" t="str">
        <x:v>Inland water</x:v>
      </x:c>
      <x:c r="H62" s="20" t="n">
        <x:v>1</x:v>
      </x:c>
      <x:c r="I62" s="47" t="n">
        <x:f>'Path Daily'!J658</x:f>
        <x:v>18480</x:v>
      </x:c>
      <x:c r="J62" s="47" t="n">
        <x:f>H62*I62</x:f>
        <x:v>18480</x:v>
      </x:c>
      <x:c r="K62" s="72"/>
      <x:c r="L62" s="72"/>
      <x:c r="M62" s="72"/>
      <x:c r="N62" s="72"/>
    </x:row>
    <x:row r="63">
      <x:c r="C63" s="20" t="str">
        <x:v>Z5</x:v>
      </x:c>
      <x:c r="D63" s="20" t="str">
        <x:v>Oregon North Coast</x:v>
      </x:c>
      <x:c r="E63" s="20" t="str">
        <x:v>P8</x:v>
      </x:c>
      <x:c r="F63" s="20" t="str">
        <x:v>WA surface</x:v>
      </x:c>
      <x:c r="G63" s="20" t="str">
        <x:v>Road</x:v>
      </x:c>
      <x:c r="H63" s="20" t="n">
        <x:v>0</x:v>
      </x:c>
      <x:c r="I63" s="47" t="n">
        <x:f>'Path Daily'!J749</x:f>
        <x:v>3600</x:v>
      </x:c>
      <x:c r="J63" s="47" t="n">
        <x:f>H63*I63</x:f>
        <x:v>0</x:v>
      </x:c>
      <x:c r="K63" s="72"/>
      <x:c r="L63" s="72"/>
      <x:c r="M63" s="72"/>
      <x:c r="N63" s="72"/>
    </x:row>
    <x:row r="64">
      <x:c r="C64" s="20" t="str">
        <x:v>Z5</x:v>
      </x:c>
      <x:c r="D64" s="20" t="str">
        <x:v>Oregon North Coast</x:v>
      </x:c>
      <x:c r="E64" s="20" t="str">
        <x:v>P9</x:v>
      </x:c>
      <x:c r="F64" s="20" t="str">
        <x:v>OR surface</x:v>
      </x:c>
      <x:c r="G64" s="20" t="str">
        <x:v>Road</x:v>
      </x:c>
      <x:c r="H64" s="20" t="n">
        <x:v>1</x:v>
      </x:c>
      <x:c r="I64" s="47" t="n">
        <x:f>'Path Daily'!J840</x:f>
        <x:v>3375</x:v>
      </x:c>
      <x:c r="J64" s="47" t="n">
        <x:f>H64*I64</x:f>
        <x:v>3375</x:v>
      </x:c>
      <x:c r="K64" s="72"/>
      <x:c r="L64" s="72"/>
      <x:c r="M64" s="72"/>
      <x:c r="N64" s="72"/>
    </x:row>
    <x:row r="65">
      <x:c r="C65" s="20" t="str">
        <x:v>Z5</x:v>
      </x:c>
      <x:c r="D65" s="20" t="str">
        <x:v>Oregon North Coast</x:v>
      </x:c>
      <x:c r="E65" s="20" t="str">
        <x:v>P10</x:v>
      </x:c>
      <x:c r="F65" s="20" t="str">
        <x:v>Rail</x:v>
      </x:c>
      <x:c r="G65" s="20" t="str">
        <x:v>Rail</x:v>
      </x:c>
      <x:c r="H65" s="20" t="n">
        <x:v>0</x:v>
      </x:c>
      <x:c r="I65" s="47" t="n">
        <x:f>'Path Daily'!J931</x:f>
        <x:v>5440</x:v>
      </x:c>
      <x:c r="J65" s="47" t="n">
        <x:f>H65*I65</x:f>
        <x:v>0</x:v>
      </x:c>
      <x:c r="K65" s="72"/>
      <x:c r="L65" s="72"/>
      <x:c r="M65" s="72"/>
      <x:c r="N65" s="72"/>
    </x:row>
    <x:row r="66">
      <x:c r="C66" s="20" t="str">
        <x:v>Z5</x:v>
      </x:c>
      <x:c r="D66" s="20" t="str">
        <x:v>Oregon North Coast</x:v>
      </x:c>
      <x:c r="E66" s="20" t="str">
        <x:v>P11</x:v>
      </x:c>
      <x:c r="F66" s="20" t="str">
        <x:v>Offshore support</x:v>
      </x:c>
      <x:c r="G66" s="20" t="str">
        <x:v>Ocean support</x:v>
      </x:c>
      <x:c r="H66" s="20" t="n">
        <x:v>1</x:v>
      </x:c>
      <x:c r="I66" s="47" t="n">
        <x:f>'Path Daily'!J1022</x:f>
        <x:v>12144</x:v>
      </x:c>
      <x:c r="J66" s="47" t="n">
        <x:f>H66*I66</x:f>
        <x:v>12144</x:v>
      </x:c>
      <x:c r="K66" s="72"/>
      <x:c r="L66" s="72"/>
      <x:c r="M66" s="72"/>
      <x:c r="N66" s="72"/>
    </x:row>
    <x:row r="67">
      <x:c r="C67" s="20" t="str">
        <x:v>Z6</x:v>
      </x:c>
      <x:c r="D67" s="20" t="str">
        <x:v>Oregon Central Coast</x:v>
      </x:c>
      <x:c r="E67" s="20" t="str">
        <x:v>P0</x:v>
      </x:c>
      <x:c r="F67" s="20" t="str">
        <x:v>Local distributed</x:v>
      </x:c>
      <x:c r="G67" s="20" t="str">
        <x:v>Cached</x:v>
      </x:c>
      <x:c r="H67" s="20" t="n">
        <x:v>1</x:v>
      </x:c>
      <x:c r="I67" s="47" t="n">
        <x:f>'Path Daily'!J21</x:f>
        <x:v>0</x:v>
      </x:c>
      <x:c r="J67" s="47" t="n">
        <x:f>H67*I67</x:f>
        <x:v>0</x:v>
      </x:c>
      <x:c r="K67" s="72"/>
      <x:c r="L67" s="72"/>
      <x:c r="M67" s="72"/>
      <x:c r="N67" s="72"/>
    </x:row>
    <x:row r="68">
      <x:c r="C68" s="20" t="str">
        <x:v>Z6</x:v>
      </x:c>
      <x:c r="D68" s="20" t="str">
        <x:v>Oregon Central Coast</x:v>
      </x:c>
      <x:c r="E68" s="20" t="str">
        <x:v>P1</x:v>
      </x:c>
      <x:c r="F68" s="20" t="str">
        <x:v>North air</x:v>
      </x:c>
      <x:c r="G68" s="20" t="str">
        <x:v>Air</x:v>
      </x:c>
      <x:c r="H68" s="20" t="n">
        <x:v>0</x:v>
      </x:c>
      <x:c r="I68" s="47" t="n">
        <x:f>'Path Daily'!J112</x:f>
        <x:v>12880</x:v>
      </x:c>
      <x:c r="J68" s="47" t="n">
        <x:f>H68*I68</x:f>
        <x:v>0</x:v>
      </x:c>
      <x:c r="K68" s="72"/>
      <x:c r="L68" s="72"/>
      <x:c r="M68" s="72"/>
      <x:c r="N68" s="72"/>
    </x:row>
    <x:row r="69">
      <x:c r="C69" s="20" t="str">
        <x:v>Z6</x:v>
      </x:c>
      <x:c r="D69" s="20" t="str">
        <x:v>Oregon Central Coast</x:v>
      </x:c>
      <x:c r="E69" s="20" t="str">
        <x:v>P2</x:v>
      </x:c>
      <x:c r="F69" s="20" t="str">
        <x:v>South air</x:v>
      </x:c>
      <x:c r="G69" s="20" t="str">
        <x:v>Air</x:v>
      </x:c>
      <x:c r="H69" s="20" t="n">
        <x:v>1</x:v>
      </x:c>
      <x:c r="I69" s="47" t="n">
        <x:f>'Path Daily'!J203</x:f>
        <x:v>14167.999999999998</x:v>
      </x:c>
      <x:c r="J69" s="47" t="n">
        <x:f>H69*I69</x:f>
        <x:v>14167.999999999998</x:v>
      </x:c>
      <x:c r="K69" s="72"/>
      <x:c r="L69" s="72"/>
      <x:c r="M69" s="72"/>
      <x:c r="N69" s="72"/>
    </x:row>
    <x:row r="70">
      <x:c r="C70" s="20" t="str">
        <x:v>Z6</x:v>
      </x:c>
      <x:c r="D70" s="20" t="str">
        <x:v>Oregon Central Coast</x:v>
      </x:c>
      <x:c r="E70" s="20" t="str">
        <x:v>P3</x:v>
      </x:c>
      <x:c r="F70" s="20" t="str">
        <x:v>Vertical network</x:v>
      </x:c>
      <x:c r="G70" s="20" t="str">
        <x:v>Vertical lift</x:v>
      </x:c>
      <x:c r="H70" s="20" t="n">
        <x:v>1</x:v>
      </x:c>
      <x:c r="I70" s="47" t="n">
        <x:f>'Path Daily'!J294</x:f>
        <x:v>10530</x:v>
      </x:c>
      <x:c r="J70" s="47" t="n">
        <x:f>H70*I70</x:f>
        <x:v>10530</x:v>
      </x:c>
      <x:c r="K70" s="72"/>
      <x:c r="L70" s="72"/>
      <x:c r="M70" s="72"/>
      <x:c r="N70" s="72"/>
    </x:row>
    <x:row r="71">
      <x:c r="C71" s="20" t="str">
        <x:v>Z6</x:v>
      </x:c>
      <x:c r="D71" s="20" t="str">
        <x:v>Oregon Central Coast</x:v>
      </x:c>
      <x:c r="E71" s="20" t="str">
        <x:v>P4</x:v>
      </x:c>
      <x:c r="F71" s="20" t="str">
        <x:v>Puget maritime</x:v>
      </x:c>
      <x:c r="G71" s="20" t="str">
        <x:v>Littoral</x:v>
      </x:c>
      <x:c r="H71" s="20" t="n">
        <x:v>0</x:v>
      </x:c>
      <x:c r="I71" s="47" t="n">
        <x:f>'Path Daily'!J385</x:f>
        <x:v>12672</x:v>
      </x:c>
      <x:c r="J71" s="47" t="n">
        <x:f>H71*I71</x:f>
        <x:v>0</x:v>
      </x:c>
      <x:c r="K71" s="72"/>
      <x:c r="L71" s="72"/>
      <x:c r="M71" s="72"/>
      <x:c r="N71" s="72"/>
    </x:row>
    <x:row r="72">
      <x:c r="C72" s="20" t="str">
        <x:v>Z6</x:v>
      </x:c>
      <x:c r="D72" s="20" t="str">
        <x:v>Oregon Central Coast</x:v>
      </x:c>
      <x:c r="E72" s="20" t="str">
        <x:v>P5</x:v>
      </x:c>
      <x:c r="F72" s="20" t="str">
        <x:v>Coastal maritime</x:v>
      </x:c>
      <x:c r="G72" s="20" t="str">
        <x:v>Littoral</x:v>
      </x:c>
      <x:c r="H72" s="20" t="n">
        <x:v>1</x:v>
      </x:c>
      <x:c r="I72" s="47" t="n">
        <x:f>'Path Daily'!J476</x:f>
        <x:v>14520</x:v>
      </x:c>
      <x:c r="J72" s="47" t="n">
        <x:f>H72*I72</x:f>
        <x:v>14520</x:v>
      </x:c>
      <x:c r="K72" s="72"/>
      <x:c r="L72" s="72"/>
      <x:c r="M72" s="72"/>
      <x:c r="N72" s="72"/>
    </x:row>
    <x:row r="73">
      <x:c r="C73" s="20" t="str">
        <x:v>Z6</x:v>
      </x:c>
      <x:c r="D73" s="20" t="str">
        <x:v>Oregon Central Coast</x:v>
      </x:c>
      <x:c r="E73" s="20" t="str">
        <x:v>P6</x:v>
      </x:c>
      <x:c r="F73" s="20" t="str">
        <x:v>Puget maritime</x:v>
      </x:c>
      <x:c r="G73" s="20" t="str">
        <x:v>Ocean</x:v>
      </x:c>
      <x:c r="H73" s="20" t="n">
        <x:v>0</x:v>
      </x:c>
      <x:c r="I73" s="47" t="n">
        <x:f>'Path Daily'!J567</x:f>
        <x:v>10660</x:v>
      </x:c>
      <x:c r="J73" s="47" t="n">
        <x:f>H73*I73</x:f>
        <x:v>0</x:v>
      </x:c>
      <x:c r="K73" s="72"/>
      <x:c r="L73" s="72"/>
      <x:c r="M73" s="72"/>
      <x:c r="N73" s="72"/>
    </x:row>
    <x:row r="74">
      <x:c r="C74" s="20" t="str">
        <x:v>Z6</x:v>
      </x:c>
      <x:c r="D74" s="20" t="str">
        <x:v>Oregon Central Coast</x:v>
      </x:c>
      <x:c r="E74" s="20" t="str">
        <x:v>P7</x:v>
      </x:c>
      <x:c r="F74" s="20" t="str">
        <x:v>Inland water</x:v>
      </x:c>
      <x:c r="G74" s="20" t="str">
        <x:v>Inland water</x:v>
      </x:c>
      <x:c r="H74" s="20" t="n">
        <x:v>0</x:v>
      </x:c>
      <x:c r="I74" s="47" t="n">
        <x:f>'Path Daily'!J658</x:f>
        <x:v>18480</x:v>
      </x:c>
      <x:c r="J74" s="47" t="n">
        <x:f>H74*I74</x:f>
        <x:v>0</x:v>
      </x:c>
      <x:c r="K74" s="72"/>
      <x:c r="L74" s="72"/>
      <x:c r="M74" s="72"/>
      <x:c r="N74" s="72"/>
    </x:row>
    <x:row r="75">
      <x:c r="C75" s="20" t="str">
        <x:v>Z6</x:v>
      </x:c>
      <x:c r="D75" s="20" t="str">
        <x:v>Oregon Central Coast</x:v>
      </x:c>
      <x:c r="E75" s="20" t="str">
        <x:v>P8</x:v>
      </x:c>
      <x:c r="F75" s="20" t="str">
        <x:v>WA surface</x:v>
      </x:c>
      <x:c r="G75" s="20" t="str">
        <x:v>Road</x:v>
      </x:c>
      <x:c r="H75" s="20" t="n">
        <x:v>0</x:v>
      </x:c>
      <x:c r="I75" s="47" t="n">
        <x:f>'Path Daily'!J749</x:f>
        <x:v>3600</x:v>
      </x:c>
      <x:c r="J75" s="47" t="n">
        <x:f>H75*I75</x:f>
        <x:v>0</x:v>
      </x:c>
      <x:c r="K75" s="72"/>
      <x:c r="L75" s="72"/>
      <x:c r="M75" s="72"/>
      <x:c r="N75" s="72"/>
    </x:row>
    <x:row r="76">
      <x:c r="C76" s="20" t="str">
        <x:v>Z6</x:v>
      </x:c>
      <x:c r="D76" s="20" t="str">
        <x:v>Oregon Central Coast</x:v>
      </x:c>
      <x:c r="E76" s="20" t="str">
        <x:v>P9</x:v>
      </x:c>
      <x:c r="F76" s="20" t="str">
        <x:v>OR surface</x:v>
      </x:c>
      <x:c r="G76" s="20" t="str">
        <x:v>Road</x:v>
      </x:c>
      <x:c r="H76" s="20" t="n">
        <x:v>1</x:v>
      </x:c>
      <x:c r="I76" s="47" t="n">
        <x:f>'Path Daily'!J840</x:f>
        <x:v>3375</x:v>
      </x:c>
      <x:c r="J76" s="47" t="n">
        <x:f>H76*I76</x:f>
        <x:v>3375</x:v>
      </x:c>
      <x:c r="K76" s="72"/>
      <x:c r="L76" s="72"/>
      <x:c r="M76" s="72"/>
      <x:c r="N76" s="72"/>
    </x:row>
    <x:row r="77">
      <x:c r="C77" s="20" t="str">
        <x:v>Z6</x:v>
      </x:c>
      <x:c r="D77" s="20" t="str">
        <x:v>Oregon Central Coast</x:v>
      </x:c>
      <x:c r="E77" s="20" t="str">
        <x:v>P10</x:v>
      </x:c>
      <x:c r="F77" s="20" t="str">
        <x:v>Rail</x:v>
      </x:c>
      <x:c r="G77" s="20" t="str">
        <x:v>Rail</x:v>
      </x:c>
      <x:c r="H77" s="20" t="n">
        <x:v>0</x:v>
      </x:c>
      <x:c r="I77" s="47" t="n">
        <x:f>'Path Daily'!J931</x:f>
        <x:v>5440</x:v>
      </x:c>
      <x:c r="J77" s="47" t="n">
        <x:f>H77*I77</x:f>
        <x:v>0</x:v>
      </x:c>
      <x:c r="K77" s="72"/>
      <x:c r="L77" s="72"/>
      <x:c r="M77" s="72"/>
      <x:c r="N77" s="72"/>
    </x:row>
    <x:row r="78">
      <x:c r="C78" s="20" t="str">
        <x:v>Z6</x:v>
      </x:c>
      <x:c r="D78" s="20" t="str">
        <x:v>Oregon Central Coast</x:v>
      </x:c>
      <x:c r="E78" s="20" t="str">
        <x:v>P11</x:v>
      </x:c>
      <x:c r="F78" s="20" t="str">
        <x:v>Offshore support</x:v>
      </x:c>
      <x:c r="G78" s="20" t="str">
        <x:v>Ocean support</x:v>
      </x:c>
      <x:c r="H78" s="20" t="n">
        <x:v>1</x:v>
      </x:c>
      <x:c r="I78" s="47" t="n">
        <x:f>'Path Daily'!J1022</x:f>
        <x:v>12144</x:v>
      </x:c>
      <x:c r="J78" s="47" t="n">
        <x:f>H78*I78</x:f>
        <x:v>12144</x:v>
      </x:c>
      <x:c r="K78" s="72"/>
      <x:c r="L78" s="72"/>
      <x:c r="M78" s="72"/>
      <x:c r="N78" s="72"/>
    </x:row>
    <x:row r="79">
      <x:c r="C79" s="20" t="str">
        <x:v>Z7</x:v>
      </x:c>
      <x:c r="D79" s="20" t="str">
        <x:v>Oregon South Coast</x:v>
      </x:c>
      <x:c r="E79" s="20" t="str">
        <x:v>P0</x:v>
      </x:c>
      <x:c r="F79" s="20" t="str">
        <x:v>Local distributed</x:v>
      </x:c>
      <x:c r="G79" s="20" t="str">
        <x:v>Cached</x:v>
      </x:c>
      <x:c r="H79" s="20" t="n">
        <x:v>1</x:v>
      </x:c>
      <x:c r="I79" s="47" t="n">
        <x:f>'Path Daily'!J21</x:f>
        <x:v>0</x:v>
      </x:c>
      <x:c r="J79" s="47" t="n">
        <x:f>H79*I79</x:f>
        <x:v>0</x:v>
      </x:c>
      <x:c r="K79" s="72"/>
      <x:c r="L79" s="72"/>
      <x:c r="M79" s="72"/>
      <x:c r="N79" s="72"/>
    </x:row>
    <x:row r="80">
      <x:c r="C80" s="20" t="str">
        <x:v>Z7</x:v>
      </x:c>
      <x:c r="D80" s="20" t="str">
        <x:v>Oregon South Coast</x:v>
      </x:c>
      <x:c r="E80" s="20" t="str">
        <x:v>P1</x:v>
      </x:c>
      <x:c r="F80" s="20" t="str">
        <x:v>North air</x:v>
      </x:c>
      <x:c r="G80" s="20" t="str">
        <x:v>Air</x:v>
      </x:c>
      <x:c r="H80" s="20" t="n">
        <x:v>0</x:v>
      </x:c>
      <x:c r="I80" s="47" t="n">
        <x:f>'Path Daily'!J112</x:f>
        <x:v>12880</x:v>
      </x:c>
      <x:c r="J80" s="47" t="n">
        <x:f>H80*I80</x:f>
        <x:v>0</x:v>
      </x:c>
      <x:c r="K80" s="72"/>
      <x:c r="L80" s="72"/>
      <x:c r="M80" s="72"/>
      <x:c r="N80" s="72"/>
    </x:row>
    <x:row r="81">
      <x:c r="C81" s="20" t="str">
        <x:v>Z7</x:v>
      </x:c>
      <x:c r="D81" s="20" t="str">
        <x:v>Oregon South Coast</x:v>
      </x:c>
      <x:c r="E81" s="20" t="str">
        <x:v>P2</x:v>
      </x:c>
      <x:c r="F81" s="20" t="str">
        <x:v>South air</x:v>
      </x:c>
      <x:c r="G81" s="20" t="str">
        <x:v>Air</x:v>
      </x:c>
      <x:c r="H81" s="20" t="n">
        <x:v>1</x:v>
      </x:c>
      <x:c r="I81" s="47" t="n">
        <x:f>'Path Daily'!J203</x:f>
        <x:v>14167.999999999998</x:v>
      </x:c>
      <x:c r="J81" s="47" t="n">
        <x:f>H81*I81</x:f>
        <x:v>14167.999999999998</x:v>
      </x:c>
      <x:c r="K81" s="72"/>
      <x:c r="L81" s="72"/>
      <x:c r="M81" s="72"/>
      <x:c r="N81" s="72"/>
    </x:row>
    <x:row r="82">
      <x:c r="C82" s="20" t="str">
        <x:v>Z7</x:v>
      </x:c>
      <x:c r="D82" s="20" t="str">
        <x:v>Oregon South Coast</x:v>
      </x:c>
      <x:c r="E82" s="20" t="str">
        <x:v>P3</x:v>
      </x:c>
      <x:c r="F82" s="20" t="str">
        <x:v>Vertical network</x:v>
      </x:c>
      <x:c r="G82" s="20" t="str">
        <x:v>Vertical lift</x:v>
      </x:c>
      <x:c r="H82" s="20" t="n">
        <x:v>1</x:v>
      </x:c>
      <x:c r="I82" s="47" t="n">
        <x:f>'Path Daily'!J294</x:f>
        <x:v>10530</x:v>
      </x:c>
      <x:c r="J82" s="47" t="n">
        <x:f>H82*I82</x:f>
        <x:v>10530</x:v>
      </x:c>
      <x:c r="K82" s="72"/>
      <x:c r="L82" s="72"/>
      <x:c r="M82" s="72"/>
      <x:c r="N82" s="72"/>
    </x:row>
    <x:row r="83">
      <x:c r="C83" s="20" t="str">
        <x:v>Z7</x:v>
      </x:c>
      <x:c r="D83" s="20" t="str">
        <x:v>Oregon South Coast</x:v>
      </x:c>
      <x:c r="E83" s="20" t="str">
        <x:v>P4</x:v>
      </x:c>
      <x:c r="F83" s="20" t="str">
        <x:v>Puget maritime</x:v>
      </x:c>
      <x:c r="G83" s="20" t="str">
        <x:v>Littoral</x:v>
      </x:c>
      <x:c r="H83" s="20" t="n">
        <x:v>0</x:v>
      </x:c>
      <x:c r="I83" s="47" t="n">
        <x:f>'Path Daily'!J385</x:f>
        <x:v>12672</x:v>
      </x:c>
      <x:c r="J83" s="47" t="n">
        <x:f>H83*I83</x:f>
        <x:v>0</x:v>
      </x:c>
      <x:c r="K83" s="72"/>
      <x:c r="L83" s="72"/>
      <x:c r="M83" s="72"/>
      <x:c r="N83" s="72"/>
    </x:row>
    <x:row r="84">
      <x:c r="C84" s="20" t="str">
        <x:v>Z7</x:v>
      </x:c>
      <x:c r="D84" s="20" t="str">
        <x:v>Oregon South Coast</x:v>
      </x:c>
      <x:c r="E84" s="20" t="str">
        <x:v>P5</x:v>
      </x:c>
      <x:c r="F84" s="20" t="str">
        <x:v>Coastal maritime</x:v>
      </x:c>
      <x:c r="G84" s="20" t="str">
        <x:v>Littoral</x:v>
      </x:c>
      <x:c r="H84" s="20" t="n">
        <x:v>1</x:v>
      </x:c>
      <x:c r="I84" s="47" t="n">
        <x:f>'Path Daily'!J476</x:f>
        <x:v>14520</x:v>
      </x:c>
      <x:c r="J84" s="47" t="n">
        <x:f>H84*I84</x:f>
        <x:v>14520</x:v>
      </x:c>
      <x:c r="K84" s="72"/>
      <x:c r="L84" s="72"/>
      <x:c r="M84" s="72"/>
      <x:c r="N84" s="72"/>
    </x:row>
    <x:row r="85">
      <x:c r="C85" s="20" t="str">
        <x:v>Z7</x:v>
      </x:c>
      <x:c r="D85" s="20" t="str">
        <x:v>Oregon South Coast</x:v>
      </x:c>
      <x:c r="E85" s="20" t="str">
        <x:v>P6</x:v>
      </x:c>
      <x:c r="F85" s="20" t="str">
        <x:v>Puget maritime</x:v>
      </x:c>
      <x:c r="G85" s="20" t="str">
        <x:v>Ocean</x:v>
      </x:c>
      <x:c r="H85" s="20" t="n">
        <x:v>0</x:v>
      </x:c>
      <x:c r="I85" s="47" t="n">
        <x:f>'Path Daily'!J567</x:f>
        <x:v>10660</x:v>
      </x:c>
      <x:c r="J85" s="47" t="n">
        <x:f>H85*I85</x:f>
        <x:v>0</x:v>
      </x:c>
      <x:c r="K85" s="72"/>
      <x:c r="L85" s="72"/>
      <x:c r="M85" s="72"/>
      <x:c r="N85" s="72"/>
    </x:row>
    <x:row r="86">
      <x:c r="C86" s="20" t="str">
        <x:v>Z7</x:v>
      </x:c>
      <x:c r="D86" s="20" t="str">
        <x:v>Oregon South Coast</x:v>
      </x:c>
      <x:c r="E86" s="20" t="str">
        <x:v>P7</x:v>
      </x:c>
      <x:c r="F86" s="20" t="str">
        <x:v>Inland water</x:v>
      </x:c>
      <x:c r="G86" s="20" t="str">
        <x:v>Inland water</x:v>
      </x:c>
      <x:c r="H86" s="20" t="n">
        <x:v>0</x:v>
      </x:c>
      <x:c r="I86" s="47" t="n">
        <x:f>'Path Daily'!J658</x:f>
        <x:v>18480</x:v>
      </x:c>
      <x:c r="J86" s="47" t="n">
        <x:f>H86*I86</x:f>
        <x:v>0</x:v>
      </x:c>
      <x:c r="K86" s="72"/>
      <x:c r="L86" s="72"/>
      <x:c r="M86" s="72"/>
      <x:c r="N86" s="72"/>
    </x:row>
    <x:row r="87">
      <x:c r="C87" s="20" t="str">
        <x:v>Z7</x:v>
      </x:c>
      <x:c r="D87" s="20" t="str">
        <x:v>Oregon South Coast</x:v>
      </x:c>
      <x:c r="E87" s="20" t="str">
        <x:v>P8</x:v>
      </x:c>
      <x:c r="F87" s="20" t="str">
        <x:v>WA surface</x:v>
      </x:c>
      <x:c r="G87" s="20" t="str">
        <x:v>Road</x:v>
      </x:c>
      <x:c r="H87" s="20" t="n">
        <x:v>0</x:v>
      </x:c>
      <x:c r="I87" s="47" t="n">
        <x:f>'Path Daily'!J749</x:f>
        <x:v>3600</x:v>
      </x:c>
      <x:c r="J87" s="47" t="n">
        <x:f>H87*I87</x:f>
        <x:v>0</x:v>
      </x:c>
      <x:c r="K87" s="72"/>
      <x:c r="L87" s="72"/>
      <x:c r="M87" s="72"/>
      <x:c r="N87" s="72"/>
    </x:row>
    <x:row r="88">
      <x:c r="C88" s="20" t="str">
        <x:v>Z7</x:v>
      </x:c>
      <x:c r="D88" s="20" t="str">
        <x:v>Oregon South Coast</x:v>
      </x:c>
      <x:c r="E88" s="20" t="str">
        <x:v>P9</x:v>
      </x:c>
      <x:c r="F88" s="20" t="str">
        <x:v>OR surface</x:v>
      </x:c>
      <x:c r="G88" s="20" t="str">
        <x:v>Road</x:v>
      </x:c>
      <x:c r="H88" s="20" t="n">
        <x:v>1</x:v>
      </x:c>
      <x:c r="I88" s="47" t="n">
        <x:f>'Path Daily'!J840</x:f>
        <x:v>3375</x:v>
      </x:c>
      <x:c r="J88" s="47" t="n">
        <x:f>H88*I88</x:f>
        <x:v>3375</x:v>
      </x:c>
      <x:c r="K88" s="72"/>
      <x:c r="L88" s="72"/>
      <x:c r="M88" s="72"/>
      <x:c r="N88" s="72"/>
    </x:row>
    <x:row r="89">
      <x:c r="C89" s="20" t="str">
        <x:v>Z7</x:v>
      </x:c>
      <x:c r="D89" s="20" t="str">
        <x:v>Oregon South Coast</x:v>
      </x:c>
      <x:c r="E89" s="20" t="str">
        <x:v>P10</x:v>
      </x:c>
      <x:c r="F89" s="20" t="str">
        <x:v>Rail</x:v>
      </x:c>
      <x:c r="G89" s="20" t="str">
        <x:v>Rail</x:v>
      </x:c>
      <x:c r="H89" s="20" t="n">
        <x:v>0</x:v>
      </x:c>
      <x:c r="I89" s="47" t="n">
        <x:f>'Path Daily'!J931</x:f>
        <x:v>5440</x:v>
      </x:c>
      <x:c r="J89" s="47" t="n">
        <x:f>H89*I89</x:f>
        <x:v>0</x:v>
      </x:c>
      <x:c r="K89" s="72"/>
      <x:c r="L89" s="72"/>
      <x:c r="M89" s="72"/>
      <x:c r="N89" s="72"/>
    </x:row>
    <x:row r="90">
      <x:c r="C90" s="20" t="str">
        <x:v>Z7</x:v>
      </x:c>
      <x:c r="D90" s="20" t="str">
        <x:v>Oregon South Coast</x:v>
      </x:c>
      <x:c r="E90" s="20" t="str">
        <x:v>P11</x:v>
      </x:c>
      <x:c r="F90" s="20" t="str">
        <x:v>Offshore support</x:v>
      </x:c>
      <x:c r="G90" s="20" t="str">
        <x:v>Ocean support</x:v>
      </x:c>
      <x:c r="H90" s="20" t="n">
        <x:v>1</x:v>
      </x:c>
      <x:c r="I90" s="47" t="n">
        <x:f>'Path Daily'!J1022</x:f>
        <x:v>12144</x:v>
      </x:c>
      <x:c r="J90" s="47" t="n">
        <x:f>H90*I90</x:f>
        <x:v>12144</x:v>
      </x:c>
      <x:c r="K90" s="72"/>
      <x:c r="L90" s="72"/>
      <x:c r="M90" s="72"/>
      <x:c r="N90" s="72"/>
    </x:row>
    <x:row r="91">
      <x:c r="C91" s="20" t="str">
        <x:v>Z8</x:v>
      </x:c>
      <x:c r="D91" s="20" t="str">
        <x:v>Willamette Valley</x:v>
      </x:c>
      <x:c r="E91" s="20" t="str">
        <x:v>P0</x:v>
      </x:c>
      <x:c r="F91" s="20" t="str">
        <x:v>Local distributed</x:v>
      </x:c>
      <x:c r="G91" s="20" t="str">
        <x:v>Cached</x:v>
      </x:c>
      <x:c r="H91" s="20" t="n">
        <x:v>1</x:v>
      </x:c>
      <x:c r="I91" s="47" t="n">
        <x:f>'Path Daily'!J21</x:f>
        <x:v>0</x:v>
      </x:c>
      <x:c r="J91" s="47" t="n">
        <x:f>H91*I91</x:f>
        <x:v>0</x:v>
      </x:c>
      <x:c r="K91" s="72"/>
      <x:c r="L91" s="72"/>
      <x:c r="M91" s="72"/>
      <x:c r="N91" s="72"/>
    </x:row>
    <x:row r="92">
      <x:c r="C92" s="20" t="str">
        <x:v>Z8</x:v>
      </x:c>
      <x:c r="D92" s="20" t="str">
        <x:v>Willamette Valley</x:v>
      </x:c>
      <x:c r="E92" s="20" t="str">
        <x:v>P1</x:v>
      </x:c>
      <x:c r="F92" s="20" t="str">
        <x:v>North air</x:v>
      </x:c>
      <x:c r="G92" s="20" t="str">
        <x:v>Air</x:v>
      </x:c>
      <x:c r="H92" s="20" t="n">
        <x:v>0</x:v>
      </x:c>
      <x:c r="I92" s="47" t="n">
        <x:f>'Path Daily'!J112</x:f>
        <x:v>12880</x:v>
      </x:c>
      <x:c r="J92" s="47" t="n">
        <x:f>H92*I92</x:f>
        <x:v>0</x:v>
      </x:c>
      <x:c r="K92" s="72"/>
      <x:c r="L92" s="72"/>
      <x:c r="M92" s="72"/>
      <x:c r="N92" s="72"/>
    </x:row>
    <x:row r="93">
      <x:c r="C93" s="20" t="str">
        <x:v>Z8</x:v>
      </x:c>
      <x:c r="D93" s="20" t="str">
        <x:v>Willamette Valley</x:v>
      </x:c>
      <x:c r="E93" s="20" t="str">
        <x:v>P2</x:v>
      </x:c>
      <x:c r="F93" s="20" t="str">
        <x:v>South air</x:v>
      </x:c>
      <x:c r="G93" s="20" t="str">
        <x:v>Air</x:v>
      </x:c>
      <x:c r="H93" s="20" t="n">
        <x:v>1</x:v>
      </x:c>
      <x:c r="I93" s="47" t="n">
        <x:f>'Path Daily'!J203</x:f>
        <x:v>14167.999999999998</x:v>
      </x:c>
      <x:c r="J93" s="47" t="n">
        <x:f>H93*I93</x:f>
        <x:v>14167.999999999998</x:v>
      </x:c>
      <x:c r="K93" s="72"/>
      <x:c r="L93" s="72"/>
      <x:c r="M93" s="72"/>
      <x:c r="N93" s="72"/>
    </x:row>
    <x:row r="94">
      <x:c r="C94" s="20" t="str">
        <x:v>Z8</x:v>
      </x:c>
      <x:c r="D94" s="20" t="str">
        <x:v>Willamette Valley</x:v>
      </x:c>
      <x:c r="E94" s="20" t="str">
        <x:v>P3</x:v>
      </x:c>
      <x:c r="F94" s="20" t="str">
        <x:v>Vertical network</x:v>
      </x:c>
      <x:c r="G94" s="20" t="str">
        <x:v>Vertical lift</x:v>
      </x:c>
      <x:c r="H94" s="20" t="n">
        <x:v>1</x:v>
      </x:c>
      <x:c r="I94" s="47" t="n">
        <x:f>'Path Daily'!J294</x:f>
        <x:v>10530</x:v>
      </x:c>
      <x:c r="J94" s="47" t="n">
        <x:f>H94*I94</x:f>
        <x:v>10530</x:v>
      </x:c>
      <x:c r="K94" s="72"/>
      <x:c r="L94" s="72"/>
      <x:c r="M94" s="72"/>
      <x:c r="N94" s="72"/>
    </x:row>
    <x:row r="95">
      <x:c r="C95" s="20" t="str">
        <x:v>Z8</x:v>
      </x:c>
      <x:c r="D95" s="20" t="str">
        <x:v>Willamette Valley</x:v>
      </x:c>
      <x:c r="E95" s="20" t="str">
        <x:v>P4</x:v>
      </x:c>
      <x:c r="F95" s="20" t="str">
        <x:v>Puget maritime</x:v>
      </x:c>
      <x:c r="G95" s="20" t="str">
        <x:v>Littoral</x:v>
      </x:c>
      <x:c r="H95" s="20" t="n">
        <x:v>0</x:v>
      </x:c>
      <x:c r="I95" s="47" t="n">
        <x:f>'Path Daily'!J385</x:f>
        <x:v>12672</x:v>
      </x:c>
      <x:c r="J95" s="47" t="n">
        <x:f>H95*I95</x:f>
        <x:v>0</x:v>
      </x:c>
      <x:c r="K95" s="72"/>
      <x:c r="L95" s="72"/>
      <x:c r="M95" s="72"/>
      <x:c r="N95" s="72"/>
    </x:row>
    <x:row r="96">
      <x:c r="C96" s="20" t="str">
        <x:v>Z8</x:v>
      </x:c>
      <x:c r="D96" s="20" t="str">
        <x:v>Willamette Valley</x:v>
      </x:c>
      <x:c r="E96" s="20" t="str">
        <x:v>P5</x:v>
      </x:c>
      <x:c r="F96" s="20" t="str">
        <x:v>Coastal maritime</x:v>
      </x:c>
      <x:c r="G96" s="20" t="str">
        <x:v>Littoral</x:v>
      </x:c>
      <x:c r="H96" s="20" t="n">
        <x:v>1</x:v>
      </x:c>
      <x:c r="I96" s="47" t="n">
        <x:f>'Path Daily'!J476</x:f>
        <x:v>14520</x:v>
      </x:c>
      <x:c r="J96" s="47" t="n">
        <x:f>H96*I96</x:f>
        <x:v>14520</x:v>
      </x:c>
      <x:c r="K96" s="72"/>
      <x:c r="L96" s="72"/>
      <x:c r="M96" s="72"/>
      <x:c r="N96" s="72"/>
    </x:row>
    <x:row r="97">
      <x:c r="C97" s="20" t="str">
        <x:v>Z8</x:v>
      </x:c>
      <x:c r="D97" s="20" t="str">
        <x:v>Willamette Valley</x:v>
      </x:c>
      <x:c r="E97" s="20" t="str">
        <x:v>P6</x:v>
      </x:c>
      <x:c r="F97" s="20" t="str">
        <x:v>Puget maritime</x:v>
      </x:c>
      <x:c r="G97" s="20" t="str">
        <x:v>Ocean</x:v>
      </x:c>
      <x:c r="H97" s="20" t="n">
        <x:v>0</x:v>
      </x:c>
      <x:c r="I97" s="47" t="n">
        <x:f>'Path Daily'!J567</x:f>
        <x:v>10660</x:v>
      </x:c>
      <x:c r="J97" s="47" t="n">
        <x:f>H97*I97</x:f>
        <x:v>0</x:v>
      </x:c>
      <x:c r="K97" s="72"/>
      <x:c r="L97" s="72"/>
      <x:c r="M97" s="72"/>
      <x:c r="N97" s="72"/>
    </x:row>
    <x:row r="98">
      <x:c r="C98" s="20" t="str">
        <x:v>Z8</x:v>
      </x:c>
      <x:c r="D98" s="20" t="str">
        <x:v>Willamette Valley</x:v>
      </x:c>
      <x:c r="E98" s="20" t="str">
        <x:v>P7</x:v>
      </x:c>
      <x:c r="F98" s="20" t="str">
        <x:v>Inland water</x:v>
      </x:c>
      <x:c r="G98" s="20" t="str">
        <x:v>Inland water</x:v>
      </x:c>
      <x:c r="H98" s="20" t="n">
        <x:v>1</x:v>
      </x:c>
      <x:c r="I98" s="47" t="n">
        <x:f>'Path Daily'!J658</x:f>
        <x:v>18480</x:v>
      </x:c>
      <x:c r="J98" s="47" t="n">
        <x:f>H98*I98</x:f>
        <x:v>18480</x:v>
      </x:c>
      <x:c r="K98" s="72"/>
      <x:c r="L98" s="72"/>
      <x:c r="M98" s="72"/>
      <x:c r="N98" s="72"/>
    </x:row>
    <x:row r="99">
      <x:c r="C99" s="20" t="str">
        <x:v>Z8</x:v>
      </x:c>
      <x:c r="D99" s="20" t="str">
        <x:v>Willamette Valley</x:v>
      </x:c>
      <x:c r="E99" s="20" t="str">
        <x:v>P8</x:v>
      </x:c>
      <x:c r="F99" s="20" t="str">
        <x:v>WA surface</x:v>
      </x:c>
      <x:c r="G99" s="20" t="str">
        <x:v>Road</x:v>
      </x:c>
      <x:c r="H99" s="20" t="n">
        <x:v>0</x:v>
      </x:c>
      <x:c r="I99" s="47" t="n">
        <x:f>'Path Daily'!J749</x:f>
        <x:v>3600</x:v>
      </x:c>
      <x:c r="J99" s="47" t="n">
        <x:f>H99*I99</x:f>
        <x:v>0</x:v>
      </x:c>
      <x:c r="K99" s="72"/>
      <x:c r="L99" s="72"/>
      <x:c r="M99" s="72"/>
      <x:c r="N99" s="72"/>
    </x:row>
    <x:row r="100">
      <x:c r="C100" s="20" t="str">
        <x:v>Z8</x:v>
      </x:c>
      <x:c r="D100" s="20" t="str">
        <x:v>Willamette Valley</x:v>
      </x:c>
      <x:c r="E100" s="20" t="str">
        <x:v>P9</x:v>
      </x:c>
      <x:c r="F100" s="20" t="str">
        <x:v>OR surface</x:v>
      </x:c>
      <x:c r="G100" s="20" t="str">
        <x:v>Road</x:v>
      </x:c>
      <x:c r="H100" s="20" t="n">
        <x:v>1</x:v>
      </x:c>
      <x:c r="I100" s="47" t="n">
        <x:f>'Path Daily'!J840</x:f>
        <x:v>3375</x:v>
      </x:c>
      <x:c r="J100" s="47" t="n">
        <x:f>H100*I100</x:f>
        <x:v>3375</x:v>
      </x:c>
      <x:c r="K100" s="72"/>
      <x:c r="L100" s="72"/>
      <x:c r="M100" s="72"/>
      <x:c r="N100" s="72"/>
    </x:row>
    <x:row r="101">
      <x:c r="C101" s="20" t="str">
        <x:v>Z8</x:v>
      </x:c>
      <x:c r="D101" s="20" t="str">
        <x:v>Willamette Valley</x:v>
      </x:c>
      <x:c r="E101" s="20" t="str">
        <x:v>P10</x:v>
      </x:c>
      <x:c r="F101" s="20" t="str">
        <x:v>Rail</x:v>
      </x:c>
      <x:c r="G101" s="20" t="str">
        <x:v>Rail</x:v>
      </x:c>
      <x:c r="H101" s="20" t="n">
        <x:v>1</x:v>
      </x:c>
      <x:c r="I101" s="47" t="n">
        <x:f>'Path Daily'!J931</x:f>
        <x:v>5440</x:v>
      </x:c>
      <x:c r="J101" s="47" t="n">
        <x:f>H101*I101</x:f>
        <x:v>5440</x:v>
      </x:c>
      <x:c r="K101" s="72"/>
      <x:c r="L101" s="72"/>
      <x:c r="M101" s="72"/>
      <x:c r="N101" s="72"/>
    </x:row>
    <x:row r="102">
      <x:c r="C102" s="20" t="str">
        <x:v>Z8</x:v>
      </x:c>
      <x:c r="D102" s="20" t="str">
        <x:v>Willamette Valley</x:v>
      </x:c>
      <x:c r="E102" s="20" t="str">
        <x:v>P11</x:v>
      </x:c>
      <x:c r="F102" s="20" t="str">
        <x:v>Offshore support</x:v>
      </x:c>
      <x:c r="G102" s="20" t="str">
        <x:v>Ocean support</x:v>
      </x:c>
      <x:c r="H102" s="20" t="n">
        <x:v>1</x:v>
      </x:c>
      <x:c r="I102" s="47" t="n">
        <x:f>'Path Daily'!J1022</x:f>
        <x:v>12144</x:v>
      </x:c>
      <x:c r="J102" s="47" t="n">
        <x:f>H102*I102</x:f>
        <x:v>12144</x:v>
      </x:c>
      <x:c r="K102" s="72"/>
      <x:c r="L102" s="72"/>
      <x:c r="M102" s="72"/>
      <x:c r="N102" s="72"/>
    </x:row>
    <x:row r="103">
      <x:c r="C103" s="20" t="str">
        <x:v>Z9</x:v>
      </x:c>
      <x:c r="D103" s="20" t="str">
        <x:v>Eastern safe zone</x:v>
      </x:c>
      <x:c r="E103" s="20" t="str">
        <x:v>P0</x:v>
      </x:c>
      <x:c r="F103" s="20" t="str">
        <x:v>Local distributed</x:v>
      </x:c>
      <x:c r="G103" s="20" t="str">
        <x:v>Cached</x:v>
      </x:c>
      <x:c r="H103" s="20" t="n">
        <x:v>1</x:v>
      </x:c>
      <x:c r="I103" s="47" t="n">
        <x:f>'Path Daily'!J21</x:f>
        <x:v>0</x:v>
      </x:c>
      <x:c r="J103" s="47" t="n">
        <x:f>H103*I103</x:f>
        <x:v>0</x:v>
      </x:c>
      <x:c r="K103" s="72"/>
      <x:c r="L103" s="72"/>
      <x:c r="M103" s="72"/>
      <x:c r="N103" s="72"/>
    </x:row>
    <x:row r="104">
      <x:c r="C104" s="20" t="str">
        <x:v>Z9</x:v>
      </x:c>
      <x:c r="D104" s="20" t="str">
        <x:v>Eastern safe zone</x:v>
      </x:c>
      <x:c r="E104" s="20" t="str">
        <x:v>P1</x:v>
      </x:c>
      <x:c r="F104" s="20" t="str">
        <x:v>North air</x:v>
      </x:c>
      <x:c r="G104" s="20" t="str">
        <x:v>Air</x:v>
      </x:c>
      <x:c r="H104" s="20" t="n">
        <x:v>1</x:v>
      </x:c>
      <x:c r="I104" s="47" t="n">
        <x:f>'Path Daily'!J112</x:f>
        <x:v>12880</x:v>
      </x:c>
      <x:c r="J104" s="47" t="n">
        <x:f>H104*I104</x:f>
        <x:v>12880</x:v>
      </x:c>
      <x:c r="K104" s="72"/>
      <x:c r="L104" s="72"/>
      <x:c r="M104" s="72"/>
      <x:c r="N104" s="72"/>
    </x:row>
    <x:row r="105">
      <x:c r="C105" s="20" t="str">
        <x:v>Z9</x:v>
      </x:c>
      <x:c r="D105" s="20" t="str">
        <x:v>Eastern safe zone</x:v>
      </x:c>
      <x:c r="E105" s="20" t="str">
        <x:v>P2</x:v>
      </x:c>
      <x:c r="F105" s="20" t="str">
        <x:v>South air</x:v>
      </x:c>
      <x:c r="G105" s="20" t="str">
        <x:v>Air</x:v>
      </x:c>
      <x:c r="H105" s="20" t="n">
        <x:v>1</x:v>
      </x:c>
      <x:c r="I105" s="47" t="n">
        <x:f>'Path Daily'!J203</x:f>
        <x:v>14167.999999999998</x:v>
      </x:c>
      <x:c r="J105" s="47" t="n">
        <x:f>H105*I105</x:f>
        <x:v>14167.999999999998</x:v>
      </x:c>
      <x:c r="K105" s="72"/>
      <x:c r="L105" s="72"/>
      <x:c r="M105" s="72"/>
      <x:c r="N105" s="72"/>
    </x:row>
    <x:row r="106">
      <x:c r="C106" s="20" t="str">
        <x:v>Z9</x:v>
      </x:c>
      <x:c r="D106" s="20" t="str">
        <x:v>Eastern safe zone</x:v>
      </x:c>
      <x:c r="E106" s="20" t="str">
        <x:v>P3</x:v>
      </x:c>
      <x:c r="F106" s="20" t="str">
        <x:v>Vertical network</x:v>
      </x:c>
      <x:c r="G106" s="20" t="str">
        <x:v>Vertical lift</x:v>
      </x:c>
      <x:c r="H106" s="20" t="n">
        <x:v>1</x:v>
      </x:c>
      <x:c r="I106" s="47" t="n">
        <x:f>'Path Daily'!J294</x:f>
        <x:v>10530</x:v>
      </x:c>
      <x:c r="J106" s="47" t="n">
        <x:f>H106*I106</x:f>
        <x:v>10530</x:v>
      </x:c>
      <x:c r="K106" s="72"/>
      <x:c r="L106" s="72"/>
      <x:c r="M106" s="72"/>
      <x:c r="N106" s="72"/>
    </x:row>
    <x:row r="107">
      <x:c r="C107" s="20" t="str">
        <x:v>Z9</x:v>
      </x:c>
      <x:c r="D107" s="20" t="str">
        <x:v>Eastern safe zone</x:v>
      </x:c>
      <x:c r="E107" s="20" t="str">
        <x:v>P4</x:v>
      </x:c>
      <x:c r="F107" s="20" t="str">
        <x:v>Puget maritime</x:v>
      </x:c>
      <x:c r="G107" s="20" t="str">
        <x:v>Littoral</x:v>
      </x:c>
      <x:c r="H107" s="20" t="n">
        <x:v>0</x:v>
      </x:c>
      <x:c r="I107" s="47" t="n">
        <x:f>'Path Daily'!J385</x:f>
        <x:v>12672</x:v>
      </x:c>
      <x:c r="J107" s="47" t="n">
        <x:f>H107*I107</x:f>
        <x:v>0</x:v>
      </x:c>
      <x:c r="K107" s="72"/>
      <x:c r="L107" s="72"/>
      <x:c r="M107" s="72"/>
      <x:c r="N107" s="72"/>
    </x:row>
    <x:row r="108">
      <x:c r="C108" s="20" t="str">
        <x:v>Z9</x:v>
      </x:c>
      <x:c r="D108" s="20" t="str">
        <x:v>Eastern safe zone</x:v>
      </x:c>
      <x:c r="E108" s="20" t="str">
        <x:v>P5</x:v>
      </x:c>
      <x:c r="F108" s="20" t="str">
        <x:v>Coastal maritime</x:v>
      </x:c>
      <x:c r="G108" s="20" t="str">
        <x:v>Littoral</x:v>
      </x:c>
      <x:c r="H108" s="20" t="n">
        <x:v>0</x:v>
      </x:c>
      <x:c r="I108" s="47" t="n">
        <x:f>'Path Daily'!J476</x:f>
        <x:v>14520</x:v>
      </x:c>
      <x:c r="J108" s="47" t="n">
        <x:f>H108*I108</x:f>
        <x:v>0</x:v>
      </x:c>
      <x:c r="K108" s="72"/>
      <x:c r="L108" s="72"/>
      <x:c r="M108" s="72"/>
      <x:c r="N108" s="72"/>
    </x:row>
    <x:row r="109">
      <x:c r="C109" s="20" t="str">
        <x:v>Z9</x:v>
      </x:c>
      <x:c r="D109" s="20" t="str">
        <x:v>Eastern safe zone</x:v>
      </x:c>
      <x:c r="E109" s="20" t="str">
        <x:v>P6</x:v>
      </x:c>
      <x:c r="F109" s="20" t="str">
        <x:v>Puget maritime</x:v>
      </x:c>
      <x:c r="G109" s="20" t="str">
        <x:v>Ocean</x:v>
      </x:c>
      <x:c r="H109" s="20" t="n">
        <x:v>0</x:v>
      </x:c>
      <x:c r="I109" s="47" t="n">
        <x:f>'Path Daily'!J567</x:f>
        <x:v>10660</x:v>
      </x:c>
      <x:c r="J109" s="47" t="n">
        <x:f>H109*I109</x:f>
        <x:v>0</x:v>
      </x:c>
      <x:c r="K109" s="72"/>
      <x:c r="L109" s="72"/>
      <x:c r="M109" s="72"/>
      <x:c r="N109" s="72"/>
    </x:row>
    <x:row r="110">
      <x:c r="C110" s="20" t="str">
        <x:v>Z9</x:v>
      </x:c>
      <x:c r="D110" s="20" t="str">
        <x:v>Eastern safe zone</x:v>
      </x:c>
      <x:c r="E110" s="20" t="str">
        <x:v>P7</x:v>
      </x:c>
      <x:c r="F110" s="20" t="str">
        <x:v>Inland water</x:v>
      </x:c>
      <x:c r="G110" s="20" t="str">
        <x:v>Inland water</x:v>
      </x:c>
      <x:c r="H110" s="20" t="n">
        <x:v>1</x:v>
      </x:c>
      <x:c r="I110" s="47" t="n">
        <x:f>'Path Daily'!J658</x:f>
        <x:v>18480</x:v>
      </x:c>
      <x:c r="J110" s="47" t="n">
        <x:f>H110*I110</x:f>
        <x:v>18480</x:v>
      </x:c>
      <x:c r="K110" s="72"/>
      <x:c r="L110" s="72"/>
      <x:c r="M110" s="72"/>
      <x:c r="N110" s="72"/>
    </x:row>
    <x:row r="111">
      <x:c r="C111" s="20" t="str">
        <x:v>Z9</x:v>
      </x:c>
      <x:c r="D111" s="20" t="str">
        <x:v>Eastern safe zone</x:v>
      </x:c>
      <x:c r="E111" s="20" t="str">
        <x:v>P8</x:v>
      </x:c>
      <x:c r="F111" s="20" t="str">
        <x:v>WA surface</x:v>
      </x:c>
      <x:c r="G111" s="20" t="str">
        <x:v>Road</x:v>
      </x:c>
      <x:c r="H111" s="20" t="n">
        <x:v>1</x:v>
      </x:c>
      <x:c r="I111" s="47" t="n">
        <x:f>'Path Daily'!J749</x:f>
        <x:v>3600</x:v>
      </x:c>
      <x:c r="J111" s="47" t="n">
        <x:f>H111*I111</x:f>
        <x:v>3600</x:v>
      </x:c>
      <x:c r="K111" s="72"/>
      <x:c r="L111" s="72"/>
      <x:c r="M111" s="72"/>
      <x:c r="N111" s="72"/>
    </x:row>
    <x:row r="112">
      <x:c r="C112" s="20" t="str">
        <x:v>Z9</x:v>
      </x:c>
      <x:c r="D112" s="20" t="str">
        <x:v>Eastern safe zone</x:v>
      </x:c>
      <x:c r="E112" s="20" t="str">
        <x:v>P9</x:v>
      </x:c>
      <x:c r="F112" s="20" t="str">
        <x:v>OR surface</x:v>
      </x:c>
      <x:c r="G112" s="20" t="str">
        <x:v>Road</x:v>
      </x:c>
      <x:c r="H112" s="20" t="n">
        <x:v>1</x:v>
      </x:c>
      <x:c r="I112" s="47" t="n">
        <x:f>'Path Daily'!J840</x:f>
        <x:v>3375</x:v>
      </x:c>
      <x:c r="J112" s="47" t="n">
        <x:f>H112*I112</x:f>
        <x:v>3375</x:v>
      </x:c>
      <x:c r="K112" s="72"/>
      <x:c r="L112" s="72"/>
      <x:c r="M112" s="72"/>
      <x:c r="N112" s="72"/>
    </x:row>
    <x:row r="113">
      <x:c r="C113" s="20" t="str">
        <x:v>Z9</x:v>
      </x:c>
      <x:c r="D113" s="20" t="str">
        <x:v>Eastern safe zone</x:v>
      </x:c>
      <x:c r="E113" s="20" t="str">
        <x:v>P10</x:v>
      </x:c>
      <x:c r="F113" s="20" t="str">
        <x:v>Rail</x:v>
      </x:c>
      <x:c r="G113" s="20" t="str">
        <x:v>Rail</x:v>
      </x:c>
      <x:c r="H113" s="20" t="n">
        <x:v>1</x:v>
      </x:c>
      <x:c r="I113" s="47" t="n">
        <x:f>'Path Daily'!J931</x:f>
        <x:v>5440</x:v>
      </x:c>
      <x:c r="J113" s="47" t="n">
        <x:f>H113*I113</x:f>
        <x:v>5440</x:v>
      </x:c>
      <x:c r="K113" s="72"/>
      <x:c r="L113" s="72"/>
      <x:c r="M113" s="72"/>
      <x:c r="N113" s="72"/>
    </x:row>
    <x:row r="114">
      <x:c r="C114" s="20" t="str">
        <x:v>Z9</x:v>
      </x:c>
      <x:c r="D114" s="20" t="str">
        <x:v>Eastern safe zone</x:v>
      </x:c>
      <x:c r="E114" s="20" t="str">
        <x:v>P11</x:v>
      </x:c>
      <x:c r="F114" s="20" t="str">
        <x:v>Offshore support</x:v>
      </x:c>
      <x:c r="G114" s="20" t="str">
        <x:v>Ocean support</x:v>
      </x:c>
      <x:c r="H114" s="20" t="n">
        <x:v>0</x:v>
      </x:c>
      <x:c r="I114" s="47" t="n">
        <x:f>'Path Daily'!J1022</x:f>
        <x:v>12144</x:v>
      </x:c>
      <x:c r="J114" s="47" t="n">
        <x:f>H114*I114</x:f>
        <x:v>0</x:v>
      </x:c>
      <x:c r="K114" s="72"/>
      <x:c r="L114" s="72"/>
      <x:c r="M114" s="72"/>
      <x:c r="N114" s="72"/>
    </x:row>
  </x:sheetData>
  <x:mergeCells>
    <x:mergeCell ref="C2:N2"/>
    <x:mergeCell ref="C3:N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2" ht="24" customHeight="1">
      <x:c r="C2" s="69" t="str">
        <x:v>Day-14 Path Independence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2"/>
    </x:row>
    <x:row r="3" ht="30" customHeight="1">
      <x:c r="C3" s="71" t="str">
        <x:v>Each column represents a distinct correlation group. A zone closes only when at least three independently failing groups have usable capacity by day 14.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2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</x:row>
    <x:row r="6">
      <x:c r="C6" s="16" t="str">
        <x:v>Zone ID</x:v>
      </x:c>
      <x:c r="D6" s="17" t="str">
        <x:v>Service island</x:v>
      </x:c>
      <x:c r="E6" s="17" t="str">
        <x:v>Local distributed</x:v>
      </x:c>
      <x:c r="F6" s="17" t="str">
        <x:v>North air</x:v>
      </x:c>
      <x:c r="G6" s="17" t="str">
        <x:v>South air</x:v>
      </x:c>
      <x:c r="H6" s="17" t="str">
        <x:v>Vertical network</x:v>
      </x:c>
      <x:c r="I6" s="17" t="str">
        <x:v>Puget maritime</x:v>
      </x:c>
      <x:c r="J6" s="17" t="str">
        <x:v>Coastal maritime</x:v>
      </x:c>
      <x:c r="K6" s="17" t="str">
        <x:v>Inland water</x:v>
      </x:c>
      <x:c r="L6" s="17" t="str">
        <x:v>WA surface</x:v>
      </x:c>
      <x:c r="M6" s="17" t="str">
        <x:v>OR surface</x:v>
      </x:c>
      <x:c r="N6" s="17" t="str">
        <x:v>Rail</x:v>
      </x:c>
      <x:c r="O6" s="17" t="str">
        <x:v>Offshore support</x:v>
      </x:c>
      <x:c r="P6" s="17" t="str">
        <x:v>Independent groups</x:v>
      </x:c>
      <x:c r="Q6" s="17" t="str">
        <x:v>Required groups</x:v>
      </x:c>
      <x:c r="R6" s="17" t="str">
        <x:v>Coverage ratio</x:v>
      </x:c>
      <x:c r="S6" s="18" t="str">
        <x:v>Status</x:v>
      </x:c>
    </x:row>
    <x:row r="7">
      <x:c r="C7" s="20" t="str">
        <x:v>Z1</x:v>
      </x:c>
      <x:c r="D7" s="20" t="str">
        <x:v>Puget North</x:v>
      </x:c>
      <x:c r="E7" s="45" t="n">
        <x:f>IF(SUMIFS('Zone Path Matrix'!$J$7:$J$114,'Zone Path Matrix'!$C$7:$C$114,$C7,'Zone Path Matrix'!$F$7:$F$114,E$6)&gt;0,1,0)</x:f>
        <x:v>0</x:v>
      </x:c>
      <x:c r="F7" s="45" t="n">
        <x:f>IF(SUMIFS('Zone Path Matrix'!$J$7:$J$114,'Zone Path Matrix'!$C$7:$C$114,$C7,'Zone Path Matrix'!$F$7:$F$114,F$6)&gt;0,1,0)</x:f>
        <x:v>1</x:v>
      </x:c>
      <x:c r="G7" s="45" t="n">
        <x:f>IF(SUMIFS('Zone Path Matrix'!$J$7:$J$114,'Zone Path Matrix'!$C$7:$C$114,$C7,'Zone Path Matrix'!$F$7:$F$114,G$6)&gt;0,1,0)</x:f>
        <x:v>0</x:v>
      </x:c>
      <x:c r="H7" s="45" t="n">
        <x:f>IF(SUMIFS('Zone Path Matrix'!$J$7:$J$114,'Zone Path Matrix'!$C$7:$C$114,$C7,'Zone Path Matrix'!$F$7:$F$114,H$6)&gt;0,1,0)</x:f>
        <x:v>1</x:v>
      </x:c>
      <x:c r="I7" s="45" t="n">
        <x:f>IF(SUMIFS('Zone Path Matrix'!$J$7:$J$114,'Zone Path Matrix'!$C$7:$C$114,$C7,'Zone Path Matrix'!$F$7:$F$114,I$6)&gt;0,1,0)</x:f>
        <x:v>1</x:v>
      </x:c>
      <x:c r="J7" s="45" t="n">
        <x:f>IF(SUMIFS('Zone Path Matrix'!$J$7:$J$114,'Zone Path Matrix'!$C$7:$C$114,$C7,'Zone Path Matrix'!$F$7:$F$114,J$6)&gt;0,1,0)</x:f>
        <x:v>0</x:v>
      </x:c>
      <x:c r="K7" s="45" t="n">
        <x:f>IF(SUMIFS('Zone Path Matrix'!$J$7:$J$114,'Zone Path Matrix'!$C$7:$C$114,$C7,'Zone Path Matrix'!$F$7:$F$114,K$6)&gt;0,1,0)</x:f>
        <x:v>0</x:v>
      </x:c>
      <x:c r="L7" s="45" t="n">
        <x:f>IF(SUMIFS('Zone Path Matrix'!$J$7:$J$114,'Zone Path Matrix'!$C$7:$C$114,$C7,'Zone Path Matrix'!$F$7:$F$114,L$6)&gt;0,1,0)</x:f>
        <x:v>1</x:v>
      </x:c>
      <x:c r="M7" s="45" t="n">
        <x:f>IF(SUMIFS('Zone Path Matrix'!$J$7:$J$114,'Zone Path Matrix'!$C$7:$C$114,$C7,'Zone Path Matrix'!$F$7:$F$114,M$6)&gt;0,1,0)</x:f>
        <x:v>0</x:v>
      </x:c>
      <x:c r="N7" s="45" t="n">
        <x:f>IF(SUMIFS('Zone Path Matrix'!$J$7:$J$114,'Zone Path Matrix'!$C$7:$C$114,$C7,'Zone Path Matrix'!$F$7:$F$114,N$6)&gt;0,1,0)</x:f>
        <x:v>0</x:v>
      </x:c>
      <x:c r="O7" s="45" t="n">
        <x:f>IF(SUMIFS('Zone Path Matrix'!$J$7:$J$114,'Zone Path Matrix'!$C$7:$C$114,$C7,'Zone Path Matrix'!$F$7:$F$114,O$6)&gt;0,1,0)</x:f>
        <x:v>1</x:v>
      </x:c>
      <x:c r="P7" s="45" t="n">
        <x:f>SUM(E7:O7)</x:f>
        <x:v>5</x:v>
      </x:c>
      <x:c r="Q7" s="45" t="n">
        <x:f>'Controls'!$D$17</x:f>
        <x:v>3</x:v>
      </x:c>
      <x:c r="R7" s="55" t="n">
        <x:f>P7/Q7</x:f>
        <x:v>1.6666666666666667</x:v>
      </x:c>
      <x:c r="S7" s="20" t="str">
        <x:f>IF(R7&gt;=1,"PASS","FAIL")</x:f>
        <x:v>PASS</x:v>
      </x:c>
    </x:row>
    <x:row r="8">
      <x:c r="C8" s="20" t="str">
        <x:v>Z2</x:v>
      </x:c>
      <x:c r="D8" s="20" t="str">
        <x:v>Puget Central</x:v>
      </x:c>
      <x:c r="E8" s="45" t="n">
        <x:f>IF(SUMIFS('Zone Path Matrix'!$J$7:$J$114,'Zone Path Matrix'!$C$7:$C$114,$C8,'Zone Path Matrix'!$F$7:$F$114,E$6)&gt;0,1,0)</x:f>
        <x:v>0</x:v>
      </x:c>
      <x:c r="F8" s="45" t="n">
        <x:f>IF(SUMIFS('Zone Path Matrix'!$J$7:$J$114,'Zone Path Matrix'!$C$7:$C$114,$C8,'Zone Path Matrix'!$F$7:$F$114,F$6)&gt;0,1,0)</x:f>
        <x:v>1</x:v>
      </x:c>
      <x:c r="G8" s="45" t="n">
        <x:f>IF(SUMIFS('Zone Path Matrix'!$J$7:$J$114,'Zone Path Matrix'!$C$7:$C$114,$C8,'Zone Path Matrix'!$F$7:$F$114,G$6)&gt;0,1,0)</x:f>
        <x:v>0</x:v>
      </x:c>
      <x:c r="H8" s="45" t="n">
        <x:f>IF(SUMIFS('Zone Path Matrix'!$J$7:$J$114,'Zone Path Matrix'!$C$7:$C$114,$C8,'Zone Path Matrix'!$F$7:$F$114,H$6)&gt;0,1,0)</x:f>
        <x:v>1</x:v>
      </x:c>
      <x:c r="I8" s="45" t="n">
        <x:f>IF(SUMIFS('Zone Path Matrix'!$J$7:$J$114,'Zone Path Matrix'!$C$7:$C$114,$C8,'Zone Path Matrix'!$F$7:$F$114,I$6)&gt;0,1,0)</x:f>
        <x:v>1</x:v>
      </x:c>
      <x:c r="J8" s="45" t="n">
        <x:f>IF(SUMIFS('Zone Path Matrix'!$J$7:$J$114,'Zone Path Matrix'!$C$7:$C$114,$C8,'Zone Path Matrix'!$F$7:$F$114,J$6)&gt;0,1,0)</x:f>
        <x:v>0</x:v>
      </x:c>
      <x:c r="K8" s="45" t="n">
        <x:f>IF(SUMIFS('Zone Path Matrix'!$J$7:$J$114,'Zone Path Matrix'!$C$7:$C$114,$C8,'Zone Path Matrix'!$F$7:$F$114,K$6)&gt;0,1,0)</x:f>
        <x:v>0</x:v>
      </x:c>
      <x:c r="L8" s="45" t="n">
        <x:f>IF(SUMIFS('Zone Path Matrix'!$J$7:$J$114,'Zone Path Matrix'!$C$7:$C$114,$C8,'Zone Path Matrix'!$F$7:$F$114,L$6)&gt;0,1,0)</x:f>
        <x:v>1</x:v>
      </x:c>
      <x:c r="M8" s="45" t="n">
        <x:f>IF(SUMIFS('Zone Path Matrix'!$J$7:$J$114,'Zone Path Matrix'!$C$7:$C$114,$C8,'Zone Path Matrix'!$F$7:$F$114,M$6)&gt;0,1,0)</x:f>
        <x:v>0</x:v>
      </x:c>
      <x:c r="N8" s="45" t="n">
        <x:f>IF(SUMIFS('Zone Path Matrix'!$J$7:$J$114,'Zone Path Matrix'!$C$7:$C$114,$C8,'Zone Path Matrix'!$F$7:$F$114,N$6)&gt;0,1,0)</x:f>
        <x:v>1</x:v>
      </x:c>
      <x:c r="O8" s="45" t="n">
        <x:f>IF(SUMIFS('Zone Path Matrix'!$J$7:$J$114,'Zone Path Matrix'!$C$7:$C$114,$C8,'Zone Path Matrix'!$F$7:$F$114,O$6)&gt;0,1,0)</x:f>
        <x:v>1</x:v>
      </x:c>
      <x:c r="P8" s="45" t="n">
        <x:f>SUM(E8:O8)</x:f>
        <x:v>6</x:v>
      </x:c>
      <x:c r="Q8" s="45" t="n">
        <x:f>'Controls'!$D$17</x:f>
        <x:v>3</x:v>
      </x:c>
      <x:c r="R8" s="55" t="n">
        <x:f>P8/Q8</x:f>
        <x:v>2</x:v>
      </x:c>
      <x:c r="S8" s="20" t="str">
        <x:f>IF(R8&gt;=1,"PASS","FAIL")</x:f>
        <x:v>PASS</x:v>
      </x:c>
    </x:row>
    <x:row r="9">
      <x:c r="C9" s="20" t="str">
        <x:v>Z3</x:v>
      </x:c>
      <x:c r="D9" s="20" t="str">
        <x:v>Puget South</x:v>
      </x:c>
      <x:c r="E9" s="45" t="n">
        <x:f>IF(SUMIFS('Zone Path Matrix'!$J$7:$J$114,'Zone Path Matrix'!$C$7:$C$114,$C9,'Zone Path Matrix'!$F$7:$F$114,E$6)&gt;0,1,0)</x:f>
        <x:v>0</x:v>
      </x:c>
      <x:c r="F9" s="45" t="n">
        <x:f>IF(SUMIFS('Zone Path Matrix'!$J$7:$J$114,'Zone Path Matrix'!$C$7:$C$114,$C9,'Zone Path Matrix'!$F$7:$F$114,F$6)&gt;0,1,0)</x:f>
        <x:v>1</x:v>
      </x:c>
      <x:c r="G9" s="45" t="n">
        <x:f>IF(SUMIFS('Zone Path Matrix'!$J$7:$J$114,'Zone Path Matrix'!$C$7:$C$114,$C9,'Zone Path Matrix'!$F$7:$F$114,G$6)&gt;0,1,0)</x:f>
        <x:v>0</x:v>
      </x:c>
      <x:c r="H9" s="45" t="n">
        <x:f>IF(SUMIFS('Zone Path Matrix'!$J$7:$J$114,'Zone Path Matrix'!$C$7:$C$114,$C9,'Zone Path Matrix'!$F$7:$F$114,H$6)&gt;0,1,0)</x:f>
        <x:v>1</x:v>
      </x:c>
      <x:c r="I9" s="45" t="n">
        <x:f>IF(SUMIFS('Zone Path Matrix'!$J$7:$J$114,'Zone Path Matrix'!$C$7:$C$114,$C9,'Zone Path Matrix'!$F$7:$F$114,I$6)&gt;0,1,0)</x:f>
        <x:v>1</x:v>
      </x:c>
      <x:c r="J9" s="45" t="n">
        <x:f>IF(SUMIFS('Zone Path Matrix'!$J$7:$J$114,'Zone Path Matrix'!$C$7:$C$114,$C9,'Zone Path Matrix'!$F$7:$F$114,J$6)&gt;0,1,0)</x:f>
        <x:v>0</x:v>
      </x:c>
      <x:c r="K9" s="45" t="n">
        <x:f>IF(SUMIFS('Zone Path Matrix'!$J$7:$J$114,'Zone Path Matrix'!$C$7:$C$114,$C9,'Zone Path Matrix'!$F$7:$F$114,K$6)&gt;0,1,0)</x:f>
        <x:v>1</x:v>
      </x:c>
      <x:c r="L9" s="45" t="n">
        <x:f>IF(SUMIFS('Zone Path Matrix'!$J$7:$J$114,'Zone Path Matrix'!$C$7:$C$114,$C9,'Zone Path Matrix'!$F$7:$F$114,L$6)&gt;0,1,0)</x:f>
        <x:v>1</x:v>
      </x:c>
      <x:c r="M9" s="45" t="n">
        <x:f>IF(SUMIFS('Zone Path Matrix'!$J$7:$J$114,'Zone Path Matrix'!$C$7:$C$114,$C9,'Zone Path Matrix'!$F$7:$F$114,M$6)&gt;0,1,0)</x:f>
        <x:v>0</x:v>
      </x:c>
      <x:c r="N9" s="45" t="n">
        <x:f>IF(SUMIFS('Zone Path Matrix'!$J$7:$J$114,'Zone Path Matrix'!$C$7:$C$114,$C9,'Zone Path Matrix'!$F$7:$F$114,N$6)&gt;0,1,0)</x:f>
        <x:v>1</x:v>
      </x:c>
      <x:c r="O9" s="45" t="n">
        <x:f>IF(SUMIFS('Zone Path Matrix'!$J$7:$J$114,'Zone Path Matrix'!$C$7:$C$114,$C9,'Zone Path Matrix'!$F$7:$F$114,O$6)&gt;0,1,0)</x:f>
        <x:v>1</x:v>
      </x:c>
      <x:c r="P9" s="45" t="n">
        <x:f>SUM(E9:O9)</x:f>
        <x:v>7</x:v>
      </x:c>
      <x:c r="Q9" s="45" t="n">
        <x:f>'Controls'!$D$17</x:f>
        <x:v>3</x:v>
      </x:c>
      <x:c r="R9" s="55" t="n">
        <x:f>P9/Q9</x:f>
        <x:v>2.3333333333333335</x:v>
      </x:c>
      <x:c r="S9" s="20" t="str">
        <x:f>IF(R9&gt;=1,"PASS","FAIL")</x:f>
        <x:v>PASS</x:v>
      </x:c>
    </x:row>
    <x:row r="10">
      <x:c r="C10" s="20" t="str">
        <x:v>Z4</x:v>
      </x:c>
      <x:c r="D10" s="20" t="str">
        <x:v>Southwest Washington</x:v>
      </x:c>
      <x:c r="E10" s="45" t="n">
        <x:f>IF(SUMIFS('Zone Path Matrix'!$J$7:$J$114,'Zone Path Matrix'!$C$7:$C$114,$C10,'Zone Path Matrix'!$F$7:$F$114,E$6)&gt;0,1,0)</x:f>
        <x:v>0</x:v>
      </x:c>
      <x:c r="F10" s="45" t="n">
        <x:f>IF(SUMIFS('Zone Path Matrix'!$J$7:$J$114,'Zone Path Matrix'!$C$7:$C$114,$C10,'Zone Path Matrix'!$F$7:$F$114,F$6)&gt;0,1,0)</x:f>
        <x:v>1</x:v>
      </x:c>
      <x:c r="G10" s="45" t="n">
        <x:f>IF(SUMIFS('Zone Path Matrix'!$J$7:$J$114,'Zone Path Matrix'!$C$7:$C$114,$C10,'Zone Path Matrix'!$F$7:$F$114,G$6)&gt;0,1,0)</x:f>
        <x:v>1</x:v>
      </x:c>
      <x:c r="H10" s="45" t="n">
        <x:f>IF(SUMIFS('Zone Path Matrix'!$J$7:$J$114,'Zone Path Matrix'!$C$7:$C$114,$C10,'Zone Path Matrix'!$F$7:$F$114,H$6)&gt;0,1,0)</x:f>
        <x:v>1</x:v>
      </x:c>
      <x:c r="I10" s="45" t="n">
        <x:f>IF(SUMIFS('Zone Path Matrix'!$J$7:$J$114,'Zone Path Matrix'!$C$7:$C$114,$C10,'Zone Path Matrix'!$F$7:$F$114,I$6)&gt;0,1,0)</x:f>
        <x:v>1</x:v>
      </x:c>
      <x:c r="J10" s="45" t="n">
        <x:f>IF(SUMIFS('Zone Path Matrix'!$J$7:$J$114,'Zone Path Matrix'!$C$7:$C$114,$C10,'Zone Path Matrix'!$F$7:$F$114,J$6)&gt;0,1,0)</x:f>
        <x:v>0</x:v>
      </x:c>
      <x:c r="K10" s="45" t="n">
        <x:f>IF(SUMIFS('Zone Path Matrix'!$J$7:$J$114,'Zone Path Matrix'!$C$7:$C$114,$C10,'Zone Path Matrix'!$F$7:$F$114,K$6)&gt;0,1,0)</x:f>
        <x:v>1</x:v>
      </x:c>
      <x:c r="L10" s="45" t="n">
        <x:f>IF(SUMIFS('Zone Path Matrix'!$J$7:$J$114,'Zone Path Matrix'!$C$7:$C$114,$C10,'Zone Path Matrix'!$F$7:$F$114,L$6)&gt;0,1,0)</x:f>
        <x:v>1</x:v>
      </x:c>
      <x:c r="M10" s="45" t="n">
        <x:f>IF(SUMIFS('Zone Path Matrix'!$J$7:$J$114,'Zone Path Matrix'!$C$7:$C$114,$C10,'Zone Path Matrix'!$F$7:$F$114,M$6)&gt;0,1,0)</x:f>
        <x:v>1</x:v>
      </x:c>
      <x:c r="N10" s="45" t="n">
        <x:f>IF(SUMIFS('Zone Path Matrix'!$J$7:$J$114,'Zone Path Matrix'!$C$7:$C$114,$C10,'Zone Path Matrix'!$F$7:$F$114,N$6)&gt;0,1,0)</x:f>
        <x:v>1</x:v>
      </x:c>
      <x:c r="O10" s="45" t="n">
        <x:f>IF(SUMIFS('Zone Path Matrix'!$J$7:$J$114,'Zone Path Matrix'!$C$7:$C$114,$C10,'Zone Path Matrix'!$F$7:$F$114,O$6)&gt;0,1,0)</x:f>
        <x:v>1</x:v>
      </x:c>
      <x:c r="P10" s="45" t="n">
        <x:f>SUM(E10:O10)</x:f>
        <x:v>9</x:v>
      </x:c>
      <x:c r="Q10" s="45" t="n">
        <x:f>'Controls'!$D$17</x:f>
        <x:v>3</x:v>
      </x:c>
      <x:c r="R10" s="55" t="n">
        <x:f>P10/Q10</x:f>
        <x:v>3</x:v>
      </x:c>
      <x:c r="S10" s="20" t="str">
        <x:f>IF(R10&gt;=1,"PASS","FAIL")</x:f>
        <x:v>PASS</x:v>
      </x:c>
    </x:row>
    <x:row r="11">
      <x:c r="C11" s="20" t="str">
        <x:v>Z5</x:v>
      </x:c>
      <x:c r="D11" s="20" t="str">
        <x:v>Oregon North Coast</x:v>
      </x:c>
      <x:c r="E11" s="45" t="n">
        <x:f>IF(SUMIFS('Zone Path Matrix'!$J$7:$J$114,'Zone Path Matrix'!$C$7:$C$114,$C11,'Zone Path Matrix'!$F$7:$F$114,E$6)&gt;0,1,0)</x:f>
        <x:v>0</x:v>
      </x:c>
      <x:c r="F11" s="45" t="n">
        <x:f>IF(SUMIFS('Zone Path Matrix'!$J$7:$J$114,'Zone Path Matrix'!$C$7:$C$114,$C11,'Zone Path Matrix'!$F$7:$F$114,F$6)&gt;0,1,0)</x:f>
        <x:v>0</x:v>
      </x:c>
      <x:c r="G11" s="45" t="n">
        <x:f>IF(SUMIFS('Zone Path Matrix'!$J$7:$J$114,'Zone Path Matrix'!$C$7:$C$114,$C11,'Zone Path Matrix'!$F$7:$F$114,G$6)&gt;0,1,0)</x:f>
        <x:v>1</x:v>
      </x:c>
      <x:c r="H11" s="45" t="n">
        <x:f>IF(SUMIFS('Zone Path Matrix'!$J$7:$J$114,'Zone Path Matrix'!$C$7:$C$114,$C11,'Zone Path Matrix'!$F$7:$F$114,H$6)&gt;0,1,0)</x:f>
        <x:v>1</x:v>
      </x:c>
      <x:c r="I11" s="45" t="n">
        <x:f>IF(SUMIFS('Zone Path Matrix'!$J$7:$J$114,'Zone Path Matrix'!$C$7:$C$114,$C11,'Zone Path Matrix'!$F$7:$F$114,I$6)&gt;0,1,0)</x:f>
        <x:v>0</x:v>
      </x:c>
      <x:c r="J11" s="45" t="n">
        <x:f>IF(SUMIFS('Zone Path Matrix'!$J$7:$J$114,'Zone Path Matrix'!$C$7:$C$114,$C11,'Zone Path Matrix'!$F$7:$F$114,J$6)&gt;0,1,0)</x:f>
        <x:v>1</x:v>
      </x:c>
      <x:c r="K11" s="45" t="n">
        <x:f>IF(SUMIFS('Zone Path Matrix'!$J$7:$J$114,'Zone Path Matrix'!$C$7:$C$114,$C11,'Zone Path Matrix'!$F$7:$F$114,K$6)&gt;0,1,0)</x:f>
        <x:v>1</x:v>
      </x:c>
      <x:c r="L11" s="45" t="n">
        <x:f>IF(SUMIFS('Zone Path Matrix'!$J$7:$J$114,'Zone Path Matrix'!$C$7:$C$114,$C11,'Zone Path Matrix'!$F$7:$F$114,L$6)&gt;0,1,0)</x:f>
        <x:v>0</x:v>
      </x:c>
      <x:c r="M11" s="45" t="n">
        <x:f>IF(SUMIFS('Zone Path Matrix'!$J$7:$J$114,'Zone Path Matrix'!$C$7:$C$114,$C11,'Zone Path Matrix'!$F$7:$F$114,M$6)&gt;0,1,0)</x:f>
        <x:v>1</x:v>
      </x:c>
      <x:c r="N11" s="45" t="n">
        <x:f>IF(SUMIFS('Zone Path Matrix'!$J$7:$J$114,'Zone Path Matrix'!$C$7:$C$114,$C11,'Zone Path Matrix'!$F$7:$F$114,N$6)&gt;0,1,0)</x:f>
        <x:v>0</x:v>
      </x:c>
      <x:c r="O11" s="45" t="n">
        <x:f>IF(SUMIFS('Zone Path Matrix'!$J$7:$J$114,'Zone Path Matrix'!$C$7:$C$114,$C11,'Zone Path Matrix'!$F$7:$F$114,O$6)&gt;0,1,0)</x:f>
        <x:v>1</x:v>
      </x:c>
      <x:c r="P11" s="45" t="n">
        <x:f>SUM(E11:O11)</x:f>
        <x:v>6</x:v>
      </x:c>
      <x:c r="Q11" s="45" t="n">
        <x:f>'Controls'!$D$17</x:f>
        <x:v>3</x:v>
      </x:c>
      <x:c r="R11" s="55" t="n">
        <x:f>P11/Q11</x:f>
        <x:v>2</x:v>
      </x:c>
      <x:c r="S11" s="20" t="str">
        <x:f>IF(R11&gt;=1,"PASS","FAIL")</x:f>
        <x:v>PASS</x:v>
      </x:c>
    </x:row>
    <x:row r="12">
      <x:c r="C12" s="20" t="str">
        <x:v>Z6</x:v>
      </x:c>
      <x:c r="D12" s="20" t="str">
        <x:v>Oregon Central Coast</x:v>
      </x:c>
      <x:c r="E12" s="45" t="n">
        <x:f>IF(SUMIFS('Zone Path Matrix'!$J$7:$J$114,'Zone Path Matrix'!$C$7:$C$114,$C12,'Zone Path Matrix'!$F$7:$F$114,E$6)&gt;0,1,0)</x:f>
        <x:v>0</x:v>
      </x:c>
      <x:c r="F12" s="45" t="n">
        <x:f>IF(SUMIFS('Zone Path Matrix'!$J$7:$J$114,'Zone Path Matrix'!$C$7:$C$114,$C12,'Zone Path Matrix'!$F$7:$F$114,F$6)&gt;0,1,0)</x:f>
        <x:v>0</x:v>
      </x:c>
      <x:c r="G12" s="45" t="n">
        <x:f>IF(SUMIFS('Zone Path Matrix'!$J$7:$J$114,'Zone Path Matrix'!$C$7:$C$114,$C12,'Zone Path Matrix'!$F$7:$F$114,G$6)&gt;0,1,0)</x:f>
        <x:v>1</x:v>
      </x:c>
      <x:c r="H12" s="45" t="n">
        <x:f>IF(SUMIFS('Zone Path Matrix'!$J$7:$J$114,'Zone Path Matrix'!$C$7:$C$114,$C12,'Zone Path Matrix'!$F$7:$F$114,H$6)&gt;0,1,0)</x:f>
        <x:v>1</x:v>
      </x:c>
      <x:c r="I12" s="45" t="n">
        <x:f>IF(SUMIFS('Zone Path Matrix'!$J$7:$J$114,'Zone Path Matrix'!$C$7:$C$114,$C12,'Zone Path Matrix'!$F$7:$F$114,I$6)&gt;0,1,0)</x:f>
        <x:v>0</x:v>
      </x:c>
      <x:c r="J12" s="45" t="n">
        <x:f>IF(SUMIFS('Zone Path Matrix'!$J$7:$J$114,'Zone Path Matrix'!$C$7:$C$114,$C12,'Zone Path Matrix'!$F$7:$F$114,J$6)&gt;0,1,0)</x:f>
        <x:v>1</x:v>
      </x:c>
      <x:c r="K12" s="45" t="n">
        <x:f>IF(SUMIFS('Zone Path Matrix'!$J$7:$J$114,'Zone Path Matrix'!$C$7:$C$114,$C12,'Zone Path Matrix'!$F$7:$F$114,K$6)&gt;0,1,0)</x:f>
        <x:v>0</x:v>
      </x:c>
      <x:c r="L12" s="45" t="n">
        <x:f>IF(SUMIFS('Zone Path Matrix'!$J$7:$J$114,'Zone Path Matrix'!$C$7:$C$114,$C12,'Zone Path Matrix'!$F$7:$F$114,L$6)&gt;0,1,0)</x:f>
        <x:v>0</x:v>
      </x:c>
      <x:c r="M12" s="45" t="n">
        <x:f>IF(SUMIFS('Zone Path Matrix'!$J$7:$J$114,'Zone Path Matrix'!$C$7:$C$114,$C12,'Zone Path Matrix'!$F$7:$F$114,M$6)&gt;0,1,0)</x:f>
        <x:v>1</x:v>
      </x:c>
      <x:c r="N12" s="45" t="n">
        <x:f>IF(SUMIFS('Zone Path Matrix'!$J$7:$J$114,'Zone Path Matrix'!$C$7:$C$114,$C12,'Zone Path Matrix'!$F$7:$F$114,N$6)&gt;0,1,0)</x:f>
        <x:v>0</x:v>
      </x:c>
      <x:c r="O12" s="45" t="n">
        <x:f>IF(SUMIFS('Zone Path Matrix'!$J$7:$J$114,'Zone Path Matrix'!$C$7:$C$114,$C12,'Zone Path Matrix'!$F$7:$F$114,O$6)&gt;0,1,0)</x:f>
        <x:v>1</x:v>
      </x:c>
      <x:c r="P12" s="45" t="n">
        <x:f>SUM(E12:O12)</x:f>
        <x:v>5</x:v>
      </x:c>
      <x:c r="Q12" s="45" t="n">
        <x:f>'Controls'!$D$17</x:f>
        <x:v>3</x:v>
      </x:c>
      <x:c r="R12" s="55" t="n">
        <x:f>P12/Q12</x:f>
        <x:v>1.6666666666666667</x:v>
      </x:c>
      <x:c r="S12" s="20" t="str">
        <x:f>IF(R12&gt;=1,"PASS","FAIL")</x:f>
        <x:v>PASS</x:v>
      </x:c>
    </x:row>
    <x:row r="13">
      <x:c r="C13" s="20" t="str">
        <x:v>Z7</x:v>
      </x:c>
      <x:c r="D13" s="20" t="str">
        <x:v>Oregon South Coast</x:v>
      </x:c>
      <x:c r="E13" s="45" t="n">
        <x:f>IF(SUMIFS('Zone Path Matrix'!$J$7:$J$114,'Zone Path Matrix'!$C$7:$C$114,$C13,'Zone Path Matrix'!$F$7:$F$114,E$6)&gt;0,1,0)</x:f>
        <x:v>0</x:v>
      </x:c>
      <x:c r="F13" s="45" t="n">
        <x:f>IF(SUMIFS('Zone Path Matrix'!$J$7:$J$114,'Zone Path Matrix'!$C$7:$C$114,$C13,'Zone Path Matrix'!$F$7:$F$114,F$6)&gt;0,1,0)</x:f>
        <x:v>0</x:v>
      </x:c>
      <x:c r="G13" s="45" t="n">
        <x:f>IF(SUMIFS('Zone Path Matrix'!$J$7:$J$114,'Zone Path Matrix'!$C$7:$C$114,$C13,'Zone Path Matrix'!$F$7:$F$114,G$6)&gt;0,1,0)</x:f>
        <x:v>1</x:v>
      </x:c>
      <x:c r="H13" s="45" t="n">
        <x:f>IF(SUMIFS('Zone Path Matrix'!$J$7:$J$114,'Zone Path Matrix'!$C$7:$C$114,$C13,'Zone Path Matrix'!$F$7:$F$114,H$6)&gt;0,1,0)</x:f>
        <x:v>1</x:v>
      </x:c>
      <x:c r="I13" s="45" t="n">
        <x:f>IF(SUMIFS('Zone Path Matrix'!$J$7:$J$114,'Zone Path Matrix'!$C$7:$C$114,$C13,'Zone Path Matrix'!$F$7:$F$114,I$6)&gt;0,1,0)</x:f>
        <x:v>0</x:v>
      </x:c>
      <x:c r="J13" s="45" t="n">
        <x:f>IF(SUMIFS('Zone Path Matrix'!$J$7:$J$114,'Zone Path Matrix'!$C$7:$C$114,$C13,'Zone Path Matrix'!$F$7:$F$114,J$6)&gt;0,1,0)</x:f>
        <x:v>1</x:v>
      </x:c>
      <x:c r="K13" s="45" t="n">
        <x:f>IF(SUMIFS('Zone Path Matrix'!$J$7:$J$114,'Zone Path Matrix'!$C$7:$C$114,$C13,'Zone Path Matrix'!$F$7:$F$114,K$6)&gt;0,1,0)</x:f>
        <x:v>0</x:v>
      </x:c>
      <x:c r="L13" s="45" t="n">
        <x:f>IF(SUMIFS('Zone Path Matrix'!$J$7:$J$114,'Zone Path Matrix'!$C$7:$C$114,$C13,'Zone Path Matrix'!$F$7:$F$114,L$6)&gt;0,1,0)</x:f>
        <x:v>0</x:v>
      </x:c>
      <x:c r="M13" s="45" t="n">
        <x:f>IF(SUMIFS('Zone Path Matrix'!$J$7:$J$114,'Zone Path Matrix'!$C$7:$C$114,$C13,'Zone Path Matrix'!$F$7:$F$114,M$6)&gt;0,1,0)</x:f>
        <x:v>1</x:v>
      </x:c>
      <x:c r="N13" s="45" t="n">
        <x:f>IF(SUMIFS('Zone Path Matrix'!$J$7:$J$114,'Zone Path Matrix'!$C$7:$C$114,$C13,'Zone Path Matrix'!$F$7:$F$114,N$6)&gt;0,1,0)</x:f>
        <x:v>0</x:v>
      </x:c>
      <x:c r="O13" s="45" t="n">
        <x:f>IF(SUMIFS('Zone Path Matrix'!$J$7:$J$114,'Zone Path Matrix'!$C$7:$C$114,$C13,'Zone Path Matrix'!$F$7:$F$114,O$6)&gt;0,1,0)</x:f>
        <x:v>1</x:v>
      </x:c>
      <x:c r="P13" s="45" t="n">
        <x:f>SUM(E13:O13)</x:f>
        <x:v>5</x:v>
      </x:c>
      <x:c r="Q13" s="45" t="n">
        <x:f>'Controls'!$D$17</x:f>
        <x:v>3</x:v>
      </x:c>
      <x:c r="R13" s="55" t="n">
        <x:f>P13/Q13</x:f>
        <x:v>1.6666666666666667</x:v>
      </x:c>
      <x:c r="S13" s="20" t="str">
        <x:f>IF(R13&gt;=1,"PASS","FAIL")</x:f>
        <x:v>PASS</x:v>
      </x:c>
    </x:row>
    <x:row r="14">
      <x:c r="C14" s="20" t="str">
        <x:v>Z8</x:v>
      </x:c>
      <x:c r="D14" s="20" t="str">
        <x:v>Willamette Valley</x:v>
      </x:c>
      <x:c r="E14" s="45" t="n">
        <x:f>IF(SUMIFS('Zone Path Matrix'!$J$7:$J$114,'Zone Path Matrix'!$C$7:$C$114,$C14,'Zone Path Matrix'!$F$7:$F$114,E$6)&gt;0,1,0)</x:f>
        <x:v>0</x:v>
      </x:c>
      <x:c r="F14" s="45" t="n">
        <x:f>IF(SUMIFS('Zone Path Matrix'!$J$7:$J$114,'Zone Path Matrix'!$C$7:$C$114,$C14,'Zone Path Matrix'!$F$7:$F$114,F$6)&gt;0,1,0)</x:f>
        <x:v>0</x:v>
      </x:c>
      <x:c r="G14" s="45" t="n">
        <x:f>IF(SUMIFS('Zone Path Matrix'!$J$7:$J$114,'Zone Path Matrix'!$C$7:$C$114,$C14,'Zone Path Matrix'!$F$7:$F$114,G$6)&gt;0,1,0)</x:f>
        <x:v>1</x:v>
      </x:c>
      <x:c r="H14" s="45" t="n">
        <x:f>IF(SUMIFS('Zone Path Matrix'!$J$7:$J$114,'Zone Path Matrix'!$C$7:$C$114,$C14,'Zone Path Matrix'!$F$7:$F$114,H$6)&gt;0,1,0)</x:f>
        <x:v>1</x:v>
      </x:c>
      <x:c r="I14" s="45" t="n">
        <x:f>IF(SUMIFS('Zone Path Matrix'!$J$7:$J$114,'Zone Path Matrix'!$C$7:$C$114,$C14,'Zone Path Matrix'!$F$7:$F$114,I$6)&gt;0,1,0)</x:f>
        <x:v>0</x:v>
      </x:c>
      <x:c r="J14" s="45" t="n">
        <x:f>IF(SUMIFS('Zone Path Matrix'!$J$7:$J$114,'Zone Path Matrix'!$C$7:$C$114,$C14,'Zone Path Matrix'!$F$7:$F$114,J$6)&gt;0,1,0)</x:f>
        <x:v>1</x:v>
      </x:c>
      <x:c r="K14" s="45" t="n">
        <x:f>IF(SUMIFS('Zone Path Matrix'!$J$7:$J$114,'Zone Path Matrix'!$C$7:$C$114,$C14,'Zone Path Matrix'!$F$7:$F$114,K$6)&gt;0,1,0)</x:f>
        <x:v>1</x:v>
      </x:c>
      <x:c r="L14" s="45" t="n">
        <x:f>IF(SUMIFS('Zone Path Matrix'!$J$7:$J$114,'Zone Path Matrix'!$C$7:$C$114,$C14,'Zone Path Matrix'!$F$7:$F$114,L$6)&gt;0,1,0)</x:f>
        <x:v>0</x:v>
      </x:c>
      <x:c r="M14" s="45" t="n">
        <x:f>IF(SUMIFS('Zone Path Matrix'!$J$7:$J$114,'Zone Path Matrix'!$C$7:$C$114,$C14,'Zone Path Matrix'!$F$7:$F$114,M$6)&gt;0,1,0)</x:f>
        <x:v>1</x:v>
      </x:c>
      <x:c r="N14" s="45" t="n">
        <x:f>IF(SUMIFS('Zone Path Matrix'!$J$7:$J$114,'Zone Path Matrix'!$C$7:$C$114,$C14,'Zone Path Matrix'!$F$7:$F$114,N$6)&gt;0,1,0)</x:f>
        <x:v>1</x:v>
      </x:c>
      <x:c r="O14" s="45" t="n">
        <x:f>IF(SUMIFS('Zone Path Matrix'!$J$7:$J$114,'Zone Path Matrix'!$C$7:$C$114,$C14,'Zone Path Matrix'!$F$7:$F$114,O$6)&gt;0,1,0)</x:f>
        <x:v>1</x:v>
      </x:c>
      <x:c r="P14" s="45" t="n">
        <x:f>SUM(E14:O14)</x:f>
        <x:v>7</x:v>
      </x:c>
      <x:c r="Q14" s="45" t="n">
        <x:f>'Controls'!$D$17</x:f>
        <x:v>3</x:v>
      </x:c>
      <x:c r="R14" s="55" t="n">
        <x:f>P14/Q14</x:f>
        <x:v>2.3333333333333335</x:v>
      </x:c>
      <x:c r="S14" s="20" t="str">
        <x:f>IF(R14&gt;=1,"PASS","FAIL")</x:f>
        <x:v>PASS</x:v>
      </x:c>
    </x:row>
    <x:row r="15">
      <x:c r="C15" s="20" t="str">
        <x:v>Z9</x:v>
      </x:c>
      <x:c r="D15" s="20" t="str">
        <x:v>Eastern safe zone</x:v>
      </x:c>
      <x:c r="E15" s="45" t="n">
        <x:f>IF(SUMIFS('Zone Path Matrix'!$J$7:$J$114,'Zone Path Matrix'!$C$7:$C$114,$C15,'Zone Path Matrix'!$F$7:$F$114,E$6)&gt;0,1,0)</x:f>
        <x:v>0</x:v>
      </x:c>
      <x:c r="F15" s="45" t="n">
        <x:f>IF(SUMIFS('Zone Path Matrix'!$J$7:$J$114,'Zone Path Matrix'!$C$7:$C$114,$C15,'Zone Path Matrix'!$F$7:$F$114,F$6)&gt;0,1,0)</x:f>
        <x:v>1</x:v>
      </x:c>
      <x:c r="G15" s="45" t="n">
        <x:f>IF(SUMIFS('Zone Path Matrix'!$J$7:$J$114,'Zone Path Matrix'!$C$7:$C$114,$C15,'Zone Path Matrix'!$F$7:$F$114,G$6)&gt;0,1,0)</x:f>
        <x:v>1</x:v>
      </x:c>
      <x:c r="H15" s="45" t="n">
        <x:f>IF(SUMIFS('Zone Path Matrix'!$J$7:$J$114,'Zone Path Matrix'!$C$7:$C$114,$C15,'Zone Path Matrix'!$F$7:$F$114,H$6)&gt;0,1,0)</x:f>
        <x:v>1</x:v>
      </x:c>
      <x:c r="I15" s="45" t="n">
        <x:f>IF(SUMIFS('Zone Path Matrix'!$J$7:$J$114,'Zone Path Matrix'!$C$7:$C$114,$C15,'Zone Path Matrix'!$F$7:$F$114,I$6)&gt;0,1,0)</x:f>
        <x:v>0</x:v>
      </x:c>
      <x:c r="J15" s="45" t="n">
        <x:f>IF(SUMIFS('Zone Path Matrix'!$J$7:$J$114,'Zone Path Matrix'!$C$7:$C$114,$C15,'Zone Path Matrix'!$F$7:$F$114,J$6)&gt;0,1,0)</x:f>
        <x:v>0</x:v>
      </x:c>
      <x:c r="K15" s="45" t="n">
        <x:f>IF(SUMIFS('Zone Path Matrix'!$J$7:$J$114,'Zone Path Matrix'!$C$7:$C$114,$C15,'Zone Path Matrix'!$F$7:$F$114,K$6)&gt;0,1,0)</x:f>
        <x:v>1</x:v>
      </x:c>
      <x:c r="L15" s="45" t="n">
        <x:f>IF(SUMIFS('Zone Path Matrix'!$J$7:$J$114,'Zone Path Matrix'!$C$7:$C$114,$C15,'Zone Path Matrix'!$F$7:$F$114,L$6)&gt;0,1,0)</x:f>
        <x:v>1</x:v>
      </x:c>
      <x:c r="M15" s="45" t="n">
        <x:f>IF(SUMIFS('Zone Path Matrix'!$J$7:$J$114,'Zone Path Matrix'!$C$7:$C$114,$C15,'Zone Path Matrix'!$F$7:$F$114,M$6)&gt;0,1,0)</x:f>
        <x:v>1</x:v>
      </x:c>
      <x:c r="N15" s="45" t="n">
        <x:f>IF(SUMIFS('Zone Path Matrix'!$J$7:$J$114,'Zone Path Matrix'!$C$7:$C$114,$C15,'Zone Path Matrix'!$F$7:$F$114,N$6)&gt;0,1,0)</x:f>
        <x:v>1</x:v>
      </x:c>
      <x:c r="O15" s="45" t="n">
        <x:f>IF(SUMIFS('Zone Path Matrix'!$J$7:$J$114,'Zone Path Matrix'!$C$7:$C$114,$C15,'Zone Path Matrix'!$F$7:$F$114,O$6)&gt;0,1,0)</x:f>
        <x:v>0</x:v>
      </x:c>
      <x:c r="P15" s="45" t="n">
        <x:f>SUM(E15:O15)</x:f>
        <x:v>7</x:v>
      </x:c>
      <x:c r="Q15" s="45" t="n">
        <x:f>'Controls'!$D$17</x:f>
        <x:v>3</x:v>
      </x:c>
      <x:c r="R15" s="55" t="n">
        <x:f>P15/Q15</x:f>
        <x:v>2.3333333333333335</x:v>
      </x:c>
      <x:c r="S15" s="20" t="str">
        <x:f>IF(R15&gt;=1,"PASS","FAIL")</x:f>
        <x:v>PASS</x:v>
      </x:c>
    </x:row>
  </x:sheetData>
  <x:mergeCells>
    <x:mergeCell ref="C2:R2"/>
    <x:mergeCell ref="C3:R3"/>
  </x:mergeCells>
  <x:conditionalFormatting sqref="S7:S15">
    <x:cfRule type="containsText" dxfId="25" priority="1" operator="containsText" text="PASS"/>
    <x:cfRule type="containsText" dxfId="26" priority="2" operator="containsText" text="CLOSE"/>
    <x:cfRule type="containsText" dxfId="27" priority="3" operator="containsText" text="FAIL"/>
    <x:cfRule type="containsText" dxfId="28" priority="4" operator="containsText" text="LATE"/>
    <x:cfRule type="containsText" dxfId="29" priority="5" operator="containsText" text="OPEN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28" hidden="0" customWidth="1"/>
    <x:col min="5" max="5" width="20" hidden="0" customWidth="1"/>
    <x:col min="6" max="6" width="14" hidden="0" customWidth="1"/>
    <x:col min="7" max="7" width="16" hidden="0" customWidth="1"/>
    <x:col min="8" max="8" width="15" hidden="0" customWidth="1"/>
    <x:col min="9" max="9" width="18" hidden="0" customWidth="1"/>
    <x:col min="10" max="10" width="20" hidden="0" customWidth="1"/>
    <x:col min="11" max="11" width="22" hidden="0" customWidth="1"/>
    <x:col min="12" max="12" width="14" hidden="0" customWidth="1"/>
  </x:cols>
  <x:sheetData>
    <x:row r="2" ht="24" customHeight="1">
      <x:c r="C2" s="69" t="str">
        <x:v>Safe-Zone Responder Bases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The campaign bases responders outside shared utility failures wherever possible. Capacity includes lodging, water, food, sanitation, power, thermal safety, health and crew recovery.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Base ID</x:v>
      </x:c>
      <x:c r="D6" s="17" t="str">
        <x:v>Base</x:v>
      </x:c>
      <x:c r="E6" s="17" t="str">
        <x:v>Class</x:v>
      </x:c>
      <x:c r="F6" s="17" t="str">
        <x:v>Activation d</x:v>
      </x:c>
      <x:c r="G6" s="17" t="str">
        <x:v>Nominal people</x:v>
      </x:c>
      <x:c r="H6" s="17" t="str">
        <x:v>Stress factor</x:v>
      </x:c>
      <x:c r="I6" s="17" t="str">
        <x:v>Effective people</x:v>
      </x:c>
      <x:c r="J6" s="17" t="str">
        <x:v>Correlation group</x:v>
      </x:c>
      <x:c r="K6" s="17" t="str">
        <x:v>Host-utility dependence</x:v>
      </x:c>
      <x:c r="L6" s="18" t="str">
        <x:v>Paired base</x:v>
      </x:c>
      <x:c r="M6" s="72"/>
      <x:c r="N6" s="72"/>
    </x:row>
    <x:row r="7">
      <x:c r="C7" s="20" t="str">
        <x:v>B1</x:v>
      </x:c>
      <x:c r="D7" s="20" t="str">
        <x:v>Spokane–Fairchild</x:v>
      </x:c>
      <x:c r="E7" s="20" t="str">
        <x:v>interior fixed</x:v>
      </x:c>
      <x:c r="F7" s="20" t="n">
        <x:v>0</x:v>
      </x:c>
      <x:c r="G7" s="20" t="n">
        <x:v>18000</x:v>
      </x:c>
      <x:c r="H7" s="57" t="n">
        <x:v>0.98</x:v>
      </x:c>
      <x:c r="I7" s="47" t="n">
        <x:f>G7*H7</x:f>
        <x:v>17640</x:v>
      </x:c>
      <x:c r="J7" s="20" t="str">
        <x:v>North interior</x:v>
      </x:c>
      <x:c r="K7" s="20" t="str">
        <x:v>low</x:v>
      </x:c>
      <x:c r="L7" s="20" t="str">
        <x:v>B2</x:v>
      </x:c>
      <x:c r="M7" s="72"/>
      <x:c r="N7" s="72"/>
    </x:row>
    <x:row r="8">
      <x:c r="C8" s="20" t="str">
        <x:v>B2</x:v>
      </x:c>
      <x:c r="D8" s="20" t="str">
        <x:v>Yakima–Tri-Cities</x:v>
      </x:c>
      <x:c r="E8" s="20" t="str">
        <x:v>interior fixed</x:v>
      </x:c>
      <x:c r="F8" s="20" t="n">
        <x:v>0</x:v>
      </x:c>
      <x:c r="G8" s="20" t="n">
        <x:v>18000</x:v>
      </x:c>
      <x:c r="H8" s="57" t="n">
        <x:v>0.95</x:v>
      </x:c>
      <x:c r="I8" s="47" t="n">
        <x:f>G8*H8</x:f>
        <x:v>17100</x:v>
      </x:c>
      <x:c r="J8" s="20" t="str">
        <x:v>Central interior</x:v>
      </x:c>
      <x:c r="K8" s="20" t="str">
        <x:v>low</x:v>
      </x:c>
      <x:c r="L8" s="20" t="str">
        <x:v>B1</x:v>
      </x:c>
      <x:c r="M8" s="72"/>
      <x:c r="N8" s="72"/>
    </x:row>
    <x:row r="9">
      <x:c r="C9" s="20" t="str">
        <x:v>B3</x:v>
      </x:c>
      <x:c r="D9" s="20" t="str">
        <x:v>Redmond–Bend</x:v>
      </x:c>
      <x:c r="E9" s="20" t="str">
        <x:v>interior fixed</x:v>
      </x:c>
      <x:c r="F9" s="20" t="n">
        <x:v>0</x:v>
      </x:c>
      <x:c r="G9" s="20" t="n">
        <x:v>20000</x:v>
      </x:c>
      <x:c r="H9" s="57" t="n">
        <x:v>0.95</x:v>
      </x:c>
      <x:c r="I9" s="47" t="n">
        <x:f>G9*H9</x:f>
        <x:v>19000</x:v>
      </x:c>
      <x:c r="J9" s="20" t="str">
        <x:v>Oregon interior</x:v>
      </x:c>
      <x:c r="K9" s="20" t="str">
        <x:v>low</x:v>
      </x:c>
      <x:c r="L9" s="20" t="str">
        <x:v>B4</x:v>
      </x:c>
      <x:c r="M9" s="72"/>
      <x:c r="N9" s="72"/>
    </x:row>
    <x:row r="10">
      <x:c r="C10" s="20" t="str">
        <x:v>B4</x:v>
      </x:c>
      <x:c r="D10" s="20" t="str">
        <x:v>Klamath–Medford</x:v>
      </x:c>
      <x:c r="E10" s="20" t="str">
        <x:v>interior fixed</x:v>
      </x:c>
      <x:c r="F10" s="20" t="n">
        <x:v>0</x:v>
      </x:c>
      <x:c r="G10" s="20" t="n">
        <x:v>16000</x:v>
      </x:c>
      <x:c r="H10" s="57" t="n">
        <x:v>0.98</x:v>
      </x:c>
      <x:c r="I10" s="47" t="n">
        <x:f>G10*H10</x:f>
        <x:v>15680</x:v>
      </x:c>
      <x:c r="J10" s="20" t="str">
        <x:v>Southern interior</x:v>
      </x:c>
      <x:c r="K10" s="20" t="str">
        <x:v>low</x:v>
      </x:c>
      <x:c r="L10" s="20" t="str">
        <x:v>B3</x:v>
      </x:c>
      <x:c r="M10" s="72"/>
      <x:c r="N10" s="72"/>
    </x:row>
    <x:row r="11">
      <x:c r="C11" s="20" t="str">
        <x:v>B5</x:v>
      </x:c>
      <x:c r="D11" s="20" t="str">
        <x:v>North offshore base</x:v>
      </x:c>
      <x:c r="E11" s="20" t="str">
        <x:v>afloat</x:v>
      </x:c>
      <x:c r="F11" s="20" t="n">
        <x:v>3</x:v>
      </x:c>
      <x:c r="G11" s="20" t="n">
        <x:v>16000</x:v>
      </x:c>
      <x:c r="H11" s="57" t="n">
        <x:v>0.95</x:v>
      </x:c>
      <x:c r="I11" s="47" t="n">
        <x:f>G11*H11</x:f>
        <x:v>15200</x:v>
      </x:c>
      <x:c r="J11" s="20" t="str">
        <x:v>North offshore</x:v>
      </x:c>
      <x:c r="K11" s="20" t="str">
        <x:v>none</x:v>
      </x:c>
      <x:c r="L11" s="20" t="str">
        <x:v>B6</x:v>
      </x:c>
      <x:c r="M11" s="72"/>
      <x:c r="N11" s="72"/>
    </x:row>
    <x:row r="12">
      <x:c r="C12" s="20" t="str">
        <x:v>B6</x:v>
      </x:c>
      <x:c r="D12" s="20" t="str">
        <x:v>South offshore base</x:v>
      </x:c>
      <x:c r="E12" s="20" t="str">
        <x:v>afloat</x:v>
      </x:c>
      <x:c r="F12" s="20" t="n">
        <x:v>3</x:v>
      </x:c>
      <x:c r="G12" s="20" t="n">
        <x:v>14000</x:v>
      </x:c>
      <x:c r="H12" s="57" t="n">
        <x:v>0.95</x:v>
      </x:c>
      <x:c r="I12" s="47" t="n">
        <x:f>G12*H12</x:f>
        <x:v>13300</x:v>
      </x:c>
      <x:c r="J12" s="20" t="str">
        <x:v>South offshore</x:v>
      </x:c>
      <x:c r="K12" s="20" t="str">
        <x:v>none</x:v>
      </x:c>
      <x:c r="L12" s="20" t="str">
        <x:v>B5</x:v>
      </x:c>
      <x:c r="M12" s="72"/>
      <x:c r="N12" s="72"/>
    </x:row>
    <x:row r="13">
      <x:c r="C13" s="20" t="str">
        <x:v>B7</x:v>
      </x:c>
      <x:c r="D13" s="20" t="str">
        <x:v>Puget upland campuses</x:v>
      </x:c>
      <x:c r="E13" s="20" t="str">
        <x:v>deployable upland</x:v>
      </x:c>
      <x:c r="F13" s="20" t="n">
        <x:v>7</x:v>
      </x:c>
      <x:c r="G13" s="20" t="n">
        <x:v>24000</x:v>
      </x:c>
      <x:c r="H13" s="57" t="n">
        <x:v>0.75</x:v>
      </x:c>
      <x:c r="I13" s="47" t="n">
        <x:f>G13*H13</x:f>
        <x:v>18000</x:v>
      </x:c>
      <x:c r="J13" s="20" t="str">
        <x:v>Puget upland</x:v>
      </x:c>
      <x:c r="K13" s="20" t="str">
        <x:v>none after setup</x:v>
      </x:c>
      <x:c r="L13" s="20" t="str">
        <x:v>B1/B5</x:v>
      </x:c>
      <x:c r="M13" s="72"/>
      <x:c r="N13" s="72"/>
    </x:row>
    <x:row r="14">
      <x:c r="C14" s="20" t="str">
        <x:v>B8</x:v>
      </x:c>
      <x:c r="D14" s="20" t="str">
        <x:v>Oregon coast upland campuses</x:v>
      </x:c>
      <x:c r="E14" s="20" t="str">
        <x:v>deployable upland</x:v>
      </x:c>
      <x:c r="F14" s="20" t="n">
        <x:v>7</x:v>
      </x:c>
      <x:c r="G14" s="20" t="n">
        <x:v>20000</x:v>
      </x:c>
      <x:c r="H14" s="57" t="n">
        <x:v>0.75</x:v>
      </x:c>
      <x:c r="I14" s="47" t="n">
        <x:f>G14*H14</x:f>
        <x:v>15000</x:v>
      </x:c>
      <x:c r="J14" s="20" t="str">
        <x:v>Oregon upland</x:v>
      </x:c>
      <x:c r="K14" s="20" t="str">
        <x:v>none after setup</x:v>
      </x:c>
      <x:c r="L14" s="20" t="str">
        <x:v>B3/B6</x:v>
      </x:c>
      <x:c r="M14" s="72"/>
      <x:c r="N14" s="72"/>
    </x:row>
    <x:row r="15">
      <x:c r="C15" s="20" t="str">
        <x:v>B9</x:v>
      </x:c>
      <x:c r="D15" s="20" t="str">
        <x:v>Mobile bridge bases</x:v>
      </x:c>
      <x:c r="E15" s="20" t="str">
        <x:v>distributed mobile</x:v>
      </x:c>
      <x:c r="F15" s="20" t="n">
        <x:v>14</x:v>
      </x:c>
      <x:c r="G15" s="20" t="n">
        <x:v>22000</x:v>
      </x:c>
      <x:c r="H15" s="57" t="n">
        <x:v>0.9</x:v>
      </x:c>
      <x:c r="I15" s="47" t="n">
        <x:f>G15*H15</x:f>
        <x:v>19800</x:v>
      </x:c>
      <x:c r="J15" s="20" t="str">
        <x:v>Mobile distributed</x:v>
      </x:c>
      <x:c r="K15" s="20" t="str">
        <x:v>none</x:v>
      </x:c>
      <x:c r="L15" s="20" t="str">
        <x:v>all</x:v>
      </x:c>
      <x:c r="M15" s="72"/>
      <x:c r="N15" s="72"/>
    </x:row>
    <x:row r="16"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</x:row>
    <x:row r="17"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</x:row>
    <x:row r="18"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</x:row>
    <x:row r="19">
      <x:c r="C19" s="77" t="str">
        <x:v>Milestone closure</x:v>
      </x:c>
      <x:c r="D19" s="78" t="str">
        <x:v>Milestone closure</x:v>
      </x:c>
      <x:c r="E19" s="78" t="str">
        <x:v>Milestone closure</x:v>
      </x:c>
      <x:c r="F19" s="78" t="str">
        <x:v>Milestone closure</x:v>
      </x:c>
      <x:c r="G19" s="78" t="str">
        <x:v>Milestone closure</x:v>
      </x:c>
      <x:c r="H19" s="79" t="str">
        <x:v>Milestone closure</x:v>
      </x:c>
      <x:c r="I19" s="72"/>
      <x:c r="J19" s="72"/>
      <x:c r="K19" s="72"/>
      <x:c r="L19" s="72"/>
      <x:c r="M19" s="72"/>
      <x:c r="N19" s="72"/>
    </x:row>
    <x:row r="20"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</x:row>
    <x:row r="21">
      <x:c r="C21" s="16" t="str">
        <x:v>Milestone d</x:v>
      </x:c>
      <x:c r="D21" s="17" t="str">
        <x:v>Required responders</x:v>
      </x:c>
      <x:c r="E21" s="17" t="str">
        <x:v>Effective capacity active</x:v>
      </x:c>
      <x:c r="F21" s="17" t="str">
        <x:v>Capacity ratio</x:v>
      </x:c>
      <x:c r="G21" s="17" t="str">
        <x:v>Status</x:v>
      </x:c>
      <x:c r="H21" s="18" t="str">
        <x:v>Interpretation</x:v>
      </x:c>
      <x:c r="I21" s="72"/>
      <x:c r="J21" s="72"/>
      <x:c r="K21" s="72"/>
      <x:c r="L21" s="72"/>
      <x:c r="M21" s="72"/>
      <x:c r="N21" s="72"/>
    </x:row>
    <x:row r="22">
      <x:c r="C22" s="20" t="n">
        <x:v>3</x:v>
      </x:c>
      <x:c r="D22" s="20" t="n">
        <x:v>25000</x:v>
      </x:c>
      <x:c r="E22" s="45" t="n">
        <x:f>SUMIFS($I$7:$I$15,$F$7:$F$15,"&lt;="&amp;C22)</x:f>
        <x:v>97920</x:v>
      </x:c>
      <x:c r="F22" s="55" t="n">
        <x:f>E22/D22</x:f>
        <x:v>3.9168</x:v>
      </x:c>
      <x:c r="G22" s="45" t="str">
        <x:f>IF(F22&gt;=1,"PASS","FAIL")</x:f>
        <x:v>PASS</x:v>
      </x:c>
      <x:c r="H22" s="45" t="str">
        <x:f>IF(F22&gt;=1,"Safe-zone and afloat capacity exceeds deployed force","Responder force would burden damaged host systems")</x:f>
        <x:v>Safe-zone and afloat capacity exceeds deployed force</x:v>
      </x:c>
      <x:c r="I22" s="72"/>
      <x:c r="J22" s="72"/>
      <x:c r="K22" s="72"/>
      <x:c r="L22" s="72"/>
      <x:c r="M22" s="72"/>
      <x:c r="N22" s="72"/>
    </x:row>
    <x:row r="23">
      <x:c r="C23" s="20" t="n">
        <x:v>14</x:v>
      </x:c>
      <x:c r="D23" s="20" t="n">
        <x:v>80000</x:v>
      </x:c>
      <x:c r="E23" s="45" t="n">
        <x:f>SUMIFS($I$7:$I$15,$F$7:$F$15,"&lt;="&amp;C23)</x:f>
        <x:v>150720</x:v>
      </x:c>
      <x:c r="F23" s="55" t="n">
        <x:f>E23/D23</x:f>
        <x:v>1.884</x:v>
      </x:c>
      <x:c r="G23" s="45" t="str">
        <x:f>IF(F23&gt;=1,"PASS","FAIL")</x:f>
        <x:v>PASS</x:v>
      </x:c>
      <x:c r="H23" s="45" t="str">
        <x:f>IF(F23&gt;=1,"Safe-zone and afloat capacity exceeds deployed force","Responder force would burden damaged host systems")</x:f>
        <x:v>Safe-zone and afloat capacity exceeds deployed force</x:v>
      </x:c>
      <x:c r="I23" s="72"/>
      <x:c r="J23" s="72"/>
      <x:c r="K23" s="72"/>
      <x:c r="L23" s="72"/>
      <x:c r="M23" s="72"/>
      <x:c r="N23" s="72"/>
    </x:row>
    <x:row r="24">
      <x:c r="C24" s="20" t="n">
        <x:v>45</x:v>
      </x:c>
      <x:c r="D24" s="20" t="n">
        <x:v>108110</x:v>
      </x:c>
      <x:c r="E24" s="45" t="n">
        <x:f>SUMIFS($I$7:$I$15,$F$7:$F$15,"&lt;="&amp;C24)</x:f>
        <x:v>150720</x:v>
      </x:c>
      <x:c r="F24" s="55" t="n">
        <x:f>E24/D24</x:f>
        <x:v>1.394135602626954</x:v>
      </x:c>
      <x:c r="G24" s="45" t="str">
        <x:f>IF(F24&gt;=1,"PASS","FAIL")</x:f>
        <x:v>PASS</x:v>
      </x:c>
      <x:c r="H24" s="45" t="str">
        <x:f>IF(F24&gt;=1,"Safe-zone and afloat capacity exceeds deployed force","Responder force would burden damaged host systems")</x:f>
        <x:v>Safe-zone and afloat capacity exceeds deployed force</x:v>
      </x:c>
      <x:c r="I24" s="72"/>
      <x:c r="J24" s="72"/>
      <x:c r="K24" s="72"/>
      <x:c r="L24" s="72"/>
      <x:c r="M24" s="72"/>
      <x:c r="N24" s="72"/>
    </x:row>
    <x:row r="25">
      <x:c r="C25" s="20" t="n">
        <x:v>90</x:v>
      </x:c>
      <x:c r="D25" s="20" t="n">
        <x:v>108110</x:v>
      </x:c>
      <x:c r="E25" s="45" t="n">
        <x:f>SUMIFS($I$7:$I$15,$F$7:$F$15,"&lt;="&amp;C25)</x:f>
        <x:v>150720</x:v>
      </x:c>
      <x:c r="F25" s="55" t="n">
        <x:f>E25/D25</x:f>
        <x:v>1.394135602626954</x:v>
      </x:c>
      <x:c r="G25" s="45" t="str">
        <x:f>IF(F25&gt;=1,"PASS","FAIL")</x:f>
        <x:v>PASS</x:v>
      </x:c>
      <x:c r="H25" s="45" t="str">
        <x:f>IF(F25&gt;=1,"Safe-zone and afloat capacity exceeds deployed force","Responder force would burden damaged host systems")</x:f>
        <x:v>Safe-zone and afloat capacity exceeds deployed force</x:v>
      </x:c>
      <x:c r="I25" s="72"/>
      <x:c r="J25" s="72"/>
      <x:c r="K25" s="72"/>
      <x:c r="L25" s="72"/>
      <x:c r="M25" s="72"/>
      <x:c r="N25" s="72"/>
    </x:row>
  </x:sheetData>
  <x:mergeCells>
    <x:mergeCell ref="C2:N2"/>
    <x:mergeCell ref="C3:N3"/>
  </x:mergeCells>
  <x:conditionalFormatting sqref="G22:G25">
    <x:cfRule type="containsText" dxfId="30" priority="1" operator="containsText" text="PASS"/>
    <x:cfRule type="containsText" dxfId="31" priority="2" operator="containsText" text="CLOSE"/>
    <x:cfRule type="containsText" dxfId="32" priority="3" operator="containsText" text="FAIL"/>
    <x:cfRule type="containsText" dxfId="33" priority="4" operator="containsText" text="LATE"/>
    <x:cfRule type="containsText" dxfId="34" priority="5" operator="containsText" text="OPEN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 ht="24" customHeight="1">
      <x:c r="C2" s="69" t="str">
        <x:v>Ninety-Day Sustainment Demand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Public commodities, force sustainment, fuel, clinical supply, repair material and sanitation are modeled separately. Water demand is met mainly through local production, not imported bottled water.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Day</x:v>
      </x:c>
      <x:c r="D6" s="17" t="str">
        <x:v>Force support</x:v>
      </x:c>
      <x:c r="E6" s="17" t="str">
        <x:v>Food</x:v>
      </x:c>
      <x:c r="F6" s="17" t="str">
        <x:v>Imported water</x:v>
      </x:c>
      <x:c r="G6" s="17" t="str">
        <x:v>Fuel / process</x:v>
      </x:c>
      <x:c r="H6" s="17" t="str">
        <x:v>Medical / cold</x:v>
      </x:c>
      <x:c r="I6" s="17" t="str">
        <x:v>Repair material</x:v>
      </x:c>
      <x:c r="J6" s="17" t="str">
        <x:v>Shelter / sanitation</x:v>
      </x:c>
      <x:c r="K6" s="17" t="str">
        <x:v>Utility chemicals</x:v>
      </x:c>
      <x:c r="L6" s="17" t="str">
        <x:v>General</x:v>
      </x:c>
      <x:c r="M6" s="18" t="str">
        <x:v>Total demand</x:v>
      </x:c>
      <x:c r="N6" s="72"/>
    </x:row>
    <x:row r="7">
      <x:c r="C7" s="20" t="n">
        <x:v>0</x:v>
      </x:c>
      <x:c r="D7" s="53" t="n">
        <x:f>IF(C7&lt;=3,25000,IF(C7&lt;=14,80000,'Controls'!$D$11))*0.04</x:f>
        <x:v>1000</x:v>
      </x:c>
      <x:c r="E7" s="53" t="n">
        <x:f>IF(C7&lt;=30,4320,MAX(2160,4320-(C7-30)*36))</x:f>
        <x:v>4320</x:v>
      </x:c>
      <x:c r="F7" s="53" t="n">
        <x:f>IF(C7&lt;=3,2000,IF(C7&lt;=14,1000,500))</x:f>
        <x:v>2000</x:v>
      </x:c>
      <x:c r="G7" s="53" t="n">
        <x:f>IF(C7&lt;=3,4000,IF(C7&lt;=45,6000,5000))</x:f>
        <x:v>4000</x:v>
      </x:c>
      <x:c r="H7" s="53" t="n">
        <x:f>IF(C7&lt;=14,1200,1100)</x:f>
        <x:v>1200</x:v>
      </x:c>
      <x:c r="I7" s="53" t="n">
        <x:f>IF(C7&lt;=3,1000,IF(C7&lt;=14,2000,IF(C7&lt;=45,3500,2500)))</x:f>
        <x:v>1000</x:v>
      </x:c>
      <x:c r="J7" s="53" t="n">
        <x:f>IF(C7&lt;=3,1500,IF(C7&lt;=14,1800,IF(C7&lt;=45,1500,1200)))</x:f>
        <x:v>1500</x:v>
      </x:c>
      <x:c r="K7" s="53" t="n">
        <x:f>IF(C7&lt;=3,600,IF(C7&lt;=14,800,900))</x:f>
        <x:v>600</x:v>
      </x:c>
      <x:c r="L7" s="53" t="n">
        <x:f>376</x:f>
        <x:v>376</x:v>
      </x:c>
      <x:c r="M7" s="53" t="n">
        <x:f>SUM(D7:L7)</x:f>
        <x:v>15996</x:v>
      </x:c>
      <x:c r="N7" s="72"/>
    </x:row>
    <x:row r="8">
      <x:c r="C8" s="20" t="n">
        <x:v>1</x:v>
      </x:c>
      <x:c r="D8" s="53" t="n">
        <x:f>IF(C8&lt;=3,25000,IF(C8&lt;=14,80000,'Controls'!$D$11))*0.04</x:f>
        <x:v>1000</x:v>
      </x:c>
      <x:c r="E8" s="53" t="n">
        <x:f>IF(C8&lt;=30,4320,MAX(2160,4320-(C8-30)*36))</x:f>
        <x:v>4320</x:v>
      </x:c>
      <x:c r="F8" s="53" t="n">
        <x:f>IF(C8&lt;=3,2000,IF(C8&lt;=14,1000,500))</x:f>
        <x:v>2000</x:v>
      </x:c>
      <x:c r="G8" s="53" t="n">
        <x:f>IF(C8&lt;=3,4000,IF(C8&lt;=45,6000,5000))</x:f>
        <x:v>4000</x:v>
      </x:c>
      <x:c r="H8" s="53" t="n">
        <x:f>IF(C8&lt;=14,1200,1100)</x:f>
        <x:v>1200</x:v>
      </x:c>
      <x:c r="I8" s="53" t="n">
        <x:f>IF(C8&lt;=3,1000,IF(C8&lt;=14,2000,IF(C8&lt;=45,3500,2500)))</x:f>
        <x:v>1000</x:v>
      </x:c>
      <x:c r="J8" s="53" t="n">
        <x:f>IF(C8&lt;=3,1500,IF(C8&lt;=14,1800,IF(C8&lt;=45,1500,1200)))</x:f>
        <x:v>1500</x:v>
      </x:c>
      <x:c r="K8" s="53" t="n">
        <x:f>IF(C8&lt;=3,600,IF(C8&lt;=14,800,900))</x:f>
        <x:v>600</x:v>
      </x:c>
      <x:c r="L8" s="53" t="n">
        <x:f>376</x:f>
        <x:v>376</x:v>
      </x:c>
      <x:c r="M8" s="53" t="n">
        <x:f>SUM(D8:L8)</x:f>
        <x:v>15996</x:v>
      </x:c>
      <x:c r="N8" s="72"/>
    </x:row>
    <x:row r="9">
      <x:c r="C9" s="20" t="n">
        <x:v>2</x:v>
      </x:c>
      <x:c r="D9" s="53" t="n">
        <x:f>IF(C9&lt;=3,25000,IF(C9&lt;=14,80000,'Controls'!$D$11))*0.04</x:f>
        <x:v>1000</x:v>
      </x:c>
      <x:c r="E9" s="53" t="n">
        <x:f>IF(C9&lt;=30,4320,MAX(2160,4320-(C9-30)*36))</x:f>
        <x:v>4320</x:v>
      </x:c>
      <x:c r="F9" s="53" t="n">
        <x:f>IF(C9&lt;=3,2000,IF(C9&lt;=14,1000,500))</x:f>
        <x:v>2000</x:v>
      </x:c>
      <x:c r="G9" s="53" t="n">
        <x:f>IF(C9&lt;=3,4000,IF(C9&lt;=45,6000,5000))</x:f>
        <x:v>4000</x:v>
      </x:c>
      <x:c r="H9" s="53" t="n">
        <x:f>IF(C9&lt;=14,1200,1100)</x:f>
        <x:v>1200</x:v>
      </x:c>
      <x:c r="I9" s="53" t="n">
        <x:f>IF(C9&lt;=3,1000,IF(C9&lt;=14,2000,IF(C9&lt;=45,3500,2500)))</x:f>
        <x:v>1000</x:v>
      </x:c>
      <x:c r="J9" s="53" t="n">
        <x:f>IF(C9&lt;=3,1500,IF(C9&lt;=14,1800,IF(C9&lt;=45,1500,1200)))</x:f>
        <x:v>1500</x:v>
      </x:c>
      <x:c r="K9" s="53" t="n">
        <x:f>IF(C9&lt;=3,600,IF(C9&lt;=14,800,900))</x:f>
        <x:v>600</x:v>
      </x:c>
      <x:c r="L9" s="53" t="n">
        <x:f>376</x:f>
        <x:v>376</x:v>
      </x:c>
      <x:c r="M9" s="53" t="n">
        <x:f>SUM(D9:L9)</x:f>
        <x:v>15996</x:v>
      </x:c>
      <x:c r="N9" s="72"/>
    </x:row>
    <x:row r="10">
      <x:c r="C10" s="20" t="n">
        <x:v>3</x:v>
      </x:c>
      <x:c r="D10" s="53" t="n">
        <x:f>IF(C10&lt;=3,25000,IF(C10&lt;=14,80000,'Controls'!$D$11))*0.04</x:f>
        <x:v>1000</x:v>
      </x:c>
      <x:c r="E10" s="53" t="n">
        <x:f>IF(C10&lt;=30,4320,MAX(2160,4320-(C10-30)*36))</x:f>
        <x:v>4320</x:v>
      </x:c>
      <x:c r="F10" s="53" t="n">
        <x:f>IF(C10&lt;=3,2000,IF(C10&lt;=14,1000,500))</x:f>
        <x:v>2000</x:v>
      </x:c>
      <x:c r="G10" s="53" t="n">
        <x:f>IF(C10&lt;=3,4000,IF(C10&lt;=45,6000,5000))</x:f>
        <x:v>4000</x:v>
      </x:c>
      <x:c r="H10" s="53" t="n">
        <x:f>IF(C10&lt;=14,1200,1100)</x:f>
        <x:v>1200</x:v>
      </x:c>
      <x:c r="I10" s="53" t="n">
        <x:f>IF(C10&lt;=3,1000,IF(C10&lt;=14,2000,IF(C10&lt;=45,3500,2500)))</x:f>
        <x:v>1000</x:v>
      </x:c>
      <x:c r="J10" s="53" t="n">
        <x:f>IF(C10&lt;=3,1500,IF(C10&lt;=14,1800,IF(C10&lt;=45,1500,1200)))</x:f>
        <x:v>1500</x:v>
      </x:c>
      <x:c r="K10" s="53" t="n">
        <x:f>IF(C10&lt;=3,600,IF(C10&lt;=14,800,900))</x:f>
        <x:v>600</x:v>
      </x:c>
      <x:c r="L10" s="53" t="n">
        <x:f>376</x:f>
        <x:v>376</x:v>
      </x:c>
      <x:c r="M10" s="53" t="n">
        <x:f>SUM(D10:L10)</x:f>
        <x:v>15996</x:v>
      </x:c>
      <x:c r="N10" s="72"/>
    </x:row>
    <x:row r="11">
      <x:c r="C11" s="20" t="n">
        <x:v>4</x:v>
      </x:c>
      <x:c r="D11" s="53" t="n">
        <x:f>IF(C11&lt;=3,25000,IF(C11&lt;=14,80000,'Controls'!$D$11))*0.04</x:f>
        <x:v>3200</x:v>
      </x:c>
      <x:c r="E11" s="53" t="n">
        <x:f>IF(C11&lt;=30,4320,MAX(2160,4320-(C11-30)*36))</x:f>
        <x:v>4320</x:v>
      </x:c>
      <x:c r="F11" s="53" t="n">
        <x:f>IF(C11&lt;=3,2000,IF(C11&lt;=14,1000,500))</x:f>
        <x:v>1000</x:v>
      </x:c>
      <x:c r="G11" s="53" t="n">
        <x:f>IF(C11&lt;=3,4000,IF(C11&lt;=45,6000,5000))</x:f>
        <x:v>6000</x:v>
      </x:c>
      <x:c r="H11" s="53" t="n">
        <x:f>IF(C11&lt;=14,1200,1100)</x:f>
        <x:v>1200</x:v>
      </x:c>
      <x:c r="I11" s="53" t="n">
        <x:f>IF(C11&lt;=3,1000,IF(C11&lt;=14,2000,IF(C11&lt;=45,3500,2500)))</x:f>
        <x:v>2000</x:v>
      </x:c>
      <x:c r="J11" s="53" t="n">
        <x:f>IF(C11&lt;=3,1500,IF(C11&lt;=14,1800,IF(C11&lt;=45,1500,1200)))</x:f>
        <x:v>1800</x:v>
      </x:c>
      <x:c r="K11" s="53" t="n">
        <x:f>IF(C11&lt;=3,600,IF(C11&lt;=14,800,900))</x:f>
        <x:v>800</x:v>
      </x:c>
      <x:c r="L11" s="53" t="n">
        <x:f>376</x:f>
        <x:v>376</x:v>
      </x:c>
      <x:c r="M11" s="53" t="n">
        <x:f>SUM(D11:L11)</x:f>
        <x:v>20696</x:v>
      </x:c>
      <x:c r="N11" s="72"/>
    </x:row>
    <x:row r="12">
      <x:c r="C12" s="20" t="n">
        <x:v>5</x:v>
      </x:c>
      <x:c r="D12" s="53" t="n">
        <x:f>IF(C12&lt;=3,25000,IF(C12&lt;=14,80000,'Controls'!$D$11))*0.04</x:f>
        <x:v>3200</x:v>
      </x:c>
      <x:c r="E12" s="53" t="n">
        <x:f>IF(C12&lt;=30,4320,MAX(2160,4320-(C12-30)*36))</x:f>
        <x:v>4320</x:v>
      </x:c>
      <x:c r="F12" s="53" t="n">
        <x:f>IF(C12&lt;=3,2000,IF(C12&lt;=14,1000,500))</x:f>
        <x:v>1000</x:v>
      </x:c>
      <x:c r="G12" s="53" t="n">
        <x:f>IF(C12&lt;=3,4000,IF(C12&lt;=45,6000,5000))</x:f>
        <x:v>6000</x:v>
      </x:c>
      <x:c r="H12" s="53" t="n">
        <x:f>IF(C12&lt;=14,1200,1100)</x:f>
        <x:v>1200</x:v>
      </x:c>
      <x:c r="I12" s="53" t="n">
        <x:f>IF(C12&lt;=3,1000,IF(C12&lt;=14,2000,IF(C12&lt;=45,3500,2500)))</x:f>
        <x:v>2000</x:v>
      </x:c>
      <x:c r="J12" s="53" t="n">
        <x:f>IF(C12&lt;=3,1500,IF(C12&lt;=14,1800,IF(C12&lt;=45,1500,1200)))</x:f>
        <x:v>1800</x:v>
      </x:c>
      <x:c r="K12" s="53" t="n">
        <x:f>IF(C12&lt;=3,600,IF(C12&lt;=14,800,900))</x:f>
        <x:v>800</x:v>
      </x:c>
      <x:c r="L12" s="53" t="n">
        <x:f>376</x:f>
        <x:v>376</x:v>
      </x:c>
      <x:c r="M12" s="53" t="n">
        <x:f>SUM(D12:L12)</x:f>
        <x:v>20696</x:v>
      </x:c>
      <x:c r="N12" s="72"/>
    </x:row>
    <x:row r="13">
      <x:c r="C13" s="20" t="n">
        <x:v>6</x:v>
      </x:c>
      <x:c r="D13" s="53" t="n">
        <x:f>IF(C13&lt;=3,25000,IF(C13&lt;=14,80000,'Controls'!$D$11))*0.04</x:f>
        <x:v>3200</x:v>
      </x:c>
      <x:c r="E13" s="53" t="n">
        <x:f>IF(C13&lt;=30,4320,MAX(2160,4320-(C13-30)*36))</x:f>
        <x:v>4320</x:v>
      </x:c>
      <x:c r="F13" s="53" t="n">
        <x:f>IF(C13&lt;=3,2000,IF(C13&lt;=14,1000,500))</x:f>
        <x:v>1000</x:v>
      </x:c>
      <x:c r="G13" s="53" t="n">
        <x:f>IF(C13&lt;=3,4000,IF(C13&lt;=45,6000,5000))</x:f>
        <x:v>6000</x:v>
      </x:c>
      <x:c r="H13" s="53" t="n">
        <x:f>IF(C13&lt;=14,1200,1100)</x:f>
        <x:v>1200</x:v>
      </x:c>
      <x:c r="I13" s="53" t="n">
        <x:f>IF(C13&lt;=3,1000,IF(C13&lt;=14,2000,IF(C13&lt;=45,3500,2500)))</x:f>
        <x:v>2000</x:v>
      </x:c>
      <x:c r="J13" s="53" t="n">
        <x:f>IF(C13&lt;=3,1500,IF(C13&lt;=14,1800,IF(C13&lt;=45,1500,1200)))</x:f>
        <x:v>1800</x:v>
      </x:c>
      <x:c r="K13" s="53" t="n">
        <x:f>IF(C13&lt;=3,600,IF(C13&lt;=14,800,900))</x:f>
        <x:v>800</x:v>
      </x:c>
      <x:c r="L13" s="53" t="n">
        <x:f>376</x:f>
        <x:v>376</x:v>
      </x:c>
      <x:c r="M13" s="53" t="n">
        <x:f>SUM(D13:L13)</x:f>
        <x:v>20696</x:v>
      </x:c>
      <x:c r="N13" s="72"/>
    </x:row>
    <x:row r="14">
      <x:c r="C14" s="20" t="n">
        <x:v>7</x:v>
      </x:c>
      <x:c r="D14" s="53" t="n">
        <x:f>IF(C14&lt;=3,25000,IF(C14&lt;=14,80000,'Controls'!$D$11))*0.04</x:f>
        <x:v>3200</x:v>
      </x:c>
      <x:c r="E14" s="53" t="n">
        <x:f>IF(C14&lt;=30,4320,MAX(2160,4320-(C14-30)*36))</x:f>
        <x:v>4320</x:v>
      </x:c>
      <x:c r="F14" s="53" t="n">
        <x:f>IF(C14&lt;=3,2000,IF(C14&lt;=14,1000,500))</x:f>
        <x:v>1000</x:v>
      </x:c>
      <x:c r="G14" s="53" t="n">
        <x:f>IF(C14&lt;=3,4000,IF(C14&lt;=45,6000,5000))</x:f>
        <x:v>6000</x:v>
      </x:c>
      <x:c r="H14" s="53" t="n">
        <x:f>IF(C14&lt;=14,1200,1100)</x:f>
        <x:v>1200</x:v>
      </x:c>
      <x:c r="I14" s="53" t="n">
        <x:f>IF(C14&lt;=3,1000,IF(C14&lt;=14,2000,IF(C14&lt;=45,3500,2500)))</x:f>
        <x:v>2000</x:v>
      </x:c>
      <x:c r="J14" s="53" t="n">
        <x:f>IF(C14&lt;=3,1500,IF(C14&lt;=14,1800,IF(C14&lt;=45,1500,1200)))</x:f>
        <x:v>1800</x:v>
      </x:c>
      <x:c r="K14" s="53" t="n">
        <x:f>IF(C14&lt;=3,600,IF(C14&lt;=14,800,900))</x:f>
        <x:v>800</x:v>
      </x:c>
      <x:c r="L14" s="53" t="n">
        <x:f>376</x:f>
        <x:v>376</x:v>
      </x:c>
      <x:c r="M14" s="53" t="n">
        <x:f>SUM(D14:L14)</x:f>
        <x:v>20696</x:v>
      </x:c>
      <x:c r="N14" s="72"/>
    </x:row>
    <x:row r="15">
      <x:c r="C15" s="20" t="n">
        <x:v>8</x:v>
      </x:c>
      <x:c r="D15" s="53" t="n">
        <x:f>IF(C15&lt;=3,25000,IF(C15&lt;=14,80000,'Controls'!$D$11))*0.04</x:f>
        <x:v>3200</x:v>
      </x:c>
      <x:c r="E15" s="53" t="n">
        <x:f>IF(C15&lt;=30,4320,MAX(2160,4320-(C15-30)*36))</x:f>
        <x:v>4320</x:v>
      </x:c>
      <x:c r="F15" s="53" t="n">
        <x:f>IF(C15&lt;=3,2000,IF(C15&lt;=14,1000,500))</x:f>
        <x:v>1000</x:v>
      </x:c>
      <x:c r="G15" s="53" t="n">
        <x:f>IF(C15&lt;=3,4000,IF(C15&lt;=45,6000,5000))</x:f>
        <x:v>6000</x:v>
      </x:c>
      <x:c r="H15" s="53" t="n">
        <x:f>IF(C15&lt;=14,1200,1100)</x:f>
        <x:v>1200</x:v>
      </x:c>
      <x:c r="I15" s="53" t="n">
        <x:f>IF(C15&lt;=3,1000,IF(C15&lt;=14,2000,IF(C15&lt;=45,3500,2500)))</x:f>
        <x:v>2000</x:v>
      </x:c>
      <x:c r="J15" s="53" t="n">
        <x:f>IF(C15&lt;=3,1500,IF(C15&lt;=14,1800,IF(C15&lt;=45,1500,1200)))</x:f>
        <x:v>1800</x:v>
      </x:c>
      <x:c r="K15" s="53" t="n">
        <x:f>IF(C15&lt;=3,600,IF(C15&lt;=14,800,900))</x:f>
        <x:v>800</x:v>
      </x:c>
      <x:c r="L15" s="53" t="n">
        <x:f>376</x:f>
        <x:v>376</x:v>
      </x:c>
      <x:c r="M15" s="53" t="n">
        <x:f>SUM(D15:L15)</x:f>
        <x:v>20696</x:v>
      </x:c>
      <x:c r="N15" s="72"/>
    </x:row>
    <x:row r="16">
      <x:c r="C16" s="20" t="n">
        <x:v>9</x:v>
      </x:c>
      <x:c r="D16" s="53" t="n">
        <x:f>IF(C16&lt;=3,25000,IF(C16&lt;=14,80000,'Controls'!$D$11))*0.04</x:f>
        <x:v>3200</x:v>
      </x:c>
      <x:c r="E16" s="53" t="n">
        <x:f>IF(C16&lt;=30,4320,MAX(2160,4320-(C16-30)*36))</x:f>
        <x:v>4320</x:v>
      </x:c>
      <x:c r="F16" s="53" t="n">
        <x:f>IF(C16&lt;=3,2000,IF(C16&lt;=14,1000,500))</x:f>
        <x:v>1000</x:v>
      </x:c>
      <x:c r="G16" s="53" t="n">
        <x:f>IF(C16&lt;=3,4000,IF(C16&lt;=45,6000,5000))</x:f>
        <x:v>6000</x:v>
      </x:c>
      <x:c r="H16" s="53" t="n">
        <x:f>IF(C16&lt;=14,1200,1100)</x:f>
        <x:v>1200</x:v>
      </x:c>
      <x:c r="I16" s="53" t="n">
        <x:f>IF(C16&lt;=3,1000,IF(C16&lt;=14,2000,IF(C16&lt;=45,3500,2500)))</x:f>
        <x:v>2000</x:v>
      </x:c>
      <x:c r="J16" s="53" t="n">
        <x:f>IF(C16&lt;=3,1500,IF(C16&lt;=14,1800,IF(C16&lt;=45,1500,1200)))</x:f>
        <x:v>1800</x:v>
      </x:c>
      <x:c r="K16" s="53" t="n">
        <x:f>IF(C16&lt;=3,600,IF(C16&lt;=14,800,900))</x:f>
        <x:v>800</x:v>
      </x:c>
      <x:c r="L16" s="53" t="n">
        <x:f>376</x:f>
        <x:v>376</x:v>
      </x:c>
      <x:c r="M16" s="53" t="n">
        <x:f>SUM(D16:L16)</x:f>
        <x:v>20696</x:v>
      </x:c>
      <x:c r="N16" s="72"/>
    </x:row>
    <x:row r="17">
      <x:c r="C17" s="20" t="n">
        <x:v>10</x:v>
      </x:c>
      <x:c r="D17" s="53" t="n">
        <x:f>IF(C17&lt;=3,25000,IF(C17&lt;=14,80000,'Controls'!$D$11))*0.04</x:f>
        <x:v>3200</x:v>
      </x:c>
      <x:c r="E17" s="53" t="n">
        <x:f>IF(C17&lt;=30,4320,MAX(2160,4320-(C17-30)*36))</x:f>
        <x:v>4320</x:v>
      </x:c>
      <x:c r="F17" s="53" t="n">
        <x:f>IF(C17&lt;=3,2000,IF(C17&lt;=14,1000,500))</x:f>
        <x:v>1000</x:v>
      </x:c>
      <x:c r="G17" s="53" t="n">
        <x:f>IF(C17&lt;=3,4000,IF(C17&lt;=45,6000,5000))</x:f>
        <x:v>6000</x:v>
      </x:c>
      <x:c r="H17" s="53" t="n">
        <x:f>IF(C17&lt;=14,1200,1100)</x:f>
        <x:v>1200</x:v>
      </x:c>
      <x:c r="I17" s="53" t="n">
        <x:f>IF(C17&lt;=3,1000,IF(C17&lt;=14,2000,IF(C17&lt;=45,3500,2500)))</x:f>
        <x:v>2000</x:v>
      </x:c>
      <x:c r="J17" s="53" t="n">
        <x:f>IF(C17&lt;=3,1500,IF(C17&lt;=14,1800,IF(C17&lt;=45,1500,1200)))</x:f>
        <x:v>1800</x:v>
      </x:c>
      <x:c r="K17" s="53" t="n">
        <x:f>IF(C17&lt;=3,600,IF(C17&lt;=14,800,900))</x:f>
        <x:v>800</x:v>
      </x:c>
      <x:c r="L17" s="53" t="n">
        <x:f>376</x:f>
        <x:v>376</x:v>
      </x:c>
      <x:c r="M17" s="53" t="n">
        <x:f>SUM(D17:L17)</x:f>
        <x:v>20696</x:v>
      </x:c>
      <x:c r="N17" s="72"/>
    </x:row>
    <x:row r="18">
      <x:c r="C18" s="20" t="n">
        <x:v>11</x:v>
      </x:c>
      <x:c r="D18" s="53" t="n">
        <x:f>IF(C18&lt;=3,25000,IF(C18&lt;=14,80000,'Controls'!$D$11))*0.04</x:f>
        <x:v>3200</x:v>
      </x:c>
      <x:c r="E18" s="53" t="n">
        <x:f>IF(C18&lt;=30,4320,MAX(2160,4320-(C18-30)*36))</x:f>
        <x:v>4320</x:v>
      </x:c>
      <x:c r="F18" s="53" t="n">
        <x:f>IF(C18&lt;=3,2000,IF(C18&lt;=14,1000,500))</x:f>
        <x:v>1000</x:v>
      </x:c>
      <x:c r="G18" s="53" t="n">
        <x:f>IF(C18&lt;=3,4000,IF(C18&lt;=45,6000,5000))</x:f>
        <x:v>6000</x:v>
      </x:c>
      <x:c r="H18" s="53" t="n">
        <x:f>IF(C18&lt;=14,1200,1100)</x:f>
        <x:v>1200</x:v>
      </x:c>
      <x:c r="I18" s="53" t="n">
        <x:f>IF(C18&lt;=3,1000,IF(C18&lt;=14,2000,IF(C18&lt;=45,3500,2500)))</x:f>
        <x:v>2000</x:v>
      </x:c>
      <x:c r="J18" s="53" t="n">
        <x:f>IF(C18&lt;=3,1500,IF(C18&lt;=14,1800,IF(C18&lt;=45,1500,1200)))</x:f>
        <x:v>1800</x:v>
      </x:c>
      <x:c r="K18" s="53" t="n">
        <x:f>IF(C18&lt;=3,600,IF(C18&lt;=14,800,900))</x:f>
        <x:v>800</x:v>
      </x:c>
      <x:c r="L18" s="53" t="n">
        <x:f>376</x:f>
        <x:v>376</x:v>
      </x:c>
      <x:c r="M18" s="53" t="n">
        <x:f>SUM(D18:L18)</x:f>
        <x:v>20696</x:v>
      </x:c>
      <x:c r="N18" s="72"/>
    </x:row>
    <x:row r="19">
      <x:c r="C19" s="20" t="n">
        <x:v>12</x:v>
      </x:c>
      <x:c r="D19" s="53" t="n">
        <x:f>IF(C19&lt;=3,25000,IF(C19&lt;=14,80000,'Controls'!$D$11))*0.04</x:f>
        <x:v>3200</x:v>
      </x:c>
      <x:c r="E19" s="53" t="n">
        <x:f>IF(C19&lt;=30,4320,MAX(2160,4320-(C19-30)*36))</x:f>
        <x:v>4320</x:v>
      </x:c>
      <x:c r="F19" s="53" t="n">
        <x:f>IF(C19&lt;=3,2000,IF(C19&lt;=14,1000,500))</x:f>
        <x:v>1000</x:v>
      </x:c>
      <x:c r="G19" s="53" t="n">
        <x:f>IF(C19&lt;=3,4000,IF(C19&lt;=45,6000,5000))</x:f>
        <x:v>6000</x:v>
      </x:c>
      <x:c r="H19" s="53" t="n">
        <x:f>IF(C19&lt;=14,1200,1100)</x:f>
        <x:v>1200</x:v>
      </x:c>
      <x:c r="I19" s="53" t="n">
        <x:f>IF(C19&lt;=3,1000,IF(C19&lt;=14,2000,IF(C19&lt;=45,3500,2500)))</x:f>
        <x:v>2000</x:v>
      </x:c>
      <x:c r="J19" s="53" t="n">
        <x:f>IF(C19&lt;=3,1500,IF(C19&lt;=14,1800,IF(C19&lt;=45,1500,1200)))</x:f>
        <x:v>1800</x:v>
      </x:c>
      <x:c r="K19" s="53" t="n">
        <x:f>IF(C19&lt;=3,600,IF(C19&lt;=14,800,900))</x:f>
        <x:v>800</x:v>
      </x:c>
      <x:c r="L19" s="53" t="n">
        <x:f>376</x:f>
        <x:v>376</x:v>
      </x:c>
      <x:c r="M19" s="53" t="n">
        <x:f>SUM(D19:L19)</x:f>
        <x:v>20696</x:v>
      </x:c>
      <x:c r="N19" s="72"/>
    </x:row>
    <x:row r="20">
      <x:c r="C20" s="20" t="n">
        <x:v>13</x:v>
      </x:c>
      <x:c r="D20" s="53" t="n">
        <x:f>IF(C20&lt;=3,25000,IF(C20&lt;=14,80000,'Controls'!$D$11))*0.04</x:f>
        <x:v>3200</x:v>
      </x:c>
      <x:c r="E20" s="53" t="n">
        <x:f>IF(C20&lt;=30,4320,MAX(2160,4320-(C20-30)*36))</x:f>
        <x:v>4320</x:v>
      </x:c>
      <x:c r="F20" s="53" t="n">
        <x:f>IF(C20&lt;=3,2000,IF(C20&lt;=14,1000,500))</x:f>
        <x:v>1000</x:v>
      </x:c>
      <x:c r="G20" s="53" t="n">
        <x:f>IF(C20&lt;=3,4000,IF(C20&lt;=45,6000,5000))</x:f>
        <x:v>6000</x:v>
      </x:c>
      <x:c r="H20" s="53" t="n">
        <x:f>IF(C20&lt;=14,1200,1100)</x:f>
        <x:v>1200</x:v>
      </x:c>
      <x:c r="I20" s="53" t="n">
        <x:f>IF(C20&lt;=3,1000,IF(C20&lt;=14,2000,IF(C20&lt;=45,3500,2500)))</x:f>
        <x:v>2000</x:v>
      </x:c>
      <x:c r="J20" s="53" t="n">
        <x:f>IF(C20&lt;=3,1500,IF(C20&lt;=14,1800,IF(C20&lt;=45,1500,1200)))</x:f>
        <x:v>1800</x:v>
      </x:c>
      <x:c r="K20" s="53" t="n">
        <x:f>IF(C20&lt;=3,600,IF(C20&lt;=14,800,900))</x:f>
        <x:v>800</x:v>
      </x:c>
      <x:c r="L20" s="53" t="n">
        <x:f>376</x:f>
        <x:v>376</x:v>
      </x:c>
      <x:c r="M20" s="53" t="n">
        <x:f>SUM(D20:L20)</x:f>
        <x:v>20696</x:v>
      </x:c>
      <x:c r="N20" s="72"/>
    </x:row>
    <x:row r="21">
      <x:c r="C21" s="20" t="n">
        <x:v>14</x:v>
      </x:c>
      <x:c r="D21" s="53" t="n">
        <x:f>IF(C21&lt;=3,25000,IF(C21&lt;=14,80000,'Controls'!$D$11))*0.04</x:f>
        <x:v>3200</x:v>
      </x:c>
      <x:c r="E21" s="53" t="n">
        <x:f>IF(C21&lt;=30,4320,MAX(2160,4320-(C21-30)*36))</x:f>
        <x:v>4320</x:v>
      </x:c>
      <x:c r="F21" s="53" t="n">
        <x:f>IF(C21&lt;=3,2000,IF(C21&lt;=14,1000,500))</x:f>
        <x:v>1000</x:v>
      </x:c>
      <x:c r="G21" s="53" t="n">
        <x:f>IF(C21&lt;=3,4000,IF(C21&lt;=45,6000,5000))</x:f>
        <x:v>6000</x:v>
      </x:c>
      <x:c r="H21" s="53" t="n">
        <x:f>IF(C21&lt;=14,1200,1100)</x:f>
        <x:v>1200</x:v>
      </x:c>
      <x:c r="I21" s="53" t="n">
        <x:f>IF(C21&lt;=3,1000,IF(C21&lt;=14,2000,IF(C21&lt;=45,3500,2500)))</x:f>
        <x:v>2000</x:v>
      </x:c>
      <x:c r="J21" s="53" t="n">
        <x:f>IF(C21&lt;=3,1500,IF(C21&lt;=14,1800,IF(C21&lt;=45,1500,1200)))</x:f>
        <x:v>1800</x:v>
      </x:c>
      <x:c r="K21" s="53" t="n">
        <x:f>IF(C21&lt;=3,600,IF(C21&lt;=14,800,900))</x:f>
        <x:v>800</x:v>
      </x:c>
      <x:c r="L21" s="53" t="n">
        <x:f>376</x:f>
        <x:v>376</x:v>
      </x:c>
      <x:c r="M21" s="53" t="n">
        <x:f>SUM(D21:L21)</x:f>
        <x:v>20696</x:v>
      </x:c>
      <x:c r="N21" s="72"/>
    </x:row>
    <x:row r="22">
      <x:c r="C22" s="20" t="n">
        <x:v>15</x:v>
      </x:c>
      <x:c r="D22" s="53" t="n">
        <x:f>IF(C22&lt;=3,25000,IF(C22&lt;=14,80000,'Controls'!$D$11))*0.04</x:f>
        <x:v>4324.4</x:v>
      </x:c>
      <x:c r="E22" s="53" t="n">
        <x:f>IF(C22&lt;=30,4320,MAX(2160,4320-(C22-30)*36))</x:f>
        <x:v>4320</x:v>
      </x:c>
      <x:c r="F22" s="53" t="n">
        <x:f>IF(C22&lt;=3,2000,IF(C22&lt;=14,1000,500))</x:f>
        <x:v>500</x:v>
      </x:c>
      <x:c r="G22" s="53" t="n">
        <x:f>IF(C22&lt;=3,4000,IF(C22&lt;=45,6000,5000))</x:f>
        <x:v>6000</x:v>
      </x:c>
      <x:c r="H22" s="53" t="n">
        <x:f>IF(C22&lt;=14,1200,1100)</x:f>
        <x:v>1100</x:v>
      </x:c>
      <x:c r="I22" s="53" t="n">
        <x:f>IF(C22&lt;=3,1000,IF(C22&lt;=14,2000,IF(C22&lt;=45,3500,2500)))</x:f>
        <x:v>3500</x:v>
      </x:c>
      <x:c r="J22" s="53" t="n">
        <x:f>IF(C22&lt;=3,1500,IF(C22&lt;=14,1800,IF(C22&lt;=45,1500,1200)))</x:f>
        <x:v>1500</x:v>
      </x:c>
      <x:c r="K22" s="53" t="n">
        <x:f>IF(C22&lt;=3,600,IF(C22&lt;=14,800,900))</x:f>
        <x:v>900</x:v>
      </x:c>
      <x:c r="L22" s="53" t="n">
        <x:f>376</x:f>
        <x:v>376</x:v>
      </x:c>
      <x:c r="M22" s="53" t="n">
        <x:f>SUM(D22:L22)</x:f>
        <x:v>22520.4</x:v>
      </x:c>
      <x:c r="N22" s="72"/>
    </x:row>
    <x:row r="23">
      <x:c r="C23" s="20" t="n">
        <x:v>16</x:v>
      </x:c>
      <x:c r="D23" s="53" t="n">
        <x:f>IF(C23&lt;=3,25000,IF(C23&lt;=14,80000,'Controls'!$D$11))*0.04</x:f>
        <x:v>4324.4</x:v>
      </x:c>
      <x:c r="E23" s="53" t="n">
        <x:f>IF(C23&lt;=30,4320,MAX(2160,4320-(C23-30)*36))</x:f>
        <x:v>4320</x:v>
      </x:c>
      <x:c r="F23" s="53" t="n">
        <x:f>IF(C23&lt;=3,2000,IF(C23&lt;=14,1000,500))</x:f>
        <x:v>500</x:v>
      </x:c>
      <x:c r="G23" s="53" t="n">
        <x:f>IF(C23&lt;=3,4000,IF(C23&lt;=45,6000,5000))</x:f>
        <x:v>6000</x:v>
      </x:c>
      <x:c r="H23" s="53" t="n">
        <x:f>IF(C23&lt;=14,1200,1100)</x:f>
        <x:v>1100</x:v>
      </x:c>
      <x:c r="I23" s="53" t="n">
        <x:f>IF(C23&lt;=3,1000,IF(C23&lt;=14,2000,IF(C23&lt;=45,3500,2500)))</x:f>
        <x:v>3500</x:v>
      </x:c>
      <x:c r="J23" s="53" t="n">
        <x:f>IF(C23&lt;=3,1500,IF(C23&lt;=14,1800,IF(C23&lt;=45,1500,1200)))</x:f>
        <x:v>1500</x:v>
      </x:c>
      <x:c r="K23" s="53" t="n">
        <x:f>IF(C23&lt;=3,600,IF(C23&lt;=14,800,900))</x:f>
        <x:v>900</x:v>
      </x:c>
      <x:c r="L23" s="53" t="n">
        <x:f>376</x:f>
        <x:v>376</x:v>
      </x:c>
      <x:c r="M23" s="53" t="n">
        <x:f>SUM(D23:L23)</x:f>
        <x:v>22520.4</x:v>
      </x:c>
      <x:c r="N23" s="72"/>
    </x:row>
    <x:row r="24">
      <x:c r="C24" s="20" t="n">
        <x:v>17</x:v>
      </x:c>
      <x:c r="D24" s="53" t="n">
        <x:f>IF(C24&lt;=3,25000,IF(C24&lt;=14,80000,'Controls'!$D$11))*0.04</x:f>
        <x:v>4324.4</x:v>
      </x:c>
      <x:c r="E24" s="53" t="n">
        <x:f>IF(C24&lt;=30,4320,MAX(2160,4320-(C24-30)*36))</x:f>
        <x:v>4320</x:v>
      </x:c>
      <x:c r="F24" s="53" t="n">
        <x:f>IF(C24&lt;=3,2000,IF(C24&lt;=14,1000,500))</x:f>
        <x:v>500</x:v>
      </x:c>
      <x:c r="G24" s="53" t="n">
        <x:f>IF(C24&lt;=3,4000,IF(C24&lt;=45,6000,5000))</x:f>
        <x:v>6000</x:v>
      </x:c>
      <x:c r="H24" s="53" t="n">
        <x:f>IF(C24&lt;=14,1200,1100)</x:f>
        <x:v>1100</x:v>
      </x:c>
      <x:c r="I24" s="53" t="n">
        <x:f>IF(C24&lt;=3,1000,IF(C24&lt;=14,2000,IF(C24&lt;=45,3500,2500)))</x:f>
        <x:v>3500</x:v>
      </x:c>
      <x:c r="J24" s="53" t="n">
        <x:f>IF(C24&lt;=3,1500,IF(C24&lt;=14,1800,IF(C24&lt;=45,1500,1200)))</x:f>
        <x:v>1500</x:v>
      </x:c>
      <x:c r="K24" s="53" t="n">
        <x:f>IF(C24&lt;=3,600,IF(C24&lt;=14,800,900))</x:f>
        <x:v>900</x:v>
      </x:c>
      <x:c r="L24" s="53" t="n">
        <x:f>376</x:f>
        <x:v>376</x:v>
      </x:c>
      <x:c r="M24" s="53" t="n">
        <x:f>SUM(D24:L24)</x:f>
        <x:v>22520.4</x:v>
      </x:c>
      <x:c r="N24" s="72"/>
    </x:row>
    <x:row r="25">
      <x:c r="C25" s="20" t="n">
        <x:v>18</x:v>
      </x:c>
      <x:c r="D25" s="53" t="n">
        <x:f>IF(C25&lt;=3,25000,IF(C25&lt;=14,80000,'Controls'!$D$11))*0.04</x:f>
        <x:v>4324.4</x:v>
      </x:c>
      <x:c r="E25" s="53" t="n">
        <x:f>IF(C25&lt;=30,4320,MAX(2160,4320-(C25-30)*36))</x:f>
        <x:v>4320</x:v>
      </x:c>
      <x:c r="F25" s="53" t="n">
        <x:f>IF(C25&lt;=3,2000,IF(C25&lt;=14,1000,500))</x:f>
        <x:v>500</x:v>
      </x:c>
      <x:c r="G25" s="53" t="n">
        <x:f>IF(C25&lt;=3,4000,IF(C25&lt;=45,6000,5000))</x:f>
        <x:v>6000</x:v>
      </x:c>
      <x:c r="H25" s="53" t="n">
        <x:f>IF(C25&lt;=14,1200,1100)</x:f>
        <x:v>1100</x:v>
      </x:c>
      <x:c r="I25" s="53" t="n">
        <x:f>IF(C25&lt;=3,1000,IF(C25&lt;=14,2000,IF(C25&lt;=45,3500,2500)))</x:f>
        <x:v>3500</x:v>
      </x:c>
      <x:c r="J25" s="53" t="n">
        <x:f>IF(C25&lt;=3,1500,IF(C25&lt;=14,1800,IF(C25&lt;=45,1500,1200)))</x:f>
        <x:v>1500</x:v>
      </x:c>
      <x:c r="K25" s="53" t="n">
        <x:f>IF(C25&lt;=3,600,IF(C25&lt;=14,800,900))</x:f>
        <x:v>900</x:v>
      </x:c>
      <x:c r="L25" s="53" t="n">
        <x:f>376</x:f>
        <x:v>376</x:v>
      </x:c>
      <x:c r="M25" s="53" t="n">
        <x:f>SUM(D25:L25)</x:f>
        <x:v>22520.4</x:v>
      </x:c>
      <x:c r="N25" s="72"/>
    </x:row>
    <x:row r="26">
      <x:c r="C26" s="20" t="n">
        <x:v>19</x:v>
      </x:c>
      <x:c r="D26" s="53" t="n">
        <x:f>IF(C26&lt;=3,25000,IF(C26&lt;=14,80000,'Controls'!$D$11))*0.04</x:f>
        <x:v>4324.4</x:v>
      </x:c>
      <x:c r="E26" s="53" t="n">
        <x:f>IF(C26&lt;=30,4320,MAX(2160,4320-(C26-30)*36))</x:f>
        <x:v>4320</x:v>
      </x:c>
      <x:c r="F26" s="53" t="n">
        <x:f>IF(C26&lt;=3,2000,IF(C26&lt;=14,1000,500))</x:f>
        <x:v>500</x:v>
      </x:c>
      <x:c r="G26" s="53" t="n">
        <x:f>IF(C26&lt;=3,4000,IF(C26&lt;=45,6000,5000))</x:f>
        <x:v>6000</x:v>
      </x:c>
      <x:c r="H26" s="53" t="n">
        <x:f>IF(C26&lt;=14,1200,1100)</x:f>
        <x:v>1100</x:v>
      </x:c>
      <x:c r="I26" s="53" t="n">
        <x:f>IF(C26&lt;=3,1000,IF(C26&lt;=14,2000,IF(C26&lt;=45,3500,2500)))</x:f>
        <x:v>3500</x:v>
      </x:c>
      <x:c r="J26" s="53" t="n">
        <x:f>IF(C26&lt;=3,1500,IF(C26&lt;=14,1800,IF(C26&lt;=45,1500,1200)))</x:f>
        <x:v>1500</x:v>
      </x:c>
      <x:c r="K26" s="53" t="n">
        <x:f>IF(C26&lt;=3,600,IF(C26&lt;=14,800,900))</x:f>
        <x:v>900</x:v>
      </x:c>
      <x:c r="L26" s="53" t="n">
        <x:f>376</x:f>
        <x:v>376</x:v>
      </x:c>
      <x:c r="M26" s="53" t="n">
        <x:f>SUM(D26:L26)</x:f>
        <x:v>22520.4</x:v>
      </x:c>
      <x:c r="N26" s="72"/>
    </x:row>
    <x:row r="27">
      <x:c r="C27" s="20" t="n">
        <x:v>20</x:v>
      </x:c>
      <x:c r="D27" s="53" t="n">
        <x:f>IF(C27&lt;=3,25000,IF(C27&lt;=14,80000,'Controls'!$D$11))*0.04</x:f>
        <x:v>4324.4</x:v>
      </x:c>
      <x:c r="E27" s="53" t="n">
        <x:f>IF(C27&lt;=30,4320,MAX(2160,4320-(C27-30)*36))</x:f>
        <x:v>4320</x:v>
      </x:c>
      <x:c r="F27" s="53" t="n">
        <x:f>IF(C27&lt;=3,2000,IF(C27&lt;=14,1000,500))</x:f>
        <x:v>500</x:v>
      </x:c>
      <x:c r="G27" s="53" t="n">
        <x:f>IF(C27&lt;=3,4000,IF(C27&lt;=45,6000,5000))</x:f>
        <x:v>6000</x:v>
      </x:c>
      <x:c r="H27" s="53" t="n">
        <x:f>IF(C27&lt;=14,1200,1100)</x:f>
        <x:v>1100</x:v>
      </x:c>
      <x:c r="I27" s="53" t="n">
        <x:f>IF(C27&lt;=3,1000,IF(C27&lt;=14,2000,IF(C27&lt;=45,3500,2500)))</x:f>
        <x:v>3500</x:v>
      </x:c>
      <x:c r="J27" s="53" t="n">
        <x:f>IF(C27&lt;=3,1500,IF(C27&lt;=14,1800,IF(C27&lt;=45,1500,1200)))</x:f>
        <x:v>1500</x:v>
      </x:c>
      <x:c r="K27" s="53" t="n">
        <x:f>IF(C27&lt;=3,600,IF(C27&lt;=14,800,900))</x:f>
        <x:v>900</x:v>
      </x:c>
      <x:c r="L27" s="53" t="n">
        <x:f>376</x:f>
        <x:v>376</x:v>
      </x:c>
      <x:c r="M27" s="53" t="n">
        <x:f>SUM(D27:L27)</x:f>
        <x:v>22520.4</x:v>
      </x:c>
      <x:c r="N27" s="72"/>
    </x:row>
    <x:row r="28">
      <x:c r="C28" s="20" t="n">
        <x:v>21</x:v>
      </x:c>
      <x:c r="D28" s="53" t="n">
        <x:f>IF(C28&lt;=3,25000,IF(C28&lt;=14,80000,'Controls'!$D$11))*0.04</x:f>
        <x:v>4324.4</x:v>
      </x:c>
      <x:c r="E28" s="53" t="n">
        <x:f>IF(C28&lt;=30,4320,MAX(2160,4320-(C28-30)*36))</x:f>
        <x:v>4320</x:v>
      </x:c>
      <x:c r="F28" s="53" t="n">
        <x:f>IF(C28&lt;=3,2000,IF(C28&lt;=14,1000,500))</x:f>
        <x:v>500</x:v>
      </x:c>
      <x:c r="G28" s="53" t="n">
        <x:f>IF(C28&lt;=3,4000,IF(C28&lt;=45,6000,5000))</x:f>
        <x:v>6000</x:v>
      </x:c>
      <x:c r="H28" s="53" t="n">
        <x:f>IF(C28&lt;=14,1200,1100)</x:f>
        <x:v>1100</x:v>
      </x:c>
      <x:c r="I28" s="53" t="n">
        <x:f>IF(C28&lt;=3,1000,IF(C28&lt;=14,2000,IF(C28&lt;=45,3500,2500)))</x:f>
        <x:v>3500</x:v>
      </x:c>
      <x:c r="J28" s="53" t="n">
        <x:f>IF(C28&lt;=3,1500,IF(C28&lt;=14,1800,IF(C28&lt;=45,1500,1200)))</x:f>
        <x:v>1500</x:v>
      </x:c>
      <x:c r="K28" s="53" t="n">
        <x:f>IF(C28&lt;=3,600,IF(C28&lt;=14,800,900))</x:f>
        <x:v>900</x:v>
      </x:c>
      <x:c r="L28" s="53" t="n">
        <x:f>376</x:f>
        <x:v>376</x:v>
      </x:c>
      <x:c r="M28" s="53" t="n">
        <x:f>SUM(D28:L28)</x:f>
        <x:v>22520.4</x:v>
      </x:c>
      <x:c r="N28" s="72"/>
    </x:row>
    <x:row r="29">
      <x:c r="C29" s="20" t="n">
        <x:v>22</x:v>
      </x:c>
      <x:c r="D29" s="53" t="n">
        <x:f>IF(C29&lt;=3,25000,IF(C29&lt;=14,80000,'Controls'!$D$11))*0.04</x:f>
        <x:v>4324.4</x:v>
      </x:c>
      <x:c r="E29" s="53" t="n">
        <x:f>IF(C29&lt;=30,4320,MAX(2160,4320-(C29-30)*36))</x:f>
        <x:v>4320</x:v>
      </x:c>
      <x:c r="F29" s="53" t="n">
        <x:f>IF(C29&lt;=3,2000,IF(C29&lt;=14,1000,500))</x:f>
        <x:v>500</x:v>
      </x:c>
      <x:c r="G29" s="53" t="n">
        <x:f>IF(C29&lt;=3,4000,IF(C29&lt;=45,6000,5000))</x:f>
        <x:v>6000</x:v>
      </x:c>
      <x:c r="H29" s="53" t="n">
        <x:f>IF(C29&lt;=14,1200,1100)</x:f>
        <x:v>1100</x:v>
      </x:c>
      <x:c r="I29" s="53" t="n">
        <x:f>IF(C29&lt;=3,1000,IF(C29&lt;=14,2000,IF(C29&lt;=45,3500,2500)))</x:f>
        <x:v>3500</x:v>
      </x:c>
      <x:c r="J29" s="53" t="n">
        <x:f>IF(C29&lt;=3,1500,IF(C29&lt;=14,1800,IF(C29&lt;=45,1500,1200)))</x:f>
        <x:v>1500</x:v>
      </x:c>
      <x:c r="K29" s="53" t="n">
        <x:f>IF(C29&lt;=3,600,IF(C29&lt;=14,800,900))</x:f>
        <x:v>900</x:v>
      </x:c>
      <x:c r="L29" s="53" t="n">
        <x:f>376</x:f>
        <x:v>376</x:v>
      </x:c>
      <x:c r="M29" s="53" t="n">
        <x:f>SUM(D29:L29)</x:f>
        <x:v>22520.4</x:v>
      </x:c>
      <x:c r="N29" s="72"/>
    </x:row>
    <x:row r="30">
      <x:c r="C30" s="20" t="n">
        <x:v>23</x:v>
      </x:c>
      <x:c r="D30" s="53" t="n">
        <x:f>IF(C30&lt;=3,25000,IF(C30&lt;=14,80000,'Controls'!$D$11))*0.04</x:f>
        <x:v>4324.4</x:v>
      </x:c>
      <x:c r="E30" s="53" t="n">
        <x:f>IF(C30&lt;=30,4320,MAX(2160,4320-(C30-30)*36))</x:f>
        <x:v>4320</x:v>
      </x:c>
      <x:c r="F30" s="53" t="n">
        <x:f>IF(C30&lt;=3,2000,IF(C30&lt;=14,1000,500))</x:f>
        <x:v>500</x:v>
      </x:c>
      <x:c r="G30" s="53" t="n">
        <x:f>IF(C30&lt;=3,4000,IF(C30&lt;=45,6000,5000))</x:f>
        <x:v>6000</x:v>
      </x:c>
      <x:c r="H30" s="53" t="n">
        <x:f>IF(C30&lt;=14,1200,1100)</x:f>
        <x:v>1100</x:v>
      </x:c>
      <x:c r="I30" s="53" t="n">
        <x:f>IF(C30&lt;=3,1000,IF(C30&lt;=14,2000,IF(C30&lt;=45,3500,2500)))</x:f>
        <x:v>3500</x:v>
      </x:c>
      <x:c r="J30" s="53" t="n">
        <x:f>IF(C30&lt;=3,1500,IF(C30&lt;=14,1800,IF(C30&lt;=45,1500,1200)))</x:f>
        <x:v>1500</x:v>
      </x:c>
      <x:c r="K30" s="53" t="n">
        <x:f>IF(C30&lt;=3,600,IF(C30&lt;=14,800,900))</x:f>
        <x:v>900</x:v>
      </x:c>
      <x:c r="L30" s="53" t="n">
        <x:f>376</x:f>
        <x:v>376</x:v>
      </x:c>
      <x:c r="M30" s="53" t="n">
        <x:f>SUM(D30:L30)</x:f>
        <x:v>22520.4</x:v>
      </x:c>
      <x:c r="N30" s="72"/>
    </x:row>
    <x:row r="31">
      <x:c r="C31" s="20" t="n">
        <x:v>24</x:v>
      </x:c>
      <x:c r="D31" s="53" t="n">
        <x:f>IF(C31&lt;=3,25000,IF(C31&lt;=14,80000,'Controls'!$D$11))*0.04</x:f>
        <x:v>4324.4</x:v>
      </x:c>
      <x:c r="E31" s="53" t="n">
        <x:f>IF(C31&lt;=30,4320,MAX(2160,4320-(C31-30)*36))</x:f>
        <x:v>4320</x:v>
      </x:c>
      <x:c r="F31" s="53" t="n">
        <x:f>IF(C31&lt;=3,2000,IF(C31&lt;=14,1000,500))</x:f>
        <x:v>500</x:v>
      </x:c>
      <x:c r="G31" s="53" t="n">
        <x:f>IF(C31&lt;=3,4000,IF(C31&lt;=45,6000,5000))</x:f>
        <x:v>6000</x:v>
      </x:c>
      <x:c r="H31" s="53" t="n">
        <x:f>IF(C31&lt;=14,1200,1100)</x:f>
        <x:v>1100</x:v>
      </x:c>
      <x:c r="I31" s="53" t="n">
        <x:f>IF(C31&lt;=3,1000,IF(C31&lt;=14,2000,IF(C31&lt;=45,3500,2500)))</x:f>
        <x:v>3500</x:v>
      </x:c>
      <x:c r="J31" s="53" t="n">
        <x:f>IF(C31&lt;=3,1500,IF(C31&lt;=14,1800,IF(C31&lt;=45,1500,1200)))</x:f>
        <x:v>1500</x:v>
      </x:c>
      <x:c r="K31" s="53" t="n">
        <x:f>IF(C31&lt;=3,600,IF(C31&lt;=14,800,900))</x:f>
        <x:v>900</x:v>
      </x:c>
      <x:c r="L31" s="53" t="n">
        <x:f>376</x:f>
        <x:v>376</x:v>
      </x:c>
      <x:c r="M31" s="53" t="n">
        <x:f>SUM(D31:L31)</x:f>
        <x:v>22520.4</x:v>
      </x:c>
      <x:c r="N31" s="72"/>
    </x:row>
    <x:row r="32">
      <x:c r="C32" s="20" t="n">
        <x:v>25</x:v>
      </x:c>
      <x:c r="D32" s="53" t="n">
        <x:f>IF(C32&lt;=3,25000,IF(C32&lt;=14,80000,'Controls'!$D$11))*0.04</x:f>
        <x:v>4324.4</x:v>
      </x:c>
      <x:c r="E32" s="53" t="n">
        <x:f>IF(C32&lt;=30,4320,MAX(2160,4320-(C32-30)*36))</x:f>
        <x:v>4320</x:v>
      </x:c>
      <x:c r="F32" s="53" t="n">
        <x:f>IF(C32&lt;=3,2000,IF(C32&lt;=14,1000,500))</x:f>
        <x:v>500</x:v>
      </x:c>
      <x:c r="G32" s="53" t="n">
        <x:f>IF(C32&lt;=3,4000,IF(C32&lt;=45,6000,5000))</x:f>
        <x:v>6000</x:v>
      </x:c>
      <x:c r="H32" s="53" t="n">
        <x:f>IF(C32&lt;=14,1200,1100)</x:f>
        <x:v>1100</x:v>
      </x:c>
      <x:c r="I32" s="53" t="n">
        <x:f>IF(C32&lt;=3,1000,IF(C32&lt;=14,2000,IF(C32&lt;=45,3500,2500)))</x:f>
        <x:v>3500</x:v>
      </x:c>
      <x:c r="J32" s="53" t="n">
        <x:f>IF(C32&lt;=3,1500,IF(C32&lt;=14,1800,IF(C32&lt;=45,1500,1200)))</x:f>
        <x:v>1500</x:v>
      </x:c>
      <x:c r="K32" s="53" t="n">
        <x:f>IF(C32&lt;=3,600,IF(C32&lt;=14,800,900))</x:f>
        <x:v>900</x:v>
      </x:c>
      <x:c r="L32" s="53" t="n">
        <x:f>376</x:f>
        <x:v>376</x:v>
      </x:c>
      <x:c r="M32" s="53" t="n">
        <x:f>SUM(D32:L32)</x:f>
        <x:v>22520.4</x:v>
      </x:c>
      <x:c r="N32" s="72"/>
    </x:row>
    <x:row r="33">
      <x:c r="C33" s="20" t="n">
        <x:v>26</x:v>
      </x:c>
      <x:c r="D33" s="53" t="n">
        <x:f>IF(C33&lt;=3,25000,IF(C33&lt;=14,80000,'Controls'!$D$11))*0.04</x:f>
        <x:v>4324.4</x:v>
      </x:c>
      <x:c r="E33" s="53" t="n">
        <x:f>IF(C33&lt;=30,4320,MAX(2160,4320-(C33-30)*36))</x:f>
        <x:v>4320</x:v>
      </x:c>
      <x:c r="F33" s="53" t="n">
        <x:f>IF(C33&lt;=3,2000,IF(C33&lt;=14,1000,500))</x:f>
        <x:v>500</x:v>
      </x:c>
      <x:c r="G33" s="53" t="n">
        <x:f>IF(C33&lt;=3,4000,IF(C33&lt;=45,6000,5000))</x:f>
        <x:v>6000</x:v>
      </x:c>
      <x:c r="H33" s="53" t="n">
        <x:f>IF(C33&lt;=14,1200,1100)</x:f>
        <x:v>1100</x:v>
      </x:c>
      <x:c r="I33" s="53" t="n">
        <x:f>IF(C33&lt;=3,1000,IF(C33&lt;=14,2000,IF(C33&lt;=45,3500,2500)))</x:f>
        <x:v>3500</x:v>
      </x:c>
      <x:c r="J33" s="53" t="n">
        <x:f>IF(C33&lt;=3,1500,IF(C33&lt;=14,1800,IF(C33&lt;=45,1500,1200)))</x:f>
        <x:v>1500</x:v>
      </x:c>
      <x:c r="K33" s="53" t="n">
        <x:f>IF(C33&lt;=3,600,IF(C33&lt;=14,800,900))</x:f>
        <x:v>900</x:v>
      </x:c>
      <x:c r="L33" s="53" t="n">
        <x:f>376</x:f>
        <x:v>376</x:v>
      </x:c>
      <x:c r="M33" s="53" t="n">
        <x:f>SUM(D33:L33)</x:f>
        <x:v>22520.4</x:v>
      </x:c>
      <x:c r="N33" s="72"/>
    </x:row>
    <x:row r="34">
      <x:c r="C34" s="20" t="n">
        <x:v>27</x:v>
      </x:c>
      <x:c r="D34" s="53" t="n">
        <x:f>IF(C34&lt;=3,25000,IF(C34&lt;=14,80000,'Controls'!$D$11))*0.04</x:f>
        <x:v>4324.4</x:v>
      </x:c>
      <x:c r="E34" s="53" t="n">
        <x:f>IF(C34&lt;=30,4320,MAX(2160,4320-(C34-30)*36))</x:f>
        <x:v>4320</x:v>
      </x:c>
      <x:c r="F34" s="53" t="n">
        <x:f>IF(C34&lt;=3,2000,IF(C34&lt;=14,1000,500))</x:f>
        <x:v>500</x:v>
      </x:c>
      <x:c r="G34" s="53" t="n">
        <x:f>IF(C34&lt;=3,4000,IF(C34&lt;=45,6000,5000))</x:f>
        <x:v>6000</x:v>
      </x:c>
      <x:c r="H34" s="53" t="n">
        <x:f>IF(C34&lt;=14,1200,1100)</x:f>
        <x:v>1100</x:v>
      </x:c>
      <x:c r="I34" s="53" t="n">
        <x:f>IF(C34&lt;=3,1000,IF(C34&lt;=14,2000,IF(C34&lt;=45,3500,2500)))</x:f>
        <x:v>3500</x:v>
      </x:c>
      <x:c r="J34" s="53" t="n">
        <x:f>IF(C34&lt;=3,1500,IF(C34&lt;=14,1800,IF(C34&lt;=45,1500,1200)))</x:f>
        <x:v>1500</x:v>
      </x:c>
      <x:c r="K34" s="53" t="n">
        <x:f>IF(C34&lt;=3,600,IF(C34&lt;=14,800,900))</x:f>
        <x:v>900</x:v>
      </x:c>
      <x:c r="L34" s="53" t="n">
        <x:f>376</x:f>
        <x:v>376</x:v>
      </x:c>
      <x:c r="M34" s="53" t="n">
        <x:f>SUM(D34:L34)</x:f>
        <x:v>22520.4</x:v>
      </x:c>
      <x:c r="N34" s="72"/>
    </x:row>
    <x:row r="35">
      <x:c r="C35" s="20" t="n">
        <x:v>28</x:v>
      </x:c>
      <x:c r="D35" s="53" t="n">
        <x:f>IF(C35&lt;=3,25000,IF(C35&lt;=14,80000,'Controls'!$D$11))*0.04</x:f>
        <x:v>4324.4</x:v>
      </x:c>
      <x:c r="E35" s="53" t="n">
        <x:f>IF(C35&lt;=30,4320,MAX(2160,4320-(C35-30)*36))</x:f>
        <x:v>4320</x:v>
      </x:c>
      <x:c r="F35" s="53" t="n">
        <x:f>IF(C35&lt;=3,2000,IF(C35&lt;=14,1000,500))</x:f>
        <x:v>500</x:v>
      </x:c>
      <x:c r="G35" s="53" t="n">
        <x:f>IF(C35&lt;=3,4000,IF(C35&lt;=45,6000,5000))</x:f>
        <x:v>6000</x:v>
      </x:c>
      <x:c r="H35" s="53" t="n">
        <x:f>IF(C35&lt;=14,1200,1100)</x:f>
        <x:v>1100</x:v>
      </x:c>
      <x:c r="I35" s="53" t="n">
        <x:f>IF(C35&lt;=3,1000,IF(C35&lt;=14,2000,IF(C35&lt;=45,3500,2500)))</x:f>
        <x:v>3500</x:v>
      </x:c>
      <x:c r="J35" s="53" t="n">
        <x:f>IF(C35&lt;=3,1500,IF(C35&lt;=14,1800,IF(C35&lt;=45,1500,1200)))</x:f>
        <x:v>1500</x:v>
      </x:c>
      <x:c r="K35" s="53" t="n">
        <x:f>IF(C35&lt;=3,600,IF(C35&lt;=14,800,900))</x:f>
        <x:v>900</x:v>
      </x:c>
      <x:c r="L35" s="53" t="n">
        <x:f>376</x:f>
        <x:v>376</x:v>
      </x:c>
      <x:c r="M35" s="53" t="n">
        <x:f>SUM(D35:L35)</x:f>
        <x:v>22520.4</x:v>
      </x:c>
      <x:c r="N35" s="72"/>
    </x:row>
    <x:row r="36">
      <x:c r="C36" s="20" t="n">
        <x:v>29</x:v>
      </x:c>
      <x:c r="D36" s="53" t="n">
        <x:f>IF(C36&lt;=3,25000,IF(C36&lt;=14,80000,'Controls'!$D$11))*0.04</x:f>
        <x:v>4324.4</x:v>
      </x:c>
      <x:c r="E36" s="53" t="n">
        <x:f>IF(C36&lt;=30,4320,MAX(2160,4320-(C36-30)*36))</x:f>
        <x:v>4320</x:v>
      </x:c>
      <x:c r="F36" s="53" t="n">
        <x:f>IF(C36&lt;=3,2000,IF(C36&lt;=14,1000,500))</x:f>
        <x:v>500</x:v>
      </x:c>
      <x:c r="G36" s="53" t="n">
        <x:f>IF(C36&lt;=3,4000,IF(C36&lt;=45,6000,5000))</x:f>
        <x:v>6000</x:v>
      </x:c>
      <x:c r="H36" s="53" t="n">
        <x:f>IF(C36&lt;=14,1200,1100)</x:f>
        <x:v>1100</x:v>
      </x:c>
      <x:c r="I36" s="53" t="n">
        <x:f>IF(C36&lt;=3,1000,IF(C36&lt;=14,2000,IF(C36&lt;=45,3500,2500)))</x:f>
        <x:v>3500</x:v>
      </x:c>
      <x:c r="J36" s="53" t="n">
        <x:f>IF(C36&lt;=3,1500,IF(C36&lt;=14,1800,IF(C36&lt;=45,1500,1200)))</x:f>
        <x:v>1500</x:v>
      </x:c>
      <x:c r="K36" s="53" t="n">
        <x:f>IF(C36&lt;=3,600,IF(C36&lt;=14,800,900))</x:f>
        <x:v>900</x:v>
      </x:c>
      <x:c r="L36" s="53" t="n">
        <x:f>376</x:f>
        <x:v>376</x:v>
      </x:c>
      <x:c r="M36" s="53" t="n">
        <x:f>SUM(D36:L36)</x:f>
        <x:v>22520.4</x:v>
      </x:c>
      <x:c r="N36" s="72"/>
    </x:row>
    <x:row r="37">
      <x:c r="C37" s="20" t="n">
        <x:v>30</x:v>
      </x:c>
      <x:c r="D37" s="53" t="n">
        <x:f>IF(C37&lt;=3,25000,IF(C37&lt;=14,80000,'Controls'!$D$11))*0.04</x:f>
        <x:v>4324.4</x:v>
      </x:c>
      <x:c r="E37" s="53" t="n">
        <x:f>IF(C37&lt;=30,4320,MAX(2160,4320-(C37-30)*36))</x:f>
        <x:v>4320</x:v>
      </x:c>
      <x:c r="F37" s="53" t="n">
        <x:f>IF(C37&lt;=3,2000,IF(C37&lt;=14,1000,500))</x:f>
        <x:v>500</x:v>
      </x:c>
      <x:c r="G37" s="53" t="n">
        <x:f>IF(C37&lt;=3,4000,IF(C37&lt;=45,6000,5000))</x:f>
        <x:v>6000</x:v>
      </x:c>
      <x:c r="H37" s="53" t="n">
        <x:f>IF(C37&lt;=14,1200,1100)</x:f>
        <x:v>1100</x:v>
      </x:c>
      <x:c r="I37" s="53" t="n">
        <x:f>IF(C37&lt;=3,1000,IF(C37&lt;=14,2000,IF(C37&lt;=45,3500,2500)))</x:f>
        <x:v>3500</x:v>
      </x:c>
      <x:c r="J37" s="53" t="n">
        <x:f>IF(C37&lt;=3,1500,IF(C37&lt;=14,1800,IF(C37&lt;=45,1500,1200)))</x:f>
        <x:v>1500</x:v>
      </x:c>
      <x:c r="K37" s="53" t="n">
        <x:f>IF(C37&lt;=3,600,IF(C37&lt;=14,800,900))</x:f>
        <x:v>900</x:v>
      </x:c>
      <x:c r="L37" s="53" t="n">
        <x:f>376</x:f>
        <x:v>376</x:v>
      </x:c>
      <x:c r="M37" s="53" t="n">
        <x:f>SUM(D37:L37)</x:f>
        <x:v>22520.4</x:v>
      </x:c>
      <x:c r="N37" s="72"/>
    </x:row>
    <x:row r="38">
      <x:c r="C38" s="20" t="n">
        <x:v>31</x:v>
      </x:c>
      <x:c r="D38" s="53" t="n">
        <x:f>IF(C38&lt;=3,25000,IF(C38&lt;=14,80000,'Controls'!$D$11))*0.04</x:f>
        <x:v>4324.4</x:v>
      </x:c>
      <x:c r="E38" s="53" t="n">
        <x:f>IF(C38&lt;=30,4320,MAX(2160,4320-(C38-30)*36))</x:f>
        <x:v>4284</x:v>
      </x:c>
      <x:c r="F38" s="53" t="n">
        <x:f>IF(C38&lt;=3,2000,IF(C38&lt;=14,1000,500))</x:f>
        <x:v>500</x:v>
      </x:c>
      <x:c r="G38" s="53" t="n">
        <x:f>IF(C38&lt;=3,4000,IF(C38&lt;=45,6000,5000))</x:f>
        <x:v>6000</x:v>
      </x:c>
      <x:c r="H38" s="53" t="n">
        <x:f>IF(C38&lt;=14,1200,1100)</x:f>
        <x:v>1100</x:v>
      </x:c>
      <x:c r="I38" s="53" t="n">
        <x:f>IF(C38&lt;=3,1000,IF(C38&lt;=14,2000,IF(C38&lt;=45,3500,2500)))</x:f>
        <x:v>3500</x:v>
      </x:c>
      <x:c r="J38" s="53" t="n">
        <x:f>IF(C38&lt;=3,1500,IF(C38&lt;=14,1800,IF(C38&lt;=45,1500,1200)))</x:f>
        <x:v>1500</x:v>
      </x:c>
      <x:c r="K38" s="53" t="n">
        <x:f>IF(C38&lt;=3,600,IF(C38&lt;=14,800,900))</x:f>
        <x:v>900</x:v>
      </x:c>
      <x:c r="L38" s="53" t="n">
        <x:f>376</x:f>
        <x:v>376</x:v>
      </x:c>
      <x:c r="M38" s="53" t="n">
        <x:f>SUM(D38:L38)</x:f>
        <x:v>22484.4</x:v>
      </x:c>
      <x:c r="N38" s="72"/>
    </x:row>
    <x:row r="39">
      <x:c r="C39" s="20" t="n">
        <x:v>32</x:v>
      </x:c>
      <x:c r="D39" s="53" t="n">
        <x:f>IF(C39&lt;=3,25000,IF(C39&lt;=14,80000,'Controls'!$D$11))*0.04</x:f>
        <x:v>4324.4</x:v>
      </x:c>
      <x:c r="E39" s="53" t="n">
        <x:f>IF(C39&lt;=30,4320,MAX(2160,4320-(C39-30)*36))</x:f>
        <x:v>4248</x:v>
      </x:c>
      <x:c r="F39" s="53" t="n">
        <x:f>IF(C39&lt;=3,2000,IF(C39&lt;=14,1000,500))</x:f>
        <x:v>500</x:v>
      </x:c>
      <x:c r="G39" s="53" t="n">
        <x:f>IF(C39&lt;=3,4000,IF(C39&lt;=45,6000,5000))</x:f>
        <x:v>6000</x:v>
      </x:c>
      <x:c r="H39" s="53" t="n">
        <x:f>IF(C39&lt;=14,1200,1100)</x:f>
        <x:v>1100</x:v>
      </x:c>
      <x:c r="I39" s="53" t="n">
        <x:f>IF(C39&lt;=3,1000,IF(C39&lt;=14,2000,IF(C39&lt;=45,3500,2500)))</x:f>
        <x:v>3500</x:v>
      </x:c>
      <x:c r="J39" s="53" t="n">
        <x:f>IF(C39&lt;=3,1500,IF(C39&lt;=14,1800,IF(C39&lt;=45,1500,1200)))</x:f>
        <x:v>1500</x:v>
      </x:c>
      <x:c r="K39" s="53" t="n">
        <x:f>IF(C39&lt;=3,600,IF(C39&lt;=14,800,900))</x:f>
        <x:v>900</x:v>
      </x:c>
      <x:c r="L39" s="53" t="n">
        <x:f>376</x:f>
        <x:v>376</x:v>
      </x:c>
      <x:c r="M39" s="53" t="n">
        <x:f>SUM(D39:L39)</x:f>
        <x:v>22448.4</x:v>
      </x:c>
      <x:c r="N39" s="72"/>
    </x:row>
    <x:row r="40">
      <x:c r="C40" s="20" t="n">
        <x:v>33</x:v>
      </x:c>
      <x:c r="D40" s="53" t="n">
        <x:f>IF(C40&lt;=3,25000,IF(C40&lt;=14,80000,'Controls'!$D$11))*0.04</x:f>
        <x:v>4324.4</x:v>
      </x:c>
      <x:c r="E40" s="53" t="n">
        <x:f>IF(C40&lt;=30,4320,MAX(2160,4320-(C40-30)*36))</x:f>
        <x:v>4212</x:v>
      </x:c>
      <x:c r="F40" s="53" t="n">
        <x:f>IF(C40&lt;=3,2000,IF(C40&lt;=14,1000,500))</x:f>
        <x:v>500</x:v>
      </x:c>
      <x:c r="G40" s="53" t="n">
        <x:f>IF(C40&lt;=3,4000,IF(C40&lt;=45,6000,5000))</x:f>
        <x:v>6000</x:v>
      </x:c>
      <x:c r="H40" s="53" t="n">
        <x:f>IF(C40&lt;=14,1200,1100)</x:f>
        <x:v>1100</x:v>
      </x:c>
      <x:c r="I40" s="53" t="n">
        <x:f>IF(C40&lt;=3,1000,IF(C40&lt;=14,2000,IF(C40&lt;=45,3500,2500)))</x:f>
        <x:v>3500</x:v>
      </x:c>
      <x:c r="J40" s="53" t="n">
        <x:f>IF(C40&lt;=3,1500,IF(C40&lt;=14,1800,IF(C40&lt;=45,1500,1200)))</x:f>
        <x:v>1500</x:v>
      </x:c>
      <x:c r="K40" s="53" t="n">
        <x:f>IF(C40&lt;=3,600,IF(C40&lt;=14,800,900))</x:f>
        <x:v>900</x:v>
      </x:c>
      <x:c r="L40" s="53" t="n">
        <x:f>376</x:f>
        <x:v>376</x:v>
      </x:c>
      <x:c r="M40" s="53" t="n">
        <x:f>SUM(D40:L40)</x:f>
        <x:v>22412.4</x:v>
      </x:c>
      <x:c r="N40" s="72"/>
    </x:row>
    <x:row r="41">
      <x:c r="C41" s="20" t="n">
        <x:v>34</x:v>
      </x:c>
      <x:c r="D41" s="53" t="n">
        <x:f>IF(C41&lt;=3,25000,IF(C41&lt;=14,80000,'Controls'!$D$11))*0.04</x:f>
        <x:v>4324.4</x:v>
      </x:c>
      <x:c r="E41" s="53" t="n">
        <x:f>IF(C41&lt;=30,4320,MAX(2160,4320-(C41-30)*36))</x:f>
        <x:v>4176</x:v>
      </x:c>
      <x:c r="F41" s="53" t="n">
        <x:f>IF(C41&lt;=3,2000,IF(C41&lt;=14,1000,500))</x:f>
        <x:v>500</x:v>
      </x:c>
      <x:c r="G41" s="53" t="n">
        <x:f>IF(C41&lt;=3,4000,IF(C41&lt;=45,6000,5000))</x:f>
        <x:v>6000</x:v>
      </x:c>
      <x:c r="H41" s="53" t="n">
        <x:f>IF(C41&lt;=14,1200,1100)</x:f>
        <x:v>1100</x:v>
      </x:c>
      <x:c r="I41" s="53" t="n">
        <x:f>IF(C41&lt;=3,1000,IF(C41&lt;=14,2000,IF(C41&lt;=45,3500,2500)))</x:f>
        <x:v>3500</x:v>
      </x:c>
      <x:c r="J41" s="53" t="n">
        <x:f>IF(C41&lt;=3,1500,IF(C41&lt;=14,1800,IF(C41&lt;=45,1500,1200)))</x:f>
        <x:v>1500</x:v>
      </x:c>
      <x:c r="K41" s="53" t="n">
        <x:f>IF(C41&lt;=3,600,IF(C41&lt;=14,800,900))</x:f>
        <x:v>900</x:v>
      </x:c>
      <x:c r="L41" s="53" t="n">
        <x:f>376</x:f>
        <x:v>376</x:v>
      </x:c>
      <x:c r="M41" s="53" t="n">
        <x:f>SUM(D41:L41)</x:f>
        <x:v>22376.4</x:v>
      </x:c>
      <x:c r="N41" s="72"/>
    </x:row>
    <x:row r="42">
      <x:c r="C42" s="20" t="n">
        <x:v>35</x:v>
      </x:c>
      <x:c r="D42" s="53" t="n">
        <x:f>IF(C42&lt;=3,25000,IF(C42&lt;=14,80000,'Controls'!$D$11))*0.04</x:f>
        <x:v>4324.4</x:v>
      </x:c>
      <x:c r="E42" s="53" t="n">
        <x:f>IF(C42&lt;=30,4320,MAX(2160,4320-(C42-30)*36))</x:f>
        <x:v>4140</x:v>
      </x:c>
      <x:c r="F42" s="53" t="n">
        <x:f>IF(C42&lt;=3,2000,IF(C42&lt;=14,1000,500))</x:f>
        <x:v>500</x:v>
      </x:c>
      <x:c r="G42" s="53" t="n">
        <x:f>IF(C42&lt;=3,4000,IF(C42&lt;=45,6000,5000))</x:f>
        <x:v>6000</x:v>
      </x:c>
      <x:c r="H42" s="53" t="n">
        <x:f>IF(C42&lt;=14,1200,1100)</x:f>
        <x:v>1100</x:v>
      </x:c>
      <x:c r="I42" s="53" t="n">
        <x:f>IF(C42&lt;=3,1000,IF(C42&lt;=14,2000,IF(C42&lt;=45,3500,2500)))</x:f>
        <x:v>3500</x:v>
      </x:c>
      <x:c r="J42" s="53" t="n">
        <x:f>IF(C42&lt;=3,1500,IF(C42&lt;=14,1800,IF(C42&lt;=45,1500,1200)))</x:f>
        <x:v>1500</x:v>
      </x:c>
      <x:c r="K42" s="53" t="n">
        <x:f>IF(C42&lt;=3,600,IF(C42&lt;=14,800,900))</x:f>
        <x:v>900</x:v>
      </x:c>
      <x:c r="L42" s="53" t="n">
        <x:f>376</x:f>
        <x:v>376</x:v>
      </x:c>
      <x:c r="M42" s="53" t="n">
        <x:f>SUM(D42:L42)</x:f>
        <x:v>22340.4</x:v>
      </x:c>
      <x:c r="N42" s="72"/>
    </x:row>
    <x:row r="43">
      <x:c r="C43" s="20" t="n">
        <x:v>36</x:v>
      </x:c>
      <x:c r="D43" s="53" t="n">
        <x:f>IF(C43&lt;=3,25000,IF(C43&lt;=14,80000,'Controls'!$D$11))*0.04</x:f>
        <x:v>4324.4</x:v>
      </x:c>
      <x:c r="E43" s="53" t="n">
        <x:f>IF(C43&lt;=30,4320,MAX(2160,4320-(C43-30)*36))</x:f>
        <x:v>4104</x:v>
      </x:c>
      <x:c r="F43" s="53" t="n">
        <x:f>IF(C43&lt;=3,2000,IF(C43&lt;=14,1000,500))</x:f>
        <x:v>500</x:v>
      </x:c>
      <x:c r="G43" s="53" t="n">
        <x:f>IF(C43&lt;=3,4000,IF(C43&lt;=45,6000,5000))</x:f>
        <x:v>6000</x:v>
      </x:c>
      <x:c r="H43" s="53" t="n">
        <x:f>IF(C43&lt;=14,1200,1100)</x:f>
        <x:v>1100</x:v>
      </x:c>
      <x:c r="I43" s="53" t="n">
        <x:f>IF(C43&lt;=3,1000,IF(C43&lt;=14,2000,IF(C43&lt;=45,3500,2500)))</x:f>
        <x:v>3500</x:v>
      </x:c>
      <x:c r="J43" s="53" t="n">
        <x:f>IF(C43&lt;=3,1500,IF(C43&lt;=14,1800,IF(C43&lt;=45,1500,1200)))</x:f>
        <x:v>1500</x:v>
      </x:c>
      <x:c r="K43" s="53" t="n">
        <x:f>IF(C43&lt;=3,600,IF(C43&lt;=14,800,900))</x:f>
        <x:v>900</x:v>
      </x:c>
      <x:c r="L43" s="53" t="n">
        <x:f>376</x:f>
        <x:v>376</x:v>
      </x:c>
      <x:c r="M43" s="53" t="n">
        <x:f>SUM(D43:L43)</x:f>
        <x:v>22304.4</x:v>
      </x:c>
      <x:c r="N43" s="72"/>
    </x:row>
    <x:row r="44">
      <x:c r="C44" s="20" t="n">
        <x:v>37</x:v>
      </x:c>
      <x:c r="D44" s="53" t="n">
        <x:f>IF(C44&lt;=3,25000,IF(C44&lt;=14,80000,'Controls'!$D$11))*0.04</x:f>
        <x:v>4324.4</x:v>
      </x:c>
      <x:c r="E44" s="53" t="n">
        <x:f>IF(C44&lt;=30,4320,MAX(2160,4320-(C44-30)*36))</x:f>
        <x:v>4068</x:v>
      </x:c>
      <x:c r="F44" s="53" t="n">
        <x:f>IF(C44&lt;=3,2000,IF(C44&lt;=14,1000,500))</x:f>
        <x:v>500</x:v>
      </x:c>
      <x:c r="G44" s="53" t="n">
        <x:f>IF(C44&lt;=3,4000,IF(C44&lt;=45,6000,5000))</x:f>
        <x:v>6000</x:v>
      </x:c>
      <x:c r="H44" s="53" t="n">
        <x:f>IF(C44&lt;=14,1200,1100)</x:f>
        <x:v>1100</x:v>
      </x:c>
      <x:c r="I44" s="53" t="n">
        <x:f>IF(C44&lt;=3,1000,IF(C44&lt;=14,2000,IF(C44&lt;=45,3500,2500)))</x:f>
        <x:v>3500</x:v>
      </x:c>
      <x:c r="J44" s="53" t="n">
        <x:f>IF(C44&lt;=3,1500,IF(C44&lt;=14,1800,IF(C44&lt;=45,1500,1200)))</x:f>
        <x:v>1500</x:v>
      </x:c>
      <x:c r="K44" s="53" t="n">
        <x:f>IF(C44&lt;=3,600,IF(C44&lt;=14,800,900))</x:f>
        <x:v>900</x:v>
      </x:c>
      <x:c r="L44" s="53" t="n">
        <x:f>376</x:f>
        <x:v>376</x:v>
      </x:c>
      <x:c r="M44" s="53" t="n">
        <x:f>SUM(D44:L44)</x:f>
        <x:v>22268.4</x:v>
      </x:c>
      <x:c r="N44" s="72"/>
    </x:row>
    <x:row r="45">
      <x:c r="C45" s="20" t="n">
        <x:v>38</x:v>
      </x:c>
      <x:c r="D45" s="53" t="n">
        <x:f>IF(C45&lt;=3,25000,IF(C45&lt;=14,80000,'Controls'!$D$11))*0.04</x:f>
        <x:v>4324.4</x:v>
      </x:c>
      <x:c r="E45" s="53" t="n">
        <x:f>IF(C45&lt;=30,4320,MAX(2160,4320-(C45-30)*36))</x:f>
        <x:v>4032</x:v>
      </x:c>
      <x:c r="F45" s="53" t="n">
        <x:f>IF(C45&lt;=3,2000,IF(C45&lt;=14,1000,500))</x:f>
        <x:v>500</x:v>
      </x:c>
      <x:c r="G45" s="53" t="n">
        <x:f>IF(C45&lt;=3,4000,IF(C45&lt;=45,6000,5000))</x:f>
        <x:v>6000</x:v>
      </x:c>
      <x:c r="H45" s="53" t="n">
        <x:f>IF(C45&lt;=14,1200,1100)</x:f>
        <x:v>1100</x:v>
      </x:c>
      <x:c r="I45" s="53" t="n">
        <x:f>IF(C45&lt;=3,1000,IF(C45&lt;=14,2000,IF(C45&lt;=45,3500,2500)))</x:f>
        <x:v>3500</x:v>
      </x:c>
      <x:c r="J45" s="53" t="n">
        <x:f>IF(C45&lt;=3,1500,IF(C45&lt;=14,1800,IF(C45&lt;=45,1500,1200)))</x:f>
        <x:v>1500</x:v>
      </x:c>
      <x:c r="K45" s="53" t="n">
        <x:f>IF(C45&lt;=3,600,IF(C45&lt;=14,800,900))</x:f>
        <x:v>900</x:v>
      </x:c>
      <x:c r="L45" s="53" t="n">
        <x:f>376</x:f>
        <x:v>376</x:v>
      </x:c>
      <x:c r="M45" s="53" t="n">
        <x:f>SUM(D45:L45)</x:f>
        <x:v>22232.4</x:v>
      </x:c>
      <x:c r="N45" s="72"/>
    </x:row>
    <x:row r="46">
      <x:c r="C46" s="20" t="n">
        <x:v>39</x:v>
      </x:c>
      <x:c r="D46" s="53" t="n">
        <x:f>IF(C46&lt;=3,25000,IF(C46&lt;=14,80000,'Controls'!$D$11))*0.04</x:f>
        <x:v>4324.4</x:v>
      </x:c>
      <x:c r="E46" s="53" t="n">
        <x:f>IF(C46&lt;=30,4320,MAX(2160,4320-(C46-30)*36))</x:f>
        <x:v>3996</x:v>
      </x:c>
      <x:c r="F46" s="53" t="n">
        <x:f>IF(C46&lt;=3,2000,IF(C46&lt;=14,1000,500))</x:f>
        <x:v>500</x:v>
      </x:c>
      <x:c r="G46" s="53" t="n">
        <x:f>IF(C46&lt;=3,4000,IF(C46&lt;=45,6000,5000))</x:f>
        <x:v>6000</x:v>
      </x:c>
      <x:c r="H46" s="53" t="n">
        <x:f>IF(C46&lt;=14,1200,1100)</x:f>
        <x:v>1100</x:v>
      </x:c>
      <x:c r="I46" s="53" t="n">
        <x:f>IF(C46&lt;=3,1000,IF(C46&lt;=14,2000,IF(C46&lt;=45,3500,2500)))</x:f>
        <x:v>3500</x:v>
      </x:c>
      <x:c r="J46" s="53" t="n">
        <x:f>IF(C46&lt;=3,1500,IF(C46&lt;=14,1800,IF(C46&lt;=45,1500,1200)))</x:f>
        <x:v>1500</x:v>
      </x:c>
      <x:c r="K46" s="53" t="n">
        <x:f>IF(C46&lt;=3,600,IF(C46&lt;=14,800,900))</x:f>
        <x:v>900</x:v>
      </x:c>
      <x:c r="L46" s="53" t="n">
        <x:f>376</x:f>
        <x:v>376</x:v>
      </x:c>
      <x:c r="M46" s="53" t="n">
        <x:f>SUM(D46:L46)</x:f>
        <x:v>22196.4</x:v>
      </x:c>
      <x:c r="N46" s="72"/>
    </x:row>
    <x:row r="47">
      <x:c r="C47" s="20" t="n">
        <x:v>40</x:v>
      </x:c>
      <x:c r="D47" s="53" t="n">
        <x:f>IF(C47&lt;=3,25000,IF(C47&lt;=14,80000,'Controls'!$D$11))*0.04</x:f>
        <x:v>4324.4</x:v>
      </x:c>
      <x:c r="E47" s="53" t="n">
        <x:f>IF(C47&lt;=30,4320,MAX(2160,4320-(C47-30)*36))</x:f>
        <x:v>3960</x:v>
      </x:c>
      <x:c r="F47" s="53" t="n">
        <x:f>IF(C47&lt;=3,2000,IF(C47&lt;=14,1000,500))</x:f>
        <x:v>500</x:v>
      </x:c>
      <x:c r="G47" s="53" t="n">
        <x:f>IF(C47&lt;=3,4000,IF(C47&lt;=45,6000,5000))</x:f>
        <x:v>6000</x:v>
      </x:c>
      <x:c r="H47" s="53" t="n">
        <x:f>IF(C47&lt;=14,1200,1100)</x:f>
        <x:v>1100</x:v>
      </x:c>
      <x:c r="I47" s="53" t="n">
        <x:f>IF(C47&lt;=3,1000,IF(C47&lt;=14,2000,IF(C47&lt;=45,3500,2500)))</x:f>
        <x:v>3500</x:v>
      </x:c>
      <x:c r="J47" s="53" t="n">
        <x:f>IF(C47&lt;=3,1500,IF(C47&lt;=14,1800,IF(C47&lt;=45,1500,1200)))</x:f>
        <x:v>1500</x:v>
      </x:c>
      <x:c r="K47" s="53" t="n">
        <x:f>IF(C47&lt;=3,600,IF(C47&lt;=14,800,900))</x:f>
        <x:v>900</x:v>
      </x:c>
      <x:c r="L47" s="53" t="n">
        <x:f>376</x:f>
        <x:v>376</x:v>
      </x:c>
      <x:c r="M47" s="53" t="n">
        <x:f>SUM(D47:L47)</x:f>
        <x:v>22160.4</x:v>
      </x:c>
      <x:c r="N47" s="72"/>
    </x:row>
    <x:row r="48">
      <x:c r="C48" s="20" t="n">
        <x:v>41</x:v>
      </x:c>
      <x:c r="D48" s="53" t="n">
        <x:f>IF(C48&lt;=3,25000,IF(C48&lt;=14,80000,'Controls'!$D$11))*0.04</x:f>
        <x:v>4324.4</x:v>
      </x:c>
      <x:c r="E48" s="53" t="n">
        <x:f>IF(C48&lt;=30,4320,MAX(2160,4320-(C48-30)*36))</x:f>
        <x:v>3924</x:v>
      </x:c>
      <x:c r="F48" s="53" t="n">
        <x:f>IF(C48&lt;=3,2000,IF(C48&lt;=14,1000,500))</x:f>
        <x:v>500</x:v>
      </x:c>
      <x:c r="G48" s="53" t="n">
        <x:f>IF(C48&lt;=3,4000,IF(C48&lt;=45,6000,5000))</x:f>
        <x:v>6000</x:v>
      </x:c>
      <x:c r="H48" s="53" t="n">
        <x:f>IF(C48&lt;=14,1200,1100)</x:f>
        <x:v>1100</x:v>
      </x:c>
      <x:c r="I48" s="53" t="n">
        <x:f>IF(C48&lt;=3,1000,IF(C48&lt;=14,2000,IF(C48&lt;=45,3500,2500)))</x:f>
        <x:v>3500</x:v>
      </x:c>
      <x:c r="J48" s="53" t="n">
        <x:f>IF(C48&lt;=3,1500,IF(C48&lt;=14,1800,IF(C48&lt;=45,1500,1200)))</x:f>
        <x:v>1500</x:v>
      </x:c>
      <x:c r="K48" s="53" t="n">
        <x:f>IF(C48&lt;=3,600,IF(C48&lt;=14,800,900))</x:f>
        <x:v>900</x:v>
      </x:c>
      <x:c r="L48" s="53" t="n">
        <x:f>376</x:f>
        <x:v>376</x:v>
      </x:c>
      <x:c r="M48" s="53" t="n">
        <x:f>SUM(D48:L48)</x:f>
        <x:v>22124.4</x:v>
      </x:c>
      <x:c r="N48" s="72"/>
    </x:row>
    <x:row r="49">
      <x:c r="C49" s="20" t="n">
        <x:v>42</x:v>
      </x:c>
      <x:c r="D49" s="53" t="n">
        <x:f>IF(C49&lt;=3,25000,IF(C49&lt;=14,80000,'Controls'!$D$11))*0.04</x:f>
        <x:v>4324.4</x:v>
      </x:c>
      <x:c r="E49" s="53" t="n">
        <x:f>IF(C49&lt;=30,4320,MAX(2160,4320-(C49-30)*36))</x:f>
        <x:v>3888</x:v>
      </x:c>
      <x:c r="F49" s="53" t="n">
        <x:f>IF(C49&lt;=3,2000,IF(C49&lt;=14,1000,500))</x:f>
        <x:v>500</x:v>
      </x:c>
      <x:c r="G49" s="53" t="n">
        <x:f>IF(C49&lt;=3,4000,IF(C49&lt;=45,6000,5000))</x:f>
        <x:v>6000</x:v>
      </x:c>
      <x:c r="H49" s="53" t="n">
        <x:f>IF(C49&lt;=14,1200,1100)</x:f>
        <x:v>1100</x:v>
      </x:c>
      <x:c r="I49" s="53" t="n">
        <x:f>IF(C49&lt;=3,1000,IF(C49&lt;=14,2000,IF(C49&lt;=45,3500,2500)))</x:f>
        <x:v>3500</x:v>
      </x:c>
      <x:c r="J49" s="53" t="n">
        <x:f>IF(C49&lt;=3,1500,IF(C49&lt;=14,1800,IF(C49&lt;=45,1500,1200)))</x:f>
        <x:v>1500</x:v>
      </x:c>
      <x:c r="K49" s="53" t="n">
        <x:f>IF(C49&lt;=3,600,IF(C49&lt;=14,800,900))</x:f>
        <x:v>900</x:v>
      </x:c>
      <x:c r="L49" s="53" t="n">
        <x:f>376</x:f>
        <x:v>376</x:v>
      </x:c>
      <x:c r="M49" s="53" t="n">
        <x:f>SUM(D49:L49)</x:f>
        <x:v>22088.4</x:v>
      </x:c>
      <x:c r="N49" s="72"/>
    </x:row>
    <x:row r="50">
      <x:c r="C50" s="20" t="n">
        <x:v>43</x:v>
      </x:c>
      <x:c r="D50" s="53" t="n">
        <x:f>IF(C50&lt;=3,25000,IF(C50&lt;=14,80000,'Controls'!$D$11))*0.04</x:f>
        <x:v>4324.4</x:v>
      </x:c>
      <x:c r="E50" s="53" t="n">
        <x:f>IF(C50&lt;=30,4320,MAX(2160,4320-(C50-30)*36))</x:f>
        <x:v>3852</x:v>
      </x:c>
      <x:c r="F50" s="53" t="n">
        <x:f>IF(C50&lt;=3,2000,IF(C50&lt;=14,1000,500))</x:f>
        <x:v>500</x:v>
      </x:c>
      <x:c r="G50" s="53" t="n">
        <x:f>IF(C50&lt;=3,4000,IF(C50&lt;=45,6000,5000))</x:f>
        <x:v>6000</x:v>
      </x:c>
      <x:c r="H50" s="53" t="n">
        <x:f>IF(C50&lt;=14,1200,1100)</x:f>
        <x:v>1100</x:v>
      </x:c>
      <x:c r="I50" s="53" t="n">
        <x:f>IF(C50&lt;=3,1000,IF(C50&lt;=14,2000,IF(C50&lt;=45,3500,2500)))</x:f>
        <x:v>3500</x:v>
      </x:c>
      <x:c r="J50" s="53" t="n">
        <x:f>IF(C50&lt;=3,1500,IF(C50&lt;=14,1800,IF(C50&lt;=45,1500,1200)))</x:f>
        <x:v>1500</x:v>
      </x:c>
      <x:c r="K50" s="53" t="n">
        <x:f>IF(C50&lt;=3,600,IF(C50&lt;=14,800,900))</x:f>
        <x:v>900</x:v>
      </x:c>
      <x:c r="L50" s="53" t="n">
        <x:f>376</x:f>
        <x:v>376</x:v>
      </x:c>
      <x:c r="M50" s="53" t="n">
        <x:f>SUM(D50:L50)</x:f>
        <x:v>22052.4</x:v>
      </x:c>
      <x:c r="N50" s="72"/>
    </x:row>
    <x:row r="51">
      <x:c r="C51" s="20" t="n">
        <x:v>44</x:v>
      </x:c>
      <x:c r="D51" s="53" t="n">
        <x:f>IF(C51&lt;=3,25000,IF(C51&lt;=14,80000,'Controls'!$D$11))*0.04</x:f>
        <x:v>4324.4</x:v>
      </x:c>
      <x:c r="E51" s="53" t="n">
        <x:f>IF(C51&lt;=30,4320,MAX(2160,4320-(C51-30)*36))</x:f>
        <x:v>3816</x:v>
      </x:c>
      <x:c r="F51" s="53" t="n">
        <x:f>IF(C51&lt;=3,2000,IF(C51&lt;=14,1000,500))</x:f>
        <x:v>500</x:v>
      </x:c>
      <x:c r="G51" s="53" t="n">
        <x:f>IF(C51&lt;=3,4000,IF(C51&lt;=45,6000,5000))</x:f>
        <x:v>6000</x:v>
      </x:c>
      <x:c r="H51" s="53" t="n">
        <x:f>IF(C51&lt;=14,1200,1100)</x:f>
        <x:v>1100</x:v>
      </x:c>
      <x:c r="I51" s="53" t="n">
        <x:f>IF(C51&lt;=3,1000,IF(C51&lt;=14,2000,IF(C51&lt;=45,3500,2500)))</x:f>
        <x:v>3500</x:v>
      </x:c>
      <x:c r="J51" s="53" t="n">
        <x:f>IF(C51&lt;=3,1500,IF(C51&lt;=14,1800,IF(C51&lt;=45,1500,1200)))</x:f>
        <x:v>1500</x:v>
      </x:c>
      <x:c r="K51" s="53" t="n">
        <x:f>IF(C51&lt;=3,600,IF(C51&lt;=14,800,900))</x:f>
        <x:v>900</x:v>
      </x:c>
      <x:c r="L51" s="53" t="n">
        <x:f>376</x:f>
        <x:v>376</x:v>
      </x:c>
      <x:c r="M51" s="53" t="n">
        <x:f>SUM(D51:L51)</x:f>
        <x:v>22016.4</x:v>
      </x:c>
      <x:c r="N51" s="72"/>
    </x:row>
    <x:row r="52">
      <x:c r="C52" s="20" t="n">
        <x:v>45</x:v>
      </x:c>
      <x:c r="D52" s="53" t="n">
        <x:f>IF(C52&lt;=3,25000,IF(C52&lt;=14,80000,'Controls'!$D$11))*0.04</x:f>
        <x:v>4324.4</x:v>
      </x:c>
      <x:c r="E52" s="53" t="n">
        <x:f>IF(C52&lt;=30,4320,MAX(2160,4320-(C52-30)*36))</x:f>
        <x:v>3780</x:v>
      </x:c>
      <x:c r="F52" s="53" t="n">
        <x:f>IF(C52&lt;=3,2000,IF(C52&lt;=14,1000,500))</x:f>
        <x:v>500</x:v>
      </x:c>
      <x:c r="G52" s="53" t="n">
        <x:f>IF(C52&lt;=3,4000,IF(C52&lt;=45,6000,5000))</x:f>
        <x:v>6000</x:v>
      </x:c>
      <x:c r="H52" s="53" t="n">
        <x:f>IF(C52&lt;=14,1200,1100)</x:f>
        <x:v>1100</x:v>
      </x:c>
      <x:c r="I52" s="53" t="n">
        <x:f>IF(C52&lt;=3,1000,IF(C52&lt;=14,2000,IF(C52&lt;=45,3500,2500)))</x:f>
        <x:v>3500</x:v>
      </x:c>
      <x:c r="J52" s="53" t="n">
        <x:f>IF(C52&lt;=3,1500,IF(C52&lt;=14,1800,IF(C52&lt;=45,1500,1200)))</x:f>
        <x:v>1500</x:v>
      </x:c>
      <x:c r="K52" s="53" t="n">
        <x:f>IF(C52&lt;=3,600,IF(C52&lt;=14,800,900))</x:f>
        <x:v>900</x:v>
      </x:c>
      <x:c r="L52" s="53" t="n">
        <x:f>376</x:f>
        <x:v>376</x:v>
      </x:c>
      <x:c r="M52" s="53" t="n">
        <x:f>SUM(D52:L52)</x:f>
        <x:v>21980.4</x:v>
      </x:c>
      <x:c r="N52" s="72"/>
    </x:row>
    <x:row r="53">
      <x:c r="C53" s="20" t="n">
        <x:v>46</x:v>
      </x:c>
      <x:c r="D53" s="53" t="n">
        <x:f>IF(C53&lt;=3,25000,IF(C53&lt;=14,80000,'Controls'!$D$11))*0.04</x:f>
        <x:v>4324.4</x:v>
      </x:c>
      <x:c r="E53" s="53" t="n">
        <x:f>IF(C53&lt;=30,4320,MAX(2160,4320-(C53-30)*36))</x:f>
        <x:v>3744</x:v>
      </x:c>
      <x:c r="F53" s="53" t="n">
        <x:f>IF(C53&lt;=3,2000,IF(C53&lt;=14,1000,500))</x:f>
        <x:v>500</x:v>
      </x:c>
      <x:c r="G53" s="53" t="n">
        <x:f>IF(C53&lt;=3,4000,IF(C53&lt;=45,6000,5000))</x:f>
        <x:v>5000</x:v>
      </x:c>
      <x:c r="H53" s="53" t="n">
        <x:f>IF(C53&lt;=14,1200,1100)</x:f>
        <x:v>1100</x:v>
      </x:c>
      <x:c r="I53" s="53" t="n">
        <x:f>IF(C53&lt;=3,1000,IF(C53&lt;=14,2000,IF(C53&lt;=45,3500,2500)))</x:f>
        <x:v>2500</x:v>
      </x:c>
      <x:c r="J53" s="53" t="n">
        <x:f>IF(C53&lt;=3,1500,IF(C53&lt;=14,1800,IF(C53&lt;=45,1500,1200)))</x:f>
        <x:v>1200</x:v>
      </x:c>
      <x:c r="K53" s="53" t="n">
        <x:f>IF(C53&lt;=3,600,IF(C53&lt;=14,800,900))</x:f>
        <x:v>900</x:v>
      </x:c>
      <x:c r="L53" s="53" t="n">
        <x:f>376</x:f>
        <x:v>376</x:v>
      </x:c>
      <x:c r="M53" s="53" t="n">
        <x:f>SUM(D53:L53)</x:f>
        <x:v>19644.4</x:v>
      </x:c>
      <x:c r="N53" s="72"/>
    </x:row>
    <x:row r="54">
      <x:c r="C54" s="20" t="n">
        <x:v>47</x:v>
      </x:c>
      <x:c r="D54" s="53" t="n">
        <x:f>IF(C54&lt;=3,25000,IF(C54&lt;=14,80000,'Controls'!$D$11))*0.04</x:f>
        <x:v>4324.4</x:v>
      </x:c>
      <x:c r="E54" s="53" t="n">
        <x:f>IF(C54&lt;=30,4320,MAX(2160,4320-(C54-30)*36))</x:f>
        <x:v>3708</x:v>
      </x:c>
      <x:c r="F54" s="53" t="n">
        <x:f>IF(C54&lt;=3,2000,IF(C54&lt;=14,1000,500))</x:f>
        <x:v>500</x:v>
      </x:c>
      <x:c r="G54" s="53" t="n">
        <x:f>IF(C54&lt;=3,4000,IF(C54&lt;=45,6000,5000))</x:f>
        <x:v>5000</x:v>
      </x:c>
      <x:c r="H54" s="53" t="n">
        <x:f>IF(C54&lt;=14,1200,1100)</x:f>
        <x:v>1100</x:v>
      </x:c>
      <x:c r="I54" s="53" t="n">
        <x:f>IF(C54&lt;=3,1000,IF(C54&lt;=14,2000,IF(C54&lt;=45,3500,2500)))</x:f>
        <x:v>2500</x:v>
      </x:c>
      <x:c r="J54" s="53" t="n">
        <x:f>IF(C54&lt;=3,1500,IF(C54&lt;=14,1800,IF(C54&lt;=45,1500,1200)))</x:f>
        <x:v>1200</x:v>
      </x:c>
      <x:c r="K54" s="53" t="n">
        <x:f>IF(C54&lt;=3,600,IF(C54&lt;=14,800,900))</x:f>
        <x:v>900</x:v>
      </x:c>
      <x:c r="L54" s="53" t="n">
        <x:f>376</x:f>
        <x:v>376</x:v>
      </x:c>
      <x:c r="M54" s="53" t="n">
        <x:f>SUM(D54:L54)</x:f>
        <x:v>19608.4</x:v>
      </x:c>
      <x:c r="N54" s="72"/>
    </x:row>
    <x:row r="55">
      <x:c r="C55" s="20" t="n">
        <x:v>48</x:v>
      </x:c>
      <x:c r="D55" s="53" t="n">
        <x:f>IF(C55&lt;=3,25000,IF(C55&lt;=14,80000,'Controls'!$D$11))*0.04</x:f>
        <x:v>4324.4</x:v>
      </x:c>
      <x:c r="E55" s="53" t="n">
        <x:f>IF(C55&lt;=30,4320,MAX(2160,4320-(C55-30)*36))</x:f>
        <x:v>3672</x:v>
      </x:c>
      <x:c r="F55" s="53" t="n">
        <x:f>IF(C55&lt;=3,2000,IF(C55&lt;=14,1000,500))</x:f>
        <x:v>500</x:v>
      </x:c>
      <x:c r="G55" s="53" t="n">
        <x:f>IF(C55&lt;=3,4000,IF(C55&lt;=45,6000,5000))</x:f>
        <x:v>5000</x:v>
      </x:c>
      <x:c r="H55" s="53" t="n">
        <x:f>IF(C55&lt;=14,1200,1100)</x:f>
        <x:v>1100</x:v>
      </x:c>
      <x:c r="I55" s="53" t="n">
        <x:f>IF(C55&lt;=3,1000,IF(C55&lt;=14,2000,IF(C55&lt;=45,3500,2500)))</x:f>
        <x:v>2500</x:v>
      </x:c>
      <x:c r="J55" s="53" t="n">
        <x:f>IF(C55&lt;=3,1500,IF(C55&lt;=14,1800,IF(C55&lt;=45,1500,1200)))</x:f>
        <x:v>1200</x:v>
      </x:c>
      <x:c r="K55" s="53" t="n">
        <x:f>IF(C55&lt;=3,600,IF(C55&lt;=14,800,900))</x:f>
        <x:v>900</x:v>
      </x:c>
      <x:c r="L55" s="53" t="n">
        <x:f>376</x:f>
        <x:v>376</x:v>
      </x:c>
      <x:c r="M55" s="53" t="n">
        <x:f>SUM(D55:L55)</x:f>
        <x:v>19572.4</x:v>
      </x:c>
      <x:c r="N55" s="72"/>
    </x:row>
    <x:row r="56">
      <x:c r="C56" s="20" t="n">
        <x:v>49</x:v>
      </x:c>
      <x:c r="D56" s="53" t="n">
        <x:f>IF(C56&lt;=3,25000,IF(C56&lt;=14,80000,'Controls'!$D$11))*0.04</x:f>
        <x:v>4324.4</x:v>
      </x:c>
      <x:c r="E56" s="53" t="n">
        <x:f>IF(C56&lt;=30,4320,MAX(2160,4320-(C56-30)*36))</x:f>
        <x:v>3636</x:v>
      </x:c>
      <x:c r="F56" s="53" t="n">
        <x:f>IF(C56&lt;=3,2000,IF(C56&lt;=14,1000,500))</x:f>
        <x:v>500</x:v>
      </x:c>
      <x:c r="G56" s="53" t="n">
        <x:f>IF(C56&lt;=3,4000,IF(C56&lt;=45,6000,5000))</x:f>
        <x:v>5000</x:v>
      </x:c>
      <x:c r="H56" s="53" t="n">
        <x:f>IF(C56&lt;=14,1200,1100)</x:f>
        <x:v>1100</x:v>
      </x:c>
      <x:c r="I56" s="53" t="n">
        <x:f>IF(C56&lt;=3,1000,IF(C56&lt;=14,2000,IF(C56&lt;=45,3500,2500)))</x:f>
        <x:v>2500</x:v>
      </x:c>
      <x:c r="J56" s="53" t="n">
        <x:f>IF(C56&lt;=3,1500,IF(C56&lt;=14,1800,IF(C56&lt;=45,1500,1200)))</x:f>
        <x:v>1200</x:v>
      </x:c>
      <x:c r="K56" s="53" t="n">
        <x:f>IF(C56&lt;=3,600,IF(C56&lt;=14,800,900))</x:f>
        <x:v>900</x:v>
      </x:c>
      <x:c r="L56" s="53" t="n">
        <x:f>376</x:f>
        <x:v>376</x:v>
      </x:c>
      <x:c r="M56" s="53" t="n">
        <x:f>SUM(D56:L56)</x:f>
        <x:v>19536.4</x:v>
      </x:c>
      <x:c r="N56" s="72"/>
    </x:row>
    <x:row r="57">
      <x:c r="C57" s="20" t="n">
        <x:v>50</x:v>
      </x:c>
      <x:c r="D57" s="53" t="n">
        <x:f>IF(C57&lt;=3,25000,IF(C57&lt;=14,80000,'Controls'!$D$11))*0.04</x:f>
        <x:v>4324.4</x:v>
      </x:c>
      <x:c r="E57" s="53" t="n">
        <x:f>IF(C57&lt;=30,4320,MAX(2160,4320-(C57-30)*36))</x:f>
        <x:v>3600</x:v>
      </x:c>
      <x:c r="F57" s="53" t="n">
        <x:f>IF(C57&lt;=3,2000,IF(C57&lt;=14,1000,500))</x:f>
        <x:v>500</x:v>
      </x:c>
      <x:c r="G57" s="53" t="n">
        <x:f>IF(C57&lt;=3,4000,IF(C57&lt;=45,6000,5000))</x:f>
        <x:v>5000</x:v>
      </x:c>
      <x:c r="H57" s="53" t="n">
        <x:f>IF(C57&lt;=14,1200,1100)</x:f>
        <x:v>1100</x:v>
      </x:c>
      <x:c r="I57" s="53" t="n">
        <x:f>IF(C57&lt;=3,1000,IF(C57&lt;=14,2000,IF(C57&lt;=45,3500,2500)))</x:f>
        <x:v>2500</x:v>
      </x:c>
      <x:c r="J57" s="53" t="n">
        <x:f>IF(C57&lt;=3,1500,IF(C57&lt;=14,1800,IF(C57&lt;=45,1500,1200)))</x:f>
        <x:v>1200</x:v>
      </x:c>
      <x:c r="K57" s="53" t="n">
        <x:f>IF(C57&lt;=3,600,IF(C57&lt;=14,800,900))</x:f>
        <x:v>900</x:v>
      </x:c>
      <x:c r="L57" s="53" t="n">
        <x:f>376</x:f>
        <x:v>376</x:v>
      </x:c>
      <x:c r="M57" s="53" t="n">
        <x:f>SUM(D57:L57)</x:f>
        <x:v>19500.4</x:v>
      </x:c>
      <x:c r="N57" s="72"/>
    </x:row>
    <x:row r="58">
      <x:c r="C58" s="20" t="n">
        <x:v>51</x:v>
      </x:c>
      <x:c r="D58" s="53" t="n">
        <x:f>IF(C58&lt;=3,25000,IF(C58&lt;=14,80000,'Controls'!$D$11))*0.04</x:f>
        <x:v>4324.4</x:v>
      </x:c>
      <x:c r="E58" s="53" t="n">
        <x:f>IF(C58&lt;=30,4320,MAX(2160,4320-(C58-30)*36))</x:f>
        <x:v>3564</x:v>
      </x:c>
      <x:c r="F58" s="53" t="n">
        <x:f>IF(C58&lt;=3,2000,IF(C58&lt;=14,1000,500))</x:f>
        <x:v>500</x:v>
      </x:c>
      <x:c r="G58" s="53" t="n">
        <x:f>IF(C58&lt;=3,4000,IF(C58&lt;=45,6000,5000))</x:f>
        <x:v>5000</x:v>
      </x:c>
      <x:c r="H58" s="53" t="n">
        <x:f>IF(C58&lt;=14,1200,1100)</x:f>
        <x:v>1100</x:v>
      </x:c>
      <x:c r="I58" s="53" t="n">
        <x:f>IF(C58&lt;=3,1000,IF(C58&lt;=14,2000,IF(C58&lt;=45,3500,2500)))</x:f>
        <x:v>2500</x:v>
      </x:c>
      <x:c r="J58" s="53" t="n">
        <x:f>IF(C58&lt;=3,1500,IF(C58&lt;=14,1800,IF(C58&lt;=45,1500,1200)))</x:f>
        <x:v>1200</x:v>
      </x:c>
      <x:c r="K58" s="53" t="n">
        <x:f>IF(C58&lt;=3,600,IF(C58&lt;=14,800,900))</x:f>
        <x:v>900</x:v>
      </x:c>
      <x:c r="L58" s="53" t="n">
        <x:f>376</x:f>
        <x:v>376</x:v>
      </x:c>
      <x:c r="M58" s="53" t="n">
        <x:f>SUM(D58:L58)</x:f>
        <x:v>19464.4</x:v>
      </x:c>
      <x:c r="N58" s="72"/>
    </x:row>
    <x:row r="59">
      <x:c r="C59" s="20" t="n">
        <x:v>52</x:v>
      </x:c>
      <x:c r="D59" s="53" t="n">
        <x:f>IF(C59&lt;=3,25000,IF(C59&lt;=14,80000,'Controls'!$D$11))*0.04</x:f>
        <x:v>4324.4</x:v>
      </x:c>
      <x:c r="E59" s="53" t="n">
        <x:f>IF(C59&lt;=30,4320,MAX(2160,4320-(C59-30)*36))</x:f>
        <x:v>3528</x:v>
      </x:c>
      <x:c r="F59" s="53" t="n">
        <x:f>IF(C59&lt;=3,2000,IF(C59&lt;=14,1000,500))</x:f>
        <x:v>500</x:v>
      </x:c>
      <x:c r="G59" s="53" t="n">
        <x:f>IF(C59&lt;=3,4000,IF(C59&lt;=45,6000,5000))</x:f>
        <x:v>5000</x:v>
      </x:c>
      <x:c r="H59" s="53" t="n">
        <x:f>IF(C59&lt;=14,1200,1100)</x:f>
        <x:v>1100</x:v>
      </x:c>
      <x:c r="I59" s="53" t="n">
        <x:f>IF(C59&lt;=3,1000,IF(C59&lt;=14,2000,IF(C59&lt;=45,3500,2500)))</x:f>
        <x:v>2500</x:v>
      </x:c>
      <x:c r="J59" s="53" t="n">
        <x:f>IF(C59&lt;=3,1500,IF(C59&lt;=14,1800,IF(C59&lt;=45,1500,1200)))</x:f>
        <x:v>1200</x:v>
      </x:c>
      <x:c r="K59" s="53" t="n">
        <x:f>IF(C59&lt;=3,600,IF(C59&lt;=14,800,900))</x:f>
        <x:v>900</x:v>
      </x:c>
      <x:c r="L59" s="53" t="n">
        <x:f>376</x:f>
        <x:v>376</x:v>
      </x:c>
      <x:c r="M59" s="53" t="n">
        <x:f>SUM(D59:L59)</x:f>
        <x:v>19428.4</x:v>
      </x:c>
      <x:c r="N59" s="72"/>
    </x:row>
    <x:row r="60">
      <x:c r="C60" s="20" t="n">
        <x:v>53</x:v>
      </x:c>
      <x:c r="D60" s="53" t="n">
        <x:f>IF(C60&lt;=3,25000,IF(C60&lt;=14,80000,'Controls'!$D$11))*0.04</x:f>
        <x:v>4324.4</x:v>
      </x:c>
      <x:c r="E60" s="53" t="n">
        <x:f>IF(C60&lt;=30,4320,MAX(2160,4320-(C60-30)*36))</x:f>
        <x:v>3492</x:v>
      </x:c>
      <x:c r="F60" s="53" t="n">
        <x:f>IF(C60&lt;=3,2000,IF(C60&lt;=14,1000,500))</x:f>
        <x:v>500</x:v>
      </x:c>
      <x:c r="G60" s="53" t="n">
        <x:f>IF(C60&lt;=3,4000,IF(C60&lt;=45,6000,5000))</x:f>
        <x:v>5000</x:v>
      </x:c>
      <x:c r="H60" s="53" t="n">
        <x:f>IF(C60&lt;=14,1200,1100)</x:f>
        <x:v>1100</x:v>
      </x:c>
      <x:c r="I60" s="53" t="n">
        <x:f>IF(C60&lt;=3,1000,IF(C60&lt;=14,2000,IF(C60&lt;=45,3500,2500)))</x:f>
        <x:v>2500</x:v>
      </x:c>
      <x:c r="J60" s="53" t="n">
        <x:f>IF(C60&lt;=3,1500,IF(C60&lt;=14,1800,IF(C60&lt;=45,1500,1200)))</x:f>
        <x:v>1200</x:v>
      </x:c>
      <x:c r="K60" s="53" t="n">
        <x:f>IF(C60&lt;=3,600,IF(C60&lt;=14,800,900))</x:f>
        <x:v>900</x:v>
      </x:c>
      <x:c r="L60" s="53" t="n">
        <x:f>376</x:f>
        <x:v>376</x:v>
      </x:c>
      <x:c r="M60" s="53" t="n">
        <x:f>SUM(D60:L60)</x:f>
        <x:v>19392.4</x:v>
      </x:c>
      <x:c r="N60" s="72"/>
    </x:row>
    <x:row r="61">
      <x:c r="C61" s="20" t="n">
        <x:v>54</x:v>
      </x:c>
      <x:c r="D61" s="53" t="n">
        <x:f>IF(C61&lt;=3,25000,IF(C61&lt;=14,80000,'Controls'!$D$11))*0.04</x:f>
        <x:v>4324.4</x:v>
      </x:c>
      <x:c r="E61" s="53" t="n">
        <x:f>IF(C61&lt;=30,4320,MAX(2160,4320-(C61-30)*36))</x:f>
        <x:v>3456</x:v>
      </x:c>
      <x:c r="F61" s="53" t="n">
        <x:f>IF(C61&lt;=3,2000,IF(C61&lt;=14,1000,500))</x:f>
        <x:v>500</x:v>
      </x:c>
      <x:c r="G61" s="53" t="n">
        <x:f>IF(C61&lt;=3,4000,IF(C61&lt;=45,6000,5000))</x:f>
        <x:v>5000</x:v>
      </x:c>
      <x:c r="H61" s="53" t="n">
        <x:f>IF(C61&lt;=14,1200,1100)</x:f>
        <x:v>1100</x:v>
      </x:c>
      <x:c r="I61" s="53" t="n">
        <x:f>IF(C61&lt;=3,1000,IF(C61&lt;=14,2000,IF(C61&lt;=45,3500,2500)))</x:f>
        <x:v>2500</x:v>
      </x:c>
      <x:c r="J61" s="53" t="n">
        <x:f>IF(C61&lt;=3,1500,IF(C61&lt;=14,1800,IF(C61&lt;=45,1500,1200)))</x:f>
        <x:v>1200</x:v>
      </x:c>
      <x:c r="K61" s="53" t="n">
        <x:f>IF(C61&lt;=3,600,IF(C61&lt;=14,800,900))</x:f>
        <x:v>900</x:v>
      </x:c>
      <x:c r="L61" s="53" t="n">
        <x:f>376</x:f>
        <x:v>376</x:v>
      </x:c>
      <x:c r="M61" s="53" t="n">
        <x:f>SUM(D61:L61)</x:f>
        <x:v>19356.4</x:v>
      </x:c>
      <x:c r="N61" s="72"/>
    </x:row>
    <x:row r="62">
      <x:c r="C62" s="20" t="n">
        <x:v>55</x:v>
      </x:c>
      <x:c r="D62" s="53" t="n">
        <x:f>IF(C62&lt;=3,25000,IF(C62&lt;=14,80000,'Controls'!$D$11))*0.04</x:f>
        <x:v>4324.4</x:v>
      </x:c>
      <x:c r="E62" s="53" t="n">
        <x:f>IF(C62&lt;=30,4320,MAX(2160,4320-(C62-30)*36))</x:f>
        <x:v>3420</x:v>
      </x:c>
      <x:c r="F62" s="53" t="n">
        <x:f>IF(C62&lt;=3,2000,IF(C62&lt;=14,1000,500))</x:f>
        <x:v>500</x:v>
      </x:c>
      <x:c r="G62" s="53" t="n">
        <x:f>IF(C62&lt;=3,4000,IF(C62&lt;=45,6000,5000))</x:f>
        <x:v>5000</x:v>
      </x:c>
      <x:c r="H62" s="53" t="n">
        <x:f>IF(C62&lt;=14,1200,1100)</x:f>
        <x:v>1100</x:v>
      </x:c>
      <x:c r="I62" s="53" t="n">
        <x:f>IF(C62&lt;=3,1000,IF(C62&lt;=14,2000,IF(C62&lt;=45,3500,2500)))</x:f>
        <x:v>2500</x:v>
      </x:c>
      <x:c r="J62" s="53" t="n">
        <x:f>IF(C62&lt;=3,1500,IF(C62&lt;=14,1800,IF(C62&lt;=45,1500,1200)))</x:f>
        <x:v>1200</x:v>
      </x:c>
      <x:c r="K62" s="53" t="n">
        <x:f>IF(C62&lt;=3,600,IF(C62&lt;=14,800,900))</x:f>
        <x:v>900</x:v>
      </x:c>
      <x:c r="L62" s="53" t="n">
        <x:f>376</x:f>
        <x:v>376</x:v>
      </x:c>
      <x:c r="M62" s="53" t="n">
        <x:f>SUM(D62:L62)</x:f>
        <x:v>19320.4</x:v>
      </x:c>
      <x:c r="N62" s="72"/>
    </x:row>
    <x:row r="63">
      <x:c r="C63" s="20" t="n">
        <x:v>56</x:v>
      </x:c>
      <x:c r="D63" s="53" t="n">
        <x:f>IF(C63&lt;=3,25000,IF(C63&lt;=14,80000,'Controls'!$D$11))*0.04</x:f>
        <x:v>4324.4</x:v>
      </x:c>
      <x:c r="E63" s="53" t="n">
        <x:f>IF(C63&lt;=30,4320,MAX(2160,4320-(C63-30)*36))</x:f>
        <x:v>3384</x:v>
      </x:c>
      <x:c r="F63" s="53" t="n">
        <x:f>IF(C63&lt;=3,2000,IF(C63&lt;=14,1000,500))</x:f>
        <x:v>500</x:v>
      </x:c>
      <x:c r="G63" s="53" t="n">
        <x:f>IF(C63&lt;=3,4000,IF(C63&lt;=45,6000,5000))</x:f>
        <x:v>5000</x:v>
      </x:c>
      <x:c r="H63" s="53" t="n">
        <x:f>IF(C63&lt;=14,1200,1100)</x:f>
        <x:v>1100</x:v>
      </x:c>
      <x:c r="I63" s="53" t="n">
        <x:f>IF(C63&lt;=3,1000,IF(C63&lt;=14,2000,IF(C63&lt;=45,3500,2500)))</x:f>
        <x:v>2500</x:v>
      </x:c>
      <x:c r="J63" s="53" t="n">
        <x:f>IF(C63&lt;=3,1500,IF(C63&lt;=14,1800,IF(C63&lt;=45,1500,1200)))</x:f>
        <x:v>1200</x:v>
      </x:c>
      <x:c r="K63" s="53" t="n">
        <x:f>IF(C63&lt;=3,600,IF(C63&lt;=14,800,900))</x:f>
        <x:v>900</x:v>
      </x:c>
      <x:c r="L63" s="53" t="n">
        <x:f>376</x:f>
        <x:v>376</x:v>
      </x:c>
      <x:c r="M63" s="53" t="n">
        <x:f>SUM(D63:L63)</x:f>
        <x:v>19284.4</x:v>
      </x:c>
      <x:c r="N63" s="72"/>
    </x:row>
    <x:row r="64">
      <x:c r="C64" s="20" t="n">
        <x:v>57</x:v>
      </x:c>
      <x:c r="D64" s="53" t="n">
        <x:f>IF(C64&lt;=3,25000,IF(C64&lt;=14,80000,'Controls'!$D$11))*0.04</x:f>
        <x:v>4324.4</x:v>
      </x:c>
      <x:c r="E64" s="53" t="n">
        <x:f>IF(C64&lt;=30,4320,MAX(2160,4320-(C64-30)*36))</x:f>
        <x:v>3348</x:v>
      </x:c>
      <x:c r="F64" s="53" t="n">
        <x:f>IF(C64&lt;=3,2000,IF(C64&lt;=14,1000,500))</x:f>
        <x:v>500</x:v>
      </x:c>
      <x:c r="G64" s="53" t="n">
        <x:f>IF(C64&lt;=3,4000,IF(C64&lt;=45,6000,5000))</x:f>
        <x:v>5000</x:v>
      </x:c>
      <x:c r="H64" s="53" t="n">
        <x:f>IF(C64&lt;=14,1200,1100)</x:f>
        <x:v>1100</x:v>
      </x:c>
      <x:c r="I64" s="53" t="n">
        <x:f>IF(C64&lt;=3,1000,IF(C64&lt;=14,2000,IF(C64&lt;=45,3500,2500)))</x:f>
        <x:v>2500</x:v>
      </x:c>
      <x:c r="J64" s="53" t="n">
        <x:f>IF(C64&lt;=3,1500,IF(C64&lt;=14,1800,IF(C64&lt;=45,1500,1200)))</x:f>
        <x:v>1200</x:v>
      </x:c>
      <x:c r="K64" s="53" t="n">
        <x:f>IF(C64&lt;=3,600,IF(C64&lt;=14,800,900))</x:f>
        <x:v>900</x:v>
      </x:c>
      <x:c r="L64" s="53" t="n">
        <x:f>376</x:f>
        <x:v>376</x:v>
      </x:c>
      <x:c r="M64" s="53" t="n">
        <x:f>SUM(D64:L64)</x:f>
        <x:v>19248.4</x:v>
      </x:c>
      <x:c r="N64" s="72"/>
    </x:row>
    <x:row r="65">
      <x:c r="C65" s="20" t="n">
        <x:v>58</x:v>
      </x:c>
      <x:c r="D65" s="53" t="n">
        <x:f>IF(C65&lt;=3,25000,IF(C65&lt;=14,80000,'Controls'!$D$11))*0.04</x:f>
        <x:v>4324.4</x:v>
      </x:c>
      <x:c r="E65" s="53" t="n">
        <x:f>IF(C65&lt;=30,4320,MAX(2160,4320-(C65-30)*36))</x:f>
        <x:v>3312</x:v>
      </x:c>
      <x:c r="F65" s="53" t="n">
        <x:f>IF(C65&lt;=3,2000,IF(C65&lt;=14,1000,500))</x:f>
        <x:v>500</x:v>
      </x:c>
      <x:c r="G65" s="53" t="n">
        <x:f>IF(C65&lt;=3,4000,IF(C65&lt;=45,6000,5000))</x:f>
        <x:v>5000</x:v>
      </x:c>
      <x:c r="H65" s="53" t="n">
        <x:f>IF(C65&lt;=14,1200,1100)</x:f>
        <x:v>1100</x:v>
      </x:c>
      <x:c r="I65" s="53" t="n">
        <x:f>IF(C65&lt;=3,1000,IF(C65&lt;=14,2000,IF(C65&lt;=45,3500,2500)))</x:f>
        <x:v>2500</x:v>
      </x:c>
      <x:c r="J65" s="53" t="n">
        <x:f>IF(C65&lt;=3,1500,IF(C65&lt;=14,1800,IF(C65&lt;=45,1500,1200)))</x:f>
        <x:v>1200</x:v>
      </x:c>
      <x:c r="K65" s="53" t="n">
        <x:f>IF(C65&lt;=3,600,IF(C65&lt;=14,800,900))</x:f>
        <x:v>900</x:v>
      </x:c>
      <x:c r="L65" s="53" t="n">
        <x:f>376</x:f>
        <x:v>376</x:v>
      </x:c>
      <x:c r="M65" s="53" t="n">
        <x:f>SUM(D65:L65)</x:f>
        <x:v>19212.4</x:v>
      </x:c>
      <x:c r="N65" s="72"/>
    </x:row>
    <x:row r="66">
      <x:c r="C66" s="20" t="n">
        <x:v>59</x:v>
      </x:c>
      <x:c r="D66" s="53" t="n">
        <x:f>IF(C66&lt;=3,25000,IF(C66&lt;=14,80000,'Controls'!$D$11))*0.04</x:f>
        <x:v>4324.4</x:v>
      </x:c>
      <x:c r="E66" s="53" t="n">
        <x:f>IF(C66&lt;=30,4320,MAX(2160,4320-(C66-30)*36))</x:f>
        <x:v>3276</x:v>
      </x:c>
      <x:c r="F66" s="53" t="n">
        <x:f>IF(C66&lt;=3,2000,IF(C66&lt;=14,1000,500))</x:f>
        <x:v>500</x:v>
      </x:c>
      <x:c r="G66" s="53" t="n">
        <x:f>IF(C66&lt;=3,4000,IF(C66&lt;=45,6000,5000))</x:f>
        <x:v>5000</x:v>
      </x:c>
      <x:c r="H66" s="53" t="n">
        <x:f>IF(C66&lt;=14,1200,1100)</x:f>
        <x:v>1100</x:v>
      </x:c>
      <x:c r="I66" s="53" t="n">
        <x:f>IF(C66&lt;=3,1000,IF(C66&lt;=14,2000,IF(C66&lt;=45,3500,2500)))</x:f>
        <x:v>2500</x:v>
      </x:c>
      <x:c r="J66" s="53" t="n">
        <x:f>IF(C66&lt;=3,1500,IF(C66&lt;=14,1800,IF(C66&lt;=45,1500,1200)))</x:f>
        <x:v>1200</x:v>
      </x:c>
      <x:c r="K66" s="53" t="n">
        <x:f>IF(C66&lt;=3,600,IF(C66&lt;=14,800,900))</x:f>
        <x:v>900</x:v>
      </x:c>
      <x:c r="L66" s="53" t="n">
        <x:f>376</x:f>
        <x:v>376</x:v>
      </x:c>
      <x:c r="M66" s="53" t="n">
        <x:f>SUM(D66:L66)</x:f>
        <x:v>19176.4</x:v>
      </x:c>
      <x:c r="N66" s="72"/>
    </x:row>
    <x:row r="67">
      <x:c r="C67" s="20" t="n">
        <x:v>60</x:v>
      </x:c>
      <x:c r="D67" s="53" t="n">
        <x:f>IF(C67&lt;=3,25000,IF(C67&lt;=14,80000,'Controls'!$D$11))*0.04</x:f>
        <x:v>4324.4</x:v>
      </x:c>
      <x:c r="E67" s="53" t="n">
        <x:f>IF(C67&lt;=30,4320,MAX(2160,4320-(C67-30)*36))</x:f>
        <x:v>3240</x:v>
      </x:c>
      <x:c r="F67" s="53" t="n">
        <x:f>IF(C67&lt;=3,2000,IF(C67&lt;=14,1000,500))</x:f>
        <x:v>500</x:v>
      </x:c>
      <x:c r="G67" s="53" t="n">
        <x:f>IF(C67&lt;=3,4000,IF(C67&lt;=45,6000,5000))</x:f>
        <x:v>5000</x:v>
      </x:c>
      <x:c r="H67" s="53" t="n">
        <x:f>IF(C67&lt;=14,1200,1100)</x:f>
        <x:v>1100</x:v>
      </x:c>
      <x:c r="I67" s="53" t="n">
        <x:f>IF(C67&lt;=3,1000,IF(C67&lt;=14,2000,IF(C67&lt;=45,3500,2500)))</x:f>
        <x:v>2500</x:v>
      </x:c>
      <x:c r="J67" s="53" t="n">
        <x:f>IF(C67&lt;=3,1500,IF(C67&lt;=14,1800,IF(C67&lt;=45,1500,1200)))</x:f>
        <x:v>1200</x:v>
      </x:c>
      <x:c r="K67" s="53" t="n">
        <x:f>IF(C67&lt;=3,600,IF(C67&lt;=14,800,900))</x:f>
        <x:v>900</x:v>
      </x:c>
      <x:c r="L67" s="53" t="n">
        <x:f>376</x:f>
        <x:v>376</x:v>
      </x:c>
      <x:c r="M67" s="53" t="n">
        <x:f>SUM(D67:L67)</x:f>
        <x:v>19140.4</x:v>
      </x:c>
      <x:c r="N67" s="72"/>
    </x:row>
    <x:row r="68">
      <x:c r="C68" s="20" t="n">
        <x:v>61</x:v>
      </x:c>
      <x:c r="D68" s="53" t="n">
        <x:f>IF(C68&lt;=3,25000,IF(C68&lt;=14,80000,'Controls'!$D$11))*0.04</x:f>
        <x:v>4324.4</x:v>
      </x:c>
      <x:c r="E68" s="53" t="n">
        <x:f>IF(C68&lt;=30,4320,MAX(2160,4320-(C68-30)*36))</x:f>
        <x:v>3204</x:v>
      </x:c>
      <x:c r="F68" s="53" t="n">
        <x:f>IF(C68&lt;=3,2000,IF(C68&lt;=14,1000,500))</x:f>
        <x:v>500</x:v>
      </x:c>
      <x:c r="G68" s="53" t="n">
        <x:f>IF(C68&lt;=3,4000,IF(C68&lt;=45,6000,5000))</x:f>
        <x:v>5000</x:v>
      </x:c>
      <x:c r="H68" s="53" t="n">
        <x:f>IF(C68&lt;=14,1200,1100)</x:f>
        <x:v>1100</x:v>
      </x:c>
      <x:c r="I68" s="53" t="n">
        <x:f>IF(C68&lt;=3,1000,IF(C68&lt;=14,2000,IF(C68&lt;=45,3500,2500)))</x:f>
        <x:v>2500</x:v>
      </x:c>
      <x:c r="J68" s="53" t="n">
        <x:f>IF(C68&lt;=3,1500,IF(C68&lt;=14,1800,IF(C68&lt;=45,1500,1200)))</x:f>
        <x:v>1200</x:v>
      </x:c>
      <x:c r="K68" s="53" t="n">
        <x:f>IF(C68&lt;=3,600,IF(C68&lt;=14,800,900))</x:f>
        <x:v>900</x:v>
      </x:c>
      <x:c r="L68" s="53" t="n">
        <x:f>376</x:f>
        <x:v>376</x:v>
      </x:c>
      <x:c r="M68" s="53" t="n">
        <x:f>SUM(D68:L68)</x:f>
        <x:v>19104.4</x:v>
      </x:c>
      <x:c r="N68" s="72"/>
    </x:row>
    <x:row r="69">
      <x:c r="C69" s="20" t="n">
        <x:v>62</x:v>
      </x:c>
      <x:c r="D69" s="53" t="n">
        <x:f>IF(C69&lt;=3,25000,IF(C69&lt;=14,80000,'Controls'!$D$11))*0.04</x:f>
        <x:v>4324.4</x:v>
      </x:c>
      <x:c r="E69" s="53" t="n">
        <x:f>IF(C69&lt;=30,4320,MAX(2160,4320-(C69-30)*36))</x:f>
        <x:v>3168</x:v>
      </x:c>
      <x:c r="F69" s="53" t="n">
        <x:f>IF(C69&lt;=3,2000,IF(C69&lt;=14,1000,500))</x:f>
        <x:v>500</x:v>
      </x:c>
      <x:c r="G69" s="53" t="n">
        <x:f>IF(C69&lt;=3,4000,IF(C69&lt;=45,6000,5000))</x:f>
        <x:v>5000</x:v>
      </x:c>
      <x:c r="H69" s="53" t="n">
        <x:f>IF(C69&lt;=14,1200,1100)</x:f>
        <x:v>1100</x:v>
      </x:c>
      <x:c r="I69" s="53" t="n">
        <x:f>IF(C69&lt;=3,1000,IF(C69&lt;=14,2000,IF(C69&lt;=45,3500,2500)))</x:f>
        <x:v>2500</x:v>
      </x:c>
      <x:c r="J69" s="53" t="n">
        <x:f>IF(C69&lt;=3,1500,IF(C69&lt;=14,1800,IF(C69&lt;=45,1500,1200)))</x:f>
        <x:v>1200</x:v>
      </x:c>
      <x:c r="K69" s="53" t="n">
        <x:f>IF(C69&lt;=3,600,IF(C69&lt;=14,800,900))</x:f>
        <x:v>900</x:v>
      </x:c>
      <x:c r="L69" s="53" t="n">
        <x:f>376</x:f>
        <x:v>376</x:v>
      </x:c>
      <x:c r="M69" s="53" t="n">
        <x:f>SUM(D69:L69)</x:f>
        <x:v>19068.4</x:v>
      </x:c>
      <x:c r="N69" s="72"/>
    </x:row>
    <x:row r="70">
      <x:c r="C70" s="20" t="n">
        <x:v>63</x:v>
      </x:c>
      <x:c r="D70" s="53" t="n">
        <x:f>IF(C70&lt;=3,25000,IF(C70&lt;=14,80000,'Controls'!$D$11))*0.04</x:f>
        <x:v>4324.4</x:v>
      </x:c>
      <x:c r="E70" s="53" t="n">
        <x:f>IF(C70&lt;=30,4320,MAX(2160,4320-(C70-30)*36))</x:f>
        <x:v>3132</x:v>
      </x:c>
      <x:c r="F70" s="53" t="n">
        <x:f>IF(C70&lt;=3,2000,IF(C70&lt;=14,1000,500))</x:f>
        <x:v>500</x:v>
      </x:c>
      <x:c r="G70" s="53" t="n">
        <x:f>IF(C70&lt;=3,4000,IF(C70&lt;=45,6000,5000))</x:f>
        <x:v>5000</x:v>
      </x:c>
      <x:c r="H70" s="53" t="n">
        <x:f>IF(C70&lt;=14,1200,1100)</x:f>
        <x:v>1100</x:v>
      </x:c>
      <x:c r="I70" s="53" t="n">
        <x:f>IF(C70&lt;=3,1000,IF(C70&lt;=14,2000,IF(C70&lt;=45,3500,2500)))</x:f>
        <x:v>2500</x:v>
      </x:c>
      <x:c r="J70" s="53" t="n">
        <x:f>IF(C70&lt;=3,1500,IF(C70&lt;=14,1800,IF(C70&lt;=45,1500,1200)))</x:f>
        <x:v>1200</x:v>
      </x:c>
      <x:c r="K70" s="53" t="n">
        <x:f>IF(C70&lt;=3,600,IF(C70&lt;=14,800,900))</x:f>
        <x:v>900</x:v>
      </x:c>
      <x:c r="L70" s="53" t="n">
        <x:f>376</x:f>
        <x:v>376</x:v>
      </x:c>
      <x:c r="M70" s="53" t="n">
        <x:f>SUM(D70:L70)</x:f>
        <x:v>19032.4</x:v>
      </x:c>
      <x:c r="N70" s="72"/>
    </x:row>
    <x:row r="71">
      <x:c r="C71" s="20" t="n">
        <x:v>64</x:v>
      </x:c>
      <x:c r="D71" s="53" t="n">
        <x:f>IF(C71&lt;=3,25000,IF(C71&lt;=14,80000,'Controls'!$D$11))*0.04</x:f>
        <x:v>4324.4</x:v>
      </x:c>
      <x:c r="E71" s="53" t="n">
        <x:f>IF(C71&lt;=30,4320,MAX(2160,4320-(C71-30)*36))</x:f>
        <x:v>3096</x:v>
      </x:c>
      <x:c r="F71" s="53" t="n">
        <x:f>IF(C71&lt;=3,2000,IF(C71&lt;=14,1000,500))</x:f>
        <x:v>500</x:v>
      </x:c>
      <x:c r="G71" s="53" t="n">
        <x:f>IF(C71&lt;=3,4000,IF(C71&lt;=45,6000,5000))</x:f>
        <x:v>5000</x:v>
      </x:c>
      <x:c r="H71" s="53" t="n">
        <x:f>IF(C71&lt;=14,1200,1100)</x:f>
        <x:v>1100</x:v>
      </x:c>
      <x:c r="I71" s="53" t="n">
        <x:f>IF(C71&lt;=3,1000,IF(C71&lt;=14,2000,IF(C71&lt;=45,3500,2500)))</x:f>
        <x:v>2500</x:v>
      </x:c>
      <x:c r="J71" s="53" t="n">
        <x:f>IF(C71&lt;=3,1500,IF(C71&lt;=14,1800,IF(C71&lt;=45,1500,1200)))</x:f>
        <x:v>1200</x:v>
      </x:c>
      <x:c r="K71" s="53" t="n">
        <x:f>IF(C71&lt;=3,600,IF(C71&lt;=14,800,900))</x:f>
        <x:v>900</x:v>
      </x:c>
      <x:c r="L71" s="53" t="n">
        <x:f>376</x:f>
        <x:v>376</x:v>
      </x:c>
      <x:c r="M71" s="53" t="n">
        <x:f>SUM(D71:L71)</x:f>
        <x:v>18996.4</x:v>
      </x:c>
      <x:c r="N71" s="72"/>
    </x:row>
    <x:row r="72">
      <x:c r="C72" s="20" t="n">
        <x:v>65</x:v>
      </x:c>
      <x:c r="D72" s="53" t="n">
        <x:f>IF(C72&lt;=3,25000,IF(C72&lt;=14,80000,'Controls'!$D$11))*0.04</x:f>
        <x:v>4324.4</x:v>
      </x:c>
      <x:c r="E72" s="53" t="n">
        <x:f>IF(C72&lt;=30,4320,MAX(2160,4320-(C72-30)*36))</x:f>
        <x:v>3060</x:v>
      </x:c>
      <x:c r="F72" s="53" t="n">
        <x:f>IF(C72&lt;=3,2000,IF(C72&lt;=14,1000,500))</x:f>
        <x:v>500</x:v>
      </x:c>
      <x:c r="G72" s="53" t="n">
        <x:f>IF(C72&lt;=3,4000,IF(C72&lt;=45,6000,5000))</x:f>
        <x:v>5000</x:v>
      </x:c>
      <x:c r="H72" s="53" t="n">
        <x:f>IF(C72&lt;=14,1200,1100)</x:f>
        <x:v>1100</x:v>
      </x:c>
      <x:c r="I72" s="53" t="n">
        <x:f>IF(C72&lt;=3,1000,IF(C72&lt;=14,2000,IF(C72&lt;=45,3500,2500)))</x:f>
        <x:v>2500</x:v>
      </x:c>
      <x:c r="J72" s="53" t="n">
        <x:f>IF(C72&lt;=3,1500,IF(C72&lt;=14,1800,IF(C72&lt;=45,1500,1200)))</x:f>
        <x:v>1200</x:v>
      </x:c>
      <x:c r="K72" s="53" t="n">
        <x:f>IF(C72&lt;=3,600,IF(C72&lt;=14,800,900))</x:f>
        <x:v>900</x:v>
      </x:c>
      <x:c r="L72" s="53" t="n">
        <x:f>376</x:f>
        <x:v>376</x:v>
      </x:c>
      <x:c r="M72" s="53" t="n">
        <x:f>SUM(D72:L72)</x:f>
        <x:v>18960.4</x:v>
      </x:c>
      <x:c r="N72" s="72"/>
    </x:row>
    <x:row r="73">
      <x:c r="C73" s="20" t="n">
        <x:v>66</x:v>
      </x:c>
      <x:c r="D73" s="53" t="n">
        <x:f>IF(C73&lt;=3,25000,IF(C73&lt;=14,80000,'Controls'!$D$11))*0.04</x:f>
        <x:v>4324.4</x:v>
      </x:c>
      <x:c r="E73" s="53" t="n">
        <x:f>IF(C73&lt;=30,4320,MAX(2160,4320-(C73-30)*36))</x:f>
        <x:v>3024</x:v>
      </x:c>
      <x:c r="F73" s="53" t="n">
        <x:f>IF(C73&lt;=3,2000,IF(C73&lt;=14,1000,500))</x:f>
        <x:v>500</x:v>
      </x:c>
      <x:c r="G73" s="53" t="n">
        <x:f>IF(C73&lt;=3,4000,IF(C73&lt;=45,6000,5000))</x:f>
        <x:v>5000</x:v>
      </x:c>
      <x:c r="H73" s="53" t="n">
        <x:f>IF(C73&lt;=14,1200,1100)</x:f>
        <x:v>1100</x:v>
      </x:c>
      <x:c r="I73" s="53" t="n">
        <x:f>IF(C73&lt;=3,1000,IF(C73&lt;=14,2000,IF(C73&lt;=45,3500,2500)))</x:f>
        <x:v>2500</x:v>
      </x:c>
      <x:c r="J73" s="53" t="n">
        <x:f>IF(C73&lt;=3,1500,IF(C73&lt;=14,1800,IF(C73&lt;=45,1500,1200)))</x:f>
        <x:v>1200</x:v>
      </x:c>
      <x:c r="K73" s="53" t="n">
        <x:f>IF(C73&lt;=3,600,IF(C73&lt;=14,800,900))</x:f>
        <x:v>900</x:v>
      </x:c>
      <x:c r="L73" s="53" t="n">
        <x:f>376</x:f>
        <x:v>376</x:v>
      </x:c>
      <x:c r="M73" s="53" t="n">
        <x:f>SUM(D73:L73)</x:f>
        <x:v>18924.4</x:v>
      </x:c>
      <x:c r="N73" s="72"/>
    </x:row>
    <x:row r="74">
      <x:c r="C74" s="20" t="n">
        <x:v>67</x:v>
      </x:c>
      <x:c r="D74" s="53" t="n">
        <x:f>IF(C74&lt;=3,25000,IF(C74&lt;=14,80000,'Controls'!$D$11))*0.04</x:f>
        <x:v>4324.4</x:v>
      </x:c>
      <x:c r="E74" s="53" t="n">
        <x:f>IF(C74&lt;=30,4320,MAX(2160,4320-(C74-30)*36))</x:f>
        <x:v>2988</x:v>
      </x:c>
      <x:c r="F74" s="53" t="n">
        <x:f>IF(C74&lt;=3,2000,IF(C74&lt;=14,1000,500))</x:f>
        <x:v>500</x:v>
      </x:c>
      <x:c r="G74" s="53" t="n">
        <x:f>IF(C74&lt;=3,4000,IF(C74&lt;=45,6000,5000))</x:f>
        <x:v>5000</x:v>
      </x:c>
      <x:c r="H74" s="53" t="n">
        <x:f>IF(C74&lt;=14,1200,1100)</x:f>
        <x:v>1100</x:v>
      </x:c>
      <x:c r="I74" s="53" t="n">
        <x:f>IF(C74&lt;=3,1000,IF(C74&lt;=14,2000,IF(C74&lt;=45,3500,2500)))</x:f>
        <x:v>2500</x:v>
      </x:c>
      <x:c r="J74" s="53" t="n">
        <x:f>IF(C74&lt;=3,1500,IF(C74&lt;=14,1800,IF(C74&lt;=45,1500,1200)))</x:f>
        <x:v>1200</x:v>
      </x:c>
      <x:c r="K74" s="53" t="n">
        <x:f>IF(C74&lt;=3,600,IF(C74&lt;=14,800,900))</x:f>
        <x:v>900</x:v>
      </x:c>
      <x:c r="L74" s="53" t="n">
        <x:f>376</x:f>
        <x:v>376</x:v>
      </x:c>
      <x:c r="M74" s="53" t="n">
        <x:f>SUM(D74:L74)</x:f>
        <x:v>18888.4</x:v>
      </x:c>
      <x:c r="N74" s="72"/>
    </x:row>
    <x:row r="75">
      <x:c r="C75" s="20" t="n">
        <x:v>68</x:v>
      </x:c>
      <x:c r="D75" s="53" t="n">
        <x:f>IF(C75&lt;=3,25000,IF(C75&lt;=14,80000,'Controls'!$D$11))*0.04</x:f>
        <x:v>4324.4</x:v>
      </x:c>
      <x:c r="E75" s="53" t="n">
        <x:f>IF(C75&lt;=30,4320,MAX(2160,4320-(C75-30)*36))</x:f>
        <x:v>2952</x:v>
      </x:c>
      <x:c r="F75" s="53" t="n">
        <x:f>IF(C75&lt;=3,2000,IF(C75&lt;=14,1000,500))</x:f>
        <x:v>500</x:v>
      </x:c>
      <x:c r="G75" s="53" t="n">
        <x:f>IF(C75&lt;=3,4000,IF(C75&lt;=45,6000,5000))</x:f>
        <x:v>5000</x:v>
      </x:c>
      <x:c r="H75" s="53" t="n">
        <x:f>IF(C75&lt;=14,1200,1100)</x:f>
        <x:v>1100</x:v>
      </x:c>
      <x:c r="I75" s="53" t="n">
        <x:f>IF(C75&lt;=3,1000,IF(C75&lt;=14,2000,IF(C75&lt;=45,3500,2500)))</x:f>
        <x:v>2500</x:v>
      </x:c>
      <x:c r="J75" s="53" t="n">
        <x:f>IF(C75&lt;=3,1500,IF(C75&lt;=14,1800,IF(C75&lt;=45,1500,1200)))</x:f>
        <x:v>1200</x:v>
      </x:c>
      <x:c r="K75" s="53" t="n">
        <x:f>IF(C75&lt;=3,600,IF(C75&lt;=14,800,900))</x:f>
        <x:v>900</x:v>
      </x:c>
      <x:c r="L75" s="53" t="n">
        <x:f>376</x:f>
        <x:v>376</x:v>
      </x:c>
      <x:c r="M75" s="53" t="n">
        <x:f>SUM(D75:L75)</x:f>
        <x:v>18852.4</x:v>
      </x:c>
      <x:c r="N75" s="72"/>
    </x:row>
    <x:row r="76">
      <x:c r="C76" s="20" t="n">
        <x:v>69</x:v>
      </x:c>
      <x:c r="D76" s="53" t="n">
        <x:f>IF(C76&lt;=3,25000,IF(C76&lt;=14,80000,'Controls'!$D$11))*0.04</x:f>
        <x:v>4324.4</x:v>
      </x:c>
      <x:c r="E76" s="53" t="n">
        <x:f>IF(C76&lt;=30,4320,MAX(2160,4320-(C76-30)*36))</x:f>
        <x:v>2916</x:v>
      </x:c>
      <x:c r="F76" s="53" t="n">
        <x:f>IF(C76&lt;=3,2000,IF(C76&lt;=14,1000,500))</x:f>
        <x:v>500</x:v>
      </x:c>
      <x:c r="G76" s="53" t="n">
        <x:f>IF(C76&lt;=3,4000,IF(C76&lt;=45,6000,5000))</x:f>
        <x:v>5000</x:v>
      </x:c>
      <x:c r="H76" s="53" t="n">
        <x:f>IF(C76&lt;=14,1200,1100)</x:f>
        <x:v>1100</x:v>
      </x:c>
      <x:c r="I76" s="53" t="n">
        <x:f>IF(C76&lt;=3,1000,IF(C76&lt;=14,2000,IF(C76&lt;=45,3500,2500)))</x:f>
        <x:v>2500</x:v>
      </x:c>
      <x:c r="J76" s="53" t="n">
        <x:f>IF(C76&lt;=3,1500,IF(C76&lt;=14,1800,IF(C76&lt;=45,1500,1200)))</x:f>
        <x:v>1200</x:v>
      </x:c>
      <x:c r="K76" s="53" t="n">
        <x:f>IF(C76&lt;=3,600,IF(C76&lt;=14,800,900))</x:f>
        <x:v>900</x:v>
      </x:c>
      <x:c r="L76" s="53" t="n">
        <x:f>376</x:f>
        <x:v>376</x:v>
      </x:c>
      <x:c r="M76" s="53" t="n">
        <x:f>SUM(D76:L76)</x:f>
        <x:v>18816.4</x:v>
      </x:c>
      <x:c r="N76" s="72"/>
    </x:row>
    <x:row r="77">
      <x:c r="C77" s="20" t="n">
        <x:v>70</x:v>
      </x:c>
      <x:c r="D77" s="53" t="n">
        <x:f>IF(C77&lt;=3,25000,IF(C77&lt;=14,80000,'Controls'!$D$11))*0.04</x:f>
        <x:v>4324.4</x:v>
      </x:c>
      <x:c r="E77" s="53" t="n">
        <x:f>IF(C77&lt;=30,4320,MAX(2160,4320-(C77-30)*36))</x:f>
        <x:v>2880</x:v>
      </x:c>
      <x:c r="F77" s="53" t="n">
        <x:f>IF(C77&lt;=3,2000,IF(C77&lt;=14,1000,500))</x:f>
        <x:v>500</x:v>
      </x:c>
      <x:c r="G77" s="53" t="n">
        <x:f>IF(C77&lt;=3,4000,IF(C77&lt;=45,6000,5000))</x:f>
        <x:v>5000</x:v>
      </x:c>
      <x:c r="H77" s="53" t="n">
        <x:f>IF(C77&lt;=14,1200,1100)</x:f>
        <x:v>1100</x:v>
      </x:c>
      <x:c r="I77" s="53" t="n">
        <x:f>IF(C77&lt;=3,1000,IF(C77&lt;=14,2000,IF(C77&lt;=45,3500,2500)))</x:f>
        <x:v>2500</x:v>
      </x:c>
      <x:c r="J77" s="53" t="n">
        <x:f>IF(C77&lt;=3,1500,IF(C77&lt;=14,1800,IF(C77&lt;=45,1500,1200)))</x:f>
        <x:v>1200</x:v>
      </x:c>
      <x:c r="K77" s="53" t="n">
        <x:f>IF(C77&lt;=3,600,IF(C77&lt;=14,800,900))</x:f>
        <x:v>900</x:v>
      </x:c>
      <x:c r="L77" s="53" t="n">
        <x:f>376</x:f>
        <x:v>376</x:v>
      </x:c>
      <x:c r="M77" s="53" t="n">
        <x:f>SUM(D77:L77)</x:f>
        <x:v>18780.4</x:v>
      </x:c>
      <x:c r="N77" s="72"/>
    </x:row>
    <x:row r="78">
      <x:c r="C78" s="20" t="n">
        <x:v>71</x:v>
      </x:c>
      <x:c r="D78" s="53" t="n">
        <x:f>IF(C78&lt;=3,25000,IF(C78&lt;=14,80000,'Controls'!$D$11))*0.04</x:f>
        <x:v>4324.4</x:v>
      </x:c>
      <x:c r="E78" s="53" t="n">
        <x:f>IF(C78&lt;=30,4320,MAX(2160,4320-(C78-30)*36))</x:f>
        <x:v>2844</x:v>
      </x:c>
      <x:c r="F78" s="53" t="n">
        <x:f>IF(C78&lt;=3,2000,IF(C78&lt;=14,1000,500))</x:f>
        <x:v>500</x:v>
      </x:c>
      <x:c r="G78" s="53" t="n">
        <x:f>IF(C78&lt;=3,4000,IF(C78&lt;=45,6000,5000))</x:f>
        <x:v>5000</x:v>
      </x:c>
      <x:c r="H78" s="53" t="n">
        <x:f>IF(C78&lt;=14,1200,1100)</x:f>
        <x:v>1100</x:v>
      </x:c>
      <x:c r="I78" s="53" t="n">
        <x:f>IF(C78&lt;=3,1000,IF(C78&lt;=14,2000,IF(C78&lt;=45,3500,2500)))</x:f>
        <x:v>2500</x:v>
      </x:c>
      <x:c r="J78" s="53" t="n">
        <x:f>IF(C78&lt;=3,1500,IF(C78&lt;=14,1800,IF(C78&lt;=45,1500,1200)))</x:f>
        <x:v>1200</x:v>
      </x:c>
      <x:c r="K78" s="53" t="n">
        <x:f>IF(C78&lt;=3,600,IF(C78&lt;=14,800,900))</x:f>
        <x:v>900</x:v>
      </x:c>
      <x:c r="L78" s="53" t="n">
        <x:f>376</x:f>
        <x:v>376</x:v>
      </x:c>
      <x:c r="M78" s="53" t="n">
        <x:f>SUM(D78:L78)</x:f>
        <x:v>18744.4</x:v>
      </x:c>
      <x:c r="N78" s="72"/>
    </x:row>
    <x:row r="79">
      <x:c r="C79" s="20" t="n">
        <x:v>72</x:v>
      </x:c>
      <x:c r="D79" s="53" t="n">
        <x:f>IF(C79&lt;=3,25000,IF(C79&lt;=14,80000,'Controls'!$D$11))*0.04</x:f>
        <x:v>4324.4</x:v>
      </x:c>
      <x:c r="E79" s="53" t="n">
        <x:f>IF(C79&lt;=30,4320,MAX(2160,4320-(C79-30)*36))</x:f>
        <x:v>2808</x:v>
      </x:c>
      <x:c r="F79" s="53" t="n">
        <x:f>IF(C79&lt;=3,2000,IF(C79&lt;=14,1000,500))</x:f>
        <x:v>500</x:v>
      </x:c>
      <x:c r="G79" s="53" t="n">
        <x:f>IF(C79&lt;=3,4000,IF(C79&lt;=45,6000,5000))</x:f>
        <x:v>5000</x:v>
      </x:c>
      <x:c r="H79" s="53" t="n">
        <x:f>IF(C79&lt;=14,1200,1100)</x:f>
        <x:v>1100</x:v>
      </x:c>
      <x:c r="I79" s="53" t="n">
        <x:f>IF(C79&lt;=3,1000,IF(C79&lt;=14,2000,IF(C79&lt;=45,3500,2500)))</x:f>
        <x:v>2500</x:v>
      </x:c>
      <x:c r="J79" s="53" t="n">
        <x:f>IF(C79&lt;=3,1500,IF(C79&lt;=14,1800,IF(C79&lt;=45,1500,1200)))</x:f>
        <x:v>1200</x:v>
      </x:c>
      <x:c r="K79" s="53" t="n">
        <x:f>IF(C79&lt;=3,600,IF(C79&lt;=14,800,900))</x:f>
        <x:v>900</x:v>
      </x:c>
      <x:c r="L79" s="53" t="n">
        <x:f>376</x:f>
        <x:v>376</x:v>
      </x:c>
      <x:c r="M79" s="53" t="n">
        <x:f>SUM(D79:L79)</x:f>
        <x:v>18708.4</x:v>
      </x:c>
      <x:c r="N79" s="72"/>
    </x:row>
    <x:row r="80">
      <x:c r="C80" s="20" t="n">
        <x:v>73</x:v>
      </x:c>
      <x:c r="D80" s="53" t="n">
        <x:f>IF(C80&lt;=3,25000,IF(C80&lt;=14,80000,'Controls'!$D$11))*0.04</x:f>
        <x:v>4324.4</x:v>
      </x:c>
      <x:c r="E80" s="53" t="n">
        <x:f>IF(C80&lt;=30,4320,MAX(2160,4320-(C80-30)*36))</x:f>
        <x:v>2772</x:v>
      </x:c>
      <x:c r="F80" s="53" t="n">
        <x:f>IF(C80&lt;=3,2000,IF(C80&lt;=14,1000,500))</x:f>
        <x:v>500</x:v>
      </x:c>
      <x:c r="G80" s="53" t="n">
        <x:f>IF(C80&lt;=3,4000,IF(C80&lt;=45,6000,5000))</x:f>
        <x:v>5000</x:v>
      </x:c>
      <x:c r="H80" s="53" t="n">
        <x:f>IF(C80&lt;=14,1200,1100)</x:f>
        <x:v>1100</x:v>
      </x:c>
      <x:c r="I80" s="53" t="n">
        <x:f>IF(C80&lt;=3,1000,IF(C80&lt;=14,2000,IF(C80&lt;=45,3500,2500)))</x:f>
        <x:v>2500</x:v>
      </x:c>
      <x:c r="J80" s="53" t="n">
        <x:f>IF(C80&lt;=3,1500,IF(C80&lt;=14,1800,IF(C80&lt;=45,1500,1200)))</x:f>
        <x:v>1200</x:v>
      </x:c>
      <x:c r="K80" s="53" t="n">
        <x:f>IF(C80&lt;=3,600,IF(C80&lt;=14,800,900))</x:f>
        <x:v>900</x:v>
      </x:c>
      <x:c r="L80" s="53" t="n">
        <x:f>376</x:f>
        <x:v>376</x:v>
      </x:c>
      <x:c r="M80" s="53" t="n">
        <x:f>SUM(D80:L80)</x:f>
        <x:v>18672.4</x:v>
      </x:c>
      <x:c r="N80" s="72"/>
    </x:row>
    <x:row r="81">
      <x:c r="C81" s="20" t="n">
        <x:v>74</x:v>
      </x:c>
      <x:c r="D81" s="53" t="n">
        <x:f>IF(C81&lt;=3,25000,IF(C81&lt;=14,80000,'Controls'!$D$11))*0.04</x:f>
        <x:v>4324.4</x:v>
      </x:c>
      <x:c r="E81" s="53" t="n">
        <x:f>IF(C81&lt;=30,4320,MAX(2160,4320-(C81-30)*36))</x:f>
        <x:v>2736</x:v>
      </x:c>
      <x:c r="F81" s="53" t="n">
        <x:f>IF(C81&lt;=3,2000,IF(C81&lt;=14,1000,500))</x:f>
        <x:v>500</x:v>
      </x:c>
      <x:c r="G81" s="53" t="n">
        <x:f>IF(C81&lt;=3,4000,IF(C81&lt;=45,6000,5000))</x:f>
        <x:v>5000</x:v>
      </x:c>
      <x:c r="H81" s="53" t="n">
        <x:f>IF(C81&lt;=14,1200,1100)</x:f>
        <x:v>1100</x:v>
      </x:c>
      <x:c r="I81" s="53" t="n">
        <x:f>IF(C81&lt;=3,1000,IF(C81&lt;=14,2000,IF(C81&lt;=45,3500,2500)))</x:f>
        <x:v>2500</x:v>
      </x:c>
      <x:c r="J81" s="53" t="n">
        <x:f>IF(C81&lt;=3,1500,IF(C81&lt;=14,1800,IF(C81&lt;=45,1500,1200)))</x:f>
        <x:v>1200</x:v>
      </x:c>
      <x:c r="K81" s="53" t="n">
        <x:f>IF(C81&lt;=3,600,IF(C81&lt;=14,800,900))</x:f>
        <x:v>900</x:v>
      </x:c>
      <x:c r="L81" s="53" t="n">
        <x:f>376</x:f>
        <x:v>376</x:v>
      </x:c>
      <x:c r="M81" s="53" t="n">
        <x:f>SUM(D81:L81)</x:f>
        <x:v>18636.4</x:v>
      </x:c>
      <x:c r="N81" s="72"/>
    </x:row>
    <x:row r="82">
      <x:c r="C82" s="20" t="n">
        <x:v>75</x:v>
      </x:c>
      <x:c r="D82" s="53" t="n">
        <x:f>IF(C82&lt;=3,25000,IF(C82&lt;=14,80000,'Controls'!$D$11))*0.04</x:f>
        <x:v>4324.4</x:v>
      </x:c>
      <x:c r="E82" s="53" t="n">
        <x:f>IF(C82&lt;=30,4320,MAX(2160,4320-(C82-30)*36))</x:f>
        <x:v>2700</x:v>
      </x:c>
      <x:c r="F82" s="53" t="n">
        <x:f>IF(C82&lt;=3,2000,IF(C82&lt;=14,1000,500))</x:f>
        <x:v>500</x:v>
      </x:c>
      <x:c r="G82" s="53" t="n">
        <x:f>IF(C82&lt;=3,4000,IF(C82&lt;=45,6000,5000))</x:f>
        <x:v>5000</x:v>
      </x:c>
      <x:c r="H82" s="53" t="n">
        <x:f>IF(C82&lt;=14,1200,1100)</x:f>
        <x:v>1100</x:v>
      </x:c>
      <x:c r="I82" s="53" t="n">
        <x:f>IF(C82&lt;=3,1000,IF(C82&lt;=14,2000,IF(C82&lt;=45,3500,2500)))</x:f>
        <x:v>2500</x:v>
      </x:c>
      <x:c r="J82" s="53" t="n">
        <x:f>IF(C82&lt;=3,1500,IF(C82&lt;=14,1800,IF(C82&lt;=45,1500,1200)))</x:f>
        <x:v>1200</x:v>
      </x:c>
      <x:c r="K82" s="53" t="n">
        <x:f>IF(C82&lt;=3,600,IF(C82&lt;=14,800,900))</x:f>
        <x:v>900</x:v>
      </x:c>
      <x:c r="L82" s="53" t="n">
        <x:f>376</x:f>
        <x:v>376</x:v>
      </x:c>
      <x:c r="M82" s="53" t="n">
        <x:f>SUM(D82:L82)</x:f>
        <x:v>18600.4</x:v>
      </x:c>
      <x:c r="N82" s="72"/>
    </x:row>
    <x:row r="83">
      <x:c r="C83" s="20" t="n">
        <x:v>76</x:v>
      </x:c>
      <x:c r="D83" s="53" t="n">
        <x:f>IF(C83&lt;=3,25000,IF(C83&lt;=14,80000,'Controls'!$D$11))*0.04</x:f>
        <x:v>4324.4</x:v>
      </x:c>
      <x:c r="E83" s="53" t="n">
        <x:f>IF(C83&lt;=30,4320,MAX(2160,4320-(C83-30)*36))</x:f>
        <x:v>2664</x:v>
      </x:c>
      <x:c r="F83" s="53" t="n">
        <x:f>IF(C83&lt;=3,2000,IF(C83&lt;=14,1000,500))</x:f>
        <x:v>500</x:v>
      </x:c>
      <x:c r="G83" s="53" t="n">
        <x:f>IF(C83&lt;=3,4000,IF(C83&lt;=45,6000,5000))</x:f>
        <x:v>5000</x:v>
      </x:c>
      <x:c r="H83" s="53" t="n">
        <x:f>IF(C83&lt;=14,1200,1100)</x:f>
        <x:v>1100</x:v>
      </x:c>
      <x:c r="I83" s="53" t="n">
        <x:f>IF(C83&lt;=3,1000,IF(C83&lt;=14,2000,IF(C83&lt;=45,3500,2500)))</x:f>
        <x:v>2500</x:v>
      </x:c>
      <x:c r="J83" s="53" t="n">
        <x:f>IF(C83&lt;=3,1500,IF(C83&lt;=14,1800,IF(C83&lt;=45,1500,1200)))</x:f>
        <x:v>1200</x:v>
      </x:c>
      <x:c r="K83" s="53" t="n">
        <x:f>IF(C83&lt;=3,600,IF(C83&lt;=14,800,900))</x:f>
        <x:v>900</x:v>
      </x:c>
      <x:c r="L83" s="53" t="n">
        <x:f>376</x:f>
        <x:v>376</x:v>
      </x:c>
      <x:c r="M83" s="53" t="n">
        <x:f>SUM(D83:L83)</x:f>
        <x:v>18564.4</x:v>
      </x:c>
      <x:c r="N83" s="72"/>
    </x:row>
    <x:row r="84">
      <x:c r="C84" s="20" t="n">
        <x:v>77</x:v>
      </x:c>
      <x:c r="D84" s="53" t="n">
        <x:f>IF(C84&lt;=3,25000,IF(C84&lt;=14,80000,'Controls'!$D$11))*0.04</x:f>
        <x:v>4324.4</x:v>
      </x:c>
      <x:c r="E84" s="53" t="n">
        <x:f>IF(C84&lt;=30,4320,MAX(2160,4320-(C84-30)*36))</x:f>
        <x:v>2628</x:v>
      </x:c>
      <x:c r="F84" s="53" t="n">
        <x:f>IF(C84&lt;=3,2000,IF(C84&lt;=14,1000,500))</x:f>
        <x:v>500</x:v>
      </x:c>
      <x:c r="G84" s="53" t="n">
        <x:f>IF(C84&lt;=3,4000,IF(C84&lt;=45,6000,5000))</x:f>
        <x:v>5000</x:v>
      </x:c>
      <x:c r="H84" s="53" t="n">
        <x:f>IF(C84&lt;=14,1200,1100)</x:f>
        <x:v>1100</x:v>
      </x:c>
      <x:c r="I84" s="53" t="n">
        <x:f>IF(C84&lt;=3,1000,IF(C84&lt;=14,2000,IF(C84&lt;=45,3500,2500)))</x:f>
        <x:v>2500</x:v>
      </x:c>
      <x:c r="J84" s="53" t="n">
        <x:f>IF(C84&lt;=3,1500,IF(C84&lt;=14,1800,IF(C84&lt;=45,1500,1200)))</x:f>
        <x:v>1200</x:v>
      </x:c>
      <x:c r="K84" s="53" t="n">
        <x:f>IF(C84&lt;=3,600,IF(C84&lt;=14,800,900))</x:f>
        <x:v>900</x:v>
      </x:c>
      <x:c r="L84" s="53" t="n">
        <x:f>376</x:f>
        <x:v>376</x:v>
      </x:c>
      <x:c r="M84" s="53" t="n">
        <x:f>SUM(D84:L84)</x:f>
        <x:v>18528.4</x:v>
      </x:c>
      <x:c r="N84" s="72"/>
    </x:row>
    <x:row r="85">
      <x:c r="C85" s="20" t="n">
        <x:v>78</x:v>
      </x:c>
      <x:c r="D85" s="53" t="n">
        <x:f>IF(C85&lt;=3,25000,IF(C85&lt;=14,80000,'Controls'!$D$11))*0.04</x:f>
        <x:v>4324.4</x:v>
      </x:c>
      <x:c r="E85" s="53" t="n">
        <x:f>IF(C85&lt;=30,4320,MAX(2160,4320-(C85-30)*36))</x:f>
        <x:v>2592</x:v>
      </x:c>
      <x:c r="F85" s="53" t="n">
        <x:f>IF(C85&lt;=3,2000,IF(C85&lt;=14,1000,500))</x:f>
        <x:v>500</x:v>
      </x:c>
      <x:c r="G85" s="53" t="n">
        <x:f>IF(C85&lt;=3,4000,IF(C85&lt;=45,6000,5000))</x:f>
        <x:v>5000</x:v>
      </x:c>
      <x:c r="H85" s="53" t="n">
        <x:f>IF(C85&lt;=14,1200,1100)</x:f>
        <x:v>1100</x:v>
      </x:c>
      <x:c r="I85" s="53" t="n">
        <x:f>IF(C85&lt;=3,1000,IF(C85&lt;=14,2000,IF(C85&lt;=45,3500,2500)))</x:f>
        <x:v>2500</x:v>
      </x:c>
      <x:c r="J85" s="53" t="n">
        <x:f>IF(C85&lt;=3,1500,IF(C85&lt;=14,1800,IF(C85&lt;=45,1500,1200)))</x:f>
        <x:v>1200</x:v>
      </x:c>
      <x:c r="K85" s="53" t="n">
        <x:f>IF(C85&lt;=3,600,IF(C85&lt;=14,800,900))</x:f>
        <x:v>900</x:v>
      </x:c>
      <x:c r="L85" s="53" t="n">
        <x:f>376</x:f>
        <x:v>376</x:v>
      </x:c>
      <x:c r="M85" s="53" t="n">
        <x:f>SUM(D85:L85)</x:f>
        <x:v>18492.4</x:v>
      </x:c>
      <x:c r="N85" s="72"/>
    </x:row>
    <x:row r="86">
      <x:c r="C86" s="20" t="n">
        <x:v>79</x:v>
      </x:c>
      <x:c r="D86" s="53" t="n">
        <x:f>IF(C86&lt;=3,25000,IF(C86&lt;=14,80000,'Controls'!$D$11))*0.04</x:f>
        <x:v>4324.4</x:v>
      </x:c>
      <x:c r="E86" s="53" t="n">
        <x:f>IF(C86&lt;=30,4320,MAX(2160,4320-(C86-30)*36))</x:f>
        <x:v>2556</x:v>
      </x:c>
      <x:c r="F86" s="53" t="n">
        <x:f>IF(C86&lt;=3,2000,IF(C86&lt;=14,1000,500))</x:f>
        <x:v>500</x:v>
      </x:c>
      <x:c r="G86" s="53" t="n">
        <x:f>IF(C86&lt;=3,4000,IF(C86&lt;=45,6000,5000))</x:f>
        <x:v>5000</x:v>
      </x:c>
      <x:c r="H86" s="53" t="n">
        <x:f>IF(C86&lt;=14,1200,1100)</x:f>
        <x:v>1100</x:v>
      </x:c>
      <x:c r="I86" s="53" t="n">
        <x:f>IF(C86&lt;=3,1000,IF(C86&lt;=14,2000,IF(C86&lt;=45,3500,2500)))</x:f>
        <x:v>2500</x:v>
      </x:c>
      <x:c r="J86" s="53" t="n">
        <x:f>IF(C86&lt;=3,1500,IF(C86&lt;=14,1800,IF(C86&lt;=45,1500,1200)))</x:f>
        <x:v>1200</x:v>
      </x:c>
      <x:c r="K86" s="53" t="n">
        <x:f>IF(C86&lt;=3,600,IF(C86&lt;=14,800,900))</x:f>
        <x:v>900</x:v>
      </x:c>
      <x:c r="L86" s="53" t="n">
        <x:f>376</x:f>
        <x:v>376</x:v>
      </x:c>
      <x:c r="M86" s="53" t="n">
        <x:f>SUM(D86:L86)</x:f>
        <x:v>18456.4</x:v>
      </x:c>
      <x:c r="N86" s="72"/>
    </x:row>
    <x:row r="87">
      <x:c r="C87" s="20" t="n">
        <x:v>80</x:v>
      </x:c>
      <x:c r="D87" s="53" t="n">
        <x:f>IF(C87&lt;=3,25000,IF(C87&lt;=14,80000,'Controls'!$D$11))*0.04</x:f>
        <x:v>4324.4</x:v>
      </x:c>
      <x:c r="E87" s="53" t="n">
        <x:f>IF(C87&lt;=30,4320,MAX(2160,4320-(C87-30)*36))</x:f>
        <x:v>2520</x:v>
      </x:c>
      <x:c r="F87" s="53" t="n">
        <x:f>IF(C87&lt;=3,2000,IF(C87&lt;=14,1000,500))</x:f>
        <x:v>500</x:v>
      </x:c>
      <x:c r="G87" s="53" t="n">
        <x:f>IF(C87&lt;=3,4000,IF(C87&lt;=45,6000,5000))</x:f>
        <x:v>5000</x:v>
      </x:c>
      <x:c r="H87" s="53" t="n">
        <x:f>IF(C87&lt;=14,1200,1100)</x:f>
        <x:v>1100</x:v>
      </x:c>
      <x:c r="I87" s="53" t="n">
        <x:f>IF(C87&lt;=3,1000,IF(C87&lt;=14,2000,IF(C87&lt;=45,3500,2500)))</x:f>
        <x:v>2500</x:v>
      </x:c>
      <x:c r="J87" s="53" t="n">
        <x:f>IF(C87&lt;=3,1500,IF(C87&lt;=14,1800,IF(C87&lt;=45,1500,1200)))</x:f>
        <x:v>1200</x:v>
      </x:c>
      <x:c r="K87" s="53" t="n">
        <x:f>IF(C87&lt;=3,600,IF(C87&lt;=14,800,900))</x:f>
        <x:v>900</x:v>
      </x:c>
      <x:c r="L87" s="53" t="n">
        <x:f>376</x:f>
        <x:v>376</x:v>
      </x:c>
      <x:c r="M87" s="53" t="n">
        <x:f>SUM(D87:L87)</x:f>
        <x:v>18420.4</x:v>
      </x:c>
      <x:c r="N87" s="72"/>
    </x:row>
    <x:row r="88">
      <x:c r="C88" s="20" t="n">
        <x:v>81</x:v>
      </x:c>
      <x:c r="D88" s="53" t="n">
        <x:f>IF(C88&lt;=3,25000,IF(C88&lt;=14,80000,'Controls'!$D$11))*0.04</x:f>
        <x:v>4324.4</x:v>
      </x:c>
      <x:c r="E88" s="53" t="n">
        <x:f>IF(C88&lt;=30,4320,MAX(2160,4320-(C88-30)*36))</x:f>
        <x:v>2484</x:v>
      </x:c>
      <x:c r="F88" s="53" t="n">
        <x:f>IF(C88&lt;=3,2000,IF(C88&lt;=14,1000,500))</x:f>
        <x:v>500</x:v>
      </x:c>
      <x:c r="G88" s="53" t="n">
        <x:f>IF(C88&lt;=3,4000,IF(C88&lt;=45,6000,5000))</x:f>
        <x:v>5000</x:v>
      </x:c>
      <x:c r="H88" s="53" t="n">
        <x:f>IF(C88&lt;=14,1200,1100)</x:f>
        <x:v>1100</x:v>
      </x:c>
      <x:c r="I88" s="53" t="n">
        <x:f>IF(C88&lt;=3,1000,IF(C88&lt;=14,2000,IF(C88&lt;=45,3500,2500)))</x:f>
        <x:v>2500</x:v>
      </x:c>
      <x:c r="J88" s="53" t="n">
        <x:f>IF(C88&lt;=3,1500,IF(C88&lt;=14,1800,IF(C88&lt;=45,1500,1200)))</x:f>
        <x:v>1200</x:v>
      </x:c>
      <x:c r="K88" s="53" t="n">
        <x:f>IF(C88&lt;=3,600,IF(C88&lt;=14,800,900))</x:f>
        <x:v>900</x:v>
      </x:c>
      <x:c r="L88" s="53" t="n">
        <x:f>376</x:f>
        <x:v>376</x:v>
      </x:c>
      <x:c r="M88" s="53" t="n">
        <x:f>SUM(D88:L88)</x:f>
        <x:v>18384.4</x:v>
      </x:c>
      <x:c r="N88" s="72"/>
    </x:row>
    <x:row r="89">
      <x:c r="C89" s="20" t="n">
        <x:v>82</x:v>
      </x:c>
      <x:c r="D89" s="53" t="n">
        <x:f>IF(C89&lt;=3,25000,IF(C89&lt;=14,80000,'Controls'!$D$11))*0.04</x:f>
        <x:v>4324.4</x:v>
      </x:c>
      <x:c r="E89" s="53" t="n">
        <x:f>IF(C89&lt;=30,4320,MAX(2160,4320-(C89-30)*36))</x:f>
        <x:v>2448</x:v>
      </x:c>
      <x:c r="F89" s="53" t="n">
        <x:f>IF(C89&lt;=3,2000,IF(C89&lt;=14,1000,500))</x:f>
        <x:v>500</x:v>
      </x:c>
      <x:c r="G89" s="53" t="n">
        <x:f>IF(C89&lt;=3,4000,IF(C89&lt;=45,6000,5000))</x:f>
        <x:v>5000</x:v>
      </x:c>
      <x:c r="H89" s="53" t="n">
        <x:f>IF(C89&lt;=14,1200,1100)</x:f>
        <x:v>1100</x:v>
      </x:c>
      <x:c r="I89" s="53" t="n">
        <x:f>IF(C89&lt;=3,1000,IF(C89&lt;=14,2000,IF(C89&lt;=45,3500,2500)))</x:f>
        <x:v>2500</x:v>
      </x:c>
      <x:c r="J89" s="53" t="n">
        <x:f>IF(C89&lt;=3,1500,IF(C89&lt;=14,1800,IF(C89&lt;=45,1500,1200)))</x:f>
        <x:v>1200</x:v>
      </x:c>
      <x:c r="K89" s="53" t="n">
        <x:f>IF(C89&lt;=3,600,IF(C89&lt;=14,800,900))</x:f>
        <x:v>900</x:v>
      </x:c>
      <x:c r="L89" s="53" t="n">
        <x:f>376</x:f>
        <x:v>376</x:v>
      </x:c>
      <x:c r="M89" s="53" t="n">
        <x:f>SUM(D89:L89)</x:f>
        <x:v>18348.4</x:v>
      </x:c>
      <x:c r="N89" s="72"/>
    </x:row>
    <x:row r="90">
      <x:c r="C90" s="20" t="n">
        <x:v>83</x:v>
      </x:c>
      <x:c r="D90" s="53" t="n">
        <x:f>IF(C90&lt;=3,25000,IF(C90&lt;=14,80000,'Controls'!$D$11))*0.04</x:f>
        <x:v>4324.4</x:v>
      </x:c>
      <x:c r="E90" s="53" t="n">
        <x:f>IF(C90&lt;=30,4320,MAX(2160,4320-(C90-30)*36))</x:f>
        <x:v>2412</x:v>
      </x:c>
      <x:c r="F90" s="53" t="n">
        <x:f>IF(C90&lt;=3,2000,IF(C90&lt;=14,1000,500))</x:f>
        <x:v>500</x:v>
      </x:c>
      <x:c r="G90" s="53" t="n">
        <x:f>IF(C90&lt;=3,4000,IF(C90&lt;=45,6000,5000))</x:f>
        <x:v>5000</x:v>
      </x:c>
      <x:c r="H90" s="53" t="n">
        <x:f>IF(C90&lt;=14,1200,1100)</x:f>
        <x:v>1100</x:v>
      </x:c>
      <x:c r="I90" s="53" t="n">
        <x:f>IF(C90&lt;=3,1000,IF(C90&lt;=14,2000,IF(C90&lt;=45,3500,2500)))</x:f>
        <x:v>2500</x:v>
      </x:c>
      <x:c r="J90" s="53" t="n">
        <x:f>IF(C90&lt;=3,1500,IF(C90&lt;=14,1800,IF(C90&lt;=45,1500,1200)))</x:f>
        <x:v>1200</x:v>
      </x:c>
      <x:c r="K90" s="53" t="n">
        <x:f>IF(C90&lt;=3,600,IF(C90&lt;=14,800,900))</x:f>
        <x:v>900</x:v>
      </x:c>
      <x:c r="L90" s="53" t="n">
        <x:f>376</x:f>
        <x:v>376</x:v>
      </x:c>
      <x:c r="M90" s="53" t="n">
        <x:f>SUM(D90:L90)</x:f>
        <x:v>18312.4</x:v>
      </x:c>
      <x:c r="N90" s="72"/>
    </x:row>
    <x:row r="91">
      <x:c r="C91" s="20" t="n">
        <x:v>84</x:v>
      </x:c>
      <x:c r="D91" s="53" t="n">
        <x:f>IF(C91&lt;=3,25000,IF(C91&lt;=14,80000,'Controls'!$D$11))*0.04</x:f>
        <x:v>4324.4</x:v>
      </x:c>
      <x:c r="E91" s="53" t="n">
        <x:f>IF(C91&lt;=30,4320,MAX(2160,4320-(C91-30)*36))</x:f>
        <x:v>2376</x:v>
      </x:c>
      <x:c r="F91" s="53" t="n">
        <x:f>IF(C91&lt;=3,2000,IF(C91&lt;=14,1000,500))</x:f>
        <x:v>500</x:v>
      </x:c>
      <x:c r="G91" s="53" t="n">
        <x:f>IF(C91&lt;=3,4000,IF(C91&lt;=45,6000,5000))</x:f>
        <x:v>5000</x:v>
      </x:c>
      <x:c r="H91" s="53" t="n">
        <x:f>IF(C91&lt;=14,1200,1100)</x:f>
        <x:v>1100</x:v>
      </x:c>
      <x:c r="I91" s="53" t="n">
        <x:f>IF(C91&lt;=3,1000,IF(C91&lt;=14,2000,IF(C91&lt;=45,3500,2500)))</x:f>
        <x:v>2500</x:v>
      </x:c>
      <x:c r="J91" s="53" t="n">
        <x:f>IF(C91&lt;=3,1500,IF(C91&lt;=14,1800,IF(C91&lt;=45,1500,1200)))</x:f>
        <x:v>1200</x:v>
      </x:c>
      <x:c r="K91" s="53" t="n">
        <x:f>IF(C91&lt;=3,600,IF(C91&lt;=14,800,900))</x:f>
        <x:v>900</x:v>
      </x:c>
      <x:c r="L91" s="53" t="n">
        <x:f>376</x:f>
        <x:v>376</x:v>
      </x:c>
      <x:c r="M91" s="53" t="n">
        <x:f>SUM(D91:L91)</x:f>
        <x:v>18276.4</x:v>
      </x:c>
      <x:c r="N91" s="72"/>
    </x:row>
    <x:row r="92">
      <x:c r="C92" s="20" t="n">
        <x:v>85</x:v>
      </x:c>
      <x:c r="D92" s="53" t="n">
        <x:f>IF(C92&lt;=3,25000,IF(C92&lt;=14,80000,'Controls'!$D$11))*0.04</x:f>
        <x:v>4324.4</x:v>
      </x:c>
      <x:c r="E92" s="53" t="n">
        <x:f>IF(C92&lt;=30,4320,MAX(2160,4320-(C92-30)*36))</x:f>
        <x:v>2340</x:v>
      </x:c>
      <x:c r="F92" s="53" t="n">
        <x:f>IF(C92&lt;=3,2000,IF(C92&lt;=14,1000,500))</x:f>
        <x:v>500</x:v>
      </x:c>
      <x:c r="G92" s="53" t="n">
        <x:f>IF(C92&lt;=3,4000,IF(C92&lt;=45,6000,5000))</x:f>
        <x:v>5000</x:v>
      </x:c>
      <x:c r="H92" s="53" t="n">
        <x:f>IF(C92&lt;=14,1200,1100)</x:f>
        <x:v>1100</x:v>
      </x:c>
      <x:c r="I92" s="53" t="n">
        <x:f>IF(C92&lt;=3,1000,IF(C92&lt;=14,2000,IF(C92&lt;=45,3500,2500)))</x:f>
        <x:v>2500</x:v>
      </x:c>
      <x:c r="J92" s="53" t="n">
        <x:f>IF(C92&lt;=3,1500,IF(C92&lt;=14,1800,IF(C92&lt;=45,1500,1200)))</x:f>
        <x:v>1200</x:v>
      </x:c>
      <x:c r="K92" s="53" t="n">
        <x:f>IF(C92&lt;=3,600,IF(C92&lt;=14,800,900))</x:f>
        <x:v>900</x:v>
      </x:c>
      <x:c r="L92" s="53" t="n">
        <x:f>376</x:f>
        <x:v>376</x:v>
      </x:c>
      <x:c r="M92" s="53" t="n">
        <x:f>SUM(D92:L92)</x:f>
        <x:v>18240.4</x:v>
      </x:c>
      <x:c r="N92" s="72"/>
    </x:row>
    <x:row r="93">
      <x:c r="C93" s="20" t="n">
        <x:v>86</x:v>
      </x:c>
      <x:c r="D93" s="53" t="n">
        <x:f>IF(C93&lt;=3,25000,IF(C93&lt;=14,80000,'Controls'!$D$11))*0.04</x:f>
        <x:v>4324.4</x:v>
      </x:c>
      <x:c r="E93" s="53" t="n">
        <x:f>IF(C93&lt;=30,4320,MAX(2160,4320-(C93-30)*36))</x:f>
        <x:v>2304</x:v>
      </x:c>
      <x:c r="F93" s="53" t="n">
        <x:f>IF(C93&lt;=3,2000,IF(C93&lt;=14,1000,500))</x:f>
        <x:v>500</x:v>
      </x:c>
      <x:c r="G93" s="53" t="n">
        <x:f>IF(C93&lt;=3,4000,IF(C93&lt;=45,6000,5000))</x:f>
        <x:v>5000</x:v>
      </x:c>
      <x:c r="H93" s="53" t="n">
        <x:f>IF(C93&lt;=14,1200,1100)</x:f>
        <x:v>1100</x:v>
      </x:c>
      <x:c r="I93" s="53" t="n">
        <x:f>IF(C93&lt;=3,1000,IF(C93&lt;=14,2000,IF(C93&lt;=45,3500,2500)))</x:f>
        <x:v>2500</x:v>
      </x:c>
      <x:c r="J93" s="53" t="n">
        <x:f>IF(C93&lt;=3,1500,IF(C93&lt;=14,1800,IF(C93&lt;=45,1500,1200)))</x:f>
        <x:v>1200</x:v>
      </x:c>
      <x:c r="K93" s="53" t="n">
        <x:f>IF(C93&lt;=3,600,IF(C93&lt;=14,800,900))</x:f>
        <x:v>900</x:v>
      </x:c>
      <x:c r="L93" s="53" t="n">
        <x:f>376</x:f>
        <x:v>376</x:v>
      </x:c>
      <x:c r="M93" s="53" t="n">
        <x:f>SUM(D93:L93)</x:f>
        <x:v>18204.4</x:v>
      </x:c>
      <x:c r="N93" s="72"/>
    </x:row>
    <x:row r="94">
      <x:c r="C94" s="20" t="n">
        <x:v>87</x:v>
      </x:c>
      <x:c r="D94" s="53" t="n">
        <x:f>IF(C94&lt;=3,25000,IF(C94&lt;=14,80000,'Controls'!$D$11))*0.04</x:f>
        <x:v>4324.4</x:v>
      </x:c>
      <x:c r="E94" s="53" t="n">
        <x:f>IF(C94&lt;=30,4320,MAX(2160,4320-(C94-30)*36))</x:f>
        <x:v>2268</x:v>
      </x:c>
      <x:c r="F94" s="53" t="n">
        <x:f>IF(C94&lt;=3,2000,IF(C94&lt;=14,1000,500))</x:f>
        <x:v>500</x:v>
      </x:c>
      <x:c r="G94" s="53" t="n">
        <x:f>IF(C94&lt;=3,4000,IF(C94&lt;=45,6000,5000))</x:f>
        <x:v>5000</x:v>
      </x:c>
      <x:c r="H94" s="53" t="n">
        <x:f>IF(C94&lt;=14,1200,1100)</x:f>
        <x:v>1100</x:v>
      </x:c>
      <x:c r="I94" s="53" t="n">
        <x:f>IF(C94&lt;=3,1000,IF(C94&lt;=14,2000,IF(C94&lt;=45,3500,2500)))</x:f>
        <x:v>2500</x:v>
      </x:c>
      <x:c r="J94" s="53" t="n">
        <x:f>IF(C94&lt;=3,1500,IF(C94&lt;=14,1800,IF(C94&lt;=45,1500,1200)))</x:f>
        <x:v>1200</x:v>
      </x:c>
      <x:c r="K94" s="53" t="n">
        <x:f>IF(C94&lt;=3,600,IF(C94&lt;=14,800,900))</x:f>
        <x:v>900</x:v>
      </x:c>
      <x:c r="L94" s="53" t="n">
        <x:f>376</x:f>
        <x:v>376</x:v>
      </x:c>
      <x:c r="M94" s="53" t="n">
        <x:f>SUM(D94:L94)</x:f>
        <x:v>18168.4</x:v>
      </x:c>
      <x:c r="N94" s="72"/>
    </x:row>
    <x:row r="95">
      <x:c r="C95" s="20" t="n">
        <x:v>88</x:v>
      </x:c>
      <x:c r="D95" s="53" t="n">
        <x:f>IF(C95&lt;=3,25000,IF(C95&lt;=14,80000,'Controls'!$D$11))*0.04</x:f>
        <x:v>4324.4</x:v>
      </x:c>
      <x:c r="E95" s="53" t="n">
        <x:f>IF(C95&lt;=30,4320,MAX(2160,4320-(C95-30)*36))</x:f>
        <x:v>2232</x:v>
      </x:c>
      <x:c r="F95" s="53" t="n">
        <x:f>IF(C95&lt;=3,2000,IF(C95&lt;=14,1000,500))</x:f>
        <x:v>500</x:v>
      </x:c>
      <x:c r="G95" s="53" t="n">
        <x:f>IF(C95&lt;=3,4000,IF(C95&lt;=45,6000,5000))</x:f>
        <x:v>5000</x:v>
      </x:c>
      <x:c r="H95" s="53" t="n">
        <x:f>IF(C95&lt;=14,1200,1100)</x:f>
        <x:v>1100</x:v>
      </x:c>
      <x:c r="I95" s="53" t="n">
        <x:f>IF(C95&lt;=3,1000,IF(C95&lt;=14,2000,IF(C95&lt;=45,3500,2500)))</x:f>
        <x:v>2500</x:v>
      </x:c>
      <x:c r="J95" s="53" t="n">
        <x:f>IF(C95&lt;=3,1500,IF(C95&lt;=14,1800,IF(C95&lt;=45,1500,1200)))</x:f>
        <x:v>1200</x:v>
      </x:c>
      <x:c r="K95" s="53" t="n">
        <x:f>IF(C95&lt;=3,600,IF(C95&lt;=14,800,900))</x:f>
        <x:v>900</x:v>
      </x:c>
      <x:c r="L95" s="53" t="n">
        <x:f>376</x:f>
        <x:v>376</x:v>
      </x:c>
      <x:c r="M95" s="53" t="n">
        <x:f>SUM(D95:L95)</x:f>
        <x:v>18132.4</x:v>
      </x:c>
      <x:c r="N95" s="72"/>
    </x:row>
    <x:row r="96">
      <x:c r="C96" s="20" t="n">
        <x:v>89</x:v>
      </x:c>
      <x:c r="D96" s="53" t="n">
        <x:f>IF(C96&lt;=3,25000,IF(C96&lt;=14,80000,'Controls'!$D$11))*0.04</x:f>
        <x:v>4324.4</x:v>
      </x:c>
      <x:c r="E96" s="53" t="n">
        <x:f>IF(C96&lt;=30,4320,MAX(2160,4320-(C96-30)*36))</x:f>
        <x:v>2196</x:v>
      </x:c>
      <x:c r="F96" s="53" t="n">
        <x:f>IF(C96&lt;=3,2000,IF(C96&lt;=14,1000,500))</x:f>
        <x:v>500</x:v>
      </x:c>
      <x:c r="G96" s="53" t="n">
        <x:f>IF(C96&lt;=3,4000,IF(C96&lt;=45,6000,5000))</x:f>
        <x:v>5000</x:v>
      </x:c>
      <x:c r="H96" s="53" t="n">
        <x:f>IF(C96&lt;=14,1200,1100)</x:f>
        <x:v>1100</x:v>
      </x:c>
      <x:c r="I96" s="53" t="n">
        <x:f>IF(C96&lt;=3,1000,IF(C96&lt;=14,2000,IF(C96&lt;=45,3500,2500)))</x:f>
        <x:v>2500</x:v>
      </x:c>
      <x:c r="J96" s="53" t="n">
        <x:f>IF(C96&lt;=3,1500,IF(C96&lt;=14,1800,IF(C96&lt;=45,1500,1200)))</x:f>
        <x:v>1200</x:v>
      </x:c>
      <x:c r="K96" s="53" t="n">
        <x:f>IF(C96&lt;=3,600,IF(C96&lt;=14,800,900))</x:f>
        <x:v>900</x:v>
      </x:c>
      <x:c r="L96" s="53" t="n">
        <x:f>376</x:f>
        <x:v>376</x:v>
      </x:c>
      <x:c r="M96" s="53" t="n">
        <x:f>SUM(D96:L96)</x:f>
        <x:v>18096.4</x:v>
      </x:c>
      <x:c r="N96" s="72"/>
    </x:row>
    <x:row r="97">
      <x:c r="C97" s="20" t="n">
        <x:v>90</x:v>
      </x:c>
      <x:c r="D97" s="53" t="n">
        <x:f>IF(C97&lt;=3,25000,IF(C97&lt;=14,80000,'Controls'!$D$11))*0.04</x:f>
        <x:v>4324.4</x:v>
      </x:c>
      <x:c r="E97" s="53" t="n">
        <x:f>IF(C97&lt;=30,4320,MAX(2160,4320-(C97-30)*36))</x:f>
        <x:v>2160</x:v>
      </x:c>
      <x:c r="F97" s="53" t="n">
        <x:f>IF(C97&lt;=3,2000,IF(C97&lt;=14,1000,500))</x:f>
        <x:v>500</x:v>
      </x:c>
      <x:c r="G97" s="53" t="n">
        <x:f>IF(C97&lt;=3,4000,IF(C97&lt;=45,6000,5000))</x:f>
        <x:v>5000</x:v>
      </x:c>
      <x:c r="H97" s="53" t="n">
        <x:f>IF(C97&lt;=14,1200,1100)</x:f>
        <x:v>1100</x:v>
      </x:c>
      <x:c r="I97" s="53" t="n">
        <x:f>IF(C97&lt;=3,1000,IF(C97&lt;=14,2000,IF(C97&lt;=45,3500,2500)))</x:f>
        <x:v>2500</x:v>
      </x:c>
      <x:c r="J97" s="53" t="n">
        <x:f>IF(C97&lt;=3,1500,IF(C97&lt;=14,1800,IF(C97&lt;=45,1500,1200)))</x:f>
        <x:v>1200</x:v>
      </x:c>
      <x:c r="K97" s="53" t="n">
        <x:f>IF(C97&lt;=3,600,IF(C97&lt;=14,800,900))</x:f>
        <x:v>900</x:v>
      </x:c>
      <x:c r="L97" s="53" t="n">
        <x:f>376</x:f>
        <x:v>376</x:v>
      </x:c>
      <x:c r="M97" s="53" t="n">
        <x:f>SUM(D97:L97)</x:f>
        <x:v>18060.4</x:v>
      </x:c>
      <x:c r="N97" s="72"/>
    </x:row>
  </x:sheetData>
  <x:mergeCells>
    <x:mergeCell ref="C2:N2"/>
    <x:mergeCell ref="C3:N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22" hidden="0" customWidth="1"/>
    <x:col min="5" max="5" width="19" hidden="0" customWidth="1"/>
    <x:col min="6" max="6" width="15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9" hidden="0" customWidth="1"/>
    <x:col min="12" max="12" width="20" hidden="0" customWidth="1"/>
    <x:col min="13" max="13" width="16" hidden="0" customWidth="1"/>
    <x:col min="14" max="14" width="15" hidden="0" customWidth="1"/>
    <x:col min="15" max="15" width="17" hidden="0" customWidth="1"/>
    <x:col min="16" max="16" width="20" hidden="0" customWidth="1"/>
  </x:cols>
  <x:sheetData>
    <x:row r="2" ht="24" customHeight="1">
      <x:c r="C2" s="69" t="str">
        <x:v>Sustainment Capacity and Queue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 ht="30" customHeight="1">
      <x:c r="C3" s="71" t="str">
        <x:v>Inbound capacity is protected from formation deployment. A finite local survival reserve covers the no-notice opening period; no demand may disappear into a plausible zero.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</x:row>
    <x:row r="6">
      <x:c r="C6" s="16" t="str">
        <x:v>Day</x:v>
      </x:c>
      <x:c r="D6" s="17" t="str">
        <x:v>Path sustainment capacity</x:v>
      </x:c>
      <x:c r="E6" s="17" t="str">
        <x:v>Local reserve release</x:v>
      </x:c>
      <x:c r="F6" s="17" t="str">
        <x:v>Total capacity</x:v>
      </x:c>
      <x:c r="G6" s="17" t="str">
        <x:v>Demand</x:v>
      </x:c>
      <x:c r="H6" s="17" t="str">
        <x:v>Beginning backlog</x:v>
      </x:c>
      <x:c r="I6" s="17" t="str">
        <x:v>Delivered</x:v>
      </x:c>
      <x:c r="J6" s="17" t="str">
        <x:v>Ending backlog</x:v>
      </x:c>
      <x:c r="K6" s="17" t="str">
        <x:v>Cumulative demand</x:v>
      </x:c>
      <x:c r="L6" s="17" t="str">
        <x:v>Cumulative delivered</x:v>
      </x:c>
      <x:c r="M6" s="17" t="str">
        <x:v>Cumulative fill</x:v>
      </x:c>
      <x:c r="N6" s="17" t="str">
        <x:v>Daily status</x:v>
      </x:c>
      <x:c r="O6" s="17" t="str">
        <x:v>Reserve remaining</x:v>
      </x:c>
      <x:c r="P6" s="18" t="str">
        <x:v>Peak anchor variance</x:v>
      </x:c>
      <x:c r="Q6" s="72"/>
    </x:row>
    <x:row r="7">
      <x:c r="C7" s="20" t="n">
        <x:v>0</x:v>
      </x:c>
      <x:c r="D7" s="53" t="n">
        <x:f>SUMIFS('Path Daily'!$P$7:$P$1098,'Path Daily'!$D$7:$D$1098,C7)</x:f>
        <x:v>1890</x:v>
      </x:c>
      <x:c r="E7" s="53" t="n">
        <x:f>MIN('Controls'!$D$19,'Controls'!$D$18)</x:f>
        <x:v>20000</x:v>
      </x:c>
      <x:c r="F7" s="53" t="n">
        <x:f>D7+E7</x:f>
        <x:v>21890</x:v>
      </x:c>
      <x:c r="G7" s="53" t="n">
        <x:f>'Sustainment Demand'!M7</x:f>
        <x:v>15996</x:v>
      </x:c>
      <x:c r="H7" s="53" t="n">
        <x:f>0</x:f>
        <x:v>0</x:v>
      </x:c>
      <x:c r="I7" s="53" t="n">
        <x:f>MIN(G7+H7,F7)</x:f>
        <x:v>15996</x:v>
      </x:c>
      <x:c r="J7" s="53" t="n">
        <x:f>G7+H7-I7</x:f>
        <x:v>0</x:v>
      </x:c>
      <x:c r="K7" s="53" t="n">
        <x:f>0+G7</x:f>
        <x:v>15996</x:v>
      </x:c>
      <x:c r="L7" s="53" t="n">
        <x:f>0+I7</x:f>
        <x:v>15996</x:v>
      </x:c>
      <x:c r="M7" s="54" t="n">
        <x:f>IF(K7=0,1,L7/K7)</x:f>
        <x:v>1</x:v>
      </x:c>
      <x:c r="N7" s="45" t="str">
        <x:f>IF(J7=0,"PASS","BACKLOG")</x:f>
        <x:v>PASS</x:v>
      </x:c>
      <x:c r="O7" s="45" t="n">
        <x:f>MAX(0,'Controls'!$D$18-E7)</x:f>
        <x:v>60000</x:v>
      </x:c>
      <x:c r="P7" s="45" t="n">
        <x:f>G7-'Controls'!$D$12</x:f>
        <x:v>-6524</x:v>
      </x:c>
      <x:c r="Q7" s="72"/>
    </x:row>
    <x:row r="8">
      <x:c r="C8" s="20" t="n">
        <x:v>1</x:v>
      </x:c>
      <x:c r="D8" s="53" t="n">
        <x:f>SUMIFS('Path Daily'!$P$7:$P$1098,'Path Daily'!$D$7:$D$1098,C8)</x:f>
        <x:v>6582</x:v>
      </x:c>
      <x:c r="E8" s="53" t="n">
        <x:f>MIN('Controls'!$D$19,O7)</x:f>
        <x:v>20000</x:v>
      </x:c>
      <x:c r="F8" s="53" t="n">
        <x:f>D8+E8</x:f>
        <x:v>26582</x:v>
      </x:c>
      <x:c r="G8" s="53" t="n">
        <x:f>'Sustainment Demand'!M8</x:f>
        <x:v>15996</x:v>
      </x:c>
      <x:c r="H8" s="53" t="n">
        <x:f>J7</x:f>
        <x:v>0</x:v>
      </x:c>
      <x:c r="I8" s="53" t="n">
        <x:f>MIN(G8+H8,F8)</x:f>
        <x:v>15996</x:v>
      </x:c>
      <x:c r="J8" s="53" t="n">
        <x:f>G8+H8-I8</x:f>
        <x:v>0</x:v>
      </x:c>
      <x:c r="K8" s="53" t="n">
        <x:f>K7+G8</x:f>
        <x:v>31992</x:v>
      </x:c>
      <x:c r="L8" s="53" t="n">
        <x:f>L7+I8</x:f>
        <x:v>31992</x:v>
      </x:c>
      <x:c r="M8" s="54" t="n">
        <x:f>IF(K8=0,1,L8/K8)</x:f>
        <x:v>1</x:v>
      </x:c>
      <x:c r="N8" s="45" t="str">
        <x:f>IF(J8=0,"PASS","BACKLOG")</x:f>
        <x:v>PASS</x:v>
      </x:c>
      <x:c r="O8" s="45" t="n">
        <x:f>MAX(0,O7-E8)</x:f>
        <x:v>40000</x:v>
      </x:c>
      <x:c r="P8" s="45" t="n">
        <x:f>G8-'Controls'!$D$12</x:f>
        <x:v>-6524</x:v>
      </x:c>
      <x:c r="Q8" s="72"/>
    </x:row>
    <x:row r="9">
      <x:c r="C9" s="20" t="n">
        <x:v>2</x:v>
      </x:c>
      <x:c r="D9" s="53" t="n">
        <x:f>SUMIFS('Path Daily'!$P$7:$P$1098,'Path Daily'!$D$7:$D$1098,C9)</x:f>
        <x:v>8514</x:v>
      </x:c>
      <x:c r="E9" s="53" t="n">
        <x:f>MIN('Controls'!$D$19,O8)</x:f>
        <x:v>20000</x:v>
      </x:c>
      <x:c r="F9" s="53" t="n">
        <x:f>D9+E9</x:f>
        <x:v>28514</x:v>
      </x:c>
      <x:c r="G9" s="53" t="n">
        <x:f>'Sustainment Demand'!M9</x:f>
        <x:v>15996</x:v>
      </x:c>
      <x:c r="H9" s="53" t="n">
        <x:f>J8</x:f>
        <x:v>0</x:v>
      </x:c>
      <x:c r="I9" s="53" t="n">
        <x:f>MIN(G9+H9,F9)</x:f>
        <x:v>15996</x:v>
      </x:c>
      <x:c r="J9" s="53" t="n">
        <x:f>G9+H9-I9</x:f>
        <x:v>0</x:v>
      </x:c>
      <x:c r="K9" s="53" t="n">
        <x:f>K8+G9</x:f>
        <x:v>47988</x:v>
      </x:c>
      <x:c r="L9" s="53" t="n">
        <x:f>L8+I9</x:f>
        <x:v>47988</x:v>
      </x:c>
      <x:c r="M9" s="54" t="n">
        <x:f>IF(K9=0,1,L9/K9)</x:f>
        <x:v>1</x:v>
      </x:c>
      <x:c r="N9" s="45" t="str">
        <x:f>IF(J9=0,"PASS","BACKLOG")</x:f>
        <x:v>PASS</x:v>
      </x:c>
      <x:c r="O9" s="45" t="n">
        <x:f>MAX(0,O8-E9)</x:f>
        <x:v>20000</x:v>
      </x:c>
      <x:c r="P9" s="45" t="n">
        <x:f>G9-'Controls'!$D$12</x:f>
        <x:v>-6524</x:v>
      </x:c>
      <x:c r="Q9" s="72"/>
    </x:row>
    <x:row r="10">
      <x:c r="C10" s="20" t="n">
        <x:v>3</x:v>
      </x:c>
      <x:c r="D10" s="53" t="n">
        <x:f>SUMIFS('Path Daily'!$P$7:$P$1098,'Path Daily'!$D$7:$D$1098,C10)</x:f>
        <x:v>14070</x:v>
      </x:c>
      <x:c r="E10" s="53" t="n">
        <x:f>MIN('Controls'!$D$19,O9)</x:f>
        <x:v>20000</x:v>
      </x:c>
      <x:c r="F10" s="53" t="n">
        <x:f>D10+E10</x:f>
        <x:v>34070</x:v>
      </x:c>
      <x:c r="G10" s="53" t="n">
        <x:f>'Sustainment Demand'!M10</x:f>
        <x:v>15996</x:v>
      </x:c>
      <x:c r="H10" s="53" t="n">
        <x:f>J9</x:f>
        <x:v>0</x:v>
      </x:c>
      <x:c r="I10" s="53" t="n">
        <x:f>MIN(G10+H10,F10)</x:f>
        <x:v>15996</x:v>
      </x:c>
      <x:c r="J10" s="53" t="n">
        <x:f>G10+H10-I10</x:f>
        <x:v>0</x:v>
      </x:c>
      <x:c r="K10" s="53" t="n">
        <x:f>K9+G10</x:f>
        <x:v>63984</x:v>
      </x:c>
      <x:c r="L10" s="53" t="n">
        <x:f>L9+I10</x:f>
        <x:v>63984</x:v>
      </x:c>
      <x:c r="M10" s="54" t="n">
        <x:f>IF(K10=0,1,L10/K10)</x:f>
        <x:v>1</x:v>
      </x:c>
      <x:c r="N10" s="45" t="str">
        <x:f>IF(J10=0,"PASS","BACKLOG")</x:f>
        <x:v>PASS</x:v>
      </x:c>
      <x:c r="O10" s="45" t="n">
        <x:f>MAX(0,O9-E10)</x:f>
        <x:v>0</x:v>
      </x:c>
      <x:c r="P10" s="45" t="n">
        <x:f>G10-'Controls'!$D$12</x:f>
        <x:v>-6524</x:v>
      </x:c>
      <x:c r="Q10" s="72"/>
    </x:row>
    <x:row r="11">
      <x:c r="C11" s="20" t="n">
        <x:v>4</x:v>
      </x:c>
      <x:c r="D11" s="53" t="n">
        <x:f>SUMIFS('Path Daily'!$P$7:$P$1098,'Path Daily'!$D$7:$D$1098,C11)</x:f>
        <x:v>23450</x:v>
      </x:c>
      <x:c r="E11" s="53" t="n">
        <x:f>MIN('Controls'!$D$19,O10)</x:f>
        <x:v>0</x:v>
      </x:c>
      <x:c r="F11" s="53" t="n">
        <x:f>D11+E11</x:f>
        <x:v>23450</x:v>
      </x:c>
      <x:c r="G11" s="53" t="n">
        <x:f>'Sustainment Demand'!M11</x:f>
        <x:v>20696</x:v>
      </x:c>
      <x:c r="H11" s="53" t="n">
        <x:f>J10</x:f>
        <x:v>0</x:v>
      </x:c>
      <x:c r="I11" s="53" t="n">
        <x:f>MIN(G11+H11,F11)</x:f>
        <x:v>20696</x:v>
      </x:c>
      <x:c r="J11" s="53" t="n">
        <x:f>G11+H11-I11</x:f>
        <x:v>0</x:v>
      </x:c>
      <x:c r="K11" s="53" t="n">
        <x:f>K10+G11</x:f>
        <x:v>84680</x:v>
      </x:c>
      <x:c r="L11" s="53" t="n">
        <x:f>L10+I11</x:f>
        <x:v>84680</x:v>
      </x:c>
      <x:c r="M11" s="54" t="n">
        <x:f>IF(K11=0,1,L11/K11)</x:f>
        <x:v>1</x:v>
      </x:c>
      <x:c r="N11" s="45" t="str">
        <x:f>IF(J11=0,"PASS","BACKLOG")</x:f>
        <x:v>PASS</x:v>
      </x:c>
      <x:c r="O11" s="45" t="n">
        <x:f>MAX(0,O10-E11)</x:f>
        <x:v>0</x:v>
      </x:c>
      <x:c r="P11" s="45" t="n">
        <x:f>G11-'Controls'!$D$12</x:f>
        <x:v>-1824</x:v>
      </x:c>
      <x:c r="Q11" s="72"/>
    </x:row>
    <x:row r="12">
      <x:c r="C12" s="20" t="n">
        <x:v>5</x:v>
      </x:c>
      <x:c r="D12" s="53" t="n">
        <x:f>SUMIFS('Path Daily'!$P$7:$P$1098,'Path Daily'!$D$7:$D$1098,C12)</x:f>
        <x:v>23450</x:v>
      </x:c>
      <x:c r="E12" s="53" t="n">
        <x:f>MIN('Controls'!$D$19,O11)</x:f>
        <x:v>0</x:v>
      </x:c>
      <x:c r="F12" s="53" t="n">
        <x:f>D12+E12</x:f>
        <x:v>23450</x:v>
      </x:c>
      <x:c r="G12" s="53" t="n">
        <x:f>'Sustainment Demand'!M12</x:f>
        <x:v>20696</x:v>
      </x:c>
      <x:c r="H12" s="53" t="n">
        <x:f>J11</x:f>
        <x:v>0</x:v>
      </x:c>
      <x:c r="I12" s="53" t="n">
        <x:f>MIN(G12+H12,F12)</x:f>
        <x:v>20696</x:v>
      </x:c>
      <x:c r="J12" s="53" t="n">
        <x:f>G12+H12-I12</x:f>
        <x:v>0</x:v>
      </x:c>
      <x:c r="K12" s="53" t="n">
        <x:f>K11+G12</x:f>
        <x:v>105376</x:v>
      </x:c>
      <x:c r="L12" s="53" t="n">
        <x:f>L11+I12</x:f>
        <x:v>105376</x:v>
      </x:c>
      <x:c r="M12" s="54" t="n">
        <x:f>IF(K12=0,1,L12/K12)</x:f>
        <x:v>1</x:v>
      </x:c>
      <x:c r="N12" s="45" t="str">
        <x:f>IF(J12=0,"PASS","BACKLOG")</x:f>
        <x:v>PASS</x:v>
      </x:c>
      <x:c r="O12" s="45" t="n">
        <x:f>MAX(0,O11-E12)</x:f>
        <x:v>0</x:v>
      </x:c>
      <x:c r="P12" s="45" t="n">
        <x:f>G12-'Controls'!$D$12</x:f>
        <x:v>-1824</x:v>
      </x:c>
      <x:c r="Q12" s="72"/>
    </x:row>
    <x:row r="13">
      <x:c r="C13" s="20" t="n">
        <x:v>6</x:v>
      </x:c>
      <x:c r="D13" s="53" t="n">
        <x:f>SUMIFS('Path Daily'!$P$7:$P$1098,'Path Daily'!$D$7:$D$1098,C13)</x:f>
        <x:v>20133</x:v>
      </x:c>
      <x:c r="E13" s="53" t="n">
        <x:f>MIN('Controls'!$D$19,O12)</x:f>
        <x:v>0</x:v>
      </x:c>
      <x:c r="F13" s="53" t="n">
        <x:f>D13+E13</x:f>
        <x:v>20133</x:v>
      </x:c>
      <x:c r="G13" s="53" t="n">
        <x:f>'Sustainment Demand'!M13</x:f>
        <x:v>20696</x:v>
      </x:c>
      <x:c r="H13" s="53" t="n">
        <x:f>J12</x:f>
        <x:v>0</x:v>
      </x:c>
      <x:c r="I13" s="53" t="n">
        <x:f>MIN(G13+H13,F13)</x:f>
        <x:v>20133</x:v>
      </x:c>
      <x:c r="J13" s="53" t="n">
        <x:f>G13+H13-I13</x:f>
        <x:v>563</x:v>
      </x:c>
      <x:c r="K13" s="53" t="n">
        <x:f>K12+G13</x:f>
        <x:v>126072</x:v>
      </x:c>
      <x:c r="L13" s="53" t="n">
        <x:f>L12+I13</x:f>
        <x:v>125509</x:v>
      </x:c>
      <x:c r="M13" s="54" t="n">
        <x:f>IF(K13=0,1,L13/K13)</x:f>
        <x:v>0.9955342978615395</x:v>
      </x:c>
      <x:c r="N13" s="45" t="str">
        <x:f>IF(J13=0,"PASS","BACKLOG")</x:f>
        <x:v>BACKLOG</x:v>
      </x:c>
      <x:c r="O13" s="45" t="n">
        <x:f>MAX(0,O12-E13)</x:f>
        <x:v>0</x:v>
      </x:c>
      <x:c r="P13" s="45" t="n">
        <x:f>G13-'Controls'!$D$12</x:f>
        <x:v>-1824</x:v>
      </x:c>
      <x:c r="Q13" s="72"/>
    </x:row>
    <x:row r="14">
      <x:c r="C14" s="20" t="n">
        <x:v>7</x:v>
      </x:c>
      <x:c r="D14" s="53" t="n">
        <x:f>SUMIFS('Path Daily'!$P$7:$P$1098,'Path Daily'!$D$7:$D$1098,C14)</x:f>
        <x:v>21033</x:v>
      </x:c>
      <x:c r="E14" s="53" t="n">
        <x:f>MIN('Controls'!$D$19,O13)</x:f>
        <x:v>0</x:v>
      </x:c>
      <x:c r="F14" s="53" t="n">
        <x:f>D14+E14</x:f>
        <x:v>21033</x:v>
      </x:c>
      <x:c r="G14" s="53" t="n">
        <x:f>'Sustainment Demand'!M14</x:f>
        <x:v>20696</x:v>
      </x:c>
      <x:c r="H14" s="53" t="n">
        <x:f>J13</x:f>
        <x:v>563</x:v>
      </x:c>
      <x:c r="I14" s="53" t="n">
        <x:f>MIN(G14+H14,F14)</x:f>
        <x:v>21033</x:v>
      </x:c>
      <x:c r="J14" s="53" t="n">
        <x:f>G14+H14-I14</x:f>
        <x:v>226</x:v>
      </x:c>
      <x:c r="K14" s="53" t="n">
        <x:f>K13+G14</x:f>
        <x:v>146768</x:v>
      </x:c>
      <x:c r="L14" s="53" t="n">
        <x:f>L13+I14</x:f>
        <x:v>146542</x:v>
      </x:c>
      <x:c r="M14" s="54" t="n">
        <x:f>IF(K14=0,1,L14/K14)</x:f>
        <x:v>0.9984601548021367</x:v>
      </x:c>
      <x:c r="N14" s="45" t="str">
        <x:f>IF(J14=0,"PASS","BACKLOG")</x:f>
        <x:v>BACKLOG</x:v>
      </x:c>
      <x:c r="O14" s="45" t="n">
        <x:f>MAX(0,O13-E14)</x:f>
        <x:v>0</x:v>
      </x:c>
      <x:c r="P14" s="45" t="n">
        <x:f>G14-'Controls'!$D$12</x:f>
        <x:v>-1824</x:v>
      </x:c>
      <x:c r="Q14" s="72"/>
    </x:row>
    <x:row r="15">
      <x:c r="C15" s="20" t="n">
        <x:v>8</x:v>
      </x:c>
      <x:c r="D15" s="53" t="n">
        <x:f>SUMIFS('Path Daily'!$P$7:$P$1098,'Path Daily'!$D$7:$D$1098,C15)</x:f>
        <x:v>41015</x:v>
      </x:c>
      <x:c r="E15" s="53" t="n">
        <x:f>MIN('Controls'!$D$19,O14)</x:f>
        <x:v>0</x:v>
      </x:c>
      <x:c r="F15" s="53" t="n">
        <x:f>D15+E15</x:f>
        <x:v>41015</x:v>
      </x:c>
      <x:c r="G15" s="53" t="n">
        <x:f>'Sustainment Demand'!M15</x:f>
        <x:v>20696</x:v>
      </x:c>
      <x:c r="H15" s="53" t="n">
        <x:f>J14</x:f>
        <x:v>226</x:v>
      </x:c>
      <x:c r="I15" s="53" t="n">
        <x:f>MIN(G15+H15,F15)</x:f>
        <x:v>20922</x:v>
      </x:c>
      <x:c r="J15" s="53" t="n">
        <x:f>G15+H15-I15</x:f>
        <x:v>0</x:v>
      </x:c>
      <x:c r="K15" s="53" t="n">
        <x:f>K14+G15</x:f>
        <x:v>167464</x:v>
      </x:c>
      <x:c r="L15" s="53" t="n">
        <x:f>L14+I15</x:f>
        <x:v>167464</x:v>
      </x:c>
      <x:c r="M15" s="54" t="n">
        <x:f>IF(K15=0,1,L15/K15)</x:f>
        <x:v>1</x:v>
      </x:c>
      <x:c r="N15" s="45" t="str">
        <x:f>IF(J15=0,"PASS","BACKLOG")</x:f>
        <x:v>PASS</x:v>
      </x:c>
      <x:c r="O15" s="45" t="n">
        <x:f>MAX(0,O14-E15)</x:f>
        <x:v>0</x:v>
      </x:c>
      <x:c r="P15" s="45" t="n">
        <x:f>G15-'Controls'!$D$12</x:f>
        <x:v>-1824</x:v>
      </x:c>
      <x:c r="Q15" s="72"/>
    </x:row>
    <x:row r="16">
      <x:c r="C16" s="20" t="n">
        <x:v>9</x:v>
      </x:c>
      <x:c r="D16" s="53" t="n">
        <x:f>SUMIFS('Path Daily'!$P$7:$P$1098,'Path Daily'!$D$7:$D$1098,C16)</x:f>
        <x:v>41015</x:v>
      </x:c>
      <x:c r="E16" s="53" t="n">
        <x:f>MIN('Controls'!$D$19,O15)</x:f>
        <x:v>0</x:v>
      </x:c>
      <x:c r="F16" s="53" t="n">
        <x:f>D16+E16</x:f>
        <x:v>41015</x:v>
      </x:c>
      <x:c r="G16" s="53" t="n">
        <x:f>'Sustainment Demand'!M16</x:f>
        <x:v>20696</x:v>
      </x:c>
      <x:c r="H16" s="53" t="n">
        <x:f>J15</x:f>
        <x:v>0</x:v>
      </x:c>
      <x:c r="I16" s="53" t="n">
        <x:f>MIN(G16+H16,F16)</x:f>
        <x:v>20696</x:v>
      </x:c>
      <x:c r="J16" s="53" t="n">
        <x:f>G16+H16-I16</x:f>
        <x:v>0</x:v>
      </x:c>
      <x:c r="K16" s="53" t="n">
        <x:f>K15+G16</x:f>
        <x:v>188160</x:v>
      </x:c>
      <x:c r="L16" s="53" t="n">
        <x:f>L15+I16</x:f>
        <x:v>188160</x:v>
      </x:c>
      <x:c r="M16" s="54" t="n">
        <x:f>IF(K16=0,1,L16/K16)</x:f>
        <x:v>1</x:v>
      </x:c>
      <x:c r="N16" s="45" t="str">
        <x:f>IF(J16=0,"PASS","BACKLOG")</x:f>
        <x:v>PASS</x:v>
      </x:c>
      <x:c r="O16" s="45" t="n">
        <x:f>MAX(0,O15-E16)</x:f>
        <x:v>0</x:v>
      </x:c>
      <x:c r="P16" s="45" t="n">
        <x:f>G16-'Controls'!$D$12</x:f>
        <x:v>-1824</x:v>
      </x:c>
      <x:c r="Q16" s="72"/>
    </x:row>
    <x:row r="17">
      <x:c r="C17" s="20" t="n">
        <x:v>10</x:v>
      </x:c>
      <x:c r="D17" s="53" t="n">
        <x:f>SUMIFS('Path Daily'!$P$7:$P$1098,'Path Daily'!$D$7:$D$1098,C17)</x:f>
        <x:v>45685</x:v>
      </x:c>
      <x:c r="E17" s="53" t="n">
        <x:f>MIN('Controls'!$D$19,O16)</x:f>
        <x:v>0</x:v>
      </x:c>
      <x:c r="F17" s="53" t="n">
        <x:f>D17+E17</x:f>
        <x:v>45685</x:v>
      </x:c>
      <x:c r="G17" s="53" t="n">
        <x:f>'Sustainment Demand'!M17</x:f>
        <x:v>20696</x:v>
      </x:c>
      <x:c r="H17" s="53" t="n">
        <x:f>J16</x:f>
        <x:v>0</x:v>
      </x:c>
      <x:c r="I17" s="53" t="n">
        <x:f>MIN(G17+H17,F17)</x:f>
        <x:v>20696</x:v>
      </x:c>
      <x:c r="J17" s="53" t="n">
        <x:f>G17+H17-I17</x:f>
        <x:v>0</x:v>
      </x:c>
      <x:c r="K17" s="53" t="n">
        <x:f>K16+G17</x:f>
        <x:v>208856</x:v>
      </x:c>
      <x:c r="L17" s="53" t="n">
        <x:f>L16+I17</x:f>
        <x:v>208856</x:v>
      </x:c>
      <x:c r="M17" s="54" t="n">
        <x:f>IF(K17=0,1,L17/K17)</x:f>
        <x:v>1</x:v>
      </x:c>
      <x:c r="N17" s="45" t="str">
        <x:f>IF(J17=0,"PASS","BACKLOG")</x:f>
        <x:v>PASS</x:v>
      </x:c>
      <x:c r="O17" s="45" t="n">
        <x:f>MAX(0,O16-E17)</x:f>
        <x:v>0</x:v>
      </x:c>
      <x:c r="P17" s="45" t="n">
        <x:f>G17-'Controls'!$D$12</x:f>
        <x:v>-1824</x:v>
      </x:c>
      <x:c r="Q17" s="72"/>
    </x:row>
    <x:row r="18">
      <x:c r="C18" s="20" t="n">
        <x:v>11</x:v>
      </x:c>
      <x:c r="D18" s="53" t="n">
        <x:f>SUMIFS('Path Daily'!$P$7:$P$1098,'Path Daily'!$D$7:$D$1098,C18)</x:f>
        <x:v>45685</x:v>
      </x:c>
      <x:c r="E18" s="53" t="n">
        <x:f>MIN('Controls'!$D$19,O17)</x:f>
        <x:v>0</x:v>
      </x:c>
      <x:c r="F18" s="53" t="n">
        <x:f>D18+E18</x:f>
        <x:v>45685</x:v>
      </x:c>
      <x:c r="G18" s="53" t="n">
        <x:f>'Sustainment Demand'!M18</x:f>
        <x:v>20696</x:v>
      </x:c>
      <x:c r="H18" s="53" t="n">
        <x:f>J17</x:f>
        <x:v>0</x:v>
      </x:c>
      <x:c r="I18" s="53" t="n">
        <x:f>MIN(G18+H18,F18)</x:f>
        <x:v>20696</x:v>
      </x:c>
      <x:c r="J18" s="53" t="n">
        <x:f>G18+H18-I18</x:f>
        <x:v>0</x:v>
      </x:c>
      <x:c r="K18" s="53" t="n">
        <x:f>K17+G18</x:f>
        <x:v>229552</x:v>
      </x:c>
      <x:c r="L18" s="53" t="n">
        <x:f>L17+I18</x:f>
        <x:v>229552</x:v>
      </x:c>
      <x:c r="M18" s="54" t="n">
        <x:f>IF(K18=0,1,L18/K18)</x:f>
        <x:v>1</x:v>
      </x:c>
      <x:c r="N18" s="45" t="str">
        <x:f>IF(J18=0,"PASS","BACKLOG")</x:f>
        <x:v>PASS</x:v>
      </x:c>
      <x:c r="O18" s="45" t="n">
        <x:f>MAX(0,O17-E18)</x:f>
        <x:v>0</x:v>
      </x:c>
      <x:c r="P18" s="45" t="n">
        <x:f>G18-'Controls'!$D$12</x:f>
        <x:v>-1824</x:v>
      </x:c>
      <x:c r="Q18" s="72"/>
    </x:row>
    <x:row r="19">
      <x:c r="C19" s="20" t="n">
        <x:v>12</x:v>
      </x:c>
      <x:c r="D19" s="53" t="n">
        <x:f>SUMIFS('Path Daily'!$P$7:$P$1098,'Path Daily'!$D$7:$D$1098,C19)</x:f>
        <x:v>45685</x:v>
      </x:c>
      <x:c r="E19" s="53" t="n">
        <x:f>MIN('Controls'!$D$19,O18)</x:f>
        <x:v>0</x:v>
      </x:c>
      <x:c r="F19" s="53" t="n">
        <x:f>D19+E19</x:f>
        <x:v>45685</x:v>
      </x:c>
      <x:c r="G19" s="53" t="n">
        <x:f>'Sustainment Demand'!M19</x:f>
        <x:v>20696</x:v>
      </x:c>
      <x:c r="H19" s="53" t="n">
        <x:f>J18</x:f>
        <x:v>0</x:v>
      </x:c>
      <x:c r="I19" s="53" t="n">
        <x:f>MIN(G19+H19,F19)</x:f>
        <x:v>20696</x:v>
      </x:c>
      <x:c r="J19" s="53" t="n">
        <x:f>G19+H19-I19</x:f>
        <x:v>0</x:v>
      </x:c>
      <x:c r="K19" s="53" t="n">
        <x:f>K18+G19</x:f>
        <x:v>250248</x:v>
      </x:c>
      <x:c r="L19" s="53" t="n">
        <x:f>L18+I19</x:f>
        <x:v>250248</x:v>
      </x:c>
      <x:c r="M19" s="54" t="n">
        <x:f>IF(K19=0,1,L19/K19)</x:f>
        <x:v>1</x:v>
      </x:c>
      <x:c r="N19" s="45" t="str">
        <x:f>IF(J19=0,"PASS","BACKLOG")</x:f>
        <x:v>PASS</x:v>
      </x:c>
      <x:c r="O19" s="45" t="n">
        <x:f>MAX(0,O18-E19)</x:f>
        <x:v>0</x:v>
      </x:c>
      <x:c r="P19" s="45" t="n">
        <x:f>G19-'Controls'!$D$12</x:f>
        <x:v>-1824</x:v>
      </x:c>
      <x:c r="Q19" s="72"/>
    </x:row>
    <x:row r="20">
      <x:c r="C20" s="20" t="n">
        <x:v>13</x:v>
      </x:c>
      <x:c r="D20" s="53" t="n">
        <x:f>SUMIFS('Path Daily'!$P$7:$P$1098,'Path Daily'!$D$7:$D$1098,C20)</x:f>
        <x:v>45685</x:v>
      </x:c>
      <x:c r="E20" s="53" t="n">
        <x:f>MIN('Controls'!$D$19,O19)</x:f>
        <x:v>0</x:v>
      </x:c>
      <x:c r="F20" s="53" t="n">
        <x:f>D20+E20</x:f>
        <x:v>45685</x:v>
      </x:c>
      <x:c r="G20" s="53" t="n">
        <x:f>'Sustainment Demand'!M20</x:f>
        <x:v>20696</x:v>
      </x:c>
      <x:c r="H20" s="53" t="n">
        <x:f>J19</x:f>
        <x:v>0</x:v>
      </x:c>
      <x:c r="I20" s="53" t="n">
        <x:f>MIN(G20+H20,F20)</x:f>
        <x:v>20696</x:v>
      </x:c>
      <x:c r="J20" s="53" t="n">
        <x:f>G20+H20-I20</x:f>
        <x:v>0</x:v>
      </x:c>
      <x:c r="K20" s="53" t="n">
        <x:f>K19+G20</x:f>
        <x:v>270944</x:v>
      </x:c>
      <x:c r="L20" s="53" t="n">
        <x:f>L19+I20</x:f>
        <x:v>270944</x:v>
      </x:c>
      <x:c r="M20" s="54" t="n">
        <x:f>IF(K20=0,1,L20/K20)</x:f>
        <x:v>1</x:v>
      </x:c>
      <x:c r="N20" s="45" t="str">
        <x:f>IF(J20=0,"PASS","BACKLOG")</x:f>
        <x:v>PASS</x:v>
      </x:c>
      <x:c r="O20" s="45" t="n">
        <x:f>MAX(0,O19-E20)</x:f>
        <x:v>0</x:v>
      </x:c>
      <x:c r="P20" s="45" t="n">
        <x:f>G20-'Controls'!$D$12</x:f>
        <x:v>-1824</x:v>
      </x:c>
      <x:c r="Q20" s="72"/>
    </x:row>
    <x:row r="21">
      <x:c r="C21" s="20" t="n">
        <x:v>14</x:v>
      </x:c>
      <x:c r="D21" s="53" t="n">
        <x:f>SUMIFS('Path Daily'!$P$7:$P$1098,'Path Daily'!$D$7:$D$1098,C21)</x:f>
        <x:v>29617.25</x:v>
      </x:c>
      <x:c r="E21" s="53" t="n">
        <x:f>MIN('Controls'!$D$19,O20)</x:f>
        <x:v>0</x:v>
      </x:c>
      <x:c r="F21" s="53" t="n">
        <x:f>D21+E21</x:f>
        <x:v>29617.25</x:v>
      </x:c>
      <x:c r="G21" s="53" t="n">
        <x:f>'Sustainment Demand'!M21</x:f>
        <x:v>20696</x:v>
      </x:c>
      <x:c r="H21" s="53" t="n">
        <x:f>J20</x:f>
        <x:v>0</x:v>
      </x:c>
      <x:c r="I21" s="53" t="n">
        <x:f>MIN(G21+H21,F21)</x:f>
        <x:v>20696</x:v>
      </x:c>
      <x:c r="J21" s="53" t="n">
        <x:f>G21+H21-I21</x:f>
        <x:v>0</x:v>
      </x:c>
      <x:c r="K21" s="53" t="n">
        <x:f>K20+G21</x:f>
        <x:v>291640</x:v>
      </x:c>
      <x:c r="L21" s="53" t="n">
        <x:f>L20+I21</x:f>
        <x:v>291640</x:v>
      </x:c>
      <x:c r="M21" s="54" t="n">
        <x:f>IF(K21=0,1,L21/K21)</x:f>
        <x:v>1</x:v>
      </x:c>
      <x:c r="N21" s="45" t="str">
        <x:f>IF(J21=0,"PASS","BACKLOG")</x:f>
        <x:v>PASS</x:v>
      </x:c>
      <x:c r="O21" s="45" t="n">
        <x:f>MAX(0,O20-E21)</x:f>
        <x:v>0</x:v>
      </x:c>
      <x:c r="P21" s="45" t="n">
        <x:f>G21-'Controls'!$D$12</x:f>
        <x:v>-1824</x:v>
      </x:c>
      <x:c r="Q21" s="72"/>
    </x:row>
    <x:row r="22">
      <x:c r="C22" s="20" t="n">
        <x:v>15</x:v>
      </x:c>
      <x:c r="D22" s="53" t="n">
        <x:f>SUMIFS('Path Daily'!$P$7:$P$1098,'Path Daily'!$D$7:$D$1098,C22)</x:f>
        <x:v>41464.15</x:v>
      </x:c>
      <x:c r="E22" s="53" t="n">
        <x:f>MIN('Controls'!$D$19,O21)</x:f>
        <x:v>0</x:v>
      </x:c>
      <x:c r="F22" s="53" t="n">
        <x:f>D22+E22</x:f>
        <x:v>41464.15</x:v>
      </x:c>
      <x:c r="G22" s="53" t="n">
        <x:f>'Sustainment Demand'!M22</x:f>
        <x:v>22520.4</x:v>
      </x:c>
      <x:c r="H22" s="53" t="n">
        <x:f>J21</x:f>
        <x:v>0</x:v>
      </x:c>
      <x:c r="I22" s="53" t="n">
        <x:f>MIN(G22+H22,F22)</x:f>
        <x:v>22520.4</x:v>
      </x:c>
      <x:c r="J22" s="53" t="n">
        <x:f>G22+H22-I22</x:f>
        <x:v>0</x:v>
      </x:c>
      <x:c r="K22" s="53" t="n">
        <x:f>K21+G22</x:f>
        <x:v>314160.4</x:v>
      </x:c>
      <x:c r="L22" s="53" t="n">
        <x:f>L21+I22</x:f>
        <x:v>314160.4</x:v>
      </x:c>
      <x:c r="M22" s="54" t="n">
        <x:f>IF(K22=0,1,L22/K22)</x:f>
        <x:v>1</x:v>
      </x:c>
      <x:c r="N22" s="45" t="str">
        <x:f>IF(J22=0,"PASS","BACKLOG")</x:f>
        <x:v>PASS</x:v>
      </x:c>
      <x:c r="O22" s="45" t="n">
        <x:f>MAX(0,O21-E22)</x:f>
        <x:v>0</x:v>
      </x:c>
      <x:c r="P22" s="45" t="n">
        <x:f>G22-'Controls'!$D$12</x:f>
        <x:v>0.4000000000014552</x:v>
      </x:c>
      <x:c r="Q22" s="72"/>
    </x:row>
    <x:row r="23">
      <x:c r="C23" s="20" t="n">
        <x:v>16</x:v>
      </x:c>
      <x:c r="D23" s="53" t="n">
        <x:f>SUMIFS('Path Daily'!$P$7:$P$1098,'Path Daily'!$D$7:$D$1098,C23)</x:f>
        <x:v>42487.9</x:v>
      </x:c>
      <x:c r="E23" s="53" t="n">
        <x:f>MIN('Controls'!$D$19,O22)</x:f>
        <x:v>0</x:v>
      </x:c>
      <x:c r="F23" s="53" t="n">
        <x:f>D23+E23</x:f>
        <x:v>42487.9</x:v>
      </x:c>
      <x:c r="G23" s="53" t="n">
        <x:f>'Sustainment Demand'!M23</x:f>
        <x:v>22520.4</x:v>
      </x:c>
      <x:c r="H23" s="53" t="n">
        <x:f>J22</x:f>
        <x:v>0</x:v>
      </x:c>
      <x:c r="I23" s="53" t="n">
        <x:f>MIN(G23+H23,F23)</x:f>
        <x:v>22520.4</x:v>
      </x:c>
      <x:c r="J23" s="53" t="n">
        <x:f>G23+H23-I23</x:f>
        <x:v>0</x:v>
      </x:c>
      <x:c r="K23" s="53" t="n">
        <x:f>K22+G23</x:f>
        <x:v>336680.80000000005</x:v>
      </x:c>
      <x:c r="L23" s="53" t="n">
        <x:f>L22+I23</x:f>
        <x:v>336680.80000000005</x:v>
      </x:c>
      <x:c r="M23" s="54" t="n">
        <x:f>IF(K23=0,1,L23/K23)</x:f>
        <x:v>1</x:v>
      </x:c>
      <x:c r="N23" s="45" t="str">
        <x:f>IF(J23=0,"PASS","BACKLOG")</x:f>
        <x:v>PASS</x:v>
      </x:c>
      <x:c r="O23" s="45" t="n">
        <x:f>MAX(0,O22-E23)</x:f>
        <x:v>0</x:v>
      </x:c>
      <x:c r="P23" s="45" t="n">
        <x:f>G23-'Controls'!$D$12</x:f>
        <x:v>0.4000000000014552</x:v>
      </x:c>
      <x:c r="Q23" s="72"/>
    </x:row>
    <x:row r="24">
      <x:c r="C24" s="20" t="n">
        <x:v>17</x:v>
      </x:c>
      <x:c r="D24" s="53" t="n">
        <x:f>SUMIFS('Path Daily'!$P$7:$P$1098,'Path Daily'!$D$7:$D$1098,C24)</x:f>
        <x:v>75894</x:v>
      </x:c>
      <x:c r="E24" s="53" t="n">
        <x:f>MIN('Controls'!$D$19,O23)</x:f>
        <x:v>0</x:v>
      </x:c>
      <x:c r="F24" s="53" t="n">
        <x:f>D24+E24</x:f>
        <x:v>75894</x:v>
      </x:c>
      <x:c r="G24" s="53" t="n">
        <x:f>'Sustainment Demand'!M24</x:f>
        <x:v>22520.4</x:v>
      </x:c>
      <x:c r="H24" s="53" t="n">
        <x:f>J23</x:f>
        <x:v>0</x:v>
      </x:c>
      <x:c r="I24" s="53" t="n">
        <x:f>MIN(G24+H24,F24)</x:f>
        <x:v>22520.4</x:v>
      </x:c>
      <x:c r="J24" s="53" t="n">
        <x:f>G24+H24-I24</x:f>
        <x:v>0</x:v>
      </x:c>
      <x:c r="K24" s="53" t="n">
        <x:f>K23+G24</x:f>
        <x:v>359201.20000000007</x:v>
      </x:c>
      <x:c r="L24" s="53" t="n">
        <x:f>L23+I24</x:f>
        <x:v>359201.20000000007</x:v>
      </x:c>
      <x:c r="M24" s="54" t="n">
        <x:f>IF(K24=0,1,L24/K24)</x:f>
        <x:v>1</x:v>
      </x:c>
      <x:c r="N24" s="45" t="str">
        <x:f>IF(J24=0,"PASS","BACKLOG")</x:f>
        <x:v>PASS</x:v>
      </x:c>
      <x:c r="O24" s="45" t="n">
        <x:f>MAX(0,O23-E24)</x:f>
        <x:v>0</x:v>
      </x:c>
      <x:c r="P24" s="45" t="n">
        <x:f>G24-'Controls'!$D$12</x:f>
        <x:v>0.4000000000014552</x:v>
      </x:c>
      <x:c r="Q24" s="72"/>
    </x:row>
    <x:row r="25">
      <x:c r="C25" s="20" t="n">
        <x:v>18</x:v>
      </x:c>
      <x:c r="D25" s="53" t="n">
        <x:f>SUMIFS('Path Daily'!$P$7:$P$1098,'Path Daily'!$D$7:$D$1098,C25)</x:f>
        <x:v>80934</x:v>
      </x:c>
      <x:c r="E25" s="53" t="n">
        <x:f>MIN('Controls'!$D$19,O24)</x:f>
        <x:v>0</x:v>
      </x:c>
      <x:c r="F25" s="53" t="n">
        <x:f>D25+E25</x:f>
        <x:v>80934</x:v>
      </x:c>
      <x:c r="G25" s="53" t="n">
        <x:f>'Sustainment Demand'!M25</x:f>
        <x:v>22520.4</x:v>
      </x:c>
      <x:c r="H25" s="53" t="n">
        <x:f>J24</x:f>
        <x:v>0</x:v>
      </x:c>
      <x:c r="I25" s="53" t="n">
        <x:f>MIN(G25+H25,F25)</x:f>
        <x:v>22520.4</x:v>
      </x:c>
      <x:c r="J25" s="53" t="n">
        <x:f>G25+H25-I25</x:f>
        <x:v>0</x:v>
      </x:c>
      <x:c r="K25" s="53" t="n">
        <x:f>K24+G25</x:f>
        <x:v>381721.6000000001</x:v>
      </x:c>
      <x:c r="L25" s="53" t="n">
        <x:f>L24+I25</x:f>
        <x:v>381721.6000000001</x:v>
      </x:c>
      <x:c r="M25" s="54" t="n">
        <x:f>IF(K25=0,1,L25/K25)</x:f>
        <x:v>1</x:v>
      </x:c>
      <x:c r="N25" s="45" t="str">
        <x:f>IF(J25=0,"PASS","BACKLOG")</x:f>
        <x:v>PASS</x:v>
      </x:c>
      <x:c r="O25" s="45" t="n">
        <x:f>MAX(0,O24-E25)</x:f>
        <x:v>0</x:v>
      </x:c>
      <x:c r="P25" s="45" t="n">
        <x:f>G25-'Controls'!$D$12</x:f>
        <x:v>0.4000000000014552</x:v>
      </x:c>
      <x:c r="Q25" s="72"/>
    </x:row>
    <x:row r="26">
      <x:c r="C26" s="20" t="n">
        <x:v>19</x:v>
      </x:c>
      <x:c r="D26" s="53" t="n">
        <x:f>SUMIFS('Path Daily'!$P$7:$P$1098,'Path Daily'!$D$7:$D$1098,C26)</x:f>
        <x:v>80934</x:v>
      </x:c>
      <x:c r="E26" s="53" t="n">
        <x:f>MIN('Controls'!$D$19,O25)</x:f>
        <x:v>0</x:v>
      </x:c>
      <x:c r="F26" s="53" t="n">
        <x:f>D26+E26</x:f>
        <x:v>80934</x:v>
      </x:c>
      <x:c r="G26" s="53" t="n">
        <x:f>'Sustainment Demand'!M26</x:f>
        <x:v>22520.4</x:v>
      </x:c>
      <x:c r="H26" s="53" t="n">
        <x:f>J25</x:f>
        <x:v>0</x:v>
      </x:c>
      <x:c r="I26" s="53" t="n">
        <x:f>MIN(G26+H26,F26)</x:f>
        <x:v>22520.4</x:v>
      </x:c>
      <x:c r="J26" s="53" t="n">
        <x:f>G26+H26-I26</x:f>
        <x:v>0</x:v>
      </x:c>
      <x:c r="K26" s="53" t="n">
        <x:f>K25+G26</x:f>
        <x:v>404242.0000000001</x:v>
      </x:c>
      <x:c r="L26" s="53" t="n">
        <x:f>L25+I26</x:f>
        <x:v>404242.0000000001</x:v>
      </x:c>
      <x:c r="M26" s="54" t="n">
        <x:f>IF(K26=0,1,L26/K26)</x:f>
        <x:v>1</x:v>
      </x:c>
      <x:c r="N26" s="45" t="str">
        <x:f>IF(J26=0,"PASS","BACKLOG")</x:f>
        <x:v>PASS</x:v>
      </x:c>
      <x:c r="O26" s="45" t="n">
        <x:f>MAX(0,O25-E26)</x:f>
        <x:v>0</x:v>
      </x:c>
      <x:c r="P26" s="45" t="n">
        <x:f>G26-'Controls'!$D$12</x:f>
        <x:v>0.4000000000014552</x:v>
      </x:c>
      <x:c r="Q26" s="72"/>
    </x:row>
    <x:row r="27">
      <x:c r="C27" s="20" t="n">
        <x:v>20</x:v>
      </x:c>
      <x:c r="D27" s="53" t="n">
        <x:f>SUMIFS('Path Daily'!$P$7:$P$1098,'Path Daily'!$D$7:$D$1098,C27)</x:f>
        <x:v>86674</x:v>
      </x:c>
      <x:c r="E27" s="53" t="n">
        <x:f>MIN('Controls'!$D$19,O26)</x:f>
        <x:v>0</x:v>
      </x:c>
      <x:c r="F27" s="53" t="n">
        <x:f>D27+E27</x:f>
        <x:v>86674</x:v>
      </x:c>
      <x:c r="G27" s="53" t="n">
        <x:f>'Sustainment Demand'!M27</x:f>
        <x:v>22520.4</x:v>
      </x:c>
      <x:c r="H27" s="53" t="n">
        <x:f>J26</x:f>
        <x:v>0</x:v>
      </x:c>
      <x:c r="I27" s="53" t="n">
        <x:f>MIN(G27+H27,F27)</x:f>
        <x:v>22520.4</x:v>
      </x:c>
      <x:c r="J27" s="53" t="n">
        <x:f>G27+H27-I27</x:f>
        <x:v>0</x:v>
      </x:c>
      <x:c r="K27" s="53" t="n">
        <x:f>K26+G27</x:f>
        <x:v>426762.40000000014</x:v>
      </x:c>
      <x:c r="L27" s="53" t="n">
        <x:f>L26+I27</x:f>
        <x:v>426762.40000000014</x:v>
      </x:c>
      <x:c r="M27" s="54" t="n">
        <x:f>IF(K27=0,1,L27/K27)</x:f>
        <x:v>1</x:v>
      </x:c>
      <x:c r="N27" s="45" t="str">
        <x:f>IF(J27=0,"PASS","BACKLOG")</x:f>
        <x:v>PASS</x:v>
      </x:c>
      <x:c r="O27" s="45" t="n">
        <x:f>MAX(0,O26-E27)</x:f>
        <x:v>0</x:v>
      </x:c>
      <x:c r="P27" s="45" t="n">
        <x:f>G27-'Controls'!$D$12</x:f>
        <x:v>0.4000000000014552</x:v>
      </x:c>
      <x:c r="Q27" s="72"/>
    </x:row>
    <x:row r="28">
      <x:c r="C28" s="20" t="n">
        <x:v>21</x:v>
      </x:c>
      <x:c r="D28" s="53" t="n">
        <x:f>SUMIFS('Path Daily'!$P$7:$P$1098,'Path Daily'!$D$7:$D$1098,C28)</x:f>
        <x:v>46190.2</x:v>
      </x:c>
      <x:c r="E28" s="53" t="n">
        <x:f>MIN('Controls'!$D$19,O27)</x:f>
        <x:v>0</x:v>
      </x:c>
      <x:c r="F28" s="53" t="n">
        <x:f>D28+E28</x:f>
        <x:v>46190.2</x:v>
      </x:c>
      <x:c r="G28" s="53" t="n">
        <x:f>'Sustainment Demand'!M28</x:f>
        <x:v>22520.4</x:v>
      </x:c>
      <x:c r="H28" s="53" t="n">
        <x:f>J27</x:f>
        <x:v>0</x:v>
      </x:c>
      <x:c r="I28" s="53" t="n">
        <x:f>MIN(G28+H28,F28)</x:f>
        <x:v>22520.4</x:v>
      </x:c>
      <x:c r="J28" s="53" t="n">
        <x:f>G28+H28-I28</x:f>
        <x:v>0</x:v>
      </x:c>
      <x:c r="K28" s="53" t="n">
        <x:f>K27+G28</x:f>
        <x:v>449282.80000000016</x:v>
      </x:c>
      <x:c r="L28" s="53" t="n">
        <x:f>L27+I28</x:f>
        <x:v>449282.80000000016</x:v>
      </x:c>
      <x:c r="M28" s="54" t="n">
        <x:f>IF(K28=0,1,L28/K28)</x:f>
        <x:v>1</x:v>
      </x:c>
      <x:c r="N28" s="45" t="str">
        <x:f>IF(J28=0,"PASS","BACKLOG")</x:f>
        <x:v>PASS</x:v>
      </x:c>
      <x:c r="O28" s="45" t="n">
        <x:f>MAX(0,O27-E28)</x:f>
        <x:v>0</x:v>
      </x:c>
      <x:c r="P28" s="45" t="n">
        <x:f>G28-'Controls'!$D$12</x:f>
        <x:v>0.4000000000014552</x:v>
      </x:c>
      <x:c r="Q28" s="72"/>
    </x:row>
    <x:row r="29">
      <x:c r="C29" s="20" t="n">
        <x:v>22</x:v>
      </x:c>
      <x:c r="D29" s="53" t="n">
        <x:f>SUMIFS('Path Daily'!$P$7:$P$1098,'Path Daily'!$D$7:$D$1098,C29)</x:f>
        <x:v>86674</x:v>
      </x:c>
      <x:c r="E29" s="53" t="n">
        <x:f>MIN('Controls'!$D$19,O28)</x:f>
        <x:v>0</x:v>
      </x:c>
      <x:c r="F29" s="53" t="n">
        <x:f>D29+E29</x:f>
        <x:v>86674</x:v>
      </x:c>
      <x:c r="G29" s="53" t="n">
        <x:f>'Sustainment Demand'!M29</x:f>
        <x:v>22520.4</x:v>
      </x:c>
      <x:c r="H29" s="53" t="n">
        <x:f>J28</x:f>
        <x:v>0</x:v>
      </x:c>
      <x:c r="I29" s="53" t="n">
        <x:f>MIN(G29+H29,F29)</x:f>
        <x:v>22520.4</x:v>
      </x:c>
      <x:c r="J29" s="53" t="n">
        <x:f>G29+H29-I29</x:f>
        <x:v>0</x:v>
      </x:c>
      <x:c r="K29" s="53" t="n">
        <x:f>K28+G29</x:f>
        <x:v>471803.2000000002</x:v>
      </x:c>
      <x:c r="L29" s="53" t="n">
        <x:f>L28+I29</x:f>
        <x:v>471803.2000000002</x:v>
      </x:c>
      <x:c r="M29" s="54" t="n">
        <x:f>IF(K29=0,1,L29/K29)</x:f>
        <x:v>1</x:v>
      </x:c>
      <x:c r="N29" s="45" t="str">
        <x:f>IF(J29=0,"PASS","BACKLOG")</x:f>
        <x:v>PASS</x:v>
      </x:c>
      <x:c r="O29" s="45" t="n">
        <x:f>MAX(0,O28-E29)</x:f>
        <x:v>0</x:v>
      </x:c>
      <x:c r="P29" s="45" t="n">
        <x:f>G29-'Controls'!$D$12</x:f>
        <x:v>0.4000000000014552</x:v>
      </x:c>
      <x:c r="Q29" s="72"/>
    </x:row>
    <x:row r="30">
      <x:c r="C30" s="20" t="n">
        <x:v>23</x:v>
      </x:c>
      <x:c r="D30" s="53" t="n">
        <x:f>SUMIFS('Path Daily'!$P$7:$P$1098,'Path Daily'!$D$7:$D$1098,C30)</x:f>
        <x:v>86674</x:v>
      </x:c>
      <x:c r="E30" s="53" t="n">
        <x:f>MIN('Controls'!$D$19,O29)</x:f>
        <x:v>0</x:v>
      </x:c>
      <x:c r="F30" s="53" t="n">
        <x:f>D30+E30</x:f>
        <x:v>86674</x:v>
      </x:c>
      <x:c r="G30" s="53" t="n">
        <x:f>'Sustainment Demand'!M30</x:f>
        <x:v>22520.4</x:v>
      </x:c>
      <x:c r="H30" s="53" t="n">
        <x:f>J29</x:f>
        <x:v>0</x:v>
      </x:c>
      <x:c r="I30" s="53" t="n">
        <x:f>MIN(G30+H30,F30)</x:f>
        <x:v>22520.4</x:v>
      </x:c>
      <x:c r="J30" s="53" t="n">
        <x:f>G30+H30-I30</x:f>
        <x:v>0</x:v>
      </x:c>
      <x:c r="K30" s="53" t="n">
        <x:f>K29+G30</x:f>
        <x:v>494323.6000000002</x:v>
      </x:c>
      <x:c r="L30" s="53" t="n">
        <x:f>L29+I30</x:f>
        <x:v>494323.6000000002</x:v>
      </x:c>
      <x:c r="M30" s="54" t="n">
        <x:f>IF(K30=0,1,L30/K30)</x:f>
        <x:v>1</x:v>
      </x:c>
      <x:c r="N30" s="45" t="str">
        <x:f>IF(J30=0,"PASS","BACKLOG")</x:f>
        <x:v>PASS</x:v>
      </x:c>
      <x:c r="O30" s="45" t="n">
        <x:f>MAX(0,O29-E30)</x:f>
        <x:v>0</x:v>
      </x:c>
      <x:c r="P30" s="45" t="n">
        <x:f>G30-'Controls'!$D$12</x:f>
        <x:v>0.4000000000014552</x:v>
      </x:c>
      <x:c r="Q30" s="72"/>
    </x:row>
    <x:row r="31">
      <x:c r="C31" s="20" t="n">
        <x:v>24</x:v>
      </x:c>
      <x:c r="D31" s="53" t="n">
        <x:f>SUMIFS('Path Daily'!$P$7:$P$1098,'Path Daily'!$D$7:$D$1098,C31)</x:f>
        <x:v>86674</x:v>
      </x:c>
      <x:c r="E31" s="53" t="n">
        <x:f>MIN('Controls'!$D$19,O30)</x:f>
        <x:v>0</x:v>
      </x:c>
      <x:c r="F31" s="53" t="n">
        <x:f>D31+E31</x:f>
        <x:v>86674</x:v>
      </x:c>
      <x:c r="G31" s="53" t="n">
        <x:f>'Sustainment Demand'!M31</x:f>
        <x:v>22520.4</x:v>
      </x:c>
      <x:c r="H31" s="53" t="n">
        <x:f>J30</x:f>
        <x:v>0</x:v>
      </x:c>
      <x:c r="I31" s="53" t="n">
        <x:f>MIN(G31+H31,F31)</x:f>
        <x:v>22520.4</x:v>
      </x:c>
      <x:c r="J31" s="53" t="n">
        <x:f>G31+H31-I31</x:f>
        <x:v>0</x:v>
      </x:c>
      <x:c r="K31" s="53" t="n">
        <x:f>K30+G31</x:f>
        <x:v>516844.00000000023</x:v>
      </x:c>
      <x:c r="L31" s="53" t="n">
        <x:f>L30+I31</x:f>
        <x:v>516844.00000000023</x:v>
      </x:c>
      <x:c r="M31" s="54" t="n">
        <x:f>IF(K31=0,1,L31/K31)</x:f>
        <x:v>1</x:v>
      </x:c>
      <x:c r="N31" s="45" t="str">
        <x:f>IF(J31=0,"PASS","BACKLOG")</x:f>
        <x:v>PASS</x:v>
      </x:c>
      <x:c r="O31" s="45" t="n">
        <x:f>MAX(0,O30-E31)</x:f>
        <x:v>0</x:v>
      </x:c>
      <x:c r="P31" s="45" t="n">
        <x:f>G31-'Controls'!$D$12</x:f>
        <x:v>0.4000000000014552</x:v>
      </x:c>
      <x:c r="Q31" s="72"/>
    </x:row>
    <x:row r="32">
      <x:c r="C32" s="20" t="n">
        <x:v>25</x:v>
      </x:c>
      <x:c r="D32" s="53" t="n">
        <x:f>SUMIFS('Path Daily'!$P$7:$P$1098,'Path Daily'!$D$7:$D$1098,C32)</x:f>
        <x:v>93219</x:v>
      </x:c>
      <x:c r="E32" s="53" t="n">
        <x:f>MIN('Controls'!$D$19,O31)</x:f>
        <x:v>0</x:v>
      </x:c>
      <x:c r="F32" s="53" t="n">
        <x:f>D32+E32</x:f>
        <x:v>93219</x:v>
      </x:c>
      <x:c r="G32" s="53" t="n">
        <x:f>'Sustainment Demand'!M32</x:f>
        <x:v>22520.4</x:v>
      </x:c>
      <x:c r="H32" s="53" t="n">
        <x:f>J31</x:f>
        <x:v>0</x:v>
      </x:c>
      <x:c r="I32" s="53" t="n">
        <x:f>MIN(G32+H32,F32)</x:f>
        <x:v>22520.4</x:v>
      </x:c>
      <x:c r="J32" s="53" t="n">
        <x:f>G32+H32-I32</x:f>
        <x:v>0</x:v>
      </x:c>
      <x:c r="K32" s="53" t="n">
        <x:f>K31+G32</x:f>
        <x:v>539364.4000000003</x:v>
      </x:c>
      <x:c r="L32" s="53" t="n">
        <x:f>L31+I32</x:f>
        <x:v>539364.4000000003</x:v>
      </x:c>
      <x:c r="M32" s="54" t="n">
        <x:f>IF(K32=0,1,L32/K32)</x:f>
        <x:v>1</x:v>
      </x:c>
      <x:c r="N32" s="45" t="str">
        <x:f>IF(J32=0,"PASS","BACKLOG")</x:f>
        <x:v>PASS</x:v>
      </x:c>
      <x:c r="O32" s="45" t="n">
        <x:f>MAX(0,O31-E32)</x:f>
        <x:v>0</x:v>
      </x:c>
      <x:c r="P32" s="45" t="n">
        <x:f>G32-'Controls'!$D$12</x:f>
        <x:v>0.4000000000014552</x:v>
      </x:c>
      <x:c r="Q32" s="72"/>
    </x:row>
    <x:row r="33">
      <x:c r="C33" s="20" t="n">
        <x:v>26</x:v>
      </x:c>
      <x:c r="D33" s="53" t="n">
        <x:f>SUMIFS('Path Daily'!$P$7:$P$1098,'Path Daily'!$D$7:$D$1098,C33)</x:f>
        <x:v>93219</x:v>
      </x:c>
      <x:c r="E33" s="53" t="n">
        <x:f>MIN('Controls'!$D$19,O32)</x:f>
        <x:v>0</x:v>
      </x:c>
      <x:c r="F33" s="53" t="n">
        <x:f>D33+E33</x:f>
        <x:v>93219</x:v>
      </x:c>
      <x:c r="G33" s="53" t="n">
        <x:f>'Sustainment Demand'!M33</x:f>
        <x:v>22520.4</x:v>
      </x:c>
      <x:c r="H33" s="53" t="n">
        <x:f>J32</x:f>
        <x:v>0</x:v>
      </x:c>
      <x:c r="I33" s="53" t="n">
        <x:f>MIN(G33+H33,F33)</x:f>
        <x:v>22520.4</x:v>
      </x:c>
      <x:c r="J33" s="53" t="n">
        <x:f>G33+H33-I33</x:f>
        <x:v>0</x:v>
      </x:c>
      <x:c r="K33" s="53" t="n">
        <x:f>K32+G33</x:f>
        <x:v>561884.8000000003</x:v>
      </x:c>
      <x:c r="L33" s="53" t="n">
        <x:f>L32+I33</x:f>
        <x:v>561884.8000000003</x:v>
      </x:c>
      <x:c r="M33" s="54" t="n">
        <x:f>IF(K33=0,1,L33/K33)</x:f>
        <x:v>1</x:v>
      </x:c>
      <x:c r="N33" s="45" t="str">
        <x:f>IF(J33=0,"PASS","BACKLOG")</x:f>
        <x:v>PASS</x:v>
      </x:c>
      <x:c r="O33" s="45" t="n">
        <x:f>MAX(0,O32-E33)</x:f>
        <x:v>0</x:v>
      </x:c>
      <x:c r="P33" s="45" t="n">
        <x:f>G33-'Controls'!$D$12</x:f>
        <x:v>0.4000000000014552</x:v>
      </x:c>
      <x:c r="Q33" s="72"/>
    </x:row>
    <x:row r="34">
      <x:c r="C34" s="20" t="n">
        <x:v>27</x:v>
      </x:c>
      <x:c r="D34" s="53" t="n">
        <x:f>SUMIFS('Path Daily'!$P$7:$P$1098,'Path Daily'!$D$7:$D$1098,C34)</x:f>
        <x:v>93219</x:v>
      </x:c>
      <x:c r="E34" s="53" t="n">
        <x:f>MIN('Controls'!$D$19,O33)</x:f>
        <x:v>0</x:v>
      </x:c>
      <x:c r="F34" s="53" t="n">
        <x:f>D34+E34</x:f>
        <x:v>93219</x:v>
      </x:c>
      <x:c r="G34" s="53" t="n">
        <x:f>'Sustainment Demand'!M34</x:f>
        <x:v>22520.4</x:v>
      </x:c>
      <x:c r="H34" s="53" t="n">
        <x:f>J33</x:f>
        <x:v>0</x:v>
      </x:c>
      <x:c r="I34" s="53" t="n">
        <x:f>MIN(G34+H34,F34)</x:f>
        <x:v>22520.4</x:v>
      </x:c>
      <x:c r="J34" s="53" t="n">
        <x:f>G34+H34-I34</x:f>
        <x:v>0</x:v>
      </x:c>
      <x:c r="K34" s="53" t="n">
        <x:f>K33+G34</x:f>
        <x:v>584405.2000000003</x:v>
      </x:c>
      <x:c r="L34" s="53" t="n">
        <x:f>L33+I34</x:f>
        <x:v>584405.2000000003</x:v>
      </x:c>
      <x:c r="M34" s="54" t="n">
        <x:f>IF(K34=0,1,L34/K34)</x:f>
        <x:v>1</x:v>
      </x:c>
      <x:c r="N34" s="45" t="str">
        <x:f>IF(J34=0,"PASS","BACKLOG")</x:f>
        <x:v>PASS</x:v>
      </x:c>
      <x:c r="O34" s="45" t="n">
        <x:f>MAX(0,O33-E34)</x:f>
        <x:v>0</x:v>
      </x:c>
      <x:c r="P34" s="45" t="n">
        <x:f>G34-'Controls'!$D$12</x:f>
        <x:v>0.4000000000014552</x:v>
      </x:c>
      <x:c r="Q34" s="72"/>
    </x:row>
    <x:row r="35">
      <x:c r="C35" s="20" t="n">
        <x:v>28</x:v>
      </x:c>
      <x:c r="D35" s="53" t="n">
        <x:f>SUMIFS('Path Daily'!$P$7:$P$1098,'Path Daily'!$D$7:$D$1098,C35)</x:f>
        <x:v>93219</x:v>
      </x:c>
      <x:c r="E35" s="53" t="n">
        <x:f>MIN('Controls'!$D$19,O34)</x:f>
        <x:v>0</x:v>
      </x:c>
      <x:c r="F35" s="53" t="n">
        <x:f>D35+E35</x:f>
        <x:v>93219</x:v>
      </x:c>
      <x:c r="G35" s="53" t="n">
        <x:f>'Sustainment Demand'!M35</x:f>
        <x:v>22520.4</x:v>
      </x:c>
      <x:c r="H35" s="53" t="n">
        <x:f>J34</x:f>
        <x:v>0</x:v>
      </x:c>
      <x:c r="I35" s="53" t="n">
        <x:f>MIN(G35+H35,F35)</x:f>
        <x:v>22520.4</x:v>
      </x:c>
      <x:c r="J35" s="53" t="n">
        <x:f>G35+H35-I35</x:f>
        <x:v>0</x:v>
      </x:c>
      <x:c r="K35" s="53" t="n">
        <x:f>K34+G35</x:f>
        <x:v>606925.6000000003</x:v>
      </x:c>
      <x:c r="L35" s="53" t="n">
        <x:f>L34+I35</x:f>
        <x:v>606925.6000000003</x:v>
      </x:c>
      <x:c r="M35" s="54" t="n">
        <x:f>IF(K35=0,1,L35/K35)</x:f>
        <x:v>1</x:v>
      </x:c>
      <x:c r="N35" s="45" t="str">
        <x:f>IF(J35=0,"PASS","BACKLOG")</x:f>
        <x:v>PASS</x:v>
      </x:c>
      <x:c r="O35" s="45" t="n">
        <x:f>MAX(0,O34-E35)</x:f>
        <x:v>0</x:v>
      </x:c>
      <x:c r="P35" s="45" t="n">
        <x:f>G35-'Controls'!$D$12</x:f>
        <x:v>0.4000000000014552</x:v>
      </x:c>
      <x:c r="Q35" s="72"/>
    </x:row>
    <x:row r="36">
      <x:c r="C36" s="20" t="n">
        <x:v>29</x:v>
      </x:c>
      <x:c r="D36" s="53" t="n">
        <x:f>SUMIFS('Path Daily'!$P$7:$P$1098,'Path Daily'!$D$7:$D$1098,C36)</x:f>
        <x:v>93219</x:v>
      </x:c>
      <x:c r="E36" s="53" t="n">
        <x:f>MIN('Controls'!$D$19,O35)</x:f>
        <x:v>0</x:v>
      </x:c>
      <x:c r="F36" s="53" t="n">
        <x:f>D36+E36</x:f>
        <x:v>93219</x:v>
      </x:c>
      <x:c r="G36" s="53" t="n">
        <x:f>'Sustainment Demand'!M36</x:f>
        <x:v>22520.4</x:v>
      </x:c>
      <x:c r="H36" s="53" t="n">
        <x:f>J35</x:f>
        <x:v>0</x:v>
      </x:c>
      <x:c r="I36" s="53" t="n">
        <x:f>MIN(G36+H36,F36)</x:f>
        <x:v>22520.4</x:v>
      </x:c>
      <x:c r="J36" s="53" t="n">
        <x:f>G36+H36-I36</x:f>
        <x:v>0</x:v>
      </x:c>
      <x:c r="K36" s="53" t="n">
        <x:f>K35+G36</x:f>
        <x:v>629446.0000000003</x:v>
      </x:c>
      <x:c r="L36" s="53" t="n">
        <x:f>L35+I36</x:f>
        <x:v>629446.0000000003</x:v>
      </x:c>
      <x:c r="M36" s="54" t="n">
        <x:f>IF(K36=0,1,L36/K36)</x:f>
        <x:v>1</x:v>
      </x:c>
      <x:c r="N36" s="45" t="str">
        <x:f>IF(J36=0,"PASS","BACKLOG")</x:f>
        <x:v>PASS</x:v>
      </x:c>
      <x:c r="O36" s="45" t="n">
        <x:f>MAX(0,O35-E36)</x:f>
        <x:v>0</x:v>
      </x:c>
      <x:c r="P36" s="45" t="n">
        <x:f>G36-'Controls'!$D$12</x:f>
        <x:v>0.4000000000014552</x:v>
      </x:c>
      <x:c r="Q36" s="72"/>
    </x:row>
    <x:row r="37">
      <x:c r="C37" s="20" t="n">
        <x:v>30</x:v>
      </x:c>
      <x:c r="D37" s="53" t="n">
        <x:f>SUMIFS('Path Daily'!$P$7:$P$1098,'Path Daily'!$D$7:$D$1098,C37)</x:f>
        <x:v>93219</x:v>
      </x:c>
      <x:c r="E37" s="53" t="n">
        <x:f>MIN('Controls'!$D$19,O36)</x:f>
        <x:v>0</x:v>
      </x:c>
      <x:c r="F37" s="53" t="n">
        <x:f>D37+E37</x:f>
        <x:v>93219</x:v>
      </x:c>
      <x:c r="G37" s="53" t="n">
        <x:f>'Sustainment Demand'!M37</x:f>
        <x:v>22520.4</x:v>
      </x:c>
      <x:c r="H37" s="53" t="n">
        <x:f>J36</x:f>
        <x:v>0</x:v>
      </x:c>
      <x:c r="I37" s="53" t="n">
        <x:f>MIN(G37+H37,F37)</x:f>
        <x:v>22520.4</x:v>
      </x:c>
      <x:c r="J37" s="53" t="n">
        <x:f>G37+H37-I37</x:f>
        <x:v>0</x:v>
      </x:c>
      <x:c r="K37" s="53" t="n">
        <x:f>K36+G37</x:f>
        <x:v>651966.4000000004</x:v>
      </x:c>
      <x:c r="L37" s="53" t="n">
        <x:f>L36+I37</x:f>
        <x:v>651966.4000000004</x:v>
      </x:c>
      <x:c r="M37" s="54" t="n">
        <x:f>IF(K37=0,1,L37/K37)</x:f>
        <x:v>1</x:v>
      </x:c>
      <x:c r="N37" s="45" t="str">
        <x:f>IF(J37=0,"PASS","BACKLOG")</x:f>
        <x:v>PASS</x:v>
      </x:c>
      <x:c r="O37" s="45" t="n">
        <x:f>MAX(0,O36-E37)</x:f>
        <x:v>0</x:v>
      </x:c>
      <x:c r="P37" s="45" t="n">
        <x:f>G37-'Controls'!$D$12</x:f>
        <x:v>0.4000000000014552</x:v>
      </x:c>
      <x:c r="Q37" s="72"/>
    </x:row>
    <x:row r="38">
      <x:c r="C38" s="20" t="n">
        <x:v>31</x:v>
      </x:c>
      <x:c r="D38" s="53" t="n">
        <x:f>SUMIFS('Path Daily'!$P$7:$P$1098,'Path Daily'!$D$7:$D$1098,C38)</x:f>
        <x:v>93219</x:v>
      </x:c>
      <x:c r="E38" s="53" t="n">
        <x:f>MIN('Controls'!$D$19,O37)</x:f>
        <x:v>0</x:v>
      </x:c>
      <x:c r="F38" s="53" t="n">
        <x:f>D38+E38</x:f>
        <x:v>93219</x:v>
      </x:c>
      <x:c r="G38" s="53" t="n">
        <x:f>'Sustainment Demand'!M38</x:f>
        <x:v>22484.4</x:v>
      </x:c>
      <x:c r="H38" s="53" t="n">
        <x:f>J37</x:f>
        <x:v>0</x:v>
      </x:c>
      <x:c r="I38" s="53" t="n">
        <x:f>MIN(G38+H38,F38)</x:f>
        <x:v>22484.4</x:v>
      </x:c>
      <x:c r="J38" s="53" t="n">
        <x:f>G38+H38-I38</x:f>
        <x:v>0</x:v>
      </x:c>
      <x:c r="K38" s="53" t="n">
        <x:f>K37+G38</x:f>
        <x:v>674450.8000000004</x:v>
      </x:c>
      <x:c r="L38" s="53" t="n">
        <x:f>L37+I38</x:f>
        <x:v>674450.8000000004</x:v>
      </x:c>
      <x:c r="M38" s="54" t="n">
        <x:f>IF(K38=0,1,L38/K38)</x:f>
        <x:v>1</x:v>
      </x:c>
      <x:c r="N38" s="45" t="str">
        <x:f>IF(J38=0,"PASS","BACKLOG")</x:f>
        <x:v>PASS</x:v>
      </x:c>
      <x:c r="O38" s="45" t="n">
        <x:f>MAX(0,O37-E38)</x:f>
        <x:v>0</x:v>
      </x:c>
      <x:c r="P38" s="45" t="n">
        <x:f>G38-'Controls'!$D$12</x:f>
        <x:v>-35.599999999998545</x:v>
      </x:c>
      <x:c r="Q38" s="72"/>
    </x:row>
    <x:row r="39">
      <x:c r="C39" s="20" t="n">
        <x:v>32</x:v>
      </x:c>
      <x:c r="D39" s="53" t="n">
        <x:f>SUMIFS('Path Daily'!$P$7:$P$1098,'Path Daily'!$D$7:$D$1098,C39)</x:f>
        <x:v>93219</x:v>
      </x:c>
      <x:c r="E39" s="53" t="n">
        <x:f>MIN('Controls'!$D$19,O38)</x:f>
        <x:v>0</x:v>
      </x:c>
      <x:c r="F39" s="53" t="n">
        <x:f>D39+E39</x:f>
        <x:v>93219</x:v>
      </x:c>
      <x:c r="G39" s="53" t="n">
        <x:f>'Sustainment Demand'!M39</x:f>
        <x:v>22448.4</x:v>
      </x:c>
      <x:c r="H39" s="53" t="n">
        <x:f>J38</x:f>
        <x:v>0</x:v>
      </x:c>
      <x:c r="I39" s="53" t="n">
        <x:f>MIN(G39+H39,F39)</x:f>
        <x:v>22448.4</x:v>
      </x:c>
      <x:c r="J39" s="53" t="n">
        <x:f>G39+H39-I39</x:f>
        <x:v>0</x:v>
      </x:c>
      <x:c r="K39" s="53" t="n">
        <x:f>K38+G39</x:f>
        <x:v>696899.2000000004</x:v>
      </x:c>
      <x:c r="L39" s="53" t="n">
        <x:f>L38+I39</x:f>
        <x:v>696899.2000000004</x:v>
      </x:c>
      <x:c r="M39" s="54" t="n">
        <x:f>IF(K39=0,1,L39/K39)</x:f>
        <x:v>1</x:v>
      </x:c>
      <x:c r="N39" s="45" t="str">
        <x:f>IF(J39=0,"PASS","BACKLOG")</x:f>
        <x:v>PASS</x:v>
      </x:c>
      <x:c r="O39" s="45" t="n">
        <x:f>MAX(0,O38-E39)</x:f>
        <x:v>0</x:v>
      </x:c>
      <x:c r="P39" s="45" t="n">
        <x:f>G39-'Controls'!$D$12</x:f>
        <x:v>-71.59999999999854</x:v>
      </x:c>
      <x:c r="Q39" s="72"/>
    </x:row>
    <x:row r="40">
      <x:c r="C40" s="20" t="n">
        <x:v>33</x:v>
      </x:c>
      <x:c r="D40" s="53" t="n">
        <x:f>SUMIFS('Path Daily'!$P$7:$P$1098,'Path Daily'!$D$7:$D$1098,C40)</x:f>
        <x:v>93219</x:v>
      </x:c>
      <x:c r="E40" s="53" t="n">
        <x:f>MIN('Controls'!$D$19,O39)</x:f>
        <x:v>0</x:v>
      </x:c>
      <x:c r="F40" s="53" t="n">
        <x:f>D40+E40</x:f>
        <x:v>93219</x:v>
      </x:c>
      <x:c r="G40" s="53" t="n">
        <x:f>'Sustainment Demand'!M40</x:f>
        <x:v>22412.4</x:v>
      </x:c>
      <x:c r="H40" s="53" t="n">
        <x:f>J39</x:f>
        <x:v>0</x:v>
      </x:c>
      <x:c r="I40" s="53" t="n">
        <x:f>MIN(G40+H40,F40)</x:f>
        <x:v>22412.4</x:v>
      </x:c>
      <x:c r="J40" s="53" t="n">
        <x:f>G40+H40-I40</x:f>
        <x:v>0</x:v>
      </x:c>
      <x:c r="K40" s="53" t="n">
        <x:f>K39+G40</x:f>
        <x:v>719311.6000000004</x:v>
      </x:c>
      <x:c r="L40" s="53" t="n">
        <x:f>L39+I40</x:f>
        <x:v>719311.6000000004</x:v>
      </x:c>
      <x:c r="M40" s="54" t="n">
        <x:f>IF(K40=0,1,L40/K40)</x:f>
        <x:v>1</x:v>
      </x:c>
      <x:c r="N40" s="45" t="str">
        <x:f>IF(J40=0,"PASS","BACKLOG")</x:f>
        <x:v>PASS</x:v>
      </x:c>
      <x:c r="O40" s="45" t="n">
        <x:f>MAX(0,O39-E40)</x:f>
        <x:v>0</x:v>
      </x:c>
      <x:c r="P40" s="45" t="n">
        <x:f>G40-'Controls'!$D$12</x:f>
        <x:v>-107.59999999999854</x:v>
      </x:c>
      <x:c r="Q40" s="72"/>
    </x:row>
    <x:row r="41">
      <x:c r="C41" s="20" t="n">
        <x:v>34</x:v>
      </x:c>
      <x:c r="D41" s="53" t="n">
        <x:f>SUMIFS('Path Daily'!$P$7:$P$1098,'Path Daily'!$D$7:$D$1098,C41)</x:f>
        <x:v>50096.9</x:v>
      </x:c>
      <x:c r="E41" s="53" t="n">
        <x:f>MIN('Controls'!$D$19,O40)</x:f>
        <x:v>0</x:v>
      </x:c>
      <x:c r="F41" s="53" t="n">
        <x:f>D41+E41</x:f>
        <x:v>50096.9</x:v>
      </x:c>
      <x:c r="G41" s="53" t="n">
        <x:f>'Sustainment Demand'!M41</x:f>
        <x:v>22376.4</x:v>
      </x:c>
      <x:c r="H41" s="53" t="n">
        <x:f>J40</x:f>
        <x:v>0</x:v>
      </x:c>
      <x:c r="I41" s="53" t="n">
        <x:f>MIN(G41+H41,F41)</x:f>
        <x:v>22376.4</x:v>
      </x:c>
      <x:c r="J41" s="53" t="n">
        <x:f>G41+H41-I41</x:f>
        <x:v>0</x:v>
      </x:c>
      <x:c r="K41" s="53" t="n">
        <x:f>K40+G41</x:f>
        <x:v>741688.0000000005</x:v>
      </x:c>
      <x:c r="L41" s="53" t="n">
        <x:f>L40+I41</x:f>
        <x:v>741688.0000000005</x:v>
      </x:c>
      <x:c r="M41" s="54" t="n">
        <x:f>IF(K41=0,1,L41/K41)</x:f>
        <x:v>1</x:v>
      </x:c>
      <x:c r="N41" s="45" t="str">
        <x:f>IF(J41=0,"PASS","BACKLOG")</x:f>
        <x:v>PASS</x:v>
      </x:c>
      <x:c r="O41" s="45" t="n">
        <x:f>MAX(0,O40-E41)</x:f>
        <x:v>0</x:v>
      </x:c>
      <x:c r="P41" s="45" t="n">
        <x:f>G41-'Controls'!$D$12</x:f>
        <x:v>-143.59999999999854</x:v>
      </x:c>
      <x:c r="Q41" s="72"/>
    </x:row>
    <x:row r="42">
      <x:c r="C42" s="20" t="n">
        <x:v>35</x:v>
      </x:c>
      <x:c r="D42" s="53" t="n">
        <x:f>SUMIFS('Path Daily'!$P$7:$P$1098,'Path Daily'!$D$7:$D$1098,C42)</x:f>
        <x:v>50096.9</x:v>
      </x:c>
      <x:c r="E42" s="53" t="n">
        <x:f>MIN('Controls'!$D$19,O41)</x:f>
        <x:v>0</x:v>
      </x:c>
      <x:c r="F42" s="53" t="n">
        <x:f>D42+E42</x:f>
        <x:v>50096.9</x:v>
      </x:c>
      <x:c r="G42" s="53" t="n">
        <x:f>'Sustainment Demand'!M42</x:f>
        <x:v>22340.4</x:v>
      </x:c>
      <x:c r="H42" s="53" t="n">
        <x:f>J41</x:f>
        <x:v>0</x:v>
      </x:c>
      <x:c r="I42" s="53" t="n">
        <x:f>MIN(G42+H42,F42)</x:f>
        <x:v>22340.4</x:v>
      </x:c>
      <x:c r="J42" s="53" t="n">
        <x:f>G42+H42-I42</x:f>
        <x:v>0</x:v>
      </x:c>
      <x:c r="K42" s="53" t="n">
        <x:f>K41+G42</x:f>
        <x:v>764028.4000000005</x:v>
      </x:c>
      <x:c r="L42" s="53" t="n">
        <x:f>L41+I42</x:f>
        <x:v>764028.4000000005</x:v>
      </x:c>
      <x:c r="M42" s="54" t="n">
        <x:f>IF(K42=0,1,L42/K42)</x:f>
        <x:v>1</x:v>
      </x:c>
      <x:c r="N42" s="45" t="str">
        <x:f>IF(J42=0,"PASS","BACKLOG")</x:f>
        <x:v>PASS</x:v>
      </x:c>
      <x:c r="O42" s="45" t="n">
        <x:f>MAX(0,O41-E42)</x:f>
        <x:v>0</x:v>
      </x:c>
      <x:c r="P42" s="45" t="n">
        <x:f>G42-'Controls'!$D$12</x:f>
        <x:v>-179.59999999999854</x:v>
      </x:c>
      <x:c r="Q42" s="72"/>
    </x:row>
    <x:row r="43">
      <x:c r="C43" s="20" t="n">
        <x:v>36</x:v>
      </x:c>
      <x:c r="D43" s="53" t="n">
        <x:f>SUMIFS('Path Daily'!$P$7:$P$1098,'Path Daily'!$D$7:$D$1098,C43)</x:f>
        <x:v>93219</x:v>
      </x:c>
      <x:c r="E43" s="53" t="n">
        <x:f>MIN('Controls'!$D$19,O42)</x:f>
        <x:v>0</x:v>
      </x:c>
      <x:c r="F43" s="53" t="n">
        <x:f>D43+E43</x:f>
        <x:v>93219</x:v>
      </x:c>
      <x:c r="G43" s="53" t="n">
        <x:f>'Sustainment Demand'!M43</x:f>
        <x:v>22304.4</x:v>
      </x:c>
      <x:c r="H43" s="53" t="n">
        <x:f>J42</x:f>
        <x:v>0</x:v>
      </x:c>
      <x:c r="I43" s="53" t="n">
        <x:f>MIN(G43+H43,F43)</x:f>
        <x:v>22304.4</x:v>
      </x:c>
      <x:c r="J43" s="53" t="n">
        <x:f>G43+H43-I43</x:f>
        <x:v>0</x:v>
      </x:c>
      <x:c r="K43" s="53" t="n">
        <x:f>K42+G43</x:f>
        <x:v>786332.8000000005</x:v>
      </x:c>
      <x:c r="L43" s="53" t="n">
        <x:f>L42+I43</x:f>
        <x:v>786332.8000000005</x:v>
      </x:c>
      <x:c r="M43" s="54" t="n">
        <x:f>IF(K43=0,1,L43/K43)</x:f>
        <x:v>1</x:v>
      </x:c>
      <x:c r="N43" s="45" t="str">
        <x:f>IF(J43=0,"PASS","BACKLOG")</x:f>
        <x:v>PASS</x:v>
      </x:c>
      <x:c r="O43" s="45" t="n">
        <x:f>MAX(0,O42-E43)</x:f>
        <x:v>0</x:v>
      </x:c>
      <x:c r="P43" s="45" t="n">
        <x:f>G43-'Controls'!$D$12</x:f>
        <x:v>-215.59999999999854</x:v>
      </x:c>
      <x:c r="Q43" s="72"/>
    </x:row>
    <x:row r="44">
      <x:c r="C44" s="20" t="n">
        <x:v>37</x:v>
      </x:c>
      <x:c r="D44" s="53" t="n">
        <x:f>SUMIFS('Path Daily'!$P$7:$P$1098,'Path Daily'!$D$7:$D$1098,C44)</x:f>
        <x:v>93219</x:v>
      </x:c>
      <x:c r="E44" s="53" t="n">
        <x:f>MIN('Controls'!$D$19,O43)</x:f>
        <x:v>0</x:v>
      </x:c>
      <x:c r="F44" s="53" t="n">
        <x:f>D44+E44</x:f>
        <x:v>93219</x:v>
      </x:c>
      <x:c r="G44" s="53" t="n">
        <x:f>'Sustainment Demand'!M44</x:f>
        <x:v>22268.4</x:v>
      </x:c>
      <x:c r="H44" s="53" t="n">
        <x:f>J43</x:f>
        <x:v>0</x:v>
      </x:c>
      <x:c r="I44" s="53" t="n">
        <x:f>MIN(G44+H44,F44)</x:f>
        <x:v>22268.4</x:v>
      </x:c>
      <x:c r="J44" s="53" t="n">
        <x:f>G44+H44-I44</x:f>
        <x:v>0</x:v>
      </x:c>
      <x:c r="K44" s="53" t="n">
        <x:f>K43+G44</x:f>
        <x:v>808601.2000000005</x:v>
      </x:c>
      <x:c r="L44" s="53" t="n">
        <x:f>L43+I44</x:f>
        <x:v>808601.2000000005</x:v>
      </x:c>
      <x:c r="M44" s="54" t="n">
        <x:f>IF(K44=0,1,L44/K44)</x:f>
        <x:v>1</x:v>
      </x:c>
      <x:c r="N44" s="45" t="str">
        <x:f>IF(J44=0,"PASS","BACKLOG")</x:f>
        <x:v>PASS</x:v>
      </x:c>
      <x:c r="O44" s="45" t="n">
        <x:f>MAX(0,O43-E44)</x:f>
        <x:v>0</x:v>
      </x:c>
      <x:c r="P44" s="45" t="n">
        <x:f>G44-'Controls'!$D$12</x:f>
        <x:v>-251.59999999999854</x:v>
      </x:c>
      <x:c r="Q44" s="72"/>
    </x:row>
    <x:row r="45">
      <x:c r="C45" s="20" t="n">
        <x:v>38</x:v>
      </x:c>
      <x:c r="D45" s="53" t="n">
        <x:f>SUMIFS('Path Daily'!$P$7:$P$1098,'Path Daily'!$D$7:$D$1098,C45)</x:f>
        <x:v>93219</x:v>
      </x:c>
      <x:c r="E45" s="53" t="n">
        <x:f>MIN('Controls'!$D$19,O44)</x:f>
        <x:v>0</x:v>
      </x:c>
      <x:c r="F45" s="53" t="n">
        <x:f>D45+E45</x:f>
        <x:v>93219</x:v>
      </x:c>
      <x:c r="G45" s="53" t="n">
        <x:f>'Sustainment Demand'!M45</x:f>
        <x:v>22232.4</x:v>
      </x:c>
      <x:c r="H45" s="53" t="n">
        <x:f>J44</x:f>
        <x:v>0</x:v>
      </x:c>
      <x:c r="I45" s="53" t="n">
        <x:f>MIN(G45+H45,F45)</x:f>
        <x:v>22232.4</x:v>
      </x:c>
      <x:c r="J45" s="53" t="n">
        <x:f>G45+H45-I45</x:f>
        <x:v>0</x:v>
      </x:c>
      <x:c r="K45" s="53" t="n">
        <x:f>K44+G45</x:f>
        <x:v>830833.6000000006</x:v>
      </x:c>
      <x:c r="L45" s="53" t="n">
        <x:f>L44+I45</x:f>
        <x:v>830833.6000000006</x:v>
      </x:c>
      <x:c r="M45" s="54" t="n">
        <x:f>IF(K45=0,1,L45/K45)</x:f>
        <x:v>1</x:v>
      </x:c>
      <x:c r="N45" s="45" t="str">
        <x:f>IF(J45=0,"PASS","BACKLOG")</x:f>
        <x:v>PASS</x:v>
      </x:c>
      <x:c r="O45" s="45" t="n">
        <x:f>MAX(0,O44-E45)</x:f>
        <x:v>0</x:v>
      </x:c>
      <x:c r="P45" s="45" t="n">
        <x:f>G45-'Controls'!$D$12</x:f>
        <x:v>-287.59999999999854</x:v>
      </x:c>
      <x:c r="Q45" s="72"/>
    </x:row>
    <x:row r="46">
      <x:c r="C46" s="20" t="n">
        <x:v>39</x:v>
      </x:c>
      <x:c r="D46" s="53" t="n">
        <x:f>SUMIFS('Path Daily'!$P$7:$P$1098,'Path Daily'!$D$7:$D$1098,C46)</x:f>
        <x:v>93219</x:v>
      </x:c>
      <x:c r="E46" s="53" t="n">
        <x:f>MIN('Controls'!$D$19,O45)</x:f>
        <x:v>0</x:v>
      </x:c>
      <x:c r="F46" s="53" t="n">
        <x:f>D46+E46</x:f>
        <x:v>93219</x:v>
      </x:c>
      <x:c r="G46" s="53" t="n">
        <x:f>'Sustainment Demand'!M46</x:f>
        <x:v>22196.4</x:v>
      </x:c>
      <x:c r="H46" s="53" t="n">
        <x:f>J45</x:f>
        <x:v>0</x:v>
      </x:c>
      <x:c r="I46" s="53" t="n">
        <x:f>MIN(G46+H46,F46)</x:f>
        <x:v>22196.4</x:v>
      </x:c>
      <x:c r="J46" s="53" t="n">
        <x:f>G46+H46-I46</x:f>
        <x:v>0</x:v>
      </x:c>
      <x:c r="K46" s="53" t="n">
        <x:f>K45+G46</x:f>
        <x:v>853030.0000000006</x:v>
      </x:c>
      <x:c r="L46" s="53" t="n">
        <x:f>L45+I46</x:f>
        <x:v>853030.0000000006</x:v>
      </x:c>
      <x:c r="M46" s="54" t="n">
        <x:f>IF(K46=0,1,L46/K46)</x:f>
        <x:v>1</x:v>
      </x:c>
      <x:c r="N46" s="45" t="str">
        <x:f>IF(J46=0,"PASS","BACKLOG")</x:f>
        <x:v>PASS</x:v>
      </x:c>
      <x:c r="O46" s="45" t="n">
        <x:f>MAX(0,O45-E46)</x:f>
        <x:v>0</x:v>
      </x:c>
      <x:c r="P46" s="45" t="n">
        <x:f>G46-'Controls'!$D$12</x:f>
        <x:v>-323.59999999999854</x:v>
      </x:c>
      <x:c r="Q46" s="72"/>
    </x:row>
    <x:row r="47">
      <x:c r="C47" s="20" t="n">
        <x:v>40</x:v>
      </x:c>
      <x:c r="D47" s="53" t="n">
        <x:f>SUMIFS('Path Daily'!$P$7:$P$1098,'Path Daily'!$D$7:$D$1098,C47)</x:f>
        <x:v>93219</x:v>
      </x:c>
      <x:c r="E47" s="53" t="n">
        <x:f>MIN('Controls'!$D$19,O46)</x:f>
        <x:v>0</x:v>
      </x:c>
      <x:c r="F47" s="53" t="n">
        <x:f>D47+E47</x:f>
        <x:v>93219</x:v>
      </x:c>
      <x:c r="G47" s="53" t="n">
        <x:f>'Sustainment Demand'!M47</x:f>
        <x:v>22160.4</x:v>
      </x:c>
      <x:c r="H47" s="53" t="n">
        <x:f>J46</x:f>
        <x:v>0</x:v>
      </x:c>
      <x:c r="I47" s="53" t="n">
        <x:f>MIN(G47+H47,F47)</x:f>
        <x:v>22160.4</x:v>
      </x:c>
      <x:c r="J47" s="53" t="n">
        <x:f>G47+H47-I47</x:f>
        <x:v>0</x:v>
      </x:c>
      <x:c r="K47" s="53" t="n">
        <x:f>K46+G47</x:f>
        <x:v>875190.4000000006</x:v>
      </x:c>
      <x:c r="L47" s="53" t="n">
        <x:f>L46+I47</x:f>
        <x:v>875190.4000000006</x:v>
      </x:c>
      <x:c r="M47" s="54" t="n">
        <x:f>IF(K47=0,1,L47/K47)</x:f>
        <x:v>1</x:v>
      </x:c>
      <x:c r="N47" s="45" t="str">
        <x:f>IF(J47=0,"PASS","BACKLOG")</x:f>
        <x:v>PASS</x:v>
      </x:c>
      <x:c r="O47" s="45" t="n">
        <x:f>MAX(0,O46-E47)</x:f>
        <x:v>0</x:v>
      </x:c>
      <x:c r="P47" s="45" t="n">
        <x:f>G47-'Controls'!$D$12</x:f>
        <x:v>-359.59999999999854</x:v>
      </x:c>
      <x:c r="Q47" s="72"/>
    </x:row>
    <x:row r="48">
      <x:c r="C48" s="20" t="n">
        <x:v>41</x:v>
      </x:c>
      <x:c r="D48" s="53" t="n">
        <x:f>SUMIFS('Path Daily'!$P$7:$P$1098,'Path Daily'!$D$7:$D$1098,C48)</x:f>
        <x:v>93219</x:v>
      </x:c>
      <x:c r="E48" s="53" t="n">
        <x:f>MIN('Controls'!$D$19,O47)</x:f>
        <x:v>0</x:v>
      </x:c>
      <x:c r="F48" s="53" t="n">
        <x:f>D48+E48</x:f>
        <x:v>93219</x:v>
      </x:c>
      <x:c r="G48" s="53" t="n">
        <x:f>'Sustainment Demand'!M48</x:f>
        <x:v>22124.4</x:v>
      </x:c>
      <x:c r="H48" s="53" t="n">
        <x:f>J47</x:f>
        <x:v>0</x:v>
      </x:c>
      <x:c r="I48" s="53" t="n">
        <x:f>MIN(G48+H48,F48)</x:f>
        <x:v>22124.4</x:v>
      </x:c>
      <x:c r="J48" s="53" t="n">
        <x:f>G48+H48-I48</x:f>
        <x:v>0</x:v>
      </x:c>
      <x:c r="K48" s="53" t="n">
        <x:f>K47+G48</x:f>
        <x:v>897314.8000000006</x:v>
      </x:c>
      <x:c r="L48" s="53" t="n">
        <x:f>L47+I48</x:f>
        <x:v>897314.8000000006</x:v>
      </x:c>
      <x:c r="M48" s="54" t="n">
        <x:f>IF(K48=0,1,L48/K48)</x:f>
        <x:v>1</x:v>
      </x:c>
      <x:c r="N48" s="45" t="str">
        <x:f>IF(J48=0,"PASS","BACKLOG")</x:f>
        <x:v>PASS</x:v>
      </x:c>
      <x:c r="O48" s="45" t="n">
        <x:f>MAX(0,O47-E48)</x:f>
        <x:v>0</x:v>
      </x:c>
      <x:c r="P48" s="45" t="n">
        <x:f>G48-'Controls'!$D$12</x:f>
        <x:v>-395.59999999999854</x:v>
      </x:c>
      <x:c r="Q48" s="72"/>
    </x:row>
    <x:row r="49">
      <x:c r="C49" s="20" t="n">
        <x:v>42</x:v>
      </x:c>
      <x:c r="D49" s="53" t="n">
        <x:f>SUMIFS('Path Daily'!$P$7:$P$1098,'Path Daily'!$D$7:$D$1098,C49)</x:f>
        <x:v>93219</x:v>
      </x:c>
      <x:c r="E49" s="53" t="n">
        <x:f>MIN('Controls'!$D$19,O48)</x:f>
        <x:v>0</x:v>
      </x:c>
      <x:c r="F49" s="53" t="n">
        <x:f>D49+E49</x:f>
        <x:v>93219</x:v>
      </x:c>
      <x:c r="G49" s="53" t="n">
        <x:f>'Sustainment Demand'!M49</x:f>
        <x:v>22088.4</x:v>
      </x:c>
      <x:c r="H49" s="53" t="n">
        <x:f>J48</x:f>
        <x:v>0</x:v>
      </x:c>
      <x:c r="I49" s="53" t="n">
        <x:f>MIN(G49+H49,F49)</x:f>
        <x:v>22088.4</x:v>
      </x:c>
      <x:c r="J49" s="53" t="n">
        <x:f>G49+H49-I49</x:f>
        <x:v>0</x:v>
      </x:c>
      <x:c r="K49" s="53" t="n">
        <x:f>K48+G49</x:f>
        <x:v>919403.2000000007</x:v>
      </x:c>
      <x:c r="L49" s="53" t="n">
        <x:f>L48+I49</x:f>
        <x:v>919403.2000000007</x:v>
      </x:c>
      <x:c r="M49" s="54" t="n">
        <x:f>IF(K49=0,1,L49/K49)</x:f>
        <x:v>1</x:v>
      </x:c>
      <x:c r="N49" s="45" t="str">
        <x:f>IF(J49=0,"PASS","BACKLOG")</x:f>
        <x:v>PASS</x:v>
      </x:c>
      <x:c r="O49" s="45" t="n">
        <x:f>MAX(0,O48-E49)</x:f>
        <x:v>0</x:v>
      </x:c>
      <x:c r="P49" s="45" t="n">
        <x:f>G49-'Controls'!$D$12</x:f>
        <x:v>-431.59999999999854</x:v>
      </x:c>
      <x:c r="Q49" s="72"/>
    </x:row>
    <x:row r="50">
      <x:c r="C50" s="20" t="n">
        <x:v>43</x:v>
      </x:c>
      <x:c r="D50" s="53" t="n">
        <x:f>SUMIFS('Path Daily'!$P$7:$P$1098,'Path Daily'!$D$7:$D$1098,C50)</x:f>
        <x:v>93219</x:v>
      </x:c>
      <x:c r="E50" s="53" t="n">
        <x:f>MIN('Controls'!$D$19,O49)</x:f>
        <x:v>0</x:v>
      </x:c>
      <x:c r="F50" s="53" t="n">
        <x:f>D50+E50</x:f>
        <x:v>93219</x:v>
      </x:c>
      <x:c r="G50" s="53" t="n">
        <x:f>'Sustainment Demand'!M50</x:f>
        <x:v>22052.4</x:v>
      </x:c>
      <x:c r="H50" s="53" t="n">
        <x:f>J49</x:f>
        <x:v>0</x:v>
      </x:c>
      <x:c r="I50" s="53" t="n">
        <x:f>MIN(G50+H50,F50)</x:f>
        <x:v>22052.4</x:v>
      </x:c>
      <x:c r="J50" s="53" t="n">
        <x:f>G50+H50-I50</x:f>
        <x:v>0</x:v>
      </x:c>
      <x:c r="K50" s="53" t="n">
        <x:f>K49+G50</x:f>
        <x:v>941455.6000000007</x:v>
      </x:c>
      <x:c r="L50" s="53" t="n">
        <x:f>L49+I50</x:f>
        <x:v>941455.6000000007</x:v>
      </x:c>
      <x:c r="M50" s="54" t="n">
        <x:f>IF(K50=0,1,L50/K50)</x:f>
        <x:v>1</x:v>
      </x:c>
      <x:c r="N50" s="45" t="str">
        <x:f>IF(J50=0,"PASS","BACKLOG")</x:f>
        <x:v>PASS</x:v>
      </x:c>
      <x:c r="O50" s="45" t="n">
        <x:f>MAX(0,O49-E50)</x:f>
        <x:v>0</x:v>
      </x:c>
      <x:c r="P50" s="45" t="n">
        <x:f>G50-'Controls'!$D$12</x:f>
        <x:v>-467.59999999999854</x:v>
      </x:c>
      <x:c r="Q50" s="72"/>
    </x:row>
    <x:row r="51">
      <x:c r="C51" s="20" t="n">
        <x:v>44</x:v>
      </x:c>
      <x:c r="D51" s="53" t="n">
        <x:f>SUMIFS('Path Daily'!$P$7:$P$1098,'Path Daily'!$D$7:$D$1098,C51)</x:f>
        <x:v>93219</x:v>
      </x:c>
      <x:c r="E51" s="53" t="n">
        <x:f>MIN('Controls'!$D$19,O50)</x:f>
        <x:v>0</x:v>
      </x:c>
      <x:c r="F51" s="53" t="n">
        <x:f>D51+E51</x:f>
        <x:v>93219</x:v>
      </x:c>
      <x:c r="G51" s="53" t="n">
        <x:f>'Sustainment Demand'!M51</x:f>
        <x:v>22016.4</x:v>
      </x:c>
      <x:c r="H51" s="53" t="n">
        <x:f>J50</x:f>
        <x:v>0</x:v>
      </x:c>
      <x:c r="I51" s="53" t="n">
        <x:f>MIN(G51+H51,F51)</x:f>
        <x:v>22016.4</x:v>
      </x:c>
      <x:c r="J51" s="53" t="n">
        <x:f>G51+H51-I51</x:f>
        <x:v>0</x:v>
      </x:c>
      <x:c r="K51" s="53" t="n">
        <x:f>K50+G51</x:f>
        <x:v>963472.0000000007</x:v>
      </x:c>
      <x:c r="L51" s="53" t="n">
        <x:f>L50+I51</x:f>
        <x:v>963472.0000000007</x:v>
      </x:c>
      <x:c r="M51" s="54" t="n">
        <x:f>IF(K51=0,1,L51/K51)</x:f>
        <x:v>1</x:v>
      </x:c>
      <x:c r="N51" s="45" t="str">
        <x:f>IF(J51=0,"PASS","BACKLOG")</x:f>
        <x:v>PASS</x:v>
      </x:c>
      <x:c r="O51" s="45" t="n">
        <x:f>MAX(0,O50-E51)</x:f>
        <x:v>0</x:v>
      </x:c>
      <x:c r="P51" s="45" t="n">
        <x:f>G51-'Controls'!$D$12</x:f>
        <x:v>-503.59999999999854</x:v>
      </x:c>
      <x:c r="Q51" s="72"/>
    </x:row>
    <x:row r="52">
      <x:c r="C52" s="20" t="n">
        <x:v>45</x:v>
      </x:c>
      <x:c r="D52" s="53" t="n">
        <x:f>SUMIFS('Path Daily'!$P$7:$P$1098,'Path Daily'!$D$7:$D$1098,C52)</x:f>
        <x:v>93219</x:v>
      </x:c>
      <x:c r="E52" s="53" t="n">
        <x:f>MIN('Controls'!$D$19,O51)</x:f>
        <x:v>0</x:v>
      </x:c>
      <x:c r="F52" s="53" t="n">
        <x:f>D52+E52</x:f>
        <x:v>93219</x:v>
      </x:c>
      <x:c r="G52" s="53" t="n">
        <x:f>'Sustainment Demand'!M52</x:f>
        <x:v>21980.4</x:v>
      </x:c>
      <x:c r="H52" s="53" t="n">
        <x:f>J51</x:f>
        <x:v>0</x:v>
      </x:c>
      <x:c r="I52" s="53" t="n">
        <x:f>MIN(G52+H52,F52)</x:f>
        <x:v>21980.4</x:v>
      </x:c>
      <x:c r="J52" s="53" t="n">
        <x:f>G52+H52-I52</x:f>
        <x:v>0</x:v>
      </x:c>
      <x:c r="K52" s="53" t="n">
        <x:f>K51+G52</x:f>
        <x:v>985452.4000000007</x:v>
      </x:c>
      <x:c r="L52" s="53" t="n">
        <x:f>L51+I52</x:f>
        <x:v>985452.4000000007</x:v>
      </x:c>
      <x:c r="M52" s="54" t="n">
        <x:f>IF(K52=0,1,L52/K52)</x:f>
        <x:v>1</x:v>
      </x:c>
      <x:c r="N52" s="45" t="str">
        <x:f>IF(J52=0,"PASS","BACKLOG")</x:f>
        <x:v>PASS</x:v>
      </x:c>
      <x:c r="O52" s="45" t="n">
        <x:f>MAX(0,O51-E52)</x:f>
        <x:v>0</x:v>
      </x:c>
      <x:c r="P52" s="45" t="n">
        <x:f>G52-'Controls'!$D$12</x:f>
        <x:v>-539.5999999999985</x:v>
      </x:c>
      <x:c r="Q52" s="72"/>
    </x:row>
    <x:row r="53">
      <x:c r="C53" s="20" t="n">
        <x:v>46</x:v>
      </x:c>
      <x:c r="D53" s="53" t="n">
        <x:f>SUMIFS('Path Daily'!$P$7:$P$1098,'Path Daily'!$D$7:$D$1098,C53)</x:f>
        <x:v>68791</x:v>
      </x:c>
      <x:c r="E53" s="53" t="n">
        <x:f>MIN('Controls'!$D$19,O52)</x:f>
        <x:v>0</x:v>
      </x:c>
      <x:c r="F53" s="53" t="n">
        <x:f>D53+E53</x:f>
        <x:v>68791</x:v>
      </x:c>
      <x:c r="G53" s="53" t="n">
        <x:f>'Sustainment Demand'!M53</x:f>
        <x:v>19644.4</x:v>
      </x:c>
      <x:c r="H53" s="53" t="n">
        <x:f>J52</x:f>
        <x:v>0</x:v>
      </x:c>
      <x:c r="I53" s="53" t="n">
        <x:f>MIN(G53+H53,F53)</x:f>
        <x:v>19644.4</x:v>
      </x:c>
      <x:c r="J53" s="53" t="n">
        <x:f>G53+H53-I53</x:f>
        <x:v>0</x:v>
      </x:c>
      <x:c r="K53" s="53" t="n">
        <x:f>K52+G53</x:f>
        <x:v>1005096.8000000007</x:v>
      </x:c>
      <x:c r="L53" s="53" t="n">
        <x:f>L52+I53</x:f>
        <x:v>1005096.8000000007</x:v>
      </x:c>
      <x:c r="M53" s="54" t="n">
        <x:f>IF(K53=0,1,L53/K53)</x:f>
        <x:v>1</x:v>
      </x:c>
      <x:c r="N53" s="45" t="str">
        <x:f>IF(J53=0,"PASS","BACKLOG")</x:f>
        <x:v>PASS</x:v>
      </x:c>
      <x:c r="O53" s="45" t="n">
        <x:f>MAX(0,O52-E53)</x:f>
        <x:v>0</x:v>
      </x:c>
      <x:c r="P53" s="45" t="n">
        <x:f>G53-'Controls'!$D$12</x:f>
        <x:v>-2875.5999999999985</x:v>
      </x:c>
      <x:c r="Q53" s="72"/>
    </x:row>
    <x:row r="54">
      <x:c r="C54" s="20" t="n">
        <x:v>47</x:v>
      </x:c>
      <x:c r="D54" s="53" t="n">
        <x:f>SUMIFS('Path Daily'!$P$7:$P$1098,'Path Daily'!$D$7:$D$1098,C54)</x:f>
        <x:v>133170</x:v>
      </x:c>
      <x:c r="E54" s="53" t="n">
        <x:f>MIN('Controls'!$D$19,O53)</x:f>
        <x:v>0</x:v>
      </x:c>
      <x:c r="F54" s="53" t="n">
        <x:f>D54+E54</x:f>
        <x:v>133170</x:v>
      </x:c>
      <x:c r="G54" s="53" t="n">
        <x:f>'Sustainment Demand'!M54</x:f>
        <x:v>19608.4</x:v>
      </x:c>
      <x:c r="H54" s="53" t="n">
        <x:f>J53</x:f>
        <x:v>0</x:v>
      </x:c>
      <x:c r="I54" s="53" t="n">
        <x:f>MIN(G54+H54,F54)</x:f>
        <x:v>19608.4</x:v>
      </x:c>
      <x:c r="J54" s="53" t="n">
        <x:f>G54+H54-I54</x:f>
        <x:v>0</x:v>
      </x:c>
      <x:c r="K54" s="53" t="n">
        <x:f>K53+G54</x:f>
        <x:v>1024705.2000000008</x:v>
      </x:c>
      <x:c r="L54" s="53" t="n">
        <x:f>L53+I54</x:f>
        <x:v>1024705.2000000008</x:v>
      </x:c>
      <x:c r="M54" s="54" t="n">
        <x:f>IF(K54=0,1,L54/K54)</x:f>
        <x:v>1</x:v>
      </x:c>
      <x:c r="N54" s="45" t="str">
        <x:f>IF(J54=0,"PASS","BACKLOG")</x:f>
        <x:v>PASS</x:v>
      </x:c>
      <x:c r="O54" s="45" t="n">
        <x:f>MAX(0,O53-E54)</x:f>
        <x:v>0</x:v>
      </x:c>
      <x:c r="P54" s="45" t="n">
        <x:f>G54-'Controls'!$D$12</x:f>
        <x:v>-2911.5999999999985</x:v>
      </x:c>
      <x:c r="Q54" s="72"/>
    </x:row>
    <x:row r="55">
      <x:c r="C55" s="20" t="n">
        <x:v>48</x:v>
      </x:c>
      <x:c r="D55" s="53" t="n">
        <x:f>SUMIFS('Path Daily'!$P$7:$P$1098,'Path Daily'!$D$7:$D$1098,C55)</x:f>
        <x:v>133170</x:v>
      </x:c>
      <x:c r="E55" s="53" t="n">
        <x:f>MIN('Controls'!$D$19,O54)</x:f>
        <x:v>0</x:v>
      </x:c>
      <x:c r="F55" s="53" t="n">
        <x:f>D55+E55</x:f>
        <x:v>133170</x:v>
      </x:c>
      <x:c r="G55" s="53" t="n">
        <x:f>'Sustainment Demand'!M55</x:f>
        <x:v>19572.4</x:v>
      </x:c>
      <x:c r="H55" s="53" t="n">
        <x:f>J54</x:f>
        <x:v>0</x:v>
      </x:c>
      <x:c r="I55" s="53" t="n">
        <x:f>MIN(G55+H55,F55)</x:f>
        <x:v>19572.4</x:v>
      </x:c>
      <x:c r="J55" s="53" t="n">
        <x:f>G55+H55-I55</x:f>
        <x:v>0</x:v>
      </x:c>
      <x:c r="K55" s="53" t="n">
        <x:f>K54+G55</x:f>
        <x:v>1044277.6000000008</x:v>
      </x:c>
      <x:c r="L55" s="53" t="n">
        <x:f>L54+I55</x:f>
        <x:v>1044277.6000000008</x:v>
      </x:c>
      <x:c r="M55" s="54" t="n">
        <x:f>IF(K55=0,1,L55/K55)</x:f>
        <x:v>1</x:v>
      </x:c>
      <x:c r="N55" s="45" t="str">
        <x:f>IF(J55=0,"PASS","BACKLOG")</x:f>
        <x:v>PASS</x:v>
      </x:c>
      <x:c r="O55" s="45" t="n">
        <x:f>MAX(0,O54-E55)</x:f>
        <x:v>0</x:v>
      </x:c>
      <x:c r="P55" s="45" t="n">
        <x:f>G55-'Controls'!$D$12</x:f>
        <x:v>-2947.5999999999985</x:v>
      </x:c>
      <x:c r="Q55" s="72"/>
    </x:row>
    <x:row r="56">
      <x:c r="C56" s="20" t="n">
        <x:v>49</x:v>
      </x:c>
      <x:c r="D56" s="53" t="n">
        <x:f>SUMIFS('Path Daily'!$P$7:$P$1098,'Path Daily'!$D$7:$D$1098,C56)</x:f>
        <x:v>133170</x:v>
      </x:c>
      <x:c r="E56" s="53" t="n">
        <x:f>MIN('Controls'!$D$19,O55)</x:f>
        <x:v>0</x:v>
      </x:c>
      <x:c r="F56" s="53" t="n">
        <x:f>D56+E56</x:f>
        <x:v>133170</x:v>
      </x:c>
      <x:c r="G56" s="53" t="n">
        <x:f>'Sustainment Demand'!M56</x:f>
        <x:v>19536.4</x:v>
      </x:c>
      <x:c r="H56" s="53" t="n">
        <x:f>J55</x:f>
        <x:v>0</x:v>
      </x:c>
      <x:c r="I56" s="53" t="n">
        <x:f>MIN(G56+H56,F56)</x:f>
        <x:v>19536.4</x:v>
      </x:c>
      <x:c r="J56" s="53" t="n">
        <x:f>G56+H56-I56</x:f>
        <x:v>0</x:v>
      </x:c>
      <x:c r="K56" s="53" t="n">
        <x:f>K55+G56</x:f>
        <x:v>1063814.0000000007</x:v>
      </x:c>
      <x:c r="L56" s="53" t="n">
        <x:f>L55+I56</x:f>
        <x:v>1063814.0000000007</x:v>
      </x:c>
      <x:c r="M56" s="54" t="n">
        <x:f>IF(K56=0,1,L56/K56)</x:f>
        <x:v>1</x:v>
      </x:c>
      <x:c r="N56" s="45" t="str">
        <x:f>IF(J56=0,"PASS","BACKLOG")</x:f>
        <x:v>PASS</x:v>
      </x:c>
      <x:c r="O56" s="45" t="n">
        <x:f>MAX(0,O55-E56)</x:f>
        <x:v>0</x:v>
      </x:c>
      <x:c r="P56" s="45" t="n">
        <x:f>G56-'Controls'!$D$12</x:f>
        <x:v>-2983.5999999999985</x:v>
      </x:c>
      <x:c r="Q56" s="72"/>
    </x:row>
    <x:row r="57">
      <x:c r="C57" s="20" t="n">
        <x:v>50</x:v>
      </x:c>
      <x:c r="D57" s="53" t="n">
        <x:f>SUMIFS('Path Daily'!$P$7:$P$1098,'Path Daily'!$D$7:$D$1098,C57)</x:f>
        <x:v>133170</x:v>
      </x:c>
      <x:c r="E57" s="53" t="n">
        <x:f>MIN('Controls'!$D$19,O56)</x:f>
        <x:v>0</x:v>
      </x:c>
      <x:c r="F57" s="53" t="n">
        <x:f>D57+E57</x:f>
        <x:v>133170</x:v>
      </x:c>
      <x:c r="G57" s="53" t="n">
        <x:f>'Sustainment Demand'!M57</x:f>
        <x:v>19500.4</x:v>
      </x:c>
      <x:c r="H57" s="53" t="n">
        <x:f>J56</x:f>
        <x:v>0</x:v>
      </x:c>
      <x:c r="I57" s="53" t="n">
        <x:f>MIN(G57+H57,F57)</x:f>
        <x:v>19500.4</x:v>
      </x:c>
      <x:c r="J57" s="53" t="n">
        <x:f>G57+H57-I57</x:f>
        <x:v>0</x:v>
      </x:c>
      <x:c r="K57" s="53" t="n">
        <x:f>K56+G57</x:f>
        <x:v>1083314.4000000006</x:v>
      </x:c>
      <x:c r="L57" s="53" t="n">
        <x:f>L56+I57</x:f>
        <x:v>1083314.4000000006</x:v>
      </x:c>
      <x:c r="M57" s="54" t="n">
        <x:f>IF(K57=0,1,L57/K57)</x:f>
        <x:v>1</x:v>
      </x:c>
      <x:c r="N57" s="45" t="str">
        <x:f>IF(J57=0,"PASS","BACKLOG")</x:f>
        <x:v>PASS</x:v>
      </x:c>
      <x:c r="O57" s="45" t="n">
        <x:f>MAX(0,O56-E57)</x:f>
        <x:v>0</x:v>
      </x:c>
      <x:c r="P57" s="45" t="n">
        <x:f>G57-'Controls'!$D$12</x:f>
        <x:v>-3019.5999999999985</x:v>
      </x:c>
      <x:c r="Q57" s="72"/>
    </x:row>
    <x:row r="58">
      <x:c r="C58" s="20" t="n">
        <x:v>51</x:v>
      </x:c>
      <x:c r="D58" s="53" t="n">
        <x:f>SUMIFS('Path Daily'!$P$7:$P$1098,'Path Daily'!$D$7:$D$1098,C58)</x:f>
        <x:v>133170</x:v>
      </x:c>
      <x:c r="E58" s="53" t="n">
        <x:f>MIN('Controls'!$D$19,O57)</x:f>
        <x:v>0</x:v>
      </x:c>
      <x:c r="F58" s="53" t="n">
        <x:f>D58+E58</x:f>
        <x:v>133170</x:v>
      </x:c>
      <x:c r="G58" s="53" t="n">
        <x:f>'Sustainment Demand'!M58</x:f>
        <x:v>19464.4</x:v>
      </x:c>
      <x:c r="H58" s="53" t="n">
        <x:f>J57</x:f>
        <x:v>0</x:v>
      </x:c>
      <x:c r="I58" s="53" t="n">
        <x:f>MIN(G58+H58,F58)</x:f>
        <x:v>19464.4</x:v>
      </x:c>
      <x:c r="J58" s="53" t="n">
        <x:f>G58+H58-I58</x:f>
        <x:v>0</x:v>
      </x:c>
      <x:c r="K58" s="53" t="n">
        <x:f>K57+G58</x:f>
        <x:v>1102778.8000000005</x:v>
      </x:c>
      <x:c r="L58" s="53" t="n">
        <x:f>L57+I58</x:f>
        <x:v>1102778.8000000005</x:v>
      </x:c>
      <x:c r="M58" s="54" t="n">
        <x:f>IF(K58=0,1,L58/K58)</x:f>
        <x:v>1</x:v>
      </x:c>
      <x:c r="N58" s="45" t="str">
        <x:f>IF(J58=0,"PASS","BACKLOG")</x:f>
        <x:v>PASS</x:v>
      </x:c>
      <x:c r="O58" s="45" t="n">
        <x:f>MAX(0,O57-E58)</x:f>
        <x:v>0</x:v>
      </x:c>
      <x:c r="P58" s="45" t="n">
        <x:f>G58-'Controls'!$D$12</x:f>
        <x:v>-3055.5999999999985</x:v>
      </x:c>
      <x:c r="Q58" s="72"/>
    </x:row>
    <x:row r="59">
      <x:c r="C59" s="20" t="n">
        <x:v>52</x:v>
      </x:c>
      <x:c r="D59" s="53" t="n">
        <x:f>SUMIFS('Path Daily'!$P$7:$P$1098,'Path Daily'!$D$7:$D$1098,C59)</x:f>
        <x:v>133170</x:v>
      </x:c>
      <x:c r="E59" s="53" t="n">
        <x:f>MIN('Controls'!$D$19,O58)</x:f>
        <x:v>0</x:v>
      </x:c>
      <x:c r="F59" s="53" t="n">
        <x:f>D59+E59</x:f>
        <x:v>133170</x:v>
      </x:c>
      <x:c r="G59" s="53" t="n">
        <x:f>'Sustainment Demand'!M59</x:f>
        <x:v>19428.4</x:v>
      </x:c>
      <x:c r="H59" s="53" t="n">
        <x:f>J58</x:f>
        <x:v>0</x:v>
      </x:c>
      <x:c r="I59" s="53" t="n">
        <x:f>MIN(G59+H59,F59)</x:f>
        <x:v>19428.4</x:v>
      </x:c>
      <x:c r="J59" s="53" t="n">
        <x:f>G59+H59-I59</x:f>
        <x:v>0</x:v>
      </x:c>
      <x:c r="K59" s="53" t="n">
        <x:f>K58+G59</x:f>
        <x:v>1122207.2000000004</x:v>
      </x:c>
      <x:c r="L59" s="53" t="n">
        <x:f>L58+I59</x:f>
        <x:v>1122207.2000000004</x:v>
      </x:c>
      <x:c r="M59" s="54" t="n">
        <x:f>IF(K59=0,1,L59/K59)</x:f>
        <x:v>1</x:v>
      </x:c>
      <x:c r="N59" s="45" t="str">
        <x:f>IF(J59=0,"PASS","BACKLOG")</x:f>
        <x:v>PASS</x:v>
      </x:c>
      <x:c r="O59" s="45" t="n">
        <x:f>MAX(0,O58-E59)</x:f>
        <x:v>0</x:v>
      </x:c>
      <x:c r="P59" s="45" t="n">
        <x:f>G59-'Controls'!$D$12</x:f>
        <x:v>-3091.5999999999985</x:v>
      </x:c>
      <x:c r="Q59" s="72"/>
    </x:row>
    <x:row r="60">
      <x:c r="C60" s="20" t="n">
        <x:v>53</x:v>
      </x:c>
      <x:c r="D60" s="53" t="n">
        <x:f>SUMIFS('Path Daily'!$P$7:$P$1098,'Path Daily'!$D$7:$D$1098,C60)</x:f>
        <x:v>133170</x:v>
      </x:c>
      <x:c r="E60" s="53" t="n">
        <x:f>MIN('Controls'!$D$19,O59)</x:f>
        <x:v>0</x:v>
      </x:c>
      <x:c r="F60" s="53" t="n">
        <x:f>D60+E60</x:f>
        <x:v>133170</x:v>
      </x:c>
      <x:c r="G60" s="53" t="n">
        <x:f>'Sustainment Demand'!M60</x:f>
        <x:v>19392.4</x:v>
      </x:c>
      <x:c r="H60" s="53" t="n">
        <x:f>J59</x:f>
        <x:v>0</x:v>
      </x:c>
      <x:c r="I60" s="53" t="n">
        <x:f>MIN(G60+H60,F60)</x:f>
        <x:v>19392.4</x:v>
      </x:c>
      <x:c r="J60" s="53" t="n">
        <x:f>G60+H60-I60</x:f>
        <x:v>0</x:v>
      </x:c>
      <x:c r="K60" s="53" t="n">
        <x:f>K59+G60</x:f>
        <x:v>1141599.6000000003</x:v>
      </x:c>
      <x:c r="L60" s="53" t="n">
        <x:f>L59+I60</x:f>
        <x:v>1141599.6000000003</x:v>
      </x:c>
      <x:c r="M60" s="54" t="n">
        <x:f>IF(K60=0,1,L60/K60)</x:f>
        <x:v>1</x:v>
      </x:c>
      <x:c r="N60" s="45" t="str">
        <x:f>IF(J60=0,"PASS","BACKLOG")</x:f>
        <x:v>PASS</x:v>
      </x:c>
      <x:c r="O60" s="45" t="n">
        <x:f>MAX(0,O59-E60)</x:f>
        <x:v>0</x:v>
      </x:c>
      <x:c r="P60" s="45" t="n">
        <x:f>G60-'Controls'!$D$12</x:f>
        <x:v>-3127.5999999999985</x:v>
      </x:c>
      <x:c r="Q60" s="72"/>
    </x:row>
    <x:row r="61">
      <x:c r="C61" s="20" t="n">
        <x:v>54</x:v>
      </x:c>
      <x:c r="D61" s="53" t="n">
        <x:f>SUMIFS('Path Daily'!$P$7:$P$1098,'Path Daily'!$D$7:$D$1098,C61)</x:f>
        <x:v>133170</x:v>
      </x:c>
      <x:c r="E61" s="53" t="n">
        <x:f>MIN('Controls'!$D$19,O60)</x:f>
        <x:v>0</x:v>
      </x:c>
      <x:c r="F61" s="53" t="n">
        <x:f>D61+E61</x:f>
        <x:v>133170</x:v>
      </x:c>
      <x:c r="G61" s="53" t="n">
        <x:f>'Sustainment Demand'!M61</x:f>
        <x:v>19356.4</x:v>
      </x:c>
      <x:c r="H61" s="53" t="n">
        <x:f>J60</x:f>
        <x:v>0</x:v>
      </x:c>
      <x:c r="I61" s="53" t="n">
        <x:f>MIN(G61+H61,F61)</x:f>
        <x:v>19356.4</x:v>
      </x:c>
      <x:c r="J61" s="53" t="n">
        <x:f>G61+H61-I61</x:f>
        <x:v>0</x:v>
      </x:c>
      <x:c r="K61" s="53" t="n">
        <x:f>K60+G61</x:f>
        <x:v>1160956.0000000002</x:v>
      </x:c>
      <x:c r="L61" s="53" t="n">
        <x:f>L60+I61</x:f>
        <x:v>1160956.0000000002</x:v>
      </x:c>
      <x:c r="M61" s="54" t="n">
        <x:f>IF(K61=0,1,L61/K61)</x:f>
        <x:v>1</x:v>
      </x:c>
      <x:c r="N61" s="45" t="str">
        <x:f>IF(J61=0,"PASS","BACKLOG")</x:f>
        <x:v>PASS</x:v>
      </x:c>
      <x:c r="O61" s="45" t="n">
        <x:f>MAX(0,O60-E61)</x:f>
        <x:v>0</x:v>
      </x:c>
      <x:c r="P61" s="45" t="n">
        <x:f>G61-'Controls'!$D$12</x:f>
        <x:v>-3163.5999999999985</x:v>
      </x:c>
      <x:c r="Q61" s="72"/>
    </x:row>
    <x:row r="62">
      <x:c r="C62" s="20" t="n">
        <x:v>55</x:v>
      </x:c>
      <x:c r="D62" s="53" t="n">
        <x:f>SUMIFS('Path Daily'!$P$7:$P$1098,'Path Daily'!$D$7:$D$1098,C62)</x:f>
        <x:v>133170</x:v>
      </x:c>
      <x:c r="E62" s="53" t="n">
        <x:f>MIN('Controls'!$D$19,O61)</x:f>
        <x:v>0</x:v>
      </x:c>
      <x:c r="F62" s="53" t="n">
        <x:f>D62+E62</x:f>
        <x:v>133170</x:v>
      </x:c>
      <x:c r="G62" s="53" t="n">
        <x:f>'Sustainment Demand'!M62</x:f>
        <x:v>19320.4</x:v>
      </x:c>
      <x:c r="H62" s="53" t="n">
        <x:f>J61</x:f>
        <x:v>0</x:v>
      </x:c>
      <x:c r="I62" s="53" t="n">
        <x:f>MIN(G62+H62,F62)</x:f>
        <x:v>19320.4</x:v>
      </x:c>
      <x:c r="J62" s="53" t="n">
        <x:f>G62+H62-I62</x:f>
        <x:v>0</x:v>
      </x:c>
      <x:c r="K62" s="53" t="n">
        <x:f>K61+G62</x:f>
        <x:v>1180276.4000000001</x:v>
      </x:c>
      <x:c r="L62" s="53" t="n">
        <x:f>L61+I62</x:f>
        <x:v>1180276.4000000001</x:v>
      </x:c>
      <x:c r="M62" s="54" t="n">
        <x:f>IF(K62=0,1,L62/K62)</x:f>
        <x:v>1</x:v>
      </x:c>
      <x:c r="N62" s="45" t="str">
        <x:f>IF(J62=0,"PASS","BACKLOG")</x:f>
        <x:v>PASS</x:v>
      </x:c>
      <x:c r="O62" s="45" t="n">
        <x:f>MAX(0,O61-E62)</x:f>
        <x:v>0</x:v>
      </x:c>
      <x:c r="P62" s="45" t="n">
        <x:f>G62-'Controls'!$D$12</x:f>
        <x:v>-3199.5999999999985</x:v>
      </x:c>
      <x:c r="Q62" s="72"/>
    </x:row>
    <x:row r="63">
      <x:c r="C63" s="20" t="n">
        <x:v>56</x:v>
      </x:c>
      <x:c r="D63" s="53" t="n">
        <x:f>SUMIFS('Path Daily'!$P$7:$P$1098,'Path Daily'!$D$7:$D$1098,C63)</x:f>
        <x:v>133170</x:v>
      </x:c>
      <x:c r="E63" s="53" t="n">
        <x:f>MIN('Controls'!$D$19,O62)</x:f>
        <x:v>0</x:v>
      </x:c>
      <x:c r="F63" s="53" t="n">
        <x:f>D63+E63</x:f>
        <x:v>133170</x:v>
      </x:c>
      <x:c r="G63" s="53" t="n">
        <x:f>'Sustainment Demand'!M63</x:f>
        <x:v>19284.4</x:v>
      </x:c>
      <x:c r="H63" s="53" t="n">
        <x:f>J62</x:f>
        <x:v>0</x:v>
      </x:c>
      <x:c r="I63" s="53" t="n">
        <x:f>MIN(G63+H63,F63)</x:f>
        <x:v>19284.4</x:v>
      </x:c>
      <x:c r="J63" s="53" t="n">
        <x:f>G63+H63-I63</x:f>
        <x:v>0</x:v>
      </x:c>
      <x:c r="K63" s="53" t="n">
        <x:f>K62+G63</x:f>
        <x:v>1199560.8</x:v>
      </x:c>
      <x:c r="L63" s="53" t="n">
        <x:f>L62+I63</x:f>
        <x:v>1199560.8</x:v>
      </x:c>
      <x:c r="M63" s="54" t="n">
        <x:f>IF(K63=0,1,L63/K63)</x:f>
        <x:v>1</x:v>
      </x:c>
      <x:c r="N63" s="45" t="str">
        <x:f>IF(J63=0,"PASS","BACKLOG")</x:f>
        <x:v>PASS</x:v>
      </x:c>
      <x:c r="O63" s="45" t="n">
        <x:f>MAX(0,O62-E63)</x:f>
        <x:v>0</x:v>
      </x:c>
      <x:c r="P63" s="45" t="n">
        <x:f>G63-'Controls'!$D$12</x:f>
        <x:v>-3235.5999999999985</x:v>
      </x:c>
      <x:c r="Q63" s="72"/>
    </x:row>
    <x:row r="64">
      <x:c r="C64" s="20" t="n">
        <x:v>57</x:v>
      </x:c>
      <x:c r="D64" s="53" t="n">
        <x:f>SUMIFS('Path Daily'!$P$7:$P$1098,'Path Daily'!$D$7:$D$1098,C64)</x:f>
        <x:v>133170</x:v>
      </x:c>
      <x:c r="E64" s="53" t="n">
        <x:f>MIN('Controls'!$D$19,O63)</x:f>
        <x:v>0</x:v>
      </x:c>
      <x:c r="F64" s="53" t="n">
        <x:f>D64+E64</x:f>
        <x:v>133170</x:v>
      </x:c>
      <x:c r="G64" s="53" t="n">
        <x:f>'Sustainment Demand'!M64</x:f>
        <x:v>19248.4</x:v>
      </x:c>
      <x:c r="H64" s="53" t="n">
        <x:f>J63</x:f>
        <x:v>0</x:v>
      </x:c>
      <x:c r="I64" s="53" t="n">
        <x:f>MIN(G64+H64,F64)</x:f>
        <x:v>19248.4</x:v>
      </x:c>
      <x:c r="J64" s="53" t="n">
        <x:f>G64+H64-I64</x:f>
        <x:v>0</x:v>
      </x:c>
      <x:c r="K64" s="53" t="n">
        <x:f>K63+G64</x:f>
        <x:v>1218809.2</x:v>
      </x:c>
      <x:c r="L64" s="53" t="n">
        <x:f>L63+I64</x:f>
        <x:v>1218809.2</x:v>
      </x:c>
      <x:c r="M64" s="54" t="n">
        <x:f>IF(K64=0,1,L64/K64)</x:f>
        <x:v>1</x:v>
      </x:c>
      <x:c r="N64" s="45" t="str">
        <x:f>IF(J64=0,"PASS","BACKLOG")</x:f>
        <x:v>PASS</x:v>
      </x:c>
      <x:c r="O64" s="45" t="n">
        <x:f>MAX(0,O63-E64)</x:f>
        <x:v>0</x:v>
      </x:c>
      <x:c r="P64" s="45" t="n">
        <x:f>G64-'Controls'!$D$12</x:f>
        <x:v>-3271.5999999999985</x:v>
      </x:c>
      <x:c r="Q64" s="72"/>
    </x:row>
    <x:row r="65">
      <x:c r="C65" s="20" t="n">
        <x:v>58</x:v>
      </x:c>
      <x:c r="D65" s="53" t="n">
        <x:f>SUMIFS('Path Daily'!$P$7:$P$1098,'Path Daily'!$D$7:$D$1098,C65)</x:f>
        <x:v>133170</x:v>
      </x:c>
      <x:c r="E65" s="53" t="n">
        <x:f>MIN('Controls'!$D$19,O64)</x:f>
        <x:v>0</x:v>
      </x:c>
      <x:c r="F65" s="53" t="n">
        <x:f>D65+E65</x:f>
        <x:v>133170</x:v>
      </x:c>
      <x:c r="G65" s="53" t="n">
        <x:f>'Sustainment Demand'!M65</x:f>
        <x:v>19212.4</x:v>
      </x:c>
      <x:c r="H65" s="53" t="n">
        <x:f>J64</x:f>
        <x:v>0</x:v>
      </x:c>
      <x:c r="I65" s="53" t="n">
        <x:f>MIN(G65+H65,F65)</x:f>
        <x:v>19212.4</x:v>
      </x:c>
      <x:c r="J65" s="53" t="n">
        <x:f>G65+H65-I65</x:f>
        <x:v>0</x:v>
      </x:c>
      <x:c r="K65" s="53" t="n">
        <x:f>K64+G65</x:f>
        <x:v>1238021.5999999999</x:v>
      </x:c>
      <x:c r="L65" s="53" t="n">
        <x:f>L64+I65</x:f>
        <x:v>1238021.5999999999</x:v>
      </x:c>
      <x:c r="M65" s="54" t="n">
        <x:f>IF(K65=0,1,L65/K65)</x:f>
        <x:v>1</x:v>
      </x:c>
      <x:c r="N65" s="45" t="str">
        <x:f>IF(J65=0,"PASS","BACKLOG")</x:f>
        <x:v>PASS</x:v>
      </x:c>
      <x:c r="O65" s="45" t="n">
        <x:f>MAX(0,O64-E65)</x:f>
        <x:v>0</x:v>
      </x:c>
      <x:c r="P65" s="45" t="n">
        <x:f>G65-'Controls'!$D$12</x:f>
        <x:v>-3307.5999999999985</x:v>
      </x:c>
      <x:c r="Q65" s="72"/>
    </x:row>
    <x:row r="66">
      <x:c r="C66" s="20" t="n">
        <x:v>59</x:v>
      </x:c>
      <x:c r="D66" s="53" t="n">
        <x:f>SUMIFS('Path Daily'!$P$7:$P$1098,'Path Daily'!$D$7:$D$1098,C66)</x:f>
        <x:v>133170</x:v>
      </x:c>
      <x:c r="E66" s="53" t="n">
        <x:f>MIN('Controls'!$D$19,O65)</x:f>
        <x:v>0</x:v>
      </x:c>
      <x:c r="F66" s="53" t="n">
        <x:f>D66+E66</x:f>
        <x:v>133170</x:v>
      </x:c>
      <x:c r="G66" s="53" t="n">
        <x:f>'Sustainment Demand'!M66</x:f>
        <x:v>19176.4</x:v>
      </x:c>
      <x:c r="H66" s="53" t="n">
        <x:f>J65</x:f>
        <x:v>0</x:v>
      </x:c>
      <x:c r="I66" s="53" t="n">
        <x:f>MIN(G66+H66,F66)</x:f>
        <x:v>19176.4</x:v>
      </x:c>
      <x:c r="J66" s="53" t="n">
        <x:f>G66+H66-I66</x:f>
        <x:v>0</x:v>
      </x:c>
      <x:c r="K66" s="53" t="n">
        <x:f>K65+G66</x:f>
        <x:v>1257197.9999999998</x:v>
      </x:c>
      <x:c r="L66" s="53" t="n">
        <x:f>L65+I66</x:f>
        <x:v>1257197.9999999998</x:v>
      </x:c>
      <x:c r="M66" s="54" t="n">
        <x:f>IF(K66=0,1,L66/K66)</x:f>
        <x:v>1</x:v>
      </x:c>
      <x:c r="N66" s="45" t="str">
        <x:f>IF(J66=0,"PASS","BACKLOG")</x:f>
        <x:v>PASS</x:v>
      </x:c>
      <x:c r="O66" s="45" t="n">
        <x:f>MAX(0,O65-E66)</x:f>
        <x:v>0</x:v>
      </x:c>
      <x:c r="P66" s="45" t="n">
        <x:f>G66-'Controls'!$D$12</x:f>
        <x:v>-3343.5999999999985</x:v>
      </x:c>
      <x:c r="Q66" s="72"/>
    </x:row>
    <x:row r="67">
      <x:c r="C67" s="20" t="n">
        <x:v>60</x:v>
      </x:c>
      <x:c r="D67" s="53" t="n">
        <x:f>SUMIFS('Path Daily'!$P$7:$P$1098,'Path Daily'!$D$7:$D$1098,C67)</x:f>
        <x:v>133170</x:v>
      </x:c>
      <x:c r="E67" s="53" t="n">
        <x:f>MIN('Controls'!$D$19,O66)</x:f>
        <x:v>0</x:v>
      </x:c>
      <x:c r="F67" s="53" t="n">
        <x:f>D67+E67</x:f>
        <x:v>133170</x:v>
      </x:c>
      <x:c r="G67" s="53" t="n">
        <x:f>'Sustainment Demand'!M67</x:f>
        <x:v>19140.4</x:v>
      </x:c>
      <x:c r="H67" s="53" t="n">
        <x:f>J66</x:f>
        <x:v>0</x:v>
      </x:c>
      <x:c r="I67" s="53" t="n">
        <x:f>MIN(G67+H67,F67)</x:f>
        <x:v>19140.4</x:v>
      </x:c>
      <x:c r="J67" s="53" t="n">
        <x:f>G67+H67-I67</x:f>
        <x:v>0</x:v>
      </x:c>
      <x:c r="K67" s="53" t="n">
        <x:f>K66+G67</x:f>
        <x:v>1276338.3999999997</x:v>
      </x:c>
      <x:c r="L67" s="53" t="n">
        <x:f>L66+I67</x:f>
        <x:v>1276338.3999999997</x:v>
      </x:c>
      <x:c r="M67" s="54" t="n">
        <x:f>IF(K67=0,1,L67/K67)</x:f>
        <x:v>1</x:v>
      </x:c>
      <x:c r="N67" s="45" t="str">
        <x:f>IF(J67=0,"PASS","BACKLOG")</x:f>
        <x:v>PASS</x:v>
      </x:c>
      <x:c r="O67" s="45" t="n">
        <x:f>MAX(0,O66-E67)</x:f>
        <x:v>0</x:v>
      </x:c>
      <x:c r="P67" s="45" t="n">
        <x:f>G67-'Controls'!$D$12</x:f>
        <x:v>-3379.5999999999985</x:v>
      </x:c>
      <x:c r="Q67" s="72"/>
    </x:row>
    <x:row r="68">
      <x:c r="C68" s="20" t="n">
        <x:v>61</x:v>
      </x:c>
      <x:c r="D68" s="53" t="n">
        <x:f>SUMIFS('Path Daily'!$P$7:$P$1098,'Path Daily'!$D$7:$D$1098,C68)</x:f>
        <x:v>71567</x:v>
      </x:c>
      <x:c r="E68" s="53" t="n">
        <x:f>MIN('Controls'!$D$19,O67)</x:f>
        <x:v>0</x:v>
      </x:c>
      <x:c r="F68" s="53" t="n">
        <x:f>D68+E68</x:f>
        <x:v>71567</x:v>
      </x:c>
      <x:c r="G68" s="53" t="n">
        <x:f>'Sustainment Demand'!M68</x:f>
        <x:v>19104.4</x:v>
      </x:c>
      <x:c r="H68" s="53" t="n">
        <x:f>J67</x:f>
        <x:v>0</x:v>
      </x:c>
      <x:c r="I68" s="53" t="n">
        <x:f>MIN(G68+H68,F68)</x:f>
        <x:v>19104.4</x:v>
      </x:c>
      <x:c r="J68" s="53" t="n">
        <x:f>G68+H68-I68</x:f>
        <x:v>0</x:v>
      </x:c>
      <x:c r="K68" s="53" t="n">
        <x:f>K67+G68</x:f>
        <x:v>1295442.7999999996</x:v>
      </x:c>
      <x:c r="L68" s="53" t="n">
        <x:f>L67+I68</x:f>
        <x:v>1295442.7999999996</x:v>
      </x:c>
      <x:c r="M68" s="54" t="n">
        <x:f>IF(K68=0,1,L68/K68)</x:f>
        <x:v>1</x:v>
      </x:c>
      <x:c r="N68" s="45" t="str">
        <x:f>IF(J68=0,"PASS","BACKLOG")</x:f>
        <x:v>PASS</x:v>
      </x:c>
      <x:c r="O68" s="45" t="n">
        <x:f>MAX(0,O67-E68)</x:f>
        <x:v>0</x:v>
      </x:c>
      <x:c r="P68" s="45" t="n">
        <x:f>G68-'Controls'!$D$12</x:f>
        <x:v>-3415.5999999999985</x:v>
      </x:c>
      <x:c r="Q68" s="72"/>
    </x:row>
    <x:row r="69">
      <x:c r="C69" s="20" t="n">
        <x:v>62</x:v>
      </x:c>
      <x:c r="D69" s="53" t="n">
        <x:f>SUMIFS('Path Daily'!$P$7:$P$1098,'Path Daily'!$D$7:$D$1098,C69)</x:f>
        <x:v>71567</x:v>
      </x:c>
      <x:c r="E69" s="53" t="n">
        <x:f>MIN('Controls'!$D$19,O68)</x:f>
        <x:v>0</x:v>
      </x:c>
      <x:c r="F69" s="53" t="n">
        <x:f>D69+E69</x:f>
        <x:v>71567</x:v>
      </x:c>
      <x:c r="G69" s="53" t="n">
        <x:f>'Sustainment Demand'!M69</x:f>
        <x:v>19068.4</x:v>
      </x:c>
      <x:c r="H69" s="53" t="n">
        <x:f>J68</x:f>
        <x:v>0</x:v>
      </x:c>
      <x:c r="I69" s="53" t="n">
        <x:f>MIN(G69+H69,F69)</x:f>
        <x:v>19068.4</x:v>
      </x:c>
      <x:c r="J69" s="53" t="n">
        <x:f>G69+H69-I69</x:f>
        <x:v>0</x:v>
      </x:c>
      <x:c r="K69" s="53" t="n">
        <x:f>K68+G69</x:f>
        <x:v>1314511.1999999995</x:v>
      </x:c>
      <x:c r="L69" s="53" t="n">
        <x:f>L68+I69</x:f>
        <x:v>1314511.1999999995</x:v>
      </x:c>
      <x:c r="M69" s="54" t="n">
        <x:f>IF(K69=0,1,L69/K69)</x:f>
        <x:v>1</x:v>
      </x:c>
      <x:c r="N69" s="45" t="str">
        <x:f>IF(J69=0,"PASS","BACKLOG")</x:f>
        <x:v>PASS</x:v>
      </x:c>
      <x:c r="O69" s="45" t="n">
        <x:f>MAX(0,O68-E69)</x:f>
        <x:v>0</x:v>
      </x:c>
      <x:c r="P69" s="45" t="n">
        <x:f>G69-'Controls'!$D$12</x:f>
        <x:v>-3451.5999999999985</x:v>
      </x:c>
      <x:c r="Q69" s="72"/>
    </x:row>
    <x:row r="70">
      <x:c r="C70" s="20" t="n">
        <x:v>63</x:v>
      </x:c>
      <x:c r="D70" s="53" t="n">
        <x:f>SUMIFS('Path Daily'!$P$7:$P$1098,'Path Daily'!$D$7:$D$1098,C70)</x:f>
        <x:v>71567</x:v>
      </x:c>
      <x:c r="E70" s="53" t="n">
        <x:f>MIN('Controls'!$D$19,O69)</x:f>
        <x:v>0</x:v>
      </x:c>
      <x:c r="F70" s="53" t="n">
        <x:f>D70+E70</x:f>
        <x:v>71567</x:v>
      </x:c>
      <x:c r="G70" s="53" t="n">
        <x:f>'Sustainment Demand'!M70</x:f>
        <x:v>19032.4</x:v>
      </x:c>
      <x:c r="H70" s="53" t="n">
        <x:f>J69</x:f>
        <x:v>0</x:v>
      </x:c>
      <x:c r="I70" s="53" t="n">
        <x:f>MIN(G70+H70,F70)</x:f>
        <x:v>19032.4</x:v>
      </x:c>
      <x:c r="J70" s="53" t="n">
        <x:f>G70+H70-I70</x:f>
        <x:v>0</x:v>
      </x:c>
      <x:c r="K70" s="53" t="n">
        <x:f>K69+G70</x:f>
        <x:v>1333543.5999999994</x:v>
      </x:c>
      <x:c r="L70" s="53" t="n">
        <x:f>L69+I70</x:f>
        <x:v>1333543.5999999994</x:v>
      </x:c>
      <x:c r="M70" s="54" t="n">
        <x:f>IF(K70=0,1,L70/K70)</x:f>
        <x:v>1</x:v>
      </x:c>
      <x:c r="N70" s="45" t="str">
        <x:f>IF(J70=0,"PASS","BACKLOG")</x:f>
        <x:v>PASS</x:v>
      </x:c>
      <x:c r="O70" s="45" t="n">
        <x:f>MAX(0,O69-E70)</x:f>
        <x:v>0</x:v>
      </x:c>
      <x:c r="P70" s="45" t="n">
        <x:f>G70-'Controls'!$D$12</x:f>
        <x:v>-3487.5999999999985</x:v>
      </x:c>
      <x:c r="Q70" s="72"/>
    </x:row>
    <x:row r="71">
      <x:c r="C71" s="20" t="n">
        <x:v>64</x:v>
      </x:c>
      <x:c r="D71" s="53" t="n">
        <x:f>SUMIFS('Path Daily'!$P$7:$P$1098,'Path Daily'!$D$7:$D$1098,C71)</x:f>
        <x:v>133170</x:v>
      </x:c>
      <x:c r="E71" s="53" t="n">
        <x:f>MIN('Controls'!$D$19,O70)</x:f>
        <x:v>0</x:v>
      </x:c>
      <x:c r="F71" s="53" t="n">
        <x:f>D71+E71</x:f>
        <x:v>133170</x:v>
      </x:c>
      <x:c r="G71" s="53" t="n">
        <x:f>'Sustainment Demand'!M71</x:f>
        <x:v>18996.4</x:v>
      </x:c>
      <x:c r="H71" s="53" t="n">
        <x:f>J70</x:f>
        <x:v>0</x:v>
      </x:c>
      <x:c r="I71" s="53" t="n">
        <x:f>MIN(G71+H71,F71)</x:f>
        <x:v>18996.4</x:v>
      </x:c>
      <x:c r="J71" s="53" t="n">
        <x:f>G71+H71-I71</x:f>
        <x:v>0</x:v>
      </x:c>
      <x:c r="K71" s="53" t="n">
        <x:f>K70+G71</x:f>
        <x:v>1352539.9999999993</x:v>
      </x:c>
      <x:c r="L71" s="53" t="n">
        <x:f>L70+I71</x:f>
        <x:v>1352539.9999999993</x:v>
      </x:c>
      <x:c r="M71" s="54" t="n">
        <x:f>IF(K71=0,1,L71/K71)</x:f>
        <x:v>1</x:v>
      </x:c>
      <x:c r="N71" s="45" t="str">
        <x:f>IF(J71=0,"PASS","BACKLOG")</x:f>
        <x:v>PASS</x:v>
      </x:c>
      <x:c r="O71" s="45" t="n">
        <x:f>MAX(0,O70-E71)</x:f>
        <x:v>0</x:v>
      </x:c>
      <x:c r="P71" s="45" t="n">
        <x:f>G71-'Controls'!$D$12</x:f>
        <x:v>-3523.5999999999985</x:v>
      </x:c>
      <x:c r="Q71" s="72"/>
    </x:row>
    <x:row r="72">
      <x:c r="C72" s="20" t="n">
        <x:v>65</x:v>
      </x:c>
      <x:c r="D72" s="53" t="n">
        <x:f>SUMIFS('Path Daily'!$P$7:$P$1098,'Path Daily'!$D$7:$D$1098,C72)</x:f>
        <x:v>133170</x:v>
      </x:c>
      <x:c r="E72" s="53" t="n">
        <x:f>MIN('Controls'!$D$19,O71)</x:f>
        <x:v>0</x:v>
      </x:c>
      <x:c r="F72" s="53" t="n">
        <x:f>D72+E72</x:f>
        <x:v>133170</x:v>
      </x:c>
      <x:c r="G72" s="53" t="n">
        <x:f>'Sustainment Demand'!M72</x:f>
        <x:v>18960.4</x:v>
      </x:c>
      <x:c r="H72" s="53" t="n">
        <x:f>J71</x:f>
        <x:v>0</x:v>
      </x:c>
      <x:c r="I72" s="53" t="n">
        <x:f>MIN(G72+H72,F72)</x:f>
        <x:v>18960.4</x:v>
      </x:c>
      <x:c r="J72" s="53" t="n">
        <x:f>G72+H72-I72</x:f>
        <x:v>0</x:v>
      </x:c>
      <x:c r="K72" s="53" t="n">
        <x:f>K71+G72</x:f>
        <x:v>1371500.3999999992</x:v>
      </x:c>
      <x:c r="L72" s="53" t="n">
        <x:f>L71+I72</x:f>
        <x:v>1371500.3999999992</x:v>
      </x:c>
      <x:c r="M72" s="54" t="n">
        <x:f>IF(K72=0,1,L72/K72)</x:f>
        <x:v>1</x:v>
      </x:c>
      <x:c r="N72" s="45" t="str">
        <x:f>IF(J72=0,"PASS","BACKLOG")</x:f>
        <x:v>PASS</x:v>
      </x:c>
      <x:c r="O72" s="45" t="n">
        <x:f>MAX(0,O71-E72)</x:f>
        <x:v>0</x:v>
      </x:c>
      <x:c r="P72" s="45" t="n">
        <x:f>G72-'Controls'!$D$12</x:f>
        <x:v>-3559.5999999999985</x:v>
      </x:c>
      <x:c r="Q72" s="72"/>
    </x:row>
    <x:row r="73">
      <x:c r="C73" s="20" t="n">
        <x:v>66</x:v>
      </x:c>
      <x:c r="D73" s="53" t="n">
        <x:f>SUMIFS('Path Daily'!$P$7:$P$1098,'Path Daily'!$D$7:$D$1098,C73)</x:f>
        <x:v>133170</x:v>
      </x:c>
      <x:c r="E73" s="53" t="n">
        <x:f>MIN('Controls'!$D$19,O72)</x:f>
        <x:v>0</x:v>
      </x:c>
      <x:c r="F73" s="53" t="n">
        <x:f>D73+E73</x:f>
        <x:v>133170</x:v>
      </x:c>
      <x:c r="G73" s="53" t="n">
        <x:f>'Sustainment Demand'!M73</x:f>
        <x:v>18924.4</x:v>
      </x:c>
      <x:c r="H73" s="53" t="n">
        <x:f>J72</x:f>
        <x:v>0</x:v>
      </x:c>
      <x:c r="I73" s="53" t="n">
        <x:f>MIN(G73+H73,F73)</x:f>
        <x:v>18924.4</x:v>
      </x:c>
      <x:c r="J73" s="53" t="n">
        <x:f>G73+H73-I73</x:f>
        <x:v>0</x:v>
      </x:c>
      <x:c r="K73" s="53" t="n">
        <x:f>K72+G73</x:f>
        <x:v>1390424.799999999</x:v>
      </x:c>
      <x:c r="L73" s="53" t="n">
        <x:f>L72+I73</x:f>
        <x:v>1390424.799999999</x:v>
      </x:c>
      <x:c r="M73" s="54" t="n">
        <x:f>IF(K73=0,1,L73/K73)</x:f>
        <x:v>1</x:v>
      </x:c>
      <x:c r="N73" s="45" t="str">
        <x:f>IF(J73=0,"PASS","BACKLOG")</x:f>
        <x:v>PASS</x:v>
      </x:c>
      <x:c r="O73" s="45" t="n">
        <x:f>MAX(0,O72-E73)</x:f>
        <x:v>0</x:v>
      </x:c>
      <x:c r="P73" s="45" t="n">
        <x:f>G73-'Controls'!$D$12</x:f>
        <x:v>-3595.5999999999985</x:v>
      </x:c>
      <x:c r="Q73" s="72"/>
    </x:row>
    <x:row r="74">
      <x:c r="C74" s="20" t="n">
        <x:v>67</x:v>
      </x:c>
      <x:c r="D74" s="53" t="n">
        <x:f>SUMIFS('Path Daily'!$P$7:$P$1098,'Path Daily'!$D$7:$D$1098,C74)</x:f>
        <x:v>133170</x:v>
      </x:c>
      <x:c r="E74" s="53" t="n">
        <x:f>MIN('Controls'!$D$19,O73)</x:f>
        <x:v>0</x:v>
      </x:c>
      <x:c r="F74" s="53" t="n">
        <x:f>D74+E74</x:f>
        <x:v>133170</x:v>
      </x:c>
      <x:c r="G74" s="53" t="n">
        <x:f>'Sustainment Demand'!M74</x:f>
        <x:v>18888.4</x:v>
      </x:c>
      <x:c r="H74" s="53" t="n">
        <x:f>J73</x:f>
        <x:v>0</x:v>
      </x:c>
      <x:c r="I74" s="53" t="n">
        <x:f>MIN(G74+H74,F74)</x:f>
        <x:v>18888.4</x:v>
      </x:c>
      <x:c r="J74" s="53" t="n">
        <x:f>G74+H74-I74</x:f>
        <x:v>0</x:v>
      </x:c>
      <x:c r="K74" s="53" t="n">
        <x:f>K73+G74</x:f>
        <x:v>1409313.199999999</x:v>
      </x:c>
      <x:c r="L74" s="53" t="n">
        <x:f>L73+I74</x:f>
        <x:v>1409313.199999999</x:v>
      </x:c>
      <x:c r="M74" s="54" t="n">
        <x:f>IF(K74=0,1,L74/K74)</x:f>
        <x:v>1</x:v>
      </x:c>
      <x:c r="N74" s="45" t="str">
        <x:f>IF(J74=0,"PASS","BACKLOG")</x:f>
        <x:v>PASS</x:v>
      </x:c>
      <x:c r="O74" s="45" t="n">
        <x:f>MAX(0,O73-E74)</x:f>
        <x:v>0</x:v>
      </x:c>
      <x:c r="P74" s="45" t="n">
        <x:f>G74-'Controls'!$D$12</x:f>
        <x:v>-3631.5999999999985</x:v>
      </x:c>
      <x:c r="Q74" s="72"/>
    </x:row>
    <x:row r="75">
      <x:c r="C75" s="20" t="n">
        <x:v>68</x:v>
      </x:c>
      <x:c r="D75" s="53" t="n">
        <x:f>SUMIFS('Path Daily'!$P$7:$P$1098,'Path Daily'!$D$7:$D$1098,C75)</x:f>
        <x:v>133170</x:v>
      </x:c>
      <x:c r="E75" s="53" t="n">
        <x:f>MIN('Controls'!$D$19,O74)</x:f>
        <x:v>0</x:v>
      </x:c>
      <x:c r="F75" s="53" t="n">
        <x:f>D75+E75</x:f>
        <x:v>133170</x:v>
      </x:c>
      <x:c r="G75" s="53" t="n">
        <x:f>'Sustainment Demand'!M75</x:f>
        <x:v>18852.4</x:v>
      </x:c>
      <x:c r="H75" s="53" t="n">
        <x:f>J74</x:f>
        <x:v>0</x:v>
      </x:c>
      <x:c r="I75" s="53" t="n">
        <x:f>MIN(G75+H75,F75)</x:f>
        <x:v>18852.4</x:v>
      </x:c>
      <x:c r="J75" s="53" t="n">
        <x:f>G75+H75-I75</x:f>
        <x:v>0</x:v>
      </x:c>
      <x:c r="K75" s="53" t="n">
        <x:f>K74+G75</x:f>
        <x:v>1428165.599999999</x:v>
      </x:c>
      <x:c r="L75" s="53" t="n">
        <x:f>L74+I75</x:f>
        <x:v>1428165.599999999</x:v>
      </x:c>
      <x:c r="M75" s="54" t="n">
        <x:f>IF(K75=0,1,L75/K75)</x:f>
        <x:v>1</x:v>
      </x:c>
      <x:c r="N75" s="45" t="str">
        <x:f>IF(J75=0,"PASS","BACKLOG")</x:f>
        <x:v>PASS</x:v>
      </x:c>
      <x:c r="O75" s="45" t="n">
        <x:f>MAX(0,O74-E75)</x:f>
        <x:v>0</x:v>
      </x:c>
      <x:c r="P75" s="45" t="n">
        <x:f>G75-'Controls'!$D$12</x:f>
        <x:v>-3667.5999999999985</x:v>
      </x:c>
      <x:c r="Q75" s="72"/>
    </x:row>
    <x:row r="76">
      <x:c r="C76" s="20" t="n">
        <x:v>69</x:v>
      </x:c>
      <x:c r="D76" s="53" t="n">
        <x:f>SUMIFS('Path Daily'!$P$7:$P$1098,'Path Daily'!$D$7:$D$1098,C76)</x:f>
        <x:v>133170</x:v>
      </x:c>
      <x:c r="E76" s="53" t="n">
        <x:f>MIN('Controls'!$D$19,O75)</x:f>
        <x:v>0</x:v>
      </x:c>
      <x:c r="F76" s="53" t="n">
        <x:f>D76+E76</x:f>
        <x:v>133170</x:v>
      </x:c>
      <x:c r="G76" s="53" t="n">
        <x:f>'Sustainment Demand'!M76</x:f>
        <x:v>18816.4</x:v>
      </x:c>
      <x:c r="H76" s="53" t="n">
        <x:f>J75</x:f>
        <x:v>0</x:v>
      </x:c>
      <x:c r="I76" s="53" t="n">
        <x:f>MIN(G76+H76,F76)</x:f>
        <x:v>18816.4</x:v>
      </x:c>
      <x:c r="J76" s="53" t="n">
        <x:f>G76+H76-I76</x:f>
        <x:v>0</x:v>
      </x:c>
      <x:c r="K76" s="53" t="n">
        <x:f>K75+G76</x:f>
        <x:v>1446981.9999999988</x:v>
      </x:c>
      <x:c r="L76" s="53" t="n">
        <x:f>L75+I76</x:f>
        <x:v>1446981.9999999988</x:v>
      </x:c>
      <x:c r="M76" s="54" t="n">
        <x:f>IF(K76=0,1,L76/K76)</x:f>
        <x:v>1</x:v>
      </x:c>
      <x:c r="N76" s="45" t="str">
        <x:f>IF(J76=0,"PASS","BACKLOG")</x:f>
        <x:v>PASS</x:v>
      </x:c>
      <x:c r="O76" s="45" t="n">
        <x:f>MAX(0,O75-E76)</x:f>
        <x:v>0</x:v>
      </x:c>
      <x:c r="P76" s="45" t="n">
        <x:f>G76-'Controls'!$D$12</x:f>
        <x:v>-3703.5999999999985</x:v>
      </x:c>
      <x:c r="Q76" s="72"/>
    </x:row>
    <x:row r="77">
      <x:c r="C77" s="20" t="n">
        <x:v>70</x:v>
      </x:c>
      <x:c r="D77" s="53" t="n">
        <x:f>SUMIFS('Path Daily'!$P$7:$P$1098,'Path Daily'!$D$7:$D$1098,C77)</x:f>
        <x:v>133170</x:v>
      </x:c>
      <x:c r="E77" s="53" t="n">
        <x:f>MIN('Controls'!$D$19,O76)</x:f>
        <x:v>0</x:v>
      </x:c>
      <x:c r="F77" s="53" t="n">
        <x:f>D77+E77</x:f>
        <x:v>133170</x:v>
      </x:c>
      <x:c r="G77" s="53" t="n">
        <x:f>'Sustainment Demand'!M77</x:f>
        <x:v>18780.4</x:v>
      </x:c>
      <x:c r="H77" s="53" t="n">
        <x:f>J76</x:f>
        <x:v>0</x:v>
      </x:c>
      <x:c r="I77" s="53" t="n">
        <x:f>MIN(G77+H77,F77)</x:f>
        <x:v>18780.4</x:v>
      </x:c>
      <x:c r="J77" s="53" t="n">
        <x:f>G77+H77-I77</x:f>
        <x:v>0</x:v>
      </x:c>
      <x:c r="K77" s="53" t="n">
        <x:f>K76+G77</x:f>
        <x:v>1465762.3999999987</x:v>
      </x:c>
      <x:c r="L77" s="53" t="n">
        <x:f>L76+I77</x:f>
        <x:v>1465762.3999999987</x:v>
      </x:c>
      <x:c r="M77" s="54" t="n">
        <x:f>IF(K77=0,1,L77/K77)</x:f>
        <x:v>1</x:v>
      </x:c>
      <x:c r="N77" s="45" t="str">
        <x:f>IF(J77=0,"PASS","BACKLOG")</x:f>
        <x:v>PASS</x:v>
      </x:c>
      <x:c r="O77" s="45" t="n">
        <x:f>MAX(0,O76-E77)</x:f>
        <x:v>0</x:v>
      </x:c>
      <x:c r="P77" s="45" t="n">
        <x:f>G77-'Controls'!$D$12</x:f>
        <x:v>-3739.5999999999985</x:v>
      </x:c>
      <x:c r="Q77" s="72"/>
    </x:row>
    <x:row r="78">
      <x:c r="C78" s="20" t="n">
        <x:v>71</x:v>
      </x:c>
      <x:c r="D78" s="53" t="n">
        <x:f>SUMIFS('Path Daily'!$P$7:$P$1098,'Path Daily'!$D$7:$D$1098,C78)</x:f>
        <x:v>133170</x:v>
      </x:c>
      <x:c r="E78" s="53" t="n">
        <x:f>MIN('Controls'!$D$19,O77)</x:f>
        <x:v>0</x:v>
      </x:c>
      <x:c r="F78" s="53" t="n">
        <x:f>D78+E78</x:f>
        <x:v>133170</x:v>
      </x:c>
      <x:c r="G78" s="53" t="n">
        <x:f>'Sustainment Demand'!M78</x:f>
        <x:v>18744.4</x:v>
      </x:c>
      <x:c r="H78" s="53" t="n">
        <x:f>J77</x:f>
        <x:v>0</x:v>
      </x:c>
      <x:c r="I78" s="53" t="n">
        <x:f>MIN(G78+H78,F78)</x:f>
        <x:v>18744.4</x:v>
      </x:c>
      <x:c r="J78" s="53" t="n">
        <x:f>G78+H78-I78</x:f>
        <x:v>0</x:v>
      </x:c>
      <x:c r="K78" s="53" t="n">
        <x:f>K77+G78</x:f>
        <x:v>1484506.7999999986</x:v>
      </x:c>
      <x:c r="L78" s="53" t="n">
        <x:f>L77+I78</x:f>
        <x:v>1484506.7999999986</x:v>
      </x:c>
      <x:c r="M78" s="54" t="n">
        <x:f>IF(K78=0,1,L78/K78)</x:f>
        <x:v>1</x:v>
      </x:c>
      <x:c r="N78" s="45" t="str">
        <x:f>IF(J78=0,"PASS","BACKLOG")</x:f>
        <x:v>PASS</x:v>
      </x:c>
      <x:c r="O78" s="45" t="n">
        <x:f>MAX(0,O77-E78)</x:f>
        <x:v>0</x:v>
      </x:c>
      <x:c r="P78" s="45" t="n">
        <x:f>G78-'Controls'!$D$12</x:f>
        <x:v>-3775.5999999999985</x:v>
      </x:c>
      <x:c r="Q78" s="72"/>
    </x:row>
    <x:row r="79">
      <x:c r="C79" s="20" t="n">
        <x:v>72</x:v>
      </x:c>
      <x:c r="D79" s="53" t="n">
        <x:f>SUMIFS('Path Daily'!$P$7:$P$1098,'Path Daily'!$D$7:$D$1098,C79)</x:f>
        <x:v>133170</x:v>
      </x:c>
      <x:c r="E79" s="53" t="n">
        <x:f>MIN('Controls'!$D$19,O78)</x:f>
        <x:v>0</x:v>
      </x:c>
      <x:c r="F79" s="53" t="n">
        <x:f>D79+E79</x:f>
        <x:v>133170</x:v>
      </x:c>
      <x:c r="G79" s="53" t="n">
        <x:f>'Sustainment Demand'!M79</x:f>
        <x:v>18708.4</x:v>
      </x:c>
      <x:c r="H79" s="53" t="n">
        <x:f>J78</x:f>
        <x:v>0</x:v>
      </x:c>
      <x:c r="I79" s="53" t="n">
        <x:f>MIN(G79+H79,F79)</x:f>
        <x:v>18708.4</x:v>
      </x:c>
      <x:c r="J79" s="53" t="n">
        <x:f>G79+H79-I79</x:f>
        <x:v>0</x:v>
      </x:c>
      <x:c r="K79" s="53" t="n">
        <x:f>K78+G79</x:f>
        <x:v>1503215.1999999986</x:v>
      </x:c>
      <x:c r="L79" s="53" t="n">
        <x:f>L78+I79</x:f>
        <x:v>1503215.1999999986</x:v>
      </x:c>
      <x:c r="M79" s="54" t="n">
        <x:f>IF(K79=0,1,L79/K79)</x:f>
        <x:v>1</x:v>
      </x:c>
      <x:c r="N79" s="45" t="str">
        <x:f>IF(J79=0,"PASS","BACKLOG")</x:f>
        <x:v>PASS</x:v>
      </x:c>
      <x:c r="O79" s="45" t="n">
        <x:f>MAX(0,O78-E79)</x:f>
        <x:v>0</x:v>
      </x:c>
      <x:c r="P79" s="45" t="n">
        <x:f>G79-'Controls'!$D$12</x:f>
        <x:v>-3811.5999999999985</x:v>
      </x:c>
      <x:c r="Q79" s="72"/>
    </x:row>
    <x:row r="80">
      <x:c r="C80" s="20" t="n">
        <x:v>73</x:v>
      </x:c>
      <x:c r="D80" s="53" t="n">
        <x:f>SUMIFS('Path Daily'!$P$7:$P$1098,'Path Daily'!$D$7:$D$1098,C80)</x:f>
        <x:v>133170</x:v>
      </x:c>
      <x:c r="E80" s="53" t="n">
        <x:f>MIN('Controls'!$D$19,O79)</x:f>
        <x:v>0</x:v>
      </x:c>
      <x:c r="F80" s="53" t="n">
        <x:f>D80+E80</x:f>
        <x:v>133170</x:v>
      </x:c>
      <x:c r="G80" s="53" t="n">
        <x:f>'Sustainment Demand'!M80</x:f>
        <x:v>18672.4</x:v>
      </x:c>
      <x:c r="H80" s="53" t="n">
        <x:f>J79</x:f>
        <x:v>0</x:v>
      </x:c>
      <x:c r="I80" s="53" t="n">
        <x:f>MIN(G80+H80,F80)</x:f>
        <x:v>18672.4</x:v>
      </x:c>
      <x:c r="J80" s="53" t="n">
        <x:f>G80+H80-I80</x:f>
        <x:v>0</x:v>
      </x:c>
      <x:c r="K80" s="53" t="n">
        <x:f>K79+G80</x:f>
        <x:v>1521887.5999999985</x:v>
      </x:c>
      <x:c r="L80" s="53" t="n">
        <x:f>L79+I80</x:f>
        <x:v>1521887.5999999985</x:v>
      </x:c>
      <x:c r="M80" s="54" t="n">
        <x:f>IF(K80=0,1,L80/K80)</x:f>
        <x:v>1</x:v>
      </x:c>
      <x:c r="N80" s="45" t="str">
        <x:f>IF(J80=0,"PASS","BACKLOG")</x:f>
        <x:v>PASS</x:v>
      </x:c>
      <x:c r="O80" s="45" t="n">
        <x:f>MAX(0,O79-E80)</x:f>
        <x:v>0</x:v>
      </x:c>
      <x:c r="P80" s="45" t="n">
        <x:f>G80-'Controls'!$D$12</x:f>
        <x:v>-3847.5999999999985</x:v>
      </x:c>
      <x:c r="Q80" s="72"/>
    </x:row>
    <x:row r="81">
      <x:c r="C81" s="20" t="n">
        <x:v>74</x:v>
      </x:c>
      <x:c r="D81" s="53" t="n">
        <x:f>SUMIFS('Path Daily'!$P$7:$P$1098,'Path Daily'!$D$7:$D$1098,C81)</x:f>
        <x:v>133170</x:v>
      </x:c>
      <x:c r="E81" s="53" t="n">
        <x:f>MIN('Controls'!$D$19,O80)</x:f>
        <x:v>0</x:v>
      </x:c>
      <x:c r="F81" s="53" t="n">
        <x:f>D81+E81</x:f>
        <x:v>133170</x:v>
      </x:c>
      <x:c r="G81" s="53" t="n">
        <x:f>'Sustainment Demand'!M81</x:f>
        <x:v>18636.4</x:v>
      </x:c>
      <x:c r="H81" s="53" t="n">
        <x:f>J80</x:f>
        <x:v>0</x:v>
      </x:c>
      <x:c r="I81" s="53" t="n">
        <x:f>MIN(G81+H81,F81)</x:f>
        <x:v>18636.4</x:v>
      </x:c>
      <x:c r="J81" s="53" t="n">
        <x:f>G81+H81-I81</x:f>
        <x:v>0</x:v>
      </x:c>
      <x:c r="K81" s="53" t="n">
        <x:f>K80+G81</x:f>
        <x:v>1540523.9999999984</x:v>
      </x:c>
      <x:c r="L81" s="53" t="n">
        <x:f>L80+I81</x:f>
        <x:v>1540523.9999999984</x:v>
      </x:c>
      <x:c r="M81" s="54" t="n">
        <x:f>IF(K81=0,1,L81/K81)</x:f>
        <x:v>1</x:v>
      </x:c>
      <x:c r="N81" s="45" t="str">
        <x:f>IF(J81=0,"PASS","BACKLOG")</x:f>
        <x:v>PASS</x:v>
      </x:c>
      <x:c r="O81" s="45" t="n">
        <x:f>MAX(0,O80-E81)</x:f>
        <x:v>0</x:v>
      </x:c>
      <x:c r="P81" s="45" t="n">
        <x:f>G81-'Controls'!$D$12</x:f>
        <x:v>-3883.5999999999985</x:v>
      </x:c>
      <x:c r="Q81" s="72"/>
    </x:row>
    <x:row r="82">
      <x:c r="C82" s="20" t="n">
        <x:v>75</x:v>
      </x:c>
      <x:c r="D82" s="53" t="n">
        <x:f>SUMIFS('Path Daily'!$P$7:$P$1098,'Path Daily'!$D$7:$D$1098,C82)</x:f>
        <x:v>133170</x:v>
      </x:c>
      <x:c r="E82" s="53" t="n">
        <x:f>MIN('Controls'!$D$19,O81)</x:f>
        <x:v>0</x:v>
      </x:c>
      <x:c r="F82" s="53" t="n">
        <x:f>D82+E82</x:f>
        <x:v>133170</x:v>
      </x:c>
      <x:c r="G82" s="53" t="n">
        <x:f>'Sustainment Demand'!M82</x:f>
        <x:v>18600.4</x:v>
      </x:c>
      <x:c r="H82" s="53" t="n">
        <x:f>J81</x:f>
        <x:v>0</x:v>
      </x:c>
      <x:c r="I82" s="53" t="n">
        <x:f>MIN(G82+H82,F82)</x:f>
        <x:v>18600.4</x:v>
      </x:c>
      <x:c r="J82" s="53" t="n">
        <x:f>G82+H82-I82</x:f>
        <x:v>0</x:v>
      </x:c>
      <x:c r="K82" s="53" t="n">
        <x:f>K81+G82</x:f>
        <x:v>1559124.3999999983</x:v>
      </x:c>
      <x:c r="L82" s="53" t="n">
        <x:f>L81+I82</x:f>
        <x:v>1559124.3999999983</x:v>
      </x:c>
      <x:c r="M82" s="54" t="n">
        <x:f>IF(K82=0,1,L82/K82)</x:f>
        <x:v>1</x:v>
      </x:c>
      <x:c r="N82" s="45" t="str">
        <x:f>IF(J82=0,"PASS","BACKLOG")</x:f>
        <x:v>PASS</x:v>
      </x:c>
      <x:c r="O82" s="45" t="n">
        <x:f>MAX(0,O81-E82)</x:f>
        <x:v>0</x:v>
      </x:c>
      <x:c r="P82" s="45" t="n">
        <x:f>G82-'Controls'!$D$12</x:f>
        <x:v>-3919.5999999999985</x:v>
      </x:c>
      <x:c r="Q82" s="72"/>
    </x:row>
    <x:row r="83">
      <x:c r="C83" s="20" t="n">
        <x:v>76</x:v>
      </x:c>
      <x:c r="D83" s="53" t="n">
        <x:f>SUMIFS('Path Daily'!$P$7:$P$1098,'Path Daily'!$D$7:$D$1098,C83)</x:f>
        <x:v>133170</x:v>
      </x:c>
      <x:c r="E83" s="53" t="n">
        <x:f>MIN('Controls'!$D$19,O82)</x:f>
        <x:v>0</x:v>
      </x:c>
      <x:c r="F83" s="53" t="n">
        <x:f>D83+E83</x:f>
        <x:v>133170</x:v>
      </x:c>
      <x:c r="G83" s="53" t="n">
        <x:f>'Sustainment Demand'!M83</x:f>
        <x:v>18564.4</x:v>
      </x:c>
      <x:c r="H83" s="53" t="n">
        <x:f>J82</x:f>
        <x:v>0</x:v>
      </x:c>
      <x:c r="I83" s="53" t="n">
        <x:f>MIN(G83+H83,F83)</x:f>
        <x:v>18564.4</x:v>
      </x:c>
      <x:c r="J83" s="53" t="n">
        <x:f>G83+H83-I83</x:f>
        <x:v>0</x:v>
      </x:c>
      <x:c r="K83" s="53" t="n">
        <x:f>K82+G83</x:f>
        <x:v>1577688.7999999982</x:v>
      </x:c>
      <x:c r="L83" s="53" t="n">
        <x:f>L82+I83</x:f>
        <x:v>1577688.7999999982</x:v>
      </x:c>
      <x:c r="M83" s="54" t="n">
        <x:f>IF(K83=0,1,L83/K83)</x:f>
        <x:v>1</x:v>
      </x:c>
      <x:c r="N83" s="45" t="str">
        <x:f>IF(J83=0,"PASS","BACKLOG")</x:f>
        <x:v>PASS</x:v>
      </x:c>
      <x:c r="O83" s="45" t="n">
        <x:f>MAX(0,O82-E83)</x:f>
        <x:v>0</x:v>
      </x:c>
      <x:c r="P83" s="45" t="n">
        <x:f>G83-'Controls'!$D$12</x:f>
        <x:v>-3955.5999999999985</x:v>
      </x:c>
      <x:c r="Q83" s="72"/>
    </x:row>
    <x:row r="84">
      <x:c r="C84" s="20" t="n">
        <x:v>77</x:v>
      </x:c>
      <x:c r="D84" s="53" t="n">
        <x:f>SUMIFS('Path Daily'!$P$7:$P$1098,'Path Daily'!$D$7:$D$1098,C84)</x:f>
        <x:v>133170</x:v>
      </x:c>
      <x:c r="E84" s="53" t="n">
        <x:f>MIN('Controls'!$D$19,O83)</x:f>
        <x:v>0</x:v>
      </x:c>
      <x:c r="F84" s="53" t="n">
        <x:f>D84+E84</x:f>
        <x:v>133170</x:v>
      </x:c>
      <x:c r="G84" s="53" t="n">
        <x:f>'Sustainment Demand'!M84</x:f>
        <x:v>18528.4</x:v>
      </x:c>
      <x:c r="H84" s="53" t="n">
        <x:f>J83</x:f>
        <x:v>0</x:v>
      </x:c>
      <x:c r="I84" s="53" t="n">
        <x:f>MIN(G84+H84,F84)</x:f>
        <x:v>18528.4</x:v>
      </x:c>
      <x:c r="J84" s="53" t="n">
        <x:f>G84+H84-I84</x:f>
        <x:v>0</x:v>
      </x:c>
      <x:c r="K84" s="53" t="n">
        <x:f>K83+G84</x:f>
        <x:v>1596217.199999998</x:v>
      </x:c>
      <x:c r="L84" s="53" t="n">
        <x:f>L83+I84</x:f>
        <x:v>1596217.199999998</x:v>
      </x:c>
      <x:c r="M84" s="54" t="n">
        <x:f>IF(K84=0,1,L84/K84)</x:f>
        <x:v>1</x:v>
      </x:c>
      <x:c r="N84" s="45" t="str">
        <x:f>IF(J84=0,"PASS","BACKLOG")</x:f>
        <x:v>PASS</x:v>
      </x:c>
      <x:c r="O84" s="45" t="n">
        <x:f>MAX(0,O83-E84)</x:f>
        <x:v>0</x:v>
      </x:c>
      <x:c r="P84" s="45" t="n">
        <x:f>G84-'Controls'!$D$12</x:f>
        <x:v>-3991.5999999999985</x:v>
      </x:c>
      <x:c r="Q84" s="72"/>
    </x:row>
    <x:row r="85">
      <x:c r="C85" s="20" t="n">
        <x:v>78</x:v>
      </x:c>
      <x:c r="D85" s="53" t="n">
        <x:f>SUMIFS('Path Daily'!$P$7:$P$1098,'Path Daily'!$D$7:$D$1098,C85)</x:f>
        <x:v>133170</x:v>
      </x:c>
      <x:c r="E85" s="53" t="n">
        <x:f>MIN('Controls'!$D$19,O84)</x:f>
        <x:v>0</x:v>
      </x:c>
      <x:c r="F85" s="53" t="n">
        <x:f>D85+E85</x:f>
        <x:v>133170</x:v>
      </x:c>
      <x:c r="G85" s="53" t="n">
        <x:f>'Sustainment Demand'!M85</x:f>
        <x:v>18492.4</x:v>
      </x:c>
      <x:c r="H85" s="53" t="n">
        <x:f>J84</x:f>
        <x:v>0</x:v>
      </x:c>
      <x:c r="I85" s="53" t="n">
        <x:f>MIN(G85+H85,F85)</x:f>
        <x:v>18492.4</x:v>
      </x:c>
      <x:c r="J85" s="53" t="n">
        <x:f>G85+H85-I85</x:f>
        <x:v>0</x:v>
      </x:c>
      <x:c r="K85" s="53" t="n">
        <x:f>K84+G85</x:f>
        <x:v>1614709.599999998</x:v>
      </x:c>
      <x:c r="L85" s="53" t="n">
        <x:f>L84+I85</x:f>
        <x:v>1614709.599999998</x:v>
      </x:c>
      <x:c r="M85" s="54" t="n">
        <x:f>IF(K85=0,1,L85/K85)</x:f>
        <x:v>1</x:v>
      </x:c>
      <x:c r="N85" s="45" t="str">
        <x:f>IF(J85=0,"PASS","BACKLOG")</x:f>
        <x:v>PASS</x:v>
      </x:c>
      <x:c r="O85" s="45" t="n">
        <x:f>MAX(0,O84-E85)</x:f>
        <x:v>0</x:v>
      </x:c>
      <x:c r="P85" s="45" t="n">
        <x:f>G85-'Controls'!$D$12</x:f>
        <x:v>-4027.5999999999985</x:v>
      </x:c>
      <x:c r="Q85" s="72"/>
    </x:row>
    <x:row r="86">
      <x:c r="C86" s="20" t="n">
        <x:v>79</x:v>
      </x:c>
      <x:c r="D86" s="53" t="n">
        <x:f>SUMIFS('Path Daily'!$P$7:$P$1098,'Path Daily'!$D$7:$D$1098,C86)</x:f>
        <x:v>133170</x:v>
      </x:c>
      <x:c r="E86" s="53" t="n">
        <x:f>MIN('Controls'!$D$19,O85)</x:f>
        <x:v>0</x:v>
      </x:c>
      <x:c r="F86" s="53" t="n">
        <x:f>D86+E86</x:f>
        <x:v>133170</x:v>
      </x:c>
      <x:c r="G86" s="53" t="n">
        <x:f>'Sustainment Demand'!M86</x:f>
        <x:v>18456.4</x:v>
      </x:c>
      <x:c r="H86" s="53" t="n">
        <x:f>J85</x:f>
        <x:v>0</x:v>
      </x:c>
      <x:c r="I86" s="53" t="n">
        <x:f>MIN(G86+H86,F86)</x:f>
        <x:v>18456.4</x:v>
      </x:c>
      <x:c r="J86" s="53" t="n">
        <x:f>G86+H86-I86</x:f>
        <x:v>0</x:v>
      </x:c>
      <x:c r="K86" s="53" t="n">
        <x:f>K85+G86</x:f>
        <x:v>1633165.999999998</x:v>
      </x:c>
      <x:c r="L86" s="53" t="n">
        <x:f>L85+I86</x:f>
        <x:v>1633165.999999998</x:v>
      </x:c>
      <x:c r="M86" s="54" t="n">
        <x:f>IF(K86=0,1,L86/K86)</x:f>
        <x:v>1</x:v>
      </x:c>
      <x:c r="N86" s="45" t="str">
        <x:f>IF(J86=0,"PASS","BACKLOG")</x:f>
        <x:v>PASS</x:v>
      </x:c>
      <x:c r="O86" s="45" t="n">
        <x:f>MAX(0,O85-E86)</x:f>
        <x:v>0</x:v>
      </x:c>
      <x:c r="P86" s="45" t="n">
        <x:f>G86-'Controls'!$D$12</x:f>
        <x:v>-4063.5999999999985</x:v>
      </x:c>
      <x:c r="Q86" s="72"/>
    </x:row>
    <x:row r="87">
      <x:c r="C87" s="20" t="n">
        <x:v>80</x:v>
      </x:c>
      <x:c r="D87" s="53" t="n">
        <x:f>SUMIFS('Path Daily'!$P$7:$P$1098,'Path Daily'!$D$7:$D$1098,C87)</x:f>
        <x:v>133170</x:v>
      </x:c>
      <x:c r="E87" s="53" t="n">
        <x:f>MIN('Controls'!$D$19,O86)</x:f>
        <x:v>0</x:v>
      </x:c>
      <x:c r="F87" s="53" t="n">
        <x:f>D87+E87</x:f>
        <x:v>133170</x:v>
      </x:c>
      <x:c r="G87" s="53" t="n">
        <x:f>'Sustainment Demand'!M87</x:f>
        <x:v>18420.4</x:v>
      </x:c>
      <x:c r="H87" s="53" t="n">
        <x:f>J86</x:f>
        <x:v>0</x:v>
      </x:c>
      <x:c r="I87" s="53" t="n">
        <x:f>MIN(G87+H87,F87)</x:f>
        <x:v>18420.4</x:v>
      </x:c>
      <x:c r="J87" s="53" t="n">
        <x:f>G87+H87-I87</x:f>
        <x:v>0</x:v>
      </x:c>
      <x:c r="K87" s="53" t="n">
        <x:f>K86+G87</x:f>
        <x:v>1651586.3999999978</x:v>
      </x:c>
      <x:c r="L87" s="53" t="n">
        <x:f>L86+I87</x:f>
        <x:v>1651586.3999999978</x:v>
      </x:c>
      <x:c r="M87" s="54" t="n">
        <x:f>IF(K87=0,1,L87/K87)</x:f>
        <x:v>1</x:v>
      </x:c>
      <x:c r="N87" s="45" t="str">
        <x:f>IF(J87=0,"PASS","BACKLOG")</x:f>
        <x:v>PASS</x:v>
      </x:c>
      <x:c r="O87" s="45" t="n">
        <x:f>MAX(0,O86-E87)</x:f>
        <x:v>0</x:v>
      </x:c>
      <x:c r="P87" s="45" t="n">
        <x:f>G87-'Controls'!$D$12</x:f>
        <x:v>-4099.5999999999985</x:v>
      </x:c>
      <x:c r="Q87" s="72"/>
    </x:row>
    <x:row r="88">
      <x:c r="C88" s="20" t="n">
        <x:v>81</x:v>
      </x:c>
      <x:c r="D88" s="53" t="n">
        <x:f>SUMIFS('Path Daily'!$P$7:$P$1098,'Path Daily'!$D$7:$D$1098,C88)</x:f>
        <x:v>133170</x:v>
      </x:c>
      <x:c r="E88" s="53" t="n">
        <x:f>MIN('Controls'!$D$19,O87)</x:f>
        <x:v>0</x:v>
      </x:c>
      <x:c r="F88" s="53" t="n">
        <x:f>D88+E88</x:f>
        <x:v>133170</x:v>
      </x:c>
      <x:c r="G88" s="53" t="n">
        <x:f>'Sustainment Demand'!M88</x:f>
        <x:v>18384.4</x:v>
      </x:c>
      <x:c r="H88" s="53" t="n">
        <x:f>J87</x:f>
        <x:v>0</x:v>
      </x:c>
      <x:c r="I88" s="53" t="n">
        <x:f>MIN(G88+H88,F88)</x:f>
        <x:v>18384.4</x:v>
      </x:c>
      <x:c r="J88" s="53" t="n">
        <x:f>G88+H88-I88</x:f>
        <x:v>0</x:v>
      </x:c>
      <x:c r="K88" s="53" t="n">
        <x:f>K87+G88</x:f>
        <x:v>1669970.7999999977</x:v>
      </x:c>
      <x:c r="L88" s="53" t="n">
        <x:f>L87+I88</x:f>
        <x:v>1669970.7999999977</x:v>
      </x:c>
      <x:c r="M88" s="54" t="n">
        <x:f>IF(K88=0,1,L88/K88)</x:f>
        <x:v>1</x:v>
      </x:c>
      <x:c r="N88" s="45" t="str">
        <x:f>IF(J88=0,"PASS","BACKLOG")</x:f>
        <x:v>PASS</x:v>
      </x:c>
      <x:c r="O88" s="45" t="n">
        <x:f>MAX(0,O87-E88)</x:f>
        <x:v>0</x:v>
      </x:c>
      <x:c r="P88" s="45" t="n">
        <x:f>G88-'Controls'!$D$12</x:f>
        <x:v>-4135.5999999999985</x:v>
      </x:c>
      <x:c r="Q88" s="72"/>
    </x:row>
    <x:row r="89">
      <x:c r="C89" s="20" t="n">
        <x:v>82</x:v>
      </x:c>
      <x:c r="D89" s="53" t="n">
        <x:f>SUMIFS('Path Daily'!$P$7:$P$1098,'Path Daily'!$D$7:$D$1098,C89)</x:f>
        <x:v>133170</x:v>
      </x:c>
      <x:c r="E89" s="53" t="n">
        <x:f>MIN('Controls'!$D$19,O88)</x:f>
        <x:v>0</x:v>
      </x:c>
      <x:c r="F89" s="53" t="n">
        <x:f>D89+E89</x:f>
        <x:v>133170</x:v>
      </x:c>
      <x:c r="G89" s="53" t="n">
        <x:f>'Sustainment Demand'!M89</x:f>
        <x:v>18348.4</x:v>
      </x:c>
      <x:c r="H89" s="53" t="n">
        <x:f>J88</x:f>
        <x:v>0</x:v>
      </x:c>
      <x:c r="I89" s="53" t="n">
        <x:f>MIN(G89+H89,F89)</x:f>
        <x:v>18348.4</x:v>
      </x:c>
      <x:c r="J89" s="53" t="n">
        <x:f>G89+H89-I89</x:f>
        <x:v>0</x:v>
      </x:c>
      <x:c r="K89" s="53" t="n">
        <x:f>K88+G89</x:f>
        <x:v>1688319.1999999976</x:v>
      </x:c>
      <x:c r="L89" s="53" t="n">
        <x:f>L88+I89</x:f>
        <x:v>1688319.1999999976</x:v>
      </x:c>
      <x:c r="M89" s="54" t="n">
        <x:f>IF(K89=0,1,L89/K89)</x:f>
        <x:v>1</x:v>
      </x:c>
      <x:c r="N89" s="45" t="str">
        <x:f>IF(J89=0,"PASS","BACKLOG")</x:f>
        <x:v>PASS</x:v>
      </x:c>
      <x:c r="O89" s="45" t="n">
        <x:f>MAX(0,O88-E89)</x:f>
        <x:v>0</x:v>
      </x:c>
      <x:c r="P89" s="45" t="n">
        <x:f>G89-'Controls'!$D$12</x:f>
        <x:v>-4171.5999999999985</x:v>
      </x:c>
      <x:c r="Q89" s="72"/>
    </x:row>
    <x:row r="90">
      <x:c r="C90" s="20" t="n">
        <x:v>83</x:v>
      </x:c>
      <x:c r="D90" s="53" t="n">
        <x:f>SUMIFS('Path Daily'!$P$7:$P$1098,'Path Daily'!$D$7:$D$1098,C90)</x:f>
        <x:v>133170</x:v>
      </x:c>
      <x:c r="E90" s="53" t="n">
        <x:f>MIN('Controls'!$D$19,O89)</x:f>
        <x:v>0</x:v>
      </x:c>
      <x:c r="F90" s="53" t="n">
        <x:f>D90+E90</x:f>
        <x:v>133170</x:v>
      </x:c>
      <x:c r="G90" s="53" t="n">
        <x:f>'Sustainment Demand'!M90</x:f>
        <x:v>18312.4</x:v>
      </x:c>
      <x:c r="H90" s="53" t="n">
        <x:f>J89</x:f>
        <x:v>0</x:v>
      </x:c>
      <x:c r="I90" s="53" t="n">
        <x:f>MIN(G90+H90,F90)</x:f>
        <x:v>18312.4</x:v>
      </x:c>
      <x:c r="J90" s="53" t="n">
        <x:f>G90+H90-I90</x:f>
        <x:v>0</x:v>
      </x:c>
      <x:c r="K90" s="53" t="n">
        <x:f>K89+G90</x:f>
        <x:v>1706631.5999999975</x:v>
      </x:c>
      <x:c r="L90" s="53" t="n">
        <x:f>L89+I90</x:f>
        <x:v>1706631.5999999975</x:v>
      </x:c>
      <x:c r="M90" s="54" t="n">
        <x:f>IF(K90=0,1,L90/K90)</x:f>
        <x:v>1</x:v>
      </x:c>
      <x:c r="N90" s="45" t="str">
        <x:f>IF(J90=0,"PASS","BACKLOG")</x:f>
        <x:v>PASS</x:v>
      </x:c>
      <x:c r="O90" s="45" t="n">
        <x:f>MAX(0,O89-E90)</x:f>
        <x:v>0</x:v>
      </x:c>
      <x:c r="P90" s="45" t="n">
        <x:f>G90-'Controls'!$D$12</x:f>
        <x:v>-4207.5999999999985</x:v>
      </x:c>
      <x:c r="Q90" s="72"/>
    </x:row>
    <x:row r="91">
      <x:c r="C91" s="20" t="n">
        <x:v>84</x:v>
      </x:c>
      <x:c r="D91" s="53" t="n">
        <x:f>SUMIFS('Path Daily'!$P$7:$P$1098,'Path Daily'!$D$7:$D$1098,C91)</x:f>
        <x:v>133170</x:v>
      </x:c>
      <x:c r="E91" s="53" t="n">
        <x:f>MIN('Controls'!$D$19,O90)</x:f>
        <x:v>0</x:v>
      </x:c>
      <x:c r="F91" s="53" t="n">
        <x:f>D91+E91</x:f>
        <x:v>133170</x:v>
      </x:c>
      <x:c r="G91" s="53" t="n">
        <x:f>'Sustainment Demand'!M91</x:f>
        <x:v>18276.4</x:v>
      </x:c>
      <x:c r="H91" s="53" t="n">
        <x:f>J90</x:f>
        <x:v>0</x:v>
      </x:c>
      <x:c r="I91" s="53" t="n">
        <x:f>MIN(G91+H91,F91)</x:f>
        <x:v>18276.4</x:v>
      </x:c>
      <x:c r="J91" s="53" t="n">
        <x:f>G91+H91-I91</x:f>
        <x:v>0</x:v>
      </x:c>
      <x:c r="K91" s="53" t="n">
        <x:f>K90+G91</x:f>
        <x:v>1724907.9999999974</x:v>
      </x:c>
      <x:c r="L91" s="53" t="n">
        <x:f>L90+I91</x:f>
        <x:v>1724907.9999999974</x:v>
      </x:c>
      <x:c r="M91" s="54" t="n">
        <x:f>IF(K91=0,1,L91/K91)</x:f>
        <x:v>1</x:v>
      </x:c>
      <x:c r="N91" s="45" t="str">
        <x:f>IF(J91=0,"PASS","BACKLOG")</x:f>
        <x:v>PASS</x:v>
      </x:c>
      <x:c r="O91" s="45" t="n">
        <x:f>MAX(0,O90-E91)</x:f>
        <x:v>0</x:v>
      </x:c>
      <x:c r="P91" s="45" t="n">
        <x:f>G91-'Controls'!$D$12</x:f>
        <x:v>-4243.5999999999985</x:v>
      </x:c>
      <x:c r="Q91" s="72"/>
    </x:row>
    <x:row r="92">
      <x:c r="C92" s="20" t="n">
        <x:v>85</x:v>
      </x:c>
      <x:c r="D92" s="53" t="n">
        <x:f>SUMIFS('Path Daily'!$P$7:$P$1098,'Path Daily'!$D$7:$D$1098,C92)</x:f>
        <x:v>133170</x:v>
      </x:c>
      <x:c r="E92" s="53" t="n">
        <x:f>MIN('Controls'!$D$19,O91)</x:f>
        <x:v>0</x:v>
      </x:c>
      <x:c r="F92" s="53" t="n">
        <x:f>D92+E92</x:f>
        <x:v>133170</x:v>
      </x:c>
      <x:c r="G92" s="53" t="n">
        <x:f>'Sustainment Demand'!M92</x:f>
        <x:v>18240.4</x:v>
      </x:c>
      <x:c r="H92" s="53" t="n">
        <x:f>J91</x:f>
        <x:v>0</x:v>
      </x:c>
      <x:c r="I92" s="53" t="n">
        <x:f>MIN(G92+H92,F92)</x:f>
        <x:v>18240.4</x:v>
      </x:c>
      <x:c r="J92" s="53" t="n">
        <x:f>G92+H92-I92</x:f>
        <x:v>0</x:v>
      </x:c>
      <x:c r="K92" s="53" t="n">
        <x:f>K91+G92</x:f>
        <x:v>1743148.3999999973</x:v>
      </x:c>
      <x:c r="L92" s="53" t="n">
        <x:f>L91+I92</x:f>
        <x:v>1743148.3999999973</x:v>
      </x:c>
      <x:c r="M92" s="54" t="n">
        <x:f>IF(K92=0,1,L92/K92)</x:f>
        <x:v>1</x:v>
      </x:c>
      <x:c r="N92" s="45" t="str">
        <x:f>IF(J92=0,"PASS","BACKLOG")</x:f>
        <x:v>PASS</x:v>
      </x:c>
      <x:c r="O92" s="45" t="n">
        <x:f>MAX(0,O91-E92)</x:f>
        <x:v>0</x:v>
      </x:c>
      <x:c r="P92" s="45" t="n">
        <x:f>G92-'Controls'!$D$12</x:f>
        <x:v>-4279.5999999999985</x:v>
      </x:c>
      <x:c r="Q92" s="72"/>
    </x:row>
    <x:row r="93">
      <x:c r="C93" s="20" t="n">
        <x:v>86</x:v>
      </x:c>
      <x:c r="D93" s="53" t="n">
        <x:f>SUMIFS('Path Daily'!$P$7:$P$1098,'Path Daily'!$D$7:$D$1098,C93)</x:f>
        <x:v>133170</x:v>
      </x:c>
      <x:c r="E93" s="53" t="n">
        <x:f>MIN('Controls'!$D$19,O92)</x:f>
        <x:v>0</x:v>
      </x:c>
      <x:c r="F93" s="53" t="n">
        <x:f>D93+E93</x:f>
        <x:v>133170</x:v>
      </x:c>
      <x:c r="G93" s="53" t="n">
        <x:f>'Sustainment Demand'!M93</x:f>
        <x:v>18204.4</x:v>
      </x:c>
      <x:c r="H93" s="53" t="n">
        <x:f>J92</x:f>
        <x:v>0</x:v>
      </x:c>
      <x:c r="I93" s="53" t="n">
        <x:f>MIN(G93+H93,F93)</x:f>
        <x:v>18204.4</x:v>
      </x:c>
      <x:c r="J93" s="53" t="n">
        <x:f>G93+H93-I93</x:f>
        <x:v>0</x:v>
      </x:c>
      <x:c r="K93" s="53" t="n">
        <x:f>K92+G93</x:f>
        <x:v>1761352.7999999973</x:v>
      </x:c>
      <x:c r="L93" s="53" t="n">
        <x:f>L92+I93</x:f>
        <x:v>1761352.7999999973</x:v>
      </x:c>
      <x:c r="M93" s="54" t="n">
        <x:f>IF(K93=0,1,L93/K93)</x:f>
        <x:v>1</x:v>
      </x:c>
      <x:c r="N93" s="45" t="str">
        <x:f>IF(J93=0,"PASS","BACKLOG")</x:f>
        <x:v>PASS</x:v>
      </x:c>
      <x:c r="O93" s="45" t="n">
        <x:f>MAX(0,O92-E93)</x:f>
        <x:v>0</x:v>
      </x:c>
      <x:c r="P93" s="45" t="n">
        <x:f>G93-'Controls'!$D$12</x:f>
        <x:v>-4315.5999999999985</x:v>
      </x:c>
      <x:c r="Q93" s="72"/>
    </x:row>
    <x:row r="94">
      <x:c r="C94" s="20" t="n">
        <x:v>87</x:v>
      </x:c>
      <x:c r="D94" s="53" t="n">
        <x:f>SUMIFS('Path Daily'!$P$7:$P$1098,'Path Daily'!$D$7:$D$1098,C94)</x:f>
        <x:v>133170</x:v>
      </x:c>
      <x:c r="E94" s="53" t="n">
        <x:f>MIN('Controls'!$D$19,O93)</x:f>
        <x:v>0</x:v>
      </x:c>
      <x:c r="F94" s="53" t="n">
        <x:f>D94+E94</x:f>
        <x:v>133170</x:v>
      </x:c>
      <x:c r="G94" s="53" t="n">
        <x:f>'Sustainment Demand'!M94</x:f>
        <x:v>18168.4</x:v>
      </x:c>
      <x:c r="H94" s="53" t="n">
        <x:f>J93</x:f>
        <x:v>0</x:v>
      </x:c>
      <x:c r="I94" s="53" t="n">
        <x:f>MIN(G94+H94,F94)</x:f>
        <x:v>18168.4</x:v>
      </x:c>
      <x:c r="J94" s="53" t="n">
        <x:f>G94+H94-I94</x:f>
        <x:v>0</x:v>
      </x:c>
      <x:c r="K94" s="53" t="n">
        <x:f>K93+G94</x:f>
        <x:v>1779521.1999999972</x:v>
      </x:c>
      <x:c r="L94" s="53" t="n">
        <x:f>L93+I94</x:f>
        <x:v>1779521.1999999972</x:v>
      </x:c>
      <x:c r="M94" s="54" t="n">
        <x:f>IF(K94=0,1,L94/K94)</x:f>
        <x:v>1</x:v>
      </x:c>
      <x:c r="N94" s="45" t="str">
        <x:f>IF(J94=0,"PASS","BACKLOG")</x:f>
        <x:v>PASS</x:v>
      </x:c>
      <x:c r="O94" s="45" t="n">
        <x:f>MAX(0,O93-E94)</x:f>
        <x:v>0</x:v>
      </x:c>
      <x:c r="P94" s="45" t="n">
        <x:f>G94-'Controls'!$D$12</x:f>
        <x:v>-4351.5999999999985</x:v>
      </x:c>
      <x:c r="Q94" s="72"/>
    </x:row>
    <x:row r="95">
      <x:c r="C95" s="20" t="n">
        <x:v>88</x:v>
      </x:c>
      <x:c r="D95" s="53" t="n">
        <x:f>SUMIFS('Path Daily'!$P$7:$P$1098,'Path Daily'!$D$7:$D$1098,C95)</x:f>
        <x:v>133170</x:v>
      </x:c>
      <x:c r="E95" s="53" t="n">
        <x:f>MIN('Controls'!$D$19,O94)</x:f>
        <x:v>0</x:v>
      </x:c>
      <x:c r="F95" s="53" t="n">
        <x:f>D95+E95</x:f>
        <x:v>133170</x:v>
      </x:c>
      <x:c r="G95" s="53" t="n">
        <x:f>'Sustainment Demand'!M95</x:f>
        <x:v>18132.4</x:v>
      </x:c>
      <x:c r="H95" s="53" t="n">
        <x:f>J94</x:f>
        <x:v>0</x:v>
      </x:c>
      <x:c r="I95" s="53" t="n">
        <x:f>MIN(G95+H95,F95)</x:f>
        <x:v>18132.4</x:v>
      </x:c>
      <x:c r="J95" s="53" t="n">
        <x:f>G95+H95-I95</x:f>
        <x:v>0</x:v>
      </x:c>
      <x:c r="K95" s="53" t="n">
        <x:f>K94+G95</x:f>
        <x:v>1797653.599999997</x:v>
      </x:c>
      <x:c r="L95" s="53" t="n">
        <x:f>L94+I95</x:f>
        <x:v>1797653.599999997</x:v>
      </x:c>
      <x:c r="M95" s="54" t="n">
        <x:f>IF(K95=0,1,L95/K95)</x:f>
        <x:v>1</x:v>
      </x:c>
      <x:c r="N95" s="45" t="str">
        <x:f>IF(J95=0,"PASS","BACKLOG")</x:f>
        <x:v>PASS</x:v>
      </x:c>
      <x:c r="O95" s="45" t="n">
        <x:f>MAX(0,O94-E95)</x:f>
        <x:v>0</x:v>
      </x:c>
      <x:c r="P95" s="45" t="n">
        <x:f>G95-'Controls'!$D$12</x:f>
        <x:v>-4387.5999999999985</x:v>
      </x:c>
      <x:c r="Q95" s="72"/>
    </x:row>
    <x:row r="96">
      <x:c r="C96" s="20" t="n">
        <x:v>89</x:v>
      </x:c>
      <x:c r="D96" s="53" t="n">
        <x:f>SUMIFS('Path Daily'!$P$7:$P$1098,'Path Daily'!$D$7:$D$1098,C96)</x:f>
        <x:v>133170</x:v>
      </x:c>
      <x:c r="E96" s="53" t="n">
        <x:f>MIN('Controls'!$D$19,O95)</x:f>
        <x:v>0</x:v>
      </x:c>
      <x:c r="F96" s="53" t="n">
        <x:f>D96+E96</x:f>
        <x:v>133170</x:v>
      </x:c>
      <x:c r="G96" s="53" t="n">
        <x:f>'Sustainment Demand'!M96</x:f>
        <x:v>18096.4</x:v>
      </x:c>
      <x:c r="H96" s="53" t="n">
        <x:f>J95</x:f>
        <x:v>0</x:v>
      </x:c>
      <x:c r="I96" s="53" t="n">
        <x:f>MIN(G96+H96,F96)</x:f>
        <x:v>18096.4</x:v>
      </x:c>
      <x:c r="J96" s="53" t="n">
        <x:f>G96+H96-I96</x:f>
        <x:v>0</x:v>
      </x:c>
      <x:c r="K96" s="53" t="n">
        <x:f>K95+G96</x:f>
        <x:v>1815749.999999997</x:v>
      </x:c>
      <x:c r="L96" s="53" t="n">
        <x:f>L95+I96</x:f>
        <x:v>1815749.999999997</x:v>
      </x:c>
      <x:c r="M96" s="54" t="n">
        <x:f>IF(K96=0,1,L96/K96)</x:f>
        <x:v>1</x:v>
      </x:c>
      <x:c r="N96" s="45" t="str">
        <x:f>IF(J96=0,"PASS","BACKLOG")</x:f>
        <x:v>PASS</x:v>
      </x:c>
      <x:c r="O96" s="45" t="n">
        <x:f>MAX(0,O95-E96)</x:f>
        <x:v>0</x:v>
      </x:c>
      <x:c r="P96" s="45" t="n">
        <x:f>G96-'Controls'!$D$12</x:f>
        <x:v>-4423.5999999999985</x:v>
      </x:c>
      <x:c r="Q96" s="72"/>
    </x:row>
    <x:row r="97">
      <x:c r="C97" s="20" t="n">
        <x:v>90</x:v>
      </x:c>
      <x:c r="D97" s="53" t="n">
        <x:f>SUMIFS('Path Daily'!$P$7:$P$1098,'Path Daily'!$D$7:$D$1098,C97)</x:f>
        <x:v>133170</x:v>
      </x:c>
      <x:c r="E97" s="53" t="n">
        <x:f>MIN('Controls'!$D$19,O96)</x:f>
        <x:v>0</x:v>
      </x:c>
      <x:c r="F97" s="53" t="n">
        <x:f>D97+E97</x:f>
        <x:v>133170</x:v>
      </x:c>
      <x:c r="G97" s="53" t="n">
        <x:f>'Sustainment Demand'!M97</x:f>
        <x:v>18060.4</x:v>
      </x:c>
      <x:c r="H97" s="53" t="n">
        <x:f>J96</x:f>
        <x:v>0</x:v>
      </x:c>
      <x:c r="I97" s="53" t="n">
        <x:f>MIN(G97+H97,F97)</x:f>
        <x:v>18060.4</x:v>
      </x:c>
      <x:c r="J97" s="53" t="n">
        <x:f>G97+H97-I97</x:f>
        <x:v>0</x:v>
      </x:c>
      <x:c r="K97" s="53" t="n">
        <x:f>K96+G97</x:f>
        <x:v>1833810.3999999969</x:v>
      </x:c>
      <x:c r="L97" s="53" t="n">
        <x:f>L96+I97</x:f>
        <x:v>1833810.3999999969</x:v>
      </x:c>
      <x:c r="M97" s="54" t="n">
        <x:f>IF(K97=0,1,L97/K97)</x:f>
        <x:v>1</x:v>
      </x:c>
      <x:c r="N97" s="45" t="str">
        <x:f>IF(J97=0,"PASS","BACKLOG")</x:f>
        <x:v>PASS</x:v>
      </x:c>
      <x:c r="O97" s="45" t="n">
        <x:f>MAX(0,O96-E97)</x:f>
        <x:v>0</x:v>
      </x:c>
      <x:c r="P97" s="45" t="n">
        <x:f>G97-'Controls'!$D$12</x:f>
        <x:v>-4459.5999999999985</x:v>
      </x:c>
      <x:c r="Q97" s="72"/>
    </x:row>
  </x:sheetData>
  <x:mergeCells>
    <x:mergeCell ref="C2:Q2"/>
    <x:mergeCell ref="C3:Q3"/>
  </x:mergeCells>
  <x:conditionalFormatting sqref="N7:N97">
    <x:cfRule type="containsText" dxfId="35" priority="1" operator="containsText" text="PASS"/>
    <x:cfRule type="containsText" dxfId="36" priority="2" operator="containsText" text="CLOSE"/>
    <x:cfRule type="containsText" dxfId="37" priority="3" operator="containsText" text="FAIL"/>
    <x:cfRule type="containsText" dxfId="38" priority="4" operator="containsText" text="LATE"/>
    <x:cfRule type="containsText" dxfId="39" priority="5" operator="containsText" text="OPEN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1" hidden="0" customWidth="1"/>
    <x:col min="5" max="5" width="28" hidden="0" customWidth="1"/>
    <x:col min="6" max="6" width="24" hidden="0" customWidth="1"/>
    <x:col min="7" max="7" width="16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2" ht="24" customHeight="1">
      <x:c r="C2" s="69" t="str">
        <x:v>Public-Service Closure by Milestone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Effect credit is activated only when the associated load reaches its destination by the milestone. Service targets are not fungible across rows.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Milestone d</x:v>
      </x:c>
      <x:c r="D6" s="17" t="str">
        <x:v>Service ID</x:v>
      </x:c>
      <x:c r="E6" s="17" t="str">
        <x:v>Service</x:v>
      </x:c>
      <x:c r="F6" s="17" t="str">
        <x:v>Effect unit</x:v>
      </x:c>
      <x:c r="G6" s="17" t="str">
        <x:v>Target</x:v>
      </x:c>
      <x:c r="H6" s="17" t="str">
        <x:v>Activated capacity</x:v>
      </x:c>
      <x:c r="I6" s="17" t="str">
        <x:v>Material ratio</x:v>
      </x:c>
      <x:c r="J6" s="17" t="str">
        <x:v>Sustainment ratio</x:v>
      </x:c>
      <x:c r="K6" s="17" t="str">
        <x:v>Base ratio</x:v>
      </x:c>
      <x:c r="L6" s="17" t="str">
        <x:v>Final ratio</x:v>
      </x:c>
      <x:c r="M6" s="18" t="str">
        <x:v>Status</x:v>
      </x:c>
      <x:c r="N6" s="72"/>
    </x:row>
    <x:row r="7">
      <x:c r="C7" s="20" t="n">
        <x:v>3</x:v>
      </x:c>
      <x:c r="D7" s="20" t="str">
        <x:v>S01</x:v>
      </x:c>
      <x:c r="E7" s="20" t="str">
        <x:v>Civil command coverage</x:v>
      </x:c>
      <x:c r="F7" s="20" t="str">
        <x:v>service islands</x:v>
      </x:c>
      <x:c r="G7" s="53" t="n">
        <x:f>'Service Demand'!F7</x:f>
        <x:v>9</x:v>
      </x:c>
      <x:c r="H7" s="53" t="n">
        <x:f>SUMIFS('Cargo Clearance'!$T$7:$T$70,'Cargo Clearance'!$S$7:$S$70,E7,'Cargo Clearance'!$L$7:$L$70,"&lt;="&amp;C7)</x:f>
        <x:v>9</x:v>
      </x:c>
      <x:c r="I7" s="54" t="n">
        <x:f>IF(G7=0,0,H7/G7)</x:f>
        <x:v>1</x:v>
      </x:c>
      <x:c r="J7" s="54" t="n">
        <x:f>'Sustainment Capacity'!M10</x:f>
        <x:v>1</x:v>
      </x:c>
      <x:c r="K7" s="54" t="n">
        <x:f>'Responder Bases'!F22</x:f>
        <x:v>3.9168</x:v>
      </x:c>
      <x:c r="L7" s="54" t="n">
        <x:f>MIN(I7,J7,K7)</x:f>
        <x:v>1</x:v>
      </x:c>
      <x:c r="M7" s="45" t="str">
        <x:f>IF(L7&gt;=1,"CLOSE","FAIL")</x:f>
        <x:v>CLOSE</x:v>
      </x:c>
      <x:c r="N7" s="72"/>
    </x:row>
    <x:row r="8">
      <x:c r="C8" s="20" t="n">
        <x:v>3</x:v>
      </x:c>
      <x:c r="D8" s="20" t="str">
        <x:v>S02</x:v>
      </x:c>
      <x:c r="E8" s="20" t="str">
        <x:v>End-to-end access</x:v>
      </x:c>
      <x:c r="F8" s="20" t="str">
        <x:v>tonnes/day enabled</x:v>
      </x:c>
      <x:c r="G8" s="53" t="n">
        <x:f>'Service Demand'!F8</x:f>
        <x:v>25000</x:v>
      </x:c>
      <x:c r="H8" s="53" t="n">
        <x:f>SUMIFS('Cargo Clearance'!$T$7:$T$70,'Cargo Clearance'!$S$7:$S$70,E8,'Cargo Clearance'!$L$7:$L$70,"&lt;="&amp;C8)</x:f>
        <x:v>42000</x:v>
      </x:c>
      <x:c r="I8" s="54" t="n">
        <x:f>IF(G8=0,0,H8/G8)</x:f>
        <x:v>1.68</x:v>
      </x:c>
      <x:c r="J8" s="54" t="n">
        <x:f>'Sustainment Capacity'!M10</x:f>
        <x:v>1</x:v>
      </x:c>
      <x:c r="K8" s="54" t="n">
        <x:f>'Responder Bases'!F22</x:f>
        <x:v>3.9168</x:v>
      </x:c>
      <x:c r="L8" s="54" t="n">
        <x:f>MIN(I8,J8,K8)</x:f>
        <x:v>1</x:v>
      </x:c>
      <x:c r="M8" s="45" t="str">
        <x:f>IF(L8&gt;=1,"CLOSE","FAIL")</x:f>
        <x:v>CLOSE</x:v>
      </x:c>
      <x:c r="N8" s="72"/>
    </x:row>
    <x:row r="9">
      <x:c r="C9" s="20" t="n">
        <x:v>3</x:v>
      </x:c>
      <x:c r="D9" s="20" t="str">
        <x:v>S03</x:v>
      </x:c>
      <x:c r="E9" s="20" t="str">
        <x:v>Responder basing</x:v>
      </x:c>
      <x:c r="F9" s="20" t="str">
        <x:v>people supported</x:v>
      </x:c>
      <x:c r="G9" s="53" t="n">
        <x:f>'Service Demand'!F9</x:f>
        <x:v>25000</x:v>
      </x:c>
      <x:c r="H9" s="53" t="n">
        <x:f>SUMIFS('Cargo Clearance'!$T$7:$T$70,'Cargo Clearance'!$S$7:$S$70,E9,'Cargo Clearance'!$L$7:$L$70,"&lt;="&amp;C9)</x:f>
        <x:v>30000</x:v>
      </x:c>
      <x:c r="I9" s="54" t="n">
        <x:f>IF(G9=0,0,H9/G9)</x:f>
        <x:v>1.2</x:v>
      </x:c>
      <x:c r="J9" s="54" t="n">
        <x:f>'Sustainment Capacity'!M10</x:f>
        <x:v>1</x:v>
      </x:c>
      <x:c r="K9" s="54" t="n">
        <x:f>'Responder Bases'!F22</x:f>
        <x:v>3.9168</x:v>
      </x:c>
      <x:c r="L9" s="54" t="n">
        <x:f>MIN(I9,J9,K9)</x:f>
        <x:v>1</x:v>
      </x:c>
      <x:c r="M9" s="45" t="str">
        <x:f>IF(L9&gt;=1,"CLOSE","FAIL")</x:f>
        <x:v>CLOSE</x:v>
      </x:c>
      <x:c r="N9" s="72"/>
    </x:row>
    <x:row r="10">
      <x:c r="C10" s="20" t="n">
        <x:v>3</x:v>
      </x:c>
      <x:c r="D10" s="20" t="str">
        <x:v>S04</x:v>
      </x:c>
      <x:c r="E10" s="20" t="str">
        <x:v>Potable and essential water</x:v>
      </x:c>
      <x:c r="F10" s="20" t="str">
        <x:v>m3/day delivered</x:v>
      </x:c>
      <x:c r="G10" s="53" t="n">
        <x:f>'Service Demand'!F10</x:f>
        <x:v>18000</x:v>
      </x:c>
      <x:c r="H10" s="53" t="n">
        <x:f>SUMIFS('Cargo Clearance'!$T$7:$T$70,'Cargo Clearance'!$S$7:$S$70,E10,'Cargo Clearance'!$L$7:$L$70,"&lt;="&amp;C10)</x:f>
        <x:v>20000</x:v>
      </x:c>
      <x:c r="I10" s="54" t="n">
        <x:f>IF(G10=0,0,H10/G10)</x:f>
        <x:v>1.1111111111111112</x:v>
      </x:c>
      <x:c r="J10" s="54" t="n">
        <x:f>'Sustainment Capacity'!M10</x:f>
        <x:v>1</x:v>
      </x:c>
      <x:c r="K10" s="54" t="n">
        <x:f>'Responder Bases'!F22</x:f>
        <x:v>3.9168</x:v>
      </x:c>
      <x:c r="L10" s="54" t="n">
        <x:f>MIN(I10,J10,K10)</x:f>
        <x:v>1</x:v>
      </x:c>
      <x:c r="M10" s="45" t="str">
        <x:f>IF(L10&gt;=1,"CLOSE","FAIL")</x:f>
        <x:v>CLOSE</x:v>
      </x:c>
      <x:c r="N10" s="72"/>
    </x:row>
    <x:row r="11">
      <x:c r="C11" s="20" t="n">
        <x:v>3</x:v>
      </x:c>
      <x:c r="D11" s="20" t="str">
        <x:v>S05</x:v>
      </x:c>
      <x:c r="E11" s="20" t="str">
        <x:v>Food and nutrition</x:v>
      </x:c>
      <x:c r="F11" s="20" t="str">
        <x:v>people/day</x:v>
      </x:c>
      <x:c r="G11" s="53" t="n">
        <x:f>'Service Demand'!F11</x:f>
        <x:v>2400000</x:v>
      </x:c>
      <x:c r="H11" s="53" t="n">
        <x:f>SUMIFS('Cargo Clearance'!$T$7:$T$70,'Cargo Clearance'!$S$7:$S$70,E11,'Cargo Clearance'!$L$7:$L$70,"&lt;="&amp;C11)</x:f>
        <x:v>2600000</x:v>
      </x:c>
      <x:c r="I11" s="54" t="n">
        <x:f>IF(G11=0,0,H11/G11)</x:f>
        <x:v>1.0833333333333333</x:v>
      </x:c>
      <x:c r="J11" s="54" t="n">
        <x:f>'Sustainment Capacity'!M10</x:f>
        <x:v>1</x:v>
      </x:c>
      <x:c r="K11" s="54" t="n">
        <x:f>'Responder Bases'!F22</x:f>
        <x:v>3.9168</x:v>
      </x:c>
      <x:c r="L11" s="54" t="n">
        <x:f>MIN(I11,J11,K11)</x:f>
        <x:v>1</x:v>
      </x:c>
      <x:c r="M11" s="45" t="str">
        <x:f>IF(L11&gt;=1,"CLOSE","FAIL")</x:f>
        <x:v>CLOSE</x:v>
      </x:c>
      <x:c r="N11" s="72"/>
    </x:row>
    <x:row r="12">
      <x:c r="C12" s="20" t="n">
        <x:v>3</x:v>
      </x:c>
      <x:c r="D12" s="20" t="str">
        <x:v>S06</x:v>
      </x:c>
      <x:c r="E12" s="20" t="str">
        <x:v>Emergency shelter</x:v>
      </x:c>
      <x:c r="F12" s="20" t="str">
        <x:v>people</x:v>
      </x:c>
      <x:c r="G12" s="53" t="n">
        <x:f>'Service Demand'!F12</x:f>
        <x:v>450000</x:v>
      </x:c>
      <x:c r="H12" s="53" t="n">
        <x:f>SUMIFS('Cargo Clearance'!$T$7:$T$70,'Cargo Clearance'!$S$7:$S$70,E12,'Cargo Clearance'!$L$7:$L$70,"&lt;="&amp;C12)</x:f>
        <x:v>500000</x:v>
      </x:c>
      <x:c r="I12" s="54" t="n">
        <x:f>IF(G12=0,0,H12/G12)</x:f>
        <x:v>1.1111111111111112</x:v>
      </x:c>
      <x:c r="J12" s="54" t="n">
        <x:f>'Sustainment Capacity'!M10</x:f>
        <x:v>1</x:v>
      </x:c>
      <x:c r="K12" s="54" t="n">
        <x:f>'Responder Bases'!F22</x:f>
        <x:v>3.9168</x:v>
      </x:c>
      <x:c r="L12" s="54" t="n">
        <x:f>MIN(I12,J12,K12)</x:f>
        <x:v>1</x:v>
      </x:c>
      <x:c r="M12" s="45" t="str">
        <x:f>IF(L12&gt;=1,"CLOSE","FAIL")</x:f>
        <x:v>CLOSE</x:v>
      </x:c>
      <x:c r="N12" s="72"/>
    </x:row>
    <x:row r="13">
      <x:c r="C13" s="20" t="n">
        <x:v>3</x:v>
      </x:c>
      <x:c r="D13" s="20" t="str">
        <x:v>S07</x:v>
      </x:c>
      <x:c r="E13" s="20" t="str">
        <x:v>Sanitation</x:v>
      </x:c>
      <x:c r="F13" s="20" t="str">
        <x:v>users</x:v>
      </x:c>
      <x:c r="G13" s="53" t="n">
        <x:f>'Service Demand'!F13</x:f>
        <x:v>450000</x:v>
      </x:c>
      <x:c r="H13" s="53" t="n">
        <x:f>SUMIFS('Cargo Clearance'!$T$7:$T$70,'Cargo Clearance'!$S$7:$S$70,E13,'Cargo Clearance'!$L$7:$L$70,"&lt;="&amp;C13)</x:f>
        <x:v>500000</x:v>
      </x:c>
      <x:c r="I13" s="54" t="n">
        <x:f>IF(G13=0,0,H13/G13)</x:f>
        <x:v>1.1111111111111112</x:v>
      </x:c>
      <x:c r="J13" s="54" t="n">
        <x:f>'Sustainment Capacity'!M10</x:f>
        <x:v>1</x:v>
      </x:c>
      <x:c r="K13" s="54" t="n">
        <x:f>'Responder Bases'!F22</x:f>
        <x:v>3.9168</x:v>
      </x:c>
      <x:c r="L13" s="54" t="n">
        <x:f>MIN(I13,J13,K13)</x:f>
        <x:v>1</x:v>
      </x:c>
      <x:c r="M13" s="45" t="str">
        <x:f>IF(L13&gt;=1,"CLOSE","FAIL")</x:f>
        <x:v>CLOSE</x:v>
      </x:c>
      <x:c r="N13" s="72"/>
    </x:row>
    <x:row r="14">
      <x:c r="C14" s="20" t="n">
        <x:v>3</x:v>
      </x:c>
      <x:c r="D14" s="20" t="str">
        <x:v>S08</x:v>
      </x:c>
      <x:c r="E14" s="20" t="str">
        <x:v>Critical-load power</x:v>
      </x:c>
      <x:c r="F14" s="20" t="str">
        <x:v>MW net</x:v>
      </x:c>
      <x:c r="G14" s="53" t="n">
        <x:f>'Service Demand'!F14</x:f>
        <x:v>500</x:v>
      </x:c>
      <x:c r="H14" s="53" t="n">
        <x:f>SUMIFS('Cargo Clearance'!$T$7:$T$70,'Cargo Clearance'!$S$7:$S$70,E14,'Cargo Clearance'!$L$7:$L$70,"&lt;="&amp;C14)</x:f>
        <x:v>650</x:v>
      </x:c>
      <x:c r="I14" s="54" t="n">
        <x:f>IF(G14=0,0,H14/G14)</x:f>
        <x:v>1.3</x:v>
      </x:c>
      <x:c r="J14" s="54" t="n">
        <x:f>'Sustainment Capacity'!M10</x:f>
        <x:v>1</x:v>
      </x:c>
      <x:c r="K14" s="54" t="n">
        <x:f>'Responder Bases'!F22</x:f>
        <x:v>3.9168</x:v>
      </x:c>
      <x:c r="L14" s="54" t="n">
        <x:f>MIN(I14,J14,K14)</x:f>
        <x:v>1</x:v>
      </x:c>
      <x:c r="M14" s="45" t="str">
        <x:f>IF(L14&gt;=1,"CLOSE","FAIL")</x:f>
        <x:v>CLOSE</x:v>
      </x:c>
      <x:c r="N14" s="72"/>
    </x:row>
    <x:row r="15">
      <x:c r="C15" s="20" t="n">
        <x:v>3</x:v>
      </x:c>
      <x:c r="D15" s="20" t="str">
        <x:v>S09</x:v>
      </x:c>
      <x:c r="E15" s="20" t="str">
        <x:v>Priority communications</x:v>
      </x:c>
      <x:c r="F15" s="20" t="str">
        <x:v>users</x:v>
      </x:c>
      <x:c r="G15" s="53" t="n">
        <x:f>'Service Demand'!F15</x:f>
        <x:v>2400000</x:v>
      </x:c>
      <x:c r="H15" s="53" t="n">
        <x:f>SUMIFS('Cargo Clearance'!$T$7:$T$70,'Cargo Clearance'!$S$7:$S$70,E15,'Cargo Clearance'!$L$7:$L$70,"&lt;="&amp;C15)</x:f>
        <x:v>5400000</x:v>
      </x:c>
      <x:c r="I15" s="54" t="n">
        <x:f>IF(G15=0,0,H15/G15)</x:f>
        <x:v>2.25</x:v>
      </x:c>
      <x:c r="J15" s="54" t="n">
        <x:f>'Sustainment Capacity'!M10</x:f>
        <x:v>1</x:v>
      </x:c>
      <x:c r="K15" s="54" t="n">
        <x:f>'Responder Bases'!F22</x:f>
        <x:v>3.9168</x:v>
      </x:c>
      <x:c r="L15" s="54" t="n">
        <x:f>MIN(I15,J15,K15)</x:f>
        <x:v>1</x:v>
      </x:c>
      <x:c r="M15" s="45" t="str">
        <x:f>IF(L15&gt;=1,"CLOSE","FAIL")</x:f>
        <x:v>CLOSE</x:v>
      </x:c>
      <x:c r="N15" s="72"/>
    </x:row>
    <x:row r="16">
      <x:c r="C16" s="20" t="n">
        <x:v>3</x:v>
      </x:c>
      <x:c r="D16" s="20" t="str">
        <x:v>S10</x:v>
      </x:c>
      <x:c r="E16" s="20" t="str">
        <x:v>Staffed health capacity</x:v>
      </x:c>
      <x:c r="F16" s="20" t="str">
        <x:v>staffed beds</x:v>
      </x:c>
      <x:c r="G16" s="53" t="n">
        <x:f>'Service Demand'!F16</x:f>
        <x:v>500</x:v>
      </x:c>
      <x:c r="H16" s="53" t="n">
        <x:f>SUMIFS('Cargo Clearance'!$T$7:$T$70,'Cargo Clearance'!$S$7:$S$70,E16,'Cargo Clearance'!$L$7:$L$70,"&lt;="&amp;C16)</x:f>
        <x:v>600</x:v>
      </x:c>
      <x:c r="I16" s="54" t="n">
        <x:f>IF(G16=0,0,H16/G16)</x:f>
        <x:v>1.2</x:v>
      </x:c>
      <x:c r="J16" s="54" t="n">
        <x:f>'Sustainment Capacity'!M10</x:f>
        <x:v>1</x:v>
      </x:c>
      <x:c r="K16" s="54" t="n">
        <x:f>'Responder Bases'!F22</x:f>
        <x:v>3.9168</x:v>
      </x:c>
      <x:c r="L16" s="54" t="n">
        <x:f>MIN(I16,J16,K16)</x:f>
        <x:v>1</x:v>
      </x:c>
      <x:c r="M16" s="45" t="str">
        <x:f>IF(L16&gt;=1,"CLOSE","FAIL")</x:f>
        <x:v>CLOSE</x:v>
      </x:c>
      <x:c r="N16" s="72"/>
    </x:row>
    <x:row r="17">
      <x:c r="C17" s="20" t="n">
        <x:v>3</x:v>
      </x:c>
      <x:c r="D17" s="20" t="str">
        <x:v>S11</x:v>
      </x:c>
      <x:c r="E17" s="20" t="str">
        <x:v>Hazard-control works</x:v>
      </x:c>
      <x:c r="F17" s="20" t="str">
        <x:v>route-equivalent km/day</x:v>
      </x:c>
      <x:c r="G17" s="53" t="n">
        <x:f>'Service Demand'!F17</x:f>
        <x:v>100</x:v>
      </x:c>
      <x:c r="H17" s="53" t="n">
        <x:f>SUMIFS('Cargo Clearance'!$T$7:$T$70,'Cargo Clearance'!$S$7:$S$70,E17,'Cargo Clearance'!$L$7:$L$70,"&lt;="&amp;C17)</x:f>
        <x:v>120</x:v>
      </x:c>
      <x:c r="I17" s="54" t="n">
        <x:f>IF(G17=0,0,H17/G17)</x:f>
        <x:v>1.2</x:v>
      </x:c>
      <x:c r="J17" s="54" t="n">
        <x:f>'Sustainment Capacity'!M10</x:f>
        <x:v>1</x:v>
      </x:c>
      <x:c r="K17" s="54" t="n">
        <x:f>'Responder Bases'!F22</x:f>
        <x:v>3.9168</x:v>
      </x:c>
      <x:c r="L17" s="54" t="n">
        <x:f>MIN(I17,J17,K17)</x:f>
        <x:v>1</x:v>
      </x:c>
      <x:c r="M17" s="45" t="str">
        <x:f>IF(L17&gt;=1,"CLOSE","FAIL")</x:f>
        <x:v>CLOSE</x:v>
      </x:c>
      <x:c r="N17" s="72"/>
    </x:row>
    <x:row r="18">
      <x:c r="C18" s="20" t="n">
        <x:v>14</x:v>
      </x:c>
      <x:c r="D18" s="20" t="str">
        <x:v>S01</x:v>
      </x:c>
      <x:c r="E18" s="20" t="str">
        <x:v>Civil command coverage</x:v>
      </x:c>
      <x:c r="F18" s="20" t="str">
        <x:v>service islands</x:v>
      </x:c>
      <x:c r="G18" s="53" t="n">
        <x:f>'Service Demand'!G7</x:f>
        <x:v>9</x:v>
      </x:c>
      <x:c r="H18" s="53" t="n">
        <x:f>SUMIFS('Cargo Clearance'!$T$7:$T$70,'Cargo Clearance'!$S$7:$S$70,E18,'Cargo Clearance'!$L$7:$L$70,"&lt;="&amp;C18)</x:f>
        <x:v>11</x:v>
      </x:c>
      <x:c r="I18" s="54" t="n">
        <x:f>IF(G18=0,0,H18/G18)</x:f>
        <x:v>1.2222222222222223</x:v>
      </x:c>
      <x:c r="J18" s="54" t="n">
        <x:f>'Sustainment Capacity'!M21</x:f>
        <x:v>1</x:v>
      </x:c>
      <x:c r="K18" s="54" t="n">
        <x:f>'Responder Bases'!F23</x:f>
        <x:v>1.884</x:v>
      </x:c>
      <x:c r="L18" s="54" t="n">
        <x:f>MIN(I18,J18,K18)</x:f>
        <x:v>1</x:v>
      </x:c>
      <x:c r="M18" s="45" t="str">
        <x:f>IF(L18&gt;=1,"CLOSE","FAIL")</x:f>
        <x:v>CLOSE</x:v>
      </x:c>
      <x:c r="N18" s="72"/>
    </x:row>
    <x:row r="19">
      <x:c r="C19" s="20" t="n">
        <x:v>14</x:v>
      </x:c>
      <x:c r="D19" s="20" t="str">
        <x:v>S02</x:v>
      </x:c>
      <x:c r="E19" s="20" t="str">
        <x:v>End-to-end access</x:v>
      </x:c>
      <x:c r="F19" s="20" t="str">
        <x:v>tonnes/day enabled</x:v>
      </x:c>
      <x:c r="G19" s="53" t="n">
        <x:f>'Service Demand'!G8</x:f>
        <x:v>80000</x:v>
      </x:c>
      <x:c r="H19" s="53" t="n">
        <x:f>SUMIFS('Cargo Clearance'!$T$7:$T$70,'Cargo Clearance'!$S$7:$S$70,E19,'Cargo Clearance'!$L$7:$L$70,"&lt;="&amp;C19)</x:f>
        <x:v>140000</x:v>
      </x:c>
      <x:c r="I19" s="54" t="n">
        <x:f>IF(G19=0,0,H19/G19)</x:f>
        <x:v>1.75</x:v>
      </x:c>
      <x:c r="J19" s="54" t="n">
        <x:f>'Sustainment Capacity'!M21</x:f>
        <x:v>1</x:v>
      </x:c>
      <x:c r="K19" s="54" t="n">
        <x:f>'Responder Bases'!F23</x:f>
        <x:v>1.884</x:v>
      </x:c>
      <x:c r="L19" s="54" t="n">
        <x:f>MIN(I19,J19,K19)</x:f>
        <x:v>1</x:v>
      </x:c>
      <x:c r="M19" s="45" t="str">
        <x:f>IF(L19&gt;=1,"CLOSE","FAIL")</x:f>
        <x:v>CLOSE</x:v>
      </x:c>
      <x:c r="N19" s="72"/>
    </x:row>
    <x:row r="20">
      <x:c r="C20" s="20" t="n">
        <x:v>14</x:v>
      </x:c>
      <x:c r="D20" s="20" t="str">
        <x:v>S03</x:v>
      </x:c>
      <x:c r="E20" s="20" t="str">
        <x:v>Responder basing</x:v>
      </x:c>
      <x:c r="F20" s="20" t="str">
        <x:v>people supported</x:v>
      </x:c>
      <x:c r="G20" s="53" t="n">
        <x:f>'Service Demand'!G9</x:f>
        <x:v>80000</x:v>
      </x:c>
      <x:c r="H20" s="53" t="n">
        <x:f>SUMIFS('Cargo Clearance'!$T$7:$T$70,'Cargo Clearance'!$S$7:$S$70,E20,'Cargo Clearance'!$L$7:$L$70,"&lt;="&amp;C20)</x:f>
        <x:v>120000</x:v>
      </x:c>
      <x:c r="I20" s="54" t="n">
        <x:f>IF(G20=0,0,H20/G20)</x:f>
        <x:v>1.5</x:v>
      </x:c>
      <x:c r="J20" s="54" t="n">
        <x:f>'Sustainment Capacity'!M21</x:f>
        <x:v>1</x:v>
      </x:c>
      <x:c r="K20" s="54" t="n">
        <x:f>'Responder Bases'!F23</x:f>
        <x:v>1.884</x:v>
      </x:c>
      <x:c r="L20" s="54" t="n">
        <x:f>MIN(I20,J20,K20)</x:f>
        <x:v>1</x:v>
      </x:c>
      <x:c r="M20" s="45" t="str">
        <x:f>IF(L20&gt;=1,"CLOSE","FAIL")</x:f>
        <x:v>CLOSE</x:v>
      </x:c>
      <x:c r="N20" s="72"/>
    </x:row>
    <x:row r="21">
      <x:c r="C21" s="20" t="n">
        <x:v>14</x:v>
      </x:c>
      <x:c r="D21" s="20" t="str">
        <x:v>S04</x:v>
      </x:c>
      <x:c r="E21" s="20" t="str">
        <x:v>Potable and essential water</x:v>
      </x:c>
      <x:c r="F21" s="20" t="str">
        <x:v>m3/day delivered</x:v>
      </x:c>
      <x:c r="G21" s="53" t="n">
        <x:f>'Service Demand'!G10</x:f>
        <x:v>36000</x:v>
      </x:c>
      <x:c r="H21" s="53" t="n">
        <x:f>SUMIFS('Cargo Clearance'!$T$7:$T$70,'Cargo Clearance'!$S$7:$S$70,E21,'Cargo Clearance'!$L$7:$L$70,"&lt;="&amp;C21)</x:f>
        <x:v>46000</x:v>
      </x:c>
      <x:c r="I21" s="54" t="n">
        <x:f>IF(G21=0,0,H21/G21)</x:f>
        <x:v>1.2777777777777777</x:v>
      </x:c>
      <x:c r="J21" s="54" t="n">
        <x:f>'Sustainment Capacity'!M21</x:f>
        <x:v>1</x:v>
      </x:c>
      <x:c r="K21" s="54" t="n">
        <x:f>'Responder Bases'!F23</x:f>
        <x:v>1.884</x:v>
      </x:c>
      <x:c r="L21" s="54" t="n">
        <x:f>MIN(I21,J21,K21)</x:f>
        <x:v>1</x:v>
      </x:c>
      <x:c r="M21" s="45" t="str">
        <x:f>IF(L21&gt;=1,"CLOSE","FAIL")</x:f>
        <x:v>CLOSE</x:v>
      </x:c>
      <x:c r="N21" s="72"/>
    </x:row>
    <x:row r="22">
      <x:c r="C22" s="20" t="n">
        <x:v>14</x:v>
      </x:c>
      <x:c r="D22" s="20" t="str">
        <x:v>S05</x:v>
      </x:c>
      <x:c r="E22" s="20" t="str">
        <x:v>Food and nutrition</x:v>
      </x:c>
      <x:c r="F22" s="20" t="str">
        <x:v>people/day</x:v>
      </x:c>
      <x:c r="G22" s="53" t="n">
        <x:f>'Service Demand'!G11</x:f>
        <x:v>2400000</x:v>
      </x:c>
      <x:c r="H22" s="53" t="n">
        <x:f>SUMIFS('Cargo Clearance'!$T$7:$T$70,'Cargo Clearance'!$S$7:$S$70,E22,'Cargo Clearance'!$L$7:$L$70,"&lt;="&amp;C22)</x:f>
        <x:v>3500000</x:v>
      </x:c>
      <x:c r="I22" s="54" t="n">
        <x:f>IF(G22=0,0,H22/G22)</x:f>
        <x:v>1.4583333333333333</x:v>
      </x:c>
      <x:c r="J22" s="54" t="n">
        <x:f>'Sustainment Capacity'!M21</x:f>
        <x:v>1</x:v>
      </x:c>
      <x:c r="K22" s="54" t="n">
        <x:f>'Responder Bases'!F23</x:f>
        <x:v>1.884</x:v>
      </x:c>
      <x:c r="L22" s="54" t="n">
        <x:f>MIN(I22,J22,K22)</x:f>
        <x:v>1</x:v>
      </x:c>
      <x:c r="M22" s="45" t="str">
        <x:f>IF(L22&gt;=1,"CLOSE","FAIL")</x:f>
        <x:v>CLOSE</x:v>
      </x:c>
      <x:c r="N22" s="72"/>
    </x:row>
    <x:row r="23">
      <x:c r="C23" s="20" t="n">
        <x:v>14</x:v>
      </x:c>
      <x:c r="D23" s="20" t="str">
        <x:v>S06</x:v>
      </x:c>
      <x:c r="E23" s="20" t="str">
        <x:v>Emergency shelter</x:v>
      </x:c>
      <x:c r="F23" s="20" t="str">
        <x:v>people</x:v>
      </x:c>
      <x:c r="G23" s="53" t="n">
        <x:f>'Service Demand'!G12</x:f>
        <x:v>933000</x:v>
      </x:c>
      <x:c r="H23" s="53" t="n">
        <x:f>SUMIFS('Cargo Clearance'!$T$7:$T$70,'Cargo Clearance'!$S$7:$S$70,E23,'Cargo Clearance'!$L$7:$L$70,"&lt;="&amp;C23)</x:f>
        <x:v>1250000</x:v>
      </x:c>
      <x:c r="I23" s="54" t="n">
        <x:f>IF(G23=0,0,H23/G23)</x:f>
        <x:v>1.339764201500536</x:v>
      </x:c>
      <x:c r="J23" s="54" t="n">
        <x:f>'Sustainment Capacity'!M21</x:f>
        <x:v>1</x:v>
      </x:c>
      <x:c r="K23" s="54" t="n">
        <x:f>'Responder Bases'!F23</x:f>
        <x:v>1.884</x:v>
      </x:c>
      <x:c r="L23" s="54" t="n">
        <x:f>MIN(I23,J23,K23)</x:f>
        <x:v>1</x:v>
      </x:c>
      <x:c r="M23" s="45" t="str">
        <x:f>IF(L23&gt;=1,"CLOSE","FAIL")</x:f>
        <x:v>CLOSE</x:v>
      </x:c>
      <x:c r="N23" s="72"/>
    </x:row>
    <x:row r="24">
      <x:c r="C24" s="20" t="n">
        <x:v>14</x:v>
      </x:c>
      <x:c r="D24" s="20" t="str">
        <x:v>S07</x:v>
      </x:c>
      <x:c r="E24" s="20" t="str">
        <x:v>Sanitation</x:v>
      </x:c>
      <x:c r="F24" s="20" t="str">
        <x:v>users</x:v>
      </x:c>
      <x:c r="G24" s="53" t="n">
        <x:f>'Service Demand'!G13</x:f>
        <x:v>933000</x:v>
      </x:c>
      <x:c r="H24" s="53" t="n">
        <x:f>SUMIFS('Cargo Clearance'!$T$7:$T$70,'Cargo Clearance'!$S$7:$S$70,E24,'Cargo Clearance'!$L$7:$L$70,"&lt;="&amp;C24)</x:f>
        <x:v>1700000</x:v>
      </x:c>
      <x:c r="I24" s="54" t="n">
        <x:f>IF(G24=0,0,H24/G24)</x:f>
        <x:v>1.8220793140407288</x:v>
      </x:c>
      <x:c r="J24" s="54" t="n">
        <x:f>'Sustainment Capacity'!M21</x:f>
        <x:v>1</x:v>
      </x:c>
      <x:c r="K24" s="54" t="n">
        <x:f>'Responder Bases'!F23</x:f>
        <x:v>1.884</x:v>
      </x:c>
      <x:c r="L24" s="54" t="n">
        <x:f>MIN(I24,J24,K24)</x:f>
        <x:v>1</x:v>
      </x:c>
      <x:c r="M24" s="45" t="str">
        <x:f>IF(L24&gt;=1,"CLOSE","FAIL")</x:f>
        <x:v>CLOSE</x:v>
      </x:c>
      <x:c r="N24" s="72"/>
    </x:row>
    <x:row r="25">
      <x:c r="C25" s="20" t="n">
        <x:v>14</x:v>
      </x:c>
      <x:c r="D25" s="20" t="str">
        <x:v>S08</x:v>
      </x:c>
      <x:c r="E25" s="20" t="str">
        <x:v>Critical-load power</x:v>
      </x:c>
      <x:c r="F25" s="20" t="str">
        <x:v>MW net</x:v>
      </x:c>
      <x:c r="G25" s="53" t="n">
        <x:f>'Service Demand'!G14</x:f>
        <x:v>2500</x:v>
      </x:c>
      <x:c r="H25" s="53" t="n">
        <x:f>SUMIFS('Cargo Clearance'!$T$7:$T$70,'Cargo Clearance'!$S$7:$S$70,E25,'Cargo Clearance'!$L$7:$L$70,"&lt;="&amp;C25)</x:f>
        <x:v>3050</x:v>
      </x:c>
      <x:c r="I25" s="54" t="n">
        <x:f>IF(G25=0,0,H25/G25)</x:f>
        <x:v>1.22</x:v>
      </x:c>
      <x:c r="J25" s="54" t="n">
        <x:f>'Sustainment Capacity'!M21</x:f>
        <x:v>1</x:v>
      </x:c>
      <x:c r="K25" s="54" t="n">
        <x:f>'Responder Bases'!F23</x:f>
        <x:v>1.884</x:v>
      </x:c>
      <x:c r="L25" s="54" t="n">
        <x:f>MIN(I25,J25,K25)</x:f>
        <x:v>1</x:v>
      </x:c>
      <x:c r="M25" s="45" t="str">
        <x:f>IF(L25&gt;=1,"CLOSE","FAIL")</x:f>
        <x:v>CLOSE</x:v>
      </x:c>
      <x:c r="N25" s="72"/>
    </x:row>
    <x:row r="26">
      <x:c r="C26" s="20" t="n">
        <x:v>14</x:v>
      </x:c>
      <x:c r="D26" s="20" t="str">
        <x:v>S09</x:v>
      </x:c>
      <x:c r="E26" s="20" t="str">
        <x:v>Priority communications</x:v>
      </x:c>
      <x:c r="F26" s="20" t="str">
        <x:v>users</x:v>
      </x:c>
      <x:c r="G26" s="53" t="n">
        <x:f>'Service Demand'!G15</x:f>
        <x:v>5000000</x:v>
      </x:c>
      <x:c r="H26" s="53" t="n">
        <x:f>SUMIFS('Cargo Clearance'!$T$7:$T$70,'Cargo Clearance'!$S$7:$S$70,E26,'Cargo Clearance'!$L$7:$L$70,"&lt;="&amp;C26)</x:f>
        <x:v>5400000</x:v>
      </x:c>
      <x:c r="I26" s="54" t="n">
        <x:f>IF(G26=0,0,H26/G26)</x:f>
        <x:v>1.08</x:v>
      </x:c>
      <x:c r="J26" s="54" t="n">
        <x:f>'Sustainment Capacity'!M21</x:f>
        <x:v>1</x:v>
      </x:c>
      <x:c r="K26" s="54" t="n">
        <x:f>'Responder Bases'!F23</x:f>
        <x:v>1.884</x:v>
      </x:c>
      <x:c r="L26" s="54" t="n">
        <x:f>MIN(I26,J26,K26)</x:f>
        <x:v>1</x:v>
      </x:c>
      <x:c r="M26" s="45" t="str">
        <x:f>IF(L26&gt;=1,"CLOSE","FAIL")</x:f>
        <x:v>CLOSE</x:v>
      </x:c>
      <x:c r="N26" s="72"/>
    </x:row>
    <x:row r="27">
      <x:c r="C27" s="20" t="n">
        <x:v>14</x:v>
      </x:c>
      <x:c r="D27" s="20" t="str">
        <x:v>S10</x:v>
      </x:c>
      <x:c r="E27" s="20" t="str">
        <x:v>Staffed health capacity</x:v>
      </x:c>
      <x:c r="F27" s="20" t="str">
        <x:v>staffed beds</x:v>
      </x:c>
      <x:c r="G27" s="53" t="n">
        <x:f>'Service Demand'!G16</x:f>
        <x:v>2500</x:v>
      </x:c>
      <x:c r="H27" s="53" t="n">
        <x:f>SUMIFS('Cargo Clearance'!$T$7:$T$70,'Cargo Clearance'!$S$7:$S$70,E27,'Cargo Clearance'!$L$7:$L$70,"&lt;="&amp;C27)</x:f>
        <x:v>5900</x:v>
      </x:c>
      <x:c r="I27" s="54" t="n">
        <x:f>IF(G27=0,0,H27/G27)</x:f>
        <x:v>2.36</x:v>
      </x:c>
      <x:c r="J27" s="54" t="n">
        <x:f>'Sustainment Capacity'!M21</x:f>
        <x:v>1</x:v>
      </x:c>
      <x:c r="K27" s="54" t="n">
        <x:f>'Responder Bases'!F23</x:f>
        <x:v>1.884</x:v>
      </x:c>
      <x:c r="L27" s="54" t="n">
        <x:f>MIN(I27,J27,K27)</x:f>
        <x:v>1</x:v>
      </x:c>
      <x:c r="M27" s="45" t="str">
        <x:f>IF(L27&gt;=1,"CLOSE","FAIL")</x:f>
        <x:v>CLOSE</x:v>
      </x:c>
      <x:c r="N27" s="72"/>
    </x:row>
    <x:row r="28">
      <x:c r="C28" s="20" t="n">
        <x:v>14</x:v>
      </x:c>
      <x:c r="D28" s="20" t="str">
        <x:v>S11</x:v>
      </x:c>
      <x:c r="E28" s="20" t="str">
        <x:v>Hazard-control works</x:v>
      </x:c>
      <x:c r="F28" s="20" t="str">
        <x:v>route-equivalent km/day</x:v>
      </x:c>
      <x:c r="G28" s="53" t="n">
        <x:f>'Service Demand'!G17</x:f>
        <x:v>400</x:v>
      </x:c>
      <x:c r="H28" s="53" t="n">
        <x:f>SUMIFS('Cargo Clearance'!$T$7:$T$70,'Cargo Clearance'!$S$7:$S$70,E28,'Cargo Clearance'!$L$7:$L$70,"&lt;="&amp;C28)</x:f>
        <x:v>520</x:v>
      </x:c>
      <x:c r="I28" s="54" t="n">
        <x:f>IF(G28=0,0,H28/G28)</x:f>
        <x:v>1.3</x:v>
      </x:c>
      <x:c r="J28" s="54" t="n">
        <x:f>'Sustainment Capacity'!M21</x:f>
        <x:v>1</x:v>
      </x:c>
      <x:c r="K28" s="54" t="n">
        <x:f>'Responder Bases'!F23</x:f>
        <x:v>1.884</x:v>
      </x:c>
      <x:c r="L28" s="54" t="n">
        <x:f>MIN(I28,J28,K28)</x:f>
        <x:v>1</x:v>
      </x:c>
      <x:c r="M28" s="45" t="str">
        <x:f>IF(L28&gt;=1,"CLOSE","FAIL")</x:f>
        <x:v>CLOSE</x:v>
      </x:c>
      <x:c r="N28" s="72"/>
    </x:row>
    <x:row r="29">
      <x:c r="C29" s="20" t="n">
        <x:v>45</x:v>
      </x:c>
      <x:c r="D29" s="20" t="str">
        <x:v>S01</x:v>
      </x:c>
      <x:c r="E29" s="20" t="str">
        <x:v>Civil command coverage</x:v>
      </x:c>
      <x:c r="F29" s="20" t="str">
        <x:v>service islands</x:v>
      </x:c>
      <x:c r="G29" s="53" t="n">
        <x:f>'Service Demand'!H7</x:f>
        <x:v>9</x:v>
      </x:c>
      <x:c r="H29" s="53" t="n">
        <x:f>SUMIFS('Cargo Clearance'!$T$7:$T$70,'Cargo Clearance'!$S$7:$S$70,E29,'Cargo Clearance'!$L$7:$L$70,"&lt;="&amp;C29)</x:f>
        <x:v>13</x:v>
      </x:c>
      <x:c r="I29" s="54" t="n">
        <x:f>IF(G29=0,0,H29/G29)</x:f>
        <x:v>1.4444444444444444</x:v>
      </x:c>
      <x:c r="J29" s="54" t="n">
        <x:f>'Sustainment Capacity'!M52</x:f>
        <x:v>1</x:v>
      </x:c>
      <x:c r="K29" s="54" t="n">
        <x:f>'Responder Bases'!F24</x:f>
        <x:v>1.394135602626954</x:v>
      </x:c>
      <x:c r="L29" s="54" t="n">
        <x:f>MIN(I29,J29,K29)</x:f>
        <x:v>1</x:v>
      </x:c>
      <x:c r="M29" s="45" t="str">
        <x:f>IF(L29&gt;=1,"CLOSE","FAIL")</x:f>
        <x:v>CLOSE</x:v>
      </x:c>
      <x:c r="N29" s="72"/>
    </x:row>
    <x:row r="30">
      <x:c r="C30" s="20" t="n">
        <x:v>45</x:v>
      </x:c>
      <x:c r="D30" s="20" t="str">
        <x:v>S02</x:v>
      </x:c>
      <x:c r="E30" s="20" t="str">
        <x:v>End-to-end access</x:v>
      </x:c>
      <x:c r="F30" s="20" t="str">
        <x:v>tonnes/day enabled</x:v>
      </x:c>
      <x:c r="G30" s="53" t="n">
        <x:f>'Service Demand'!H8</x:f>
        <x:v>150000</x:v>
      </x:c>
      <x:c r="H30" s="53" t="n">
        <x:f>SUMIFS('Cargo Clearance'!$T$7:$T$70,'Cargo Clearance'!$S$7:$S$70,E30,'Cargo Clearance'!$L$7:$L$70,"&lt;="&amp;C30)</x:f>
        <x:v>313000</x:v>
      </x:c>
      <x:c r="I30" s="54" t="n">
        <x:f>IF(G30=0,0,H30/G30)</x:f>
        <x:v>2.0866666666666664</x:v>
      </x:c>
      <x:c r="J30" s="54" t="n">
        <x:f>'Sustainment Capacity'!M52</x:f>
        <x:v>1</x:v>
      </x:c>
      <x:c r="K30" s="54" t="n">
        <x:f>'Responder Bases'!F24</x:f>
        <x:v>1.394135602626954</x:v>
      </x:c>
      <x:c r="L30" s="54" t="n">
        <x:f>MIN(I30,J30,K30)</x:f>
        <x:v>1</x:v>
      </x:c>
      <x:c r="M30" s="45" t="str">
        <x:f>IF(L30&gt;=1,"CLOSE","FAIL")</x:f>
        <x:v>CLOSE</x:v>
      </x:c>
      <x:c r="N30" s="72"/>
    </x:row>
    <x:row r="31">
      <x:c r="C31" s="20" t="n">
        <x:v>45</x:v>
      </x:c>
      <x:c r="D31" s="20" t="str">
        <x:v>S03</x:v>
      </x:c>
      <x:c r="E31" s="20" t="str">
        <x:v>Responder basing</x:v>
      </x:c>
      <x:c r="F31" s="20" t="str">
        <x:v>people supported</x:v>
      </x:c>
      <x:c r="G31" s="53" t="n">
        <x:f>'Service Demand'!H9</x:f>
        <x:v>108110</x:v>
      </x:c>
      <x:c r="H31" s="53" t="n">
        <x:f>SUMIFS('Cargo Clearance'!$T$7:$T$70,'Cargo Clearance'!$S$7:$S$70,E31,'Cargo Clearance'!$L$7:$L$70,"&lt;="&amp;C31)</x:f>
        <x:v>165000</x:v>
      </x:c>
      <x:c r="I31" s="54" t="n">
        <x:f>IF(G31=0,0,H31/G31)</x:f>
        <x:v>1.5262232910924058</x:v>
      </x:c>
      <x:c r="J31" s="54" t="n">
        <x:f>'Sustainment Capacity'!M52</x:f>
        <x:v>1</x:v>
      </x:c>
      <x:c r="K31" s="54" t="n">
        <x:f>'Responder Bases'!F24</x:f>
        <x:v>1.394135602626954</x:v>
      </x:c>
      <x:c r="L31" s="54" t="n">
        <x:f>MIN(I31,J31,K31)</x:f>
        <x:v>1</x:v>
      </x:c>
      <x:c r="M31" s="45" t="str">
        <x:f>IF(L31&gt;=1,"CLOSE","FAIL")</x:f>
        <x:v>CLOSE</x:v>
      </x:c>
      <x:c r="N31" s="72"/>
    </x:row>
    <x:row r="32">
      <x:c r="C32" s="20" t="n">
        <x:v>45</x:v>
      </x:c>
      <x:c r="D32" s="20" t="str">
        <x:v>S04</x:v>
      </x:c>
      <x:c r="E32" s="20" t="str">
        <x:v>Potable and essential water</x:v>
      </x:c>
      <x:c r="F32" s="20" t="str">
        <x:v>m3/day delivered</x:v>
      </x:c>
      <x:c r="G32" s="53" t="n">
        <x:f>'Service Demand'!H10</x:f>
        <x:v>48000</x:v>
      </x:c>
      <x:c r="H32" s="53" t="n">
        <x:f>SUMIFS('Cargo Clearance'!$T$7:$T$70,'Cargo Clearance'!$S$7:$S$70,E32,'Cargo Clearance'!$L$7:$L$70,"&lt;="&amp;C32)</x:f>
        <x:v>58000</x:v>
      </x:c>
      <x:c r="I32" s="54" t="n">
        <x:f>IF(G32=0,0,H32/G32)</x:f>
        <x:v>1.2083333333333333</x:v>
      </x:c>
      <x:c r="J32" s="54" t="n">
        <x:f>'Sustainment Capacity'!M52</x:f>
        <x:v>1</x:v>
      </x:c>
      <x:c r="K32" s="54" t="n">
        <x:f>'Responder Bases'!F24</x:f>
        <x:v>1.394135602626954</x:v>
      </x:c>
      <x:c r="L32" s="54" t="n">
        <x:f>MIN(I32,J32,K32)</x:f>
        <x:v>1</x:v>
      </x:c>
      <x:c r="M32" s="45" t="str">
        <x:f>IF(L32&gt;=1,"CLOSE","FAIL")</x:f>
        <x:v>CLOSE</x:v>
      </x:c>
      <x:c r="N32" s="72"/>
    </x:row>
    <x:row r="33">
      <x:c r="C33" s="20" t="n">
        <x:v>45</x:v>
      </x:c>
      <x:c r="D33" s="20" t="str">
        <x:v>S05</x:v>
      </x:c>
      <x:c r="E33" s="20" t="str">
        <x:v>Food and nutrition</x:v>
      </x:c>
      <x:c r="F33" s="20" t="str">
        <x:v>people/day</x:v>
      </x:c>
      <x:c r="G33" s="53" t="n">
        <x:f>'Service Demand'!H11</x:f>
        <x:v>2400000</x:v>
      </x:c>
      <x:c r="H33" s="53" t="n">
        <x:f>SUMIFS('Cargo Clearance'!$T$7:$T$70,'Cargo Clearance'!$S$7:$S$70,E33,'Cargo Clearance'!$L$7:$L$70,"&lt;="&amp;C33)</x:f>
        <x:v>4000000</x:v>
      </x:c>
      <x:c r="I33" s="54" t="n">
        <x:f>IF(G33=0,0,H33/G33)</x:f>
        <x:v>1.6666666666666667</x:v>
      </x:c>
      <x:c r="J33" s="54" t="n">
        <x:f>'Sustainment Capacity'!M52</x:f>
        <x:v>1</x:v>
      </x:c>
      <x:c r="K33" s="54" t="n">
        <x:f>'Responder Bases'!F24</x:f>
        <x:v>1.394135602626954</x:v>
      </x:c>
      <x:c r="L33" s="54" t="n">
        <x:f>MIN(I33,J33,K33)</x:f>
        <x:v>1</x:v>
      </x:c>
      <x:c r="M33" s="45" t="str">
        <x:f>IF(L33&gt;=1,"CLOSE","FAIL")</x:f>
        <x:v>CLOSE</x:v>
      </x:c>
      <x:c r="N33" s="72"/>
    </x:row>
    <x:row r="34">
      <x:c r="C34" s="20" t="n">
        <x:v>45</x:v>
      </x:c>
      <x:c r="D34" s="20" t="str">
        <x:v>S06</x:v>
      </x:c>
      <x:c r="E34" s="20" t="str">
        <x:v>Emergency shelter</x:v>
      </x:c>
      <x:c r="F34" s="20" t="str">
        <x:v>people</x:v>
      </x:c>
      <x:c r="G34" s="53" t="n">
        <x:f>'Service Demand'!H12</x:f>
        <x:v>933000</x:v>
      </x:c>
      <x:c r="H34" s="53" t="n">
        <x:f>SUMIFS('Cargo Clearance'!$T$7:$T$70,'Cargo Clearance'!$S$7:$S$70,E34,'Cargo Clearance'!$L$7:$L$70,"&lt;="&amp;C34)</x:f>
        <x:v>1500000</x:v>
      </x:c>
      <x:c r="I34" s="54" t="n">
        <x:f>IF(G34=0,0,H34/G34)</x:f>
        <x:v>1.607717041800643</x:v>
      </x:c>
      <x:c r="J34" s="54" t="n">
        <x:f>'Sustainment Capacity'!M52</x:f>
        <x:v>1</x:v>
      </x:c>
      <x:c r="K34" s="54" t="n">
        <x:f>'Responder Bases'!F24</x:f>
        <x:v>1.394135602626954</x:v>
      </x:c>
      <x:c r="L34" s="54" t="n">
        <x:f>MIN(I34,J34,K34)</x:f>
        <x:v>1</x:v>
      </x:c>
      <x:c r="M34" s="45" t="str">
        <x:f>IF(L34&gt;=1,"CLOSE","FAIL")</x:f>
        <x:v>CLOSE</x:v>
      </x:c>
      <x:c r="N34" s="72"/>
    </x:row>
    <x:row r="35">
      <x:c r="C35" s="20" t="n">
        <x:v>45</x:v>
      </x:c>
      <x:c r="D35" s="20" t="str">
        <x:v>S07</x:v>
      </x:c>
      <x:c r="E35" s="20" t="str">
        <x:v>Sanitation</x:v>
      </x:c>
      <x:c r="F35" s="20" t="str">
        <x:v>users</x:v>
      </x:c>
      <x:c r="G35" s="53" t="n">
        <x:f>'Service Demand'!H13</x:f>
        <x:v>1200000</x:v>
      </x:c>
      <x:c r="H35" s="53" t="n">
        <x:f>SUMIFS('Cargo Clearance'!$T$7:$T$70,'Cargo Clearance'!$S$7:$S$70,E35,'Cargo Clearance'!$L$7:$L$70,"&lt;="&amp;C35)</x:f>
        <x:v>1700000</x:v>
      </x:c>
      <x:c r="I35" s="54" t="n">
        <x:f>IF(G35=0,0,H35/G35)</x:f>
        <x:v>1.4166666666666667</x:v>
      </x:c>
      <x:c r="J35" s="54" t="n">
        <x:f>'Sustainment Capacity'!M52</x:f>
        <x:v>1</x:v>
      </x:c>
      <x:c r="K35" s="54" t="n">
        <x:f>'Responder Bases'!F24</x:f>
        <x:v>1.394135602626954</x:v>
      </x:c>
      <x:c r="L35" s="54" t="n">
        <x:f>MIN(I35,J35,K35)</x:f>
        <x:v>1</x:v>
      </x:c>
      <x:c r="M35" s="45" t="str">
        <x:f>IF(L35&gt;=1,"CLOSE","FAIL")</x:f>
        <x:v>CLOSE</x:v>
      </x:c>
      <x:c r="N35" s="72"/>
    </x:row>
    <x:row r="36">
      <x:c r="C36" s="20" t="n">
        <x:v>45</x:v>
      </x:c>
      <x:c r="D36" s="20" t="str">
        <x:v>S08</x:v>
      </x:c>
      <x:c r="E36" s="20" t="str">
        <x:v>Critical-load power</x:v>
      </x:c>
      <x:c r="F36" s="20" t="str">
        <x:v>MW net</x:v>
      </x:c>
      <x:c r="G36" s="53" t="n">
        <x:f>'Service Demand'!H14</x:f>
        <x:v>6000</x:v>
      </x:c>
      <x:c r="H36" s="53" t="n">
        <x:f>SUMIFS('Cargo Clearance'!$T$7:$T$70,'Cargo Clearance'!$S$7:$S$70,E36,'Cargo Clearance'!$L$7:$L$70,"&lt;="&amp;C36)</x:f>
        <x:v>8850</x:v>
      </x:c>
      <x:c r="I36" s="54" t="n">
        <x:f>IF(G36=0,0,H36/G36)</x:f>
        <x:v>1.475</x:v>
      </x:c>
      <x:c r="J36" s="54" t="n">
        <x:f>'Sustainment Capacity'!M52</x:f>
        <x:v>1</x:v>
      </x:c>
      <x:c r="K36" s="54" t="n">
        <x:f>'Responder Bases'!F24</x:f>
        <x:v>1.394135602626954</x:v>
      </x:c>
      <x:c r="L36" s="54" t="n">
        <x:f>MIN(I36,J36,K36)</x:f>
        <x:v>1</x:v>
      </x:c>
      <x:c r="M36" s="45" t="str">
        <x:f>IF(L36&gt;=1,"CLOSE","FAIL")</x:f>
        <x:v>CLOSE</x:v>
      </x:c>
      <x:c r="N36" s="72"/>
    </x:row>
    <x:row r="37">
      <x:c r="C37" s="20" t="n">
        <x:v>45</x:v>
      </x:c>
      <x:c r="D37" s="20" t="str">
        <x:v>S09</x:v>
      </x:c>
      <x:c r="E37" s="20" t="str">
        <x:v>Priority communications</x:v>
      </x:c>
      <x:c r="F37" s="20" t="str">
        <x:v>users</x:v>
      </x:c>
      <x:c r="G37" s="53" t="n">
        <x:f>'Service Demand'!H15</x:f>
        <x:v>7000000</x:v>
      </x:c>
      <x:c r="H37" s="53" t="n">
        <x:f>SUMIFS('Cargo Clearance'!$T$7:$T$70,'Cargo Clearance'!$S$7:$S$70,E37,'Cargo Clearance'!$L$7:$L$70,"&lt;="&amp;C37)</x:f>
        <x:v>8800000</x:v>
      </x:c>
      <x:c r="I37" s="54" t="n">
        <x:f>IF(G37=0,0,H37/G37)</x:f>
        <x:v>1.2571428571428571</x:v>
      </x:c>
      <x:c r="J37" s="54" t="n">
        <x:f>'Sustainment Capacity'!M52</x:f>
        <x:v>1</x:v>
      </x:c>
      <x:c r="K37" s="54" t="n">
        <x:f>'Responder Bases'!F24</x:f>
        <x:v>1.394135602626954</x:v>
      </x:c>
      <x:c r="L37" s="54" t="n">
        <x:f>MIN(I37,J37,K37)</x:f>
        <x:v>1</x:v>
      </x:c>
      <x:c r="M37" s="45" t="str">
        <x:f>IF(L37&gt;=1,"CLOSE","FAIL")</x:f>
        <x:v>CLOSE</x:v>
      </x:c>
      <x:c r="N37" s="72"/>
    </x:row>
    <x:row r="38">
      <x:c r="C38" s="20" t="n">
        <x:v>45</x:v>
      </x:c>
      <x:c r="D38" s="20" t="str">
        <x:v>S10</x:v>
      </x:c>
      <x:c r="E38" s="20" t="str">
        <x:v>Staffed health capacity</x:v>
      </x:c>
      <x:c r="F38" s="20" t="str">
        <x:v>staffed beds</x:v>
      </x:c>
      <x:c r="G38" s="53" t="n">
        <x:f>'Service Demand'!H16</x:f>
        <x:v>15000</x:v>
      </x:c>
      <x:c r="H38" s="53" t="n">
        <x:f>SUMIFS('Cargo Clearance'!$T$7:$T$70,'Cargo Clearance'!$S$7:$S$70,E38,'Cargo Clearance'!$L$7:$L$70,"&lt;="&amp;C38)</x:f>
        <x:v>19400</x:v>
      </x:c>
      <x:c r="I38" s="54" t="n">
        <x:f>IF(G38=0,0,H38/G38)</x:f>
        <x:v>1.2933333333333332</x:v>
      </x:c>
      <x:c r="J38" s="54" t="n">
        <x:f>'Sustainment Capacity'!M52</x:f>
        <x:v>1</x:v>
      </x:c>
      <x:c r="K38" s="54" t="n">
        <x:f>'Responder Bases'!F24</x:f>
        <x:v>1.394135602626954</x:v>
      </x:c>
      <x:c r="L38" s="54" t="n">
        <x:f>MIN(I38,J38,K38)</x:f>
        <x:v>1</x:v>
      </x:c>
      <x:c r="M38" s="45" t="str">
        <x:f>IF(L38&gt;=1,"CLOSE","FAIL")</x:f>
        <x:v>CLOSE</x:v>
      </x:c>
      <x:c r="N38" s="72"/>
    </x:row>
    <x:row r="39">
      <x:c r="C39" s="20" t="n">
        <x:v>45</x:v>
      </x:c>
      <x:c r="D39" s="20" t="str">
        <x:v>S11</x:v>
      </x:c>
      <x:c r="E39" s="20" t="str">
        <x:v>Hazard-control works</x:v>
      </x:c>
      <x:c r="F39" s="20" t="str">
        <x:v>route-equivalent km/day</x:v>
      </x:c>
      <x:c r="G39" s="53" t="n">
        <x:f>'Service Demand'!H17</x:f>
        <x:v>1200</x:v>
      </x:c>
      <x:c r="H39" s="53" t="n">
        <x:f>SUMIFS('Cargo Clearance'!$T$7:$T$70,'Cargo Clearance'!$S$7:$S$70,E39,'Cargo Clearance'!$L$7:$L$70,"&lt;="&amp;C39)</x:f>
        <x:v>2320</x:v>
      </x:c>
      <x:c r="I39" s="54" t="n">
        <x:f>IF(G39=0,0,H39/G39)</x:f>
        <x:v>1.9333333333333333</x:v>
      </x:c>
      <x:c r="J39" s="54" t="n">
        <x:f>'Sustainment Capacity'!M52</x:f>
        <x:v>1</x:v>
      </x:c>
      <x:c r="K39" s="54" t="n">
        <x:f>'Responder Bases'!F24</x:f>
        <x:v>1.394135602626954</x:v>
      </x:c>
      <x:c r="L39" s="54" t="n">
        <x:f>MIN(I39,J39,K39)</x:f>
        <x:v>1</x:v>
      </x:c>
      <x:c r="M39" s="45" t="str">
        <x:f>IF(L39&gt;=1,"CLOSE","FAIL")</x:f>
        <x:v>CLOSE</x:v>
      </x:c>
      <x:c r="N39" s="72"/>
    </x:row>
    <x:row r="40">
      <x:c r="C40" s="20" t="n">
        <x:v>90</x:v>
      </x:c>
      <x:c r="D40" s="20" t="str">
        <x:v>S01</x:v>
      </x:c>
      <x:c r="E40" s="20" t="str">
        <x:v>Civil command coverage</x:v>
      </x:c>
      <x:c r="F40" s="20" t="str">
        <x:v>service islands</x:v>
      </x:c>
      <x:c r="G40" s="53" t="n">
        <x:f>'Service Demand'!I7</x:f>
        <x:v>9</x:v>
      </x:c>
      <x:c r="H40" s="53" t="n">
        <x:f>SUMIFS('Cargo Clearance'!$T$7:$T$70,'Cargo Clearance'!$S$7:$S$70,E40,'Cargo Clearance'!$L$7:$L$70,"&lt;="&amp;C40)</x:f>
        <x:v>13</x:v>
      </x:c>
      <x:c r="I40" s="54" t="n">
        <x:f>IF(G40=0,0,H40/G40)</x:f>
        <x:v>1.4444444444444444</x:v>
      </x:c>
      <x:c r="J40" s="54" t="n">
        <x:f>'Sustainment Capacity'!M97</x:f>
        <x:v>1</x:v>
      </x:c>
      <x:c r="K40" s="54" t="n">
        <x:f>'Responder Bases'!F25</x:f>
        <x:v>1.394135602626954</x:v>
      </x:c>
      <x:c r="L40" s="54" t="n">
        <x:f>MIN(I40,J40,K40)</x:f>
        <x:v>1</x:v>
      </x:c>
      <x:c r="M40" s="45" t="str">
        <x:f>IF(L40&gt;=1,"CLOSE","FAIL")</x:f>
        <x:v>CLOSE</x:v>
      </x:c>
      <x:c r="N40" s="72"/>
    </x:row>
    <x:row r="41">
      <x:c r="C41" s="20" t="n">
        <x:v>90</x:v>
      </x:c>
      <x:c r="D41" s="20" t="str">
        <x:v>S02</x:v>
      </x:c>
      <x:c r="E41" s="20" t="str">
        <x:v>End-to-end access</x:v>
      </x:c>
      <x:c r="F41" s="20" t="str">
        <x:v>tonnes/day enabled</x:v>
      </x:c>
      <x:c r="G41" s="53" t="n">
        <x:f>'Service Demand'!I8</x:f>
        <x:v>160000</x:v>
      </x:c>
      <x:c r="H41" s="53" t="n">
        <x:f>SUMIFS('Cargo Clearance'!$T$7:$T$70,'Cargo Clearance'!$S$7:$S$70,E41,'Cargo Clearance'!$L$7:$L$70,"&lt;="&amp;C41)</x:f>
        <x:v>313000</x:v>
      </x:c>
      <x:c r="I41" s="54" t="n">
        <x:f>IF(G41=0,0,H41/G41)</x:f>
        <x:v>1.95625</x:v>
      </x:c>
      <x:c r="J41" s="54" t="n">
        <x:f>'Sustainment Capacity'!M97</x:f>
        <x:v>1</x:v>
      </x:c>
      <x:c r="K41" s="54" t="n">
        <x:f>'Responder Bases'!F25</x:f>
        <x:v>1.394135602626954</x:v>
      </x:c>
      <x:c r="L41" s="54" t="n">
        <x:f>MIN(I41,J41,K41)</x:f>
        <x:v>1</x:v>
      </x:c>
      <x:c r="M41" s="45" t="str">
        <x:f>IF(L41&gt;=1,"CLOSE","FAIL")</x:f>
        <x:v>CLOSE</x:v>
      </x:c>
      <x:c r="N41" s="72"/>
    </x:row>
    <x:row r="42">
      <x:c r="C42" s="20" t="n">
        <x:v>90</x:v>
      </x:c>
      <x:c r="D42" s="20" t="str">
        <x:v>S03</x:v>
      </x:c>
      <x:c r="E42" s="20" t="str">
        <x:v>Responder basing</x:v>
      </x:c>
      <x:c r="F42" s="20" t="str">
        <x:v>people supported</x:v>
      </x:c>
      <x:c r="G42" s="53" t="n">
        <x:f>'Service Demand'!I9</x:f>
        <x:v>108110</x:v>
      </x:c>
      <x:c r="H42" s="53" t="n">
        <x:f>SUMIFS('Cargo Clearance'!$T$7:$T$70,'Cargo Clearance'!$S$7:$S$70,E42,'Cargo Clearance'!$L$7:$L$70,"&lt;="&amp;C42)</x:f>
        <x:v>165000</x:v>
      </x:c>
      <x:c r="I42" s="54" t="n">
        <x:f>IF(G42=0,0,H42/G42)</x:f>
        <x:v>1.5262232910924058</x:v>
      </x:c>
      <x:c r="J42" s="54" t="n">
        <x:f>'Sustainment Capacity'!M97</x:f>
        <x:v>1</x:v>
      </x:c>
      <x:c r="K42" s="54" t="n">
        <x:f>'Responder Bases'!F25</x:f>
        <x:v>1.394135602626954</x:v>
      </x:c>
      <x:c r="L42" s="54" t="n">
        <x:f>MIN(I42,J42,K42)</x:f>
        <x:v>1</x:v>
      </x:c>
      <x:c r="M42" s="45" t="str">
        <x:f>IF(L42&gt;=1,"CLOSE","FAIL")</x:f>
        <x:v>CLOSE</x:v>
      </x:c>
      <x:c r="N42" s="72"/>
    </x:row>
    <x:row r="43">
      <x:c r="C43" s="20" t="n">
        <x:v>90</x:v>
      </x:c>
      <x:c r="D43" s="20" t="str">
        <x:v>S04</x:v>
      </x:c>
      <x:c r="E43" s="20" t="str">
        <x:v>Potable and essential water</x:v>
      </x:c>
      <x:c r="F43" s="20" t="str">
        <x:v>m3/day delivered</x:v>
      </x:c>
      <x:c r="G43" s="53" t="n">
        <x:f>'Service Demand'!I10</x:f>
        <x:v>48000</x:v>
      </x:c>
      <x:c r="H43" s="53" t="n">
        <x:f>SUMIFS('Cargo Clearance'!$T$7:$T$70,'Cargo Clearance'!$S$7:$S$70,E43,'Cargo Clearance'!$L$7:$L$70,"&lt;="&amp;C43)</x:f>
        <x:v>58000</x:v>
      </x:c>
      <x:c r="I43" s="54" t="n">
        <x:f>IF(G43=0,0,H43/G43)</x:f>
        <x:v>1.2083333333333333</x:v>
      </x:c>
      <x:c r="J43" s="54" t="n">
        <x:f>'Sustainment Capacity'!M97</x:f>
        <x:v>1</x:v>
      </x:c>
      <x:c r="K43" s="54" t="n">
        <x:f>'Responder Bases'!F25</x:f>
        <x:v>1.394135602626954</x:v>
      </x:c>
      <x:c r="L43" s="54" t="n">
        <x:f>MIN(I43,J43,K43)</x:f>
        <x:v>1</x:v>
      </x:c>
      <x:c r="M43" s="45" t="str">
        <x:f>IF(L43&gt;=1,"CLOSE","FAIL")</x:f>
        <x:v>CLOSE</x:v>
      </x:c>
      <x:c r="N43" s="72"/>
    </x:row>
    <x:row r="44">
      <x:c r="C44" s="20" t="n">
        <x:v>90</x:v>
      </x:c>
      <x:c r="D44" s="20" t="str">
        <x:v>S05</x:v>
      </x:c>
      <x:c r="E44" s="20" t="str">
        <x:v>Food and nutrition</x:v>
      </x:c>
      <x:c r="F44" s="20" t="str">
        <x:v>people/day</x:v>
      </x:c>
      <x:c r="G44" s="53" t="n">
        <x:f>'Service Demand'!I11</x:f>
        <x:v>2200000</x:v>
      </x:c>
      <x:c r="H44" s="53" t="n">
        <x:f>SUMIFS('Cargo Clearance'!$T$7:$T$70,'Cargo Clearance'!$S$7:$S$70,E44,'Cargo Clearance'!$L$7:$L$70,"&lt;="&amp;C44)</x:f>
        <x:v>4000000</x:v>
      </x:c>
      <x:c r="I44" s="54" t="n">
        <x:f>IF(G44=0,0,H44/G44)</x:f>
        <x:v>1.8181818181818181</x:v>
      </x:c>
      <x:c r="J44" s="54" t="n">
        <x:f>'Sustainment Capacity'!M97</x:f>
        <x:v>1</x:v>
      </x:c>
      <x:c r="K44" s="54" t="n">
        <x:f>'Responder Bases'!F25</x:f>
        <x:v>1.394135602626954</x:v>
      </x:c>
      <x:c r="L44" s="54" t="n">
        <x:f>MIN(I44,J44,K44)</x:f>
        <x:v>1</x:v>
      </x:c>
      <x:c r="M44" s="45" t="str">
        <x:f>IF(L44&gt;=1,"CLOSE","FAIL")</x:f>
        <x:v>CLOSE</x:v>
      </x:c>
      <x:c r="N44" s="72"/>
    </x:row>
    <x:row r="45">
      <x:c r="C45" s="20" t="n">
        <x:v>90</x:v>
      </x:c>
      <x:c r="D45" s="20" t="str">
        <x:v>S06</x:v>
      </x:c>
      <x:c r="E45" s="20" t="str">
        <x:v>Emergency shelter</x:v>
      </x:c>
      <x:c r="F45" s="20" t="str">
        <x:v>people</x:v>
      </x:c>
      <x:c r="G45" s="53" t="n">
        <x:f>'Service Demand'!I12</x:f>
        <x:v>850000</x:v>
      </x:c>
      <x:c r="H45" s="53" t="n">
        <x:f>SUMIFS('Cargo Clearance'!$T$7:$T$70,'Cargo Clearance'!$S$7:$S$70,E45,'Cargo Clearance'!$L$7:$L$70,"&lt;="&amp;C45)</x:f>
        <x:v>1500000</x:v>
      </x:c>
      <x:c r="I45" s="54" t="n">
        <x:f>IF(G45=0,0,H45/G45)</x:f>
        <x:v>1.7647058823529411</x:v>
      </x:c>
      <x:c r="J45" s="54" t="n">
        <x:f>'Sustainment Capacity'!M97</x:f>
        <x:v>1</x:v>
      </x:c>
      <x:c r="K45" s="54" t="n">
        <x:f>'Responder Bases'!F25</x:f>
        <x:v>1.394135602626954</x:v>
      </x:c>
      <x:c r="L45" s="54" t="n">
        <x:f>MIN(I45,J45,K45)</x:f>
        <x:v>1</x:v>
      </x:c>
      <x:c r="M45" s="45" t="str">
        <x:f>IF(L45&gt;=1,"CLOSE","FAIL")</x:f>
        <x:v>CLOSE</x:v>
      </x:c>
      <x:c r="N45" s="72"/>
    </x:row>
    <x:row r="46">
      <x:c r="C46" s="20" t="n">
        <x:v>90</x:v>
      </x:c>
      <x:c r="D46" s="20" t="str">
        <x:v>S07</x:v>
      </x:c>
      <x:c r="E46" s="20" t="str">
        <x:v>Sanitation</x:v>
      </x:c>
      <x:c r="F46" s="20" t="str">
        <x:v>users</x:v>
      </x:c>
      <x:c r="G46" s="53" t="n">
        <x:f>'Service Demand'!I13</x:f>
        <x:v>1500000</x:v>
      </x:c>
      <x:c r="H46" s="53" t="n">
        <x:f>SUMIFS('Cargo Clearance'!$T$7:$T$70,'Cargo Clearance'!$S$7:$S$70,E46,'Cargo Clearance'!$L$7:$L$70,"&lt;="&amp;C46)</x:f>
        <x:v>1700000</x:v>
      </x:c>
      <x:c r="I46" s="54" t="n">
        <x:f>IF(G46=0,0,H46/G46)</x:f>
        <x:v>1.1333333333333333</x:v>
      </x:c>
      <x:c r="J46" s="54" t="n">
        <x:f>'Sustainment Capacity'!M97</x:f>
        <x:v>1</x:v>
      </x:c>
      <x:c r="K46" s="54" t="n">
        <x:f>'Responder Bases'!F25</x:f>
        <x:v>1.394135602626954</x:v>
      </x:c>
      <x:c r="L46" s="54" t="n">
        <x:f>MIN(I46,J46,K46)</x:f>
        <x:v>1</x:v>
      </x:c>
      <x:c r="M46" s="45" t="str">
        <x:f>IF(L46&gt;=1,"CLOSE","FAIL")</x:f>
        <x:v>CLOSE</x:v>
      </x:c>
      <x:c r="N46" s="72"/>
    </x:row>
    <x:row r="47">
      <x:c r="C47" s="20" t="n">
        <x:v>90</x:v>
      </x:c>
      <x:c r="D47" s="20" t="str">
        <x:v>S08</x:v>
      </x:c>
      <x:c r="E47" s="20" t="str">
        <x:v>Critical-load power</x:v>
      </x:c>
      <x:c r="F47" s="20" t="str">
        <x:v>MW net</x:v>
      </x:c>
      <x:c r="G47" s="53" t="n">
        <x:f>'Service Demand'!I14</x:f>
        <x:v>8000</x:v>
      </x:c>
      <x:c r="H47" s="53" t="n">
        <x:f>SUMIFS('Cargo Clearance'!$T$7:$T$70,'Cargo Clearance'!$S$7:$S$70,E47,'Cargo Clearance'!$L$7:$L$70,"&lt;="&amp;C47)</x:f>
        <x:v>8850</x:v>
      </x:c>
      <x:c r="I47" s="54" t="n">
        <x:f>IF(G47=0,0,H47/G47)</x:f>
        <x:v>1.10625</x:v>
      </x:c>
      <x:c r="J47" s="54" t="n">
        <x:f>'Sustainment Capacity'!M97</x:f>
        <x:v>1</x:v>
      </x:c>
      <x:c r="K47" s="54" t="n">
        <x:f>'Responder Bases'!F25</x:f>
        <x:v>1.394135602626954</x:v>
      </x:c>
      <x:c r="L47" s="54" t="n">
        <x:f>MIN(I47,J47,K47)</x:f>
        <x:v>1</x:v>
      </x:c>
      <x:c r="M47" s="45" t="str">
        <x:f>IF(L47&gt;=1,"CLOSE","FAIL")</x:f>
        <x:v>CLOSE</x:v>
      </x:c>
      <x:c r="N47" s="72"/>
    </x:row>
    <x:row r="48">
      <x:c r="C48" s="20" t="n">
        <x:v>90</x:v>
      </x:c>
      <x:c r="D48" s="20" t="str">
        <x:v>S09</x:v>
      </x:c>
      <x:c r="E48" s="20" t="str">
        <x:v>Priority communications</x:v>
      </x:c>
      <x:c r="F48" s="20" t="str">
        <x:v>users</x:v>
      </x:c>
      <x:c r="G48" s="53" t="n">
        <x:f>'Service Demand'!I15</x:f>
        <x:v>8000000</x:v>
      </x:c>
      <x:c r="H48" s="53" t="n">
        <x:f>SUMIFS('Cargo Clearance'!$T$7:$T$70,'Cargo Clearance'!$S$7:$S$70,E48,'Cargo Clearance'!$L$7:$L$70,"&lt;="&amp;C48)</x:f>
        <x:v>8800000</x:v>
      </x:c>
      <x:c r="I48" s="54" t="n">
        <x:f>IF(G48=0,0,H48/G48)</x:f>
        <x:v>1.1</x:v>
      </x:c>
      <x:c r="J48" s="54" t="n">
        <x:f>'Sustainment Capacity'!M97</x:f>
        <x:v>1</x:v>
      </x:c>
      <x:c r="K48" s="54" t="n">
        <x:f>'Responder Bases'!F25</x:f>
        <x:v>1.394135602626954</x:v>
      </x:c>
      <x:c r="L48" s="54" t="n">
        <x:f>MIN(I48,J48,K48)</x:f>
        <x:v>1</x:v>
      </x:c>
      <x:c r="M48" s="45" t="str">
        <x:f>IF(L48&gt;=1,"CLOSE","FAIL")</x:f>
        <x:v>CLOSE</x:v>
      </x:c>
      <x:c r="N48" s="72"/>
    </x:row>
    <x:row r="49">
      <x:c r="C49" s="20" t="n">
        <x:v>90</x:v>
      </x:c>
      <x:c r="D49" s="20" t="str">
        <x:v>S10</x:v>
      </x:c>
      <x:c r="E49" s="20" t="str">
        <x:v>Staffed health capacity</x:v>
      </x:c>
      <x:c r="F49" s="20" t="str">
        <x:v>staffed beds</x:v>
      </x:c>
      <x:c r="G49" s="53" t="n">
        <x:f>'Service Demand'!I16</x:f>
        <x:v>18000</x:v>
      </x:c>
      <x:c r="H49" s="53" t="n">
        <x:f>SUMIFS('Cargo Clearance'!$T$7:$T$70,'Cargo Clearance'!$S$7:$S$70,E49,'Cargo Clearance'!$L$7:$L$70,"&lt;="&amp;C49)</x:f>
        <x:v>19400</x:v>
      </x:c>
      <x:c r="I49" s="54" t="n">
        <x:f>IF(G49=0,0,H49/G49)</x:f>
        <x:v>1.0777777777777777</x:v>
      </x:c>
      <x:c r="J49" s="54" t="n">
        <x:f>'Sustainment Capacity'!M97</x:f>
        <x:v>1</x:v>
      </x:c>
      <x:c r="K49" s="54" t="n">
        <x:f>'Responder Bases'!F25</x:f>
        <x:v>1.394135602626954</x:v>
      </x:c>
      <x:c r="L49" s="54" t="n">
        <x:f>MIN(I49,J49,K49)</x:f>
        <x:v>1</x:v>
      </x:c>
      <x:c r="M49" s="45" t="str">
        <x:f>IF(L49&gt;=1,"CLOSE","FAIL")</x:f>
        <x:v>CLOSE</x:v>
      </x:c>
      <x:c r="N49" s="72"/>
    </x:row>
    <x:row r="50">
      <x:c r="C50" s="20" t="n">
        <x:v>90</x:v>
      </x:c>
      <x:c r="D50" s="20" t="str">
        <x:v>S11</x:v>
      </x:c>
      <x:c r="E50" s="20" t="str">
        <x:v>Hazard-control works</x:v>
      </x:c>
      <x:c r="F50" s="20" t="str">
        <x:v>route-equivalent km/day</x:v>
      </x:c>
      <x:c r="G50" s="53" t="n">
        <x:f>'Service Demand'!I17</x:f>
        <x:v>1500</x:v>
      </x:c>
      <x:c r="H50" s="53" t="n">
        <x:f>SUMIFS('Cargo Clearance'!$T$7:$T$70,'Cargo Clearance'!$S$7:$S$70,E50,'Cargo Clearance'!$L$7:$L$70,"&lt;="&amp;C50)</x:f>
        <x:v>2320</x:v>
      </x:c>
      <x:c r="I50" s="54" t="n">
        <x:f>IF(G50=0,0,H50/G50)</x:f>
        <x:v>1.5466666666666666</x:v>
      </x:c>
      <x:c r="J50" s="54" t="n">
        <x:f>'Sustainment Capacity'!M97</x:f>
        <x:v>1</x:v>
      </x:c>
      <x:c r="K50" s="54" t="n">
        <x:f>'Responder Bases'!F25</x:f>
        <x:v>1.394135602626954</x:v>
      </x:c>
      <x:c r="L50" s="54" t="n">
        <x:f>MIN(I50,J50,K50)</x:f>
        <x:v>1</x:v>
      </x:c>
      <x:c r="M50" s="45" t="str">
        <x:f>IF(L50&gt;=1,"CLOSE","FAIL")</x:f>
        <x:v>CLOSE</x:v>
      </x:c>
      <x:c r="N50" s="72"/>
    </x:row>
  </x:sheetData>
  <x:mergeCells>
    <x:mergeCell ref="C2:N2"/>
    <x:mergeCell ref="C3:N3"/>
  </x:mergeCells>
  <x:conditionalFormatting sqref="M7:M50">
    <x:cfRule type="containsText" dxfId="40" priority="1" operator="containsText" text="PASS"/>
    <x:cfRule type="containsText" dxfId="41" priority="2" operator="containsText" text="CLOSE"/>
    <x:cfRule type="containsText" dxfId="42" priority="3" operator="containsText" text="FAIL"/>
    <x:cfRule type="containsText" dxfId="43" priority="4" operator="containsText" text="LATE"/>
    <x:cfRule type="containsText" dxfId="44" priority="5" operator="containsText" text="OPEN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36" hidden="0" customWidth="1"/>
    <x:col min="5" max="5" width="14" hidden="0" customWidth="1"/>
    <x:col min="6" max="6" width="20" hidden="0" customWidth="1"/>
    <x:col min="7" max="7" width="17" hidden="0" customWidth="1"/>
    <x:col min="8" max="8" width="20" hidden="0" customWidth="1"/>
    <x:col min="9" max="9" width="20" hidden="0" customWidth="1"/>
    <x:col min="10" max="10" width="18" hidden="0" customWidth="1"/>
    <x:col min="11" max="11" width="16" hidden="0" customWidth="1"/>
    <x:col min="12" max="12" width="18" hidden="0" customWidth="1"/>
    <x:col min="13" max="13" width="12" hidden="0" customWidth="1"/>
  </x:cols>
  <x:sheetData>
    <x:row r="2" ht="24" customHeight="1">
      <x:c r="C2" s="69" t="str">
        <x:v>End-to-End Campaign Closure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The campaign closes only at the minimum of wave delivery, service activation, sustainment, responder basing, path independence, reverse flow and people movement.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Milestone d</x:v>
      </x:c>
      <x:c r="D6" s="17" t="str">
        <x:v>Promise</x:v>
      </x:c>
      <x:c r="E6" s="17" t="str">
        <x:v>Wave ratio</x:v>
      </x:c>
      <x:c r="F6" s="17" t="str">
        <x:v>Minimum service ratio</x:v>
      </x:c>
      <x:c r="G6" s="17" t="str">
        <x:v>Sustainment ratio</x:v>
      </x:c>
      <x:c r="H6" s="17" t="str">
        <x:v>Responder-base ratio</x:v>
      </x:c>
      <x:c r="I6" s="17" t="str">
        <x:v>Minimum zone-path ratio</x:v>
      </x:c>
      <x:c r="J6" s="17" t="str">
        <x:v>Reverse-flow status</x:v>
      </x:c>
      <x:c r="K6" s="17" t="str">
        <x:v>Staff-flow status</x:v>
      </x:c>
      <x:c r="L6" s="17" t="str">
        <x:v>End-to-end ratio</x:v>
      </x:c>
      <x:c r="M6" s="18" t="str">
        <x:v>Status</x:v>
      </x:c>
      <x:c r="N6" s="72"/>
    </x:row>
    <x:row r="7">
      <x:c r="C7" s="20" t="n">
        <x:v>3</x:v>
      </x:c>
      <x:c r="D7" s="20" t="str">
        <x:v>Minimum viable service</x:v>
      </x:c>
      <x:c r="E7" s="54" t="n">
        <x:f>'Wave Closure'!H7</x:f>
        <x:v>1</x:v>
      </x:c>
      <x:c r="F7" s="54" t="n">
        <x:f>MIN('Service Closure'!L7:L17)</x:f>
        <x:v>1</x:v>
      </x:c>
      <x:c r="G7" s="54" t="n">
        <x:f>'Sustainment Capacity'!M10</x:f>
        <x:v>1</x:v>
      </x:c>
      <x:c r="H7" s="54" t="n">
        <x:f>'Responder Bases'!F22</x:f>
        <x:v>3.9168</x:v>
      </x:c>
      <x:c r="I7" s="54" t="n">
        <x:f>MIN('Path Independence'!$R$7:$R$15)</x:f>
        <x:v>1.6666666666666667</x:v>
      </x:c>
      <x:c r="J7" s="54" t="n">
        <x:f>IF('Reverse Flow'!K10=0,1,0)</x:f>
        <x:v>1</x:v>
      </x:c>
      <x:c r="K7" s="54" t="n">
        <x:f>IF(AND('Staff Flow'!H10=0,'Staff Flow'!M10=0),1,0)</x:f>
        <x:v>1</x:v>
      </x:c>
      <x:c r="L7" s="54" t="n">
        <x:f>MIN(E7:K7)</x:f>
        <x:v>1</x:v>
      </x:c>
      <x:c r="M7" s="45" t="str">
        <x:f>IF(L7&gt;=1,"CLOSE","FAIL")</x:f>
        <x:v>CLOSE</x:v>
      </x:c>
      <x:c r="N7" s="72"/>
    </x:row>
    <x:row r="8">
      <x:c r="C8" s="20" t="n">
        <x:v>14</x:v>
      </x:c>
      <x:c r="D8" s="20" t="str">
        <x:v>Initial operating capability</x:v>
      </x:c>
      <x:c r="E8" s="54" t="n">
        <x:f>'Wave Closure'!H8</x:f>
        <x:v>1</x:v>
      </x:c>
      <x:c r="F8" s="54" t="n">
        <x:f>MIN('Service Closure'!L18:L28)</x:f>
        <x:v>1</x:v>
      </x:c>
      <x:c r="G8" s="54" t="n">
        <x:f>'Sustainment Capacity'!M21</x:f>
        <x:v>1</x:v>
      </x:c>
      <x:c r="H8" s="54" t="n">
        <x:f>'Responder Bases'!F23</x:f>
        <x:v>1.884</x:v>
      </x:c>
      <x:c r="I8" s="54" t="n">
        <x:f>MIN('Path Independence'!$R$7:$R$15)</x:f>
        <x:v>1.6666666666666667</x:v>
      </x:c>
      <x:c r="J8" s="54" t="n">
        <x:f>IF('Reverse Flow'!K21=0,1,0)</x:f>
        <x:v>1</x:v>
      </x:c>
      <x:c r="K8" s="54" t="n">
        <x:f>IF(AND('Staff Flow'!H21=0,'Staff Flow'!M21=0),1,0)</x:f>
        <x:v>1</x:v>
      </x:c>
      <x:c r="L8" s="54" t="n">
        <x:f>MIN(E8:K8)</x:f>
        <x:v>1</x:v>
      </x:c>
      <x:c r="M8" s="45" t="str">
        <x:f>IF(L8&gt;=1,"CLOSE","FAIL")</x:f>
        <x:v>CLOSE</x:v>
      </x:c>
      <x:c r="N8" s="72"/>
    </x:row>
    <x:row r="9">
      <x:c r="C9" s="20" t="n">
        <x:v>45</x:v>
      </x:c>
      <x:c r="D9" s="20" t="str">
        <x:v>Complete operating formation</x:v>
      </x:c>
      <x:c r="E9" s="54" t="n">
        <x:f>'Wave Closure'!H9</x:f>
        <x:v>1</x:v>
      </x:c>
      <x:c r="F9" s="54" t="n">
        <x:f>MIN('Service Closure'!L29:L39)</x:f>
        <x:v>1</x:v>
      </x:c>
      <x:c r="G9" s="54" t="n">
        <x:f>'Sustainment Capacity'!M52</x:f>
        <x:v>1</x:v>
      </x:c>
      <x:c r="H9" s="54" t="n">
        <x:f>'Responder Bases'!F24</x:f>
        <x:v>1.394135602626954</x:v>
      </x:c>
      <x:c r="I9" s="54" t="n">
        <x:f>MIN('Path Independence'!$R$7:$R$15)</x:f>
        <x:v>1.6666666666666667</x:v>
      </x:c>
      <x:c r="J9" s="54" t="n">
        <x:f>IF('Reverse Flow'!K52=0,1,0)</x:f>
        <x:v>1</x:v>
      </x:c>
      <x:c r="K9" s="54" t="n">
        <x:f>IF(AND('Staff Flow'!H52=0,'Staff Flow'!M52=0),1,0)</x:f>
        <x:v>1</x:v>
      </x:c>
      <x:c r="L9" s="54" t="n">
        <x:f>MIN(E9:K9)</x:f>
        <x:v>1</x:v>
      </x:c>
      <x:c r="M9" s="45" t="str">
        <x:f>IF(L9&gt;=1,"CLOSE","FAIL")</x:f>
        <x:v>CLOSE</x:v>
      </x:c>
      <x:c r="N9" s="72"/>
    </x:row>
    <x:row r="10">
      <x:c r="C10" s="20" t="n">
        <x:v>90</x:v>
      </x:c>
      <x:c r="D10" s="20" t="str">
        <x:v>Depth, replacement and endurance</x:v>
      </x:c>
      <x:c r="E10" s="54" t="n">
        <x:f>'Wave Closure'!H10</x:f>
        <x:v>1</x:v>
      </x:c>
      <x:c r="F10" s="54" t="n">
        <x:f>MIN('Service Closure'!L40:L50)</x:f>
        <x:v>1</x:v>
      </x:c>
      <x:c r="G10" s="54" t="n">
        <x:f>'Sustainment Capacity'!M97</x:f>
        <x:v>1</x:v>
      </x:c>
      <x:c r="H10" s="54" t="n">
        <x:f>'Responder Bases'!F25</x:f>
        <x:v>1.394135602626954</x:v>
      </x:c>
      <x:c r="I10" s="54" t="n">
        <x:f>MIN('Path Independence'!$R$7:$R$15)</x:f>
        <x:v>1.6666666666666667</x:v>
      </x:c>
      <x:c r="J10" s="54" t="n">
        <x:f>IF('Reverse Flow'!K97=0,1,0)</x:f>
        <x:v>1</x:v>
      </x:c>
      <x:c r="K10" s="54" t="n">
        <x:f>IF(AND('Staff Flow'!H97=0,'Staff Flow'!M97=0),1,0)</x:f>
        <x:v>1</x:v>
      </x:c>
      <x:c r="L10" s="54" t="n">
        <x:f>MIN(E10:K10)</x:f>
        <x:v>1</x:v>
      </x:c>
      <x:c r="M10" s="45" t="str">
        <x:f>IF(L10&gt;=1,"CLOSE","FAIL")</x:f>
        <x:v>CLOSE</x:v>
      </x:c>
      <x:c r="N10" s="72"/>
    </x:row>
  </x:sheetData>
  <x:mergeCells>
    <x:mergeCell ref="C2:N2"/>
    <x:mergeCell ref="C3:N3"/>
  </x:mergeCells>
  <x:conditionalFormatting sqref="M7:M10">
    <x:cfRule type="containsText" dxfId="75" priority="1" operator="containsText" text="PASS"/>
    <x:cfRule type="containsText" dxfId="76" priority="2" operator="containsText" text="CLOSE"/>
    <x:cfRule type="containsText" dxfId="77" priority="3" operator="containsText" text="FAIL"/>
    <x:cfRule type="containsText" dxfId="78" priority="4" operator="containsText" text="LATE"/>
    <x:cfRule type="containsText" dxfId="79" priority="5" operator="containsText" text="OPEN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23" hidden="0" customWidth="1"/>
    <x:col min="5" max="5" width="17" hidden="0" customWidth="1"/>
    <x:col min="6" max="6" width="20" hidden="0" customWidth="1"/>
    <x:col min="7" max="7" width="20" hidden="0" customWidth="1"/>
    <x:col min="8" max="8" width="22" hidden="0" customWidth="1"/>
    <x:col min="9" max="9" width="18" hidden="0" customWidth="1"/>
    <x:col min="10" max="10" width="14" hidden="0" customWidth="1"/>
    <x:col min="11" max="11" width="16" hidden="0" customWidth="1"/>
    <x:col min="12" max="12" width="14" hidden="0" customWidth="1"/>
  </x:cols>
  <x:sheetData>
    <x:row r="2" ht="24" customHeight="1">
      <x:c r="C2" s="69" t="str">
        <x:v>Hazardous Reverse Flow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Medical waste, contaminated material, damaged batteries, treatment residuals and controlled debris receive protected outbound capacity; inbound throughput cannot consume it.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Day</x:v>
      </x:c>
      <x:c r="D6" s="17" t="str">
        <x:v>Hazardous material demand</x:v>
      </x:c>
      <x:c r="E6" s="17" t="str">
        <x:v>Medical waste</x:v>
      </x:c>
      <x:c r="F6" s="17" t="str">
        <x:v>Treatment residuals</x:v>
      </x:c>
      <x:c r="G6" s="17" t="str">
        <x:v>Total reverse demand</x:v>
      </x:c>
      <x:c r="H6" s="17" t="str">
        <x:v>Protected reverse capacity</x:v>
      </x:c>
      <x:c r="I6" s="17" t="str">
        <x:v>Beginning backlog</x:v>
      </x:c>
      <x:c r="J6" s="17" t="str">
        <x:v>Moved</x:v>
      </x:c>
      <x:c r="K6" s="17" t="str">
        <x:v>Ending backlog</x:v>
      </x:c>
      <x:c r="L6" s="18" t="str">
        <x:v>Status</x:v>
      </x:c>
      <x:c r="M6" s="72"/>
      <x:c r="N6" s="72"/>
    </x:row>
    <x:row r="7">
      <x:c r="C7" s="20" t="n">
        <x:v>0</x:v>
      </x:c>
      <x:c r="D7" s="53" t="n">
        <x:f>IF(C7&lt;3,0,IF(C7&lt;=30,700,1000))</x:f>
        <x:v>0</x:v>
      </x:c>
      <x:c r="E7" s="53" t="n">
        <x:f>IF(C7&lt;3,0,IF(C7&lt;=30,180,240))</x:f>
        <x:v>0</x:v>
      </x:c>
      <x:c r="F7" s="53" t="n">
        <x:f>IF(C7&lt;7,0,IF(C7&lt;=45,420,600))</x:f>
        <x:v>0</x:v>
      </x:c>
      <x:c r="G7" s="53" t="n">
        <x:f>SUM(D7:F7)</x:f>
        <x:v>0</x:v>
      </x:c>
      <x:c r="H7" s="53" t="n">
        <x:f>SUMIFS('Path Daily'!$R$7:$R$1098,'Path Daily'!$D$7:$D$1098,C7)</x:f>
        <x:v>630</x:v>
      </x:c>
      <x:c r="I7" s="53" t="n">
        <x:f>0</x:f>
        <x:v>0</x:v>
      </x:c>
      <x:c r="J7" s="53" t="n">
        <x:f>MIN(G7+I7,H7)</x:f>
        <x:v>0</x:v>
      </x:c>
      <x:c r="K7" s="53" t="n">
        <x:f>G7+I7-J7</x:f>
        <x:v>0</x:v>
      </x:c>
      <x:c r="L7" s="45" t="str">
        <x:f>IF(K7=0,"PASS","BACKLOG")</x:f>
        <x:v>PASS</x:v>
      </x:c>
      <x:c r="M7" s="72"/>
      <x:c r="N7" s="72"/>
    </x:row>
    <x:row r="8">
      <x:c r="C8" s="20" t="n">
        <x:v>1</x:v>
      </x:c>
      <x:c r="D8" s="53" t="n">
        <x:f>IF(C8&lt;3,0,IF(C8&lt;=30,700,1000))</x:f>
        <x:v>0</x:v>
      </x:c>
      <x:c r="E8" s="53" t="n">
        <x:f>IF(C8&lt;3,0,IF(C8&lt;=30,180,240))</x:f>
        <x:v>0</x:v>
      </x:c>
      <x:c r="F8" s="53" t="n">
        <x:f>IF(C8&lt;7,0,IF(C8&lt;=45,420,600))</x:f>
        <x:v>0</x:v>
      </x:c>
      <x:c r="G8" s="53" t="n">
        <x:f>SUM(D8:F8)</x:f>
        <x:v>0</x:v>
      </x:c>
      <x:c r="H8" s="53" t="n">
        <x:f>SUMIFS('Path Daily'!$R$7:$R$1098,'Path Daily'!$D$7:$D$1098,C8)</x:f>
        <x:v>2194</x:v>
      </x:c>
      <x:c r="I8" s="53" t="n">
        <x:f>K7</x:f>
        <x:v>0</x:v>
      </x:c>
      <x:c r="J8" s="53" t="n">
        <x:f>MIN(G8+I8,H8)</x:f>
        <x:v>0</x:v>
      </x:c>
      <x:c r="K8" s="53" t="n">
        <x:f>G8+I8-J8</x:f>
        <x:v>0</x:v>
      </x:c>
      <x:c r="L8" s="45" t="str">
        <x:f>IF(K8=0,"PASS","BACKLOG")</x:f>
        <x:v>PASS</x:v>
      </x:c>
      <x:c r="M8" s="72"/>
      <x:c r="N8" s="72"/>
    </x:row>
    <x:row r="9">
      <x:c r="C9" s="20" t="n">
        <x:v>2</x:v>
      </x:c>
      <x:c r="D9" s="53" t="n">
        <x:f>IF(C9&lt;3,0,IF(C9&lt;=30,700,1000))</x:f>
        <x:v>0</x:v>
      </x:c>
      <x:c r="E9" s="53" t="n">
        <x:f>IF(C9&lt;3,0,IF(C9&lt;=30,180,240))</x:f>
        <x:v>0</x:v>
      </x:c>
      <x:c r="F9" s="53" t="n">
        <x:f>IF(C9&lt;7,0,IF(C9&lt;=45,420,600))</x:f>
        <x:v>0</x:v>
      </x:c>
      <x:c r="G9" s="53" t="n">
        <x:f>SUM(D9:F9)</x:f>
        <x:v>0</x:v>
      </x:c>
      <x:c r="H9" s="53" t="n">
        <x:f>SUMIFS('Path Daily'!$R$7:$R$1098,'Path Daily'!$D$7:$D$1098,C9)</x:f>
        <x:v>2838</x:v>
      </x:c>
      <x:c r="I9" s="53" t="n">
        <x:f>K8</x:f>
        <x:v>0</x:v>
      </x:c>
      <x:c r="J9" s="53" t="n">
        <x:f>MIN(G9+I9,H9)</x:f>
        <x:v>0</x:v>
      </x:c>
      <x:c r="K9" s="53" t="n">
        <x:f>G9+I9-J9</x:f>
        <x:v>0</x:v>
      </x:c>
      <x:c r="L9" s="45" t="str">
        <x:f>IF(K9=0,"PASS","BACKLOG")</x:f>
        <x:v>PASS</x:v>
      </x:c>
      <x:c r="M9" s="72"/>
      <x:c r="N9" s="72"/>
    </x:row>
    <x:row r="10">
      <x:c r="C10" s="20" t="n">
        <x:v>3</x:v>
      </x:c>
      <x:c r="D10" s="53" t="n">
        <x:f>IF(C10&lt;3,0,IF(C10&lt;=30,700,1000))</x:f>
        <x:v>700</x:v>
      </x:c>
      <x:c r="E10" s="53" t="n">
        <x:f>IF(C10&lt;3,0,IF(C10&lt;=30,180,240))</x:f>
        <x:v>180</x:v>
      </x:c>
      <x:c r="F10" s="53" t="n">
        <x:f>IF(C10&lt;7,0,IF(C10&lt;=45,420,600))</x:f>
        <x:v>0</x:v>
      </x:c>
      <x:c r="G10" s="53" t="n">
        <x:f>SUM(D10:F10)</x:f>
        <x:v>880</x:v>
      </x:c>
      <x:c r="H10" s="53" t="n">
        <x:f>SUMIFS('Path Daily'!$R$7:$R$1098,'Path Daily'!$D$7:$D$1098,C10)</x:f>
        <x:v>4690</x:v>
      </x:c>
      <x:c r="I10" s="53" t="n">
        <x:f>K9</x:f>
        <x:v>0</x:v>
      </x:c>
      <x:c r="J10" s="53" t="n">
        <x:f>MIN(G10+I10,H10)</x:f>
        <x:v>880</x:v>
      </x:c>
      <x:c r="K10" s="53" t="n">
        <x:f>G10+I10-J10</x:f>
        <x:v>0</x:v>
      </x:c>
      <x:c r="L10" s="45" t="str">
        <x:f>IF(K10=0,"PASS","BACKLOG")</x:f>
        <x:v>PASS</x:v>
      </x:c>
      <x:c r="M10" s="72"/>
      <x:c r="N10" s="72"/>
    </x:row>
    <x:row r="11">
      <x:c r="C11" s="20" t="n">
        <x:v>4</x:v>
      </x:c>
      <x:c r="D11" s="53" t="n">
        <x:f>IF(C11&lt;3,0,IF(C11&lt;=30,700,1000))</x:f>
        <x:v>700</x:v>
      </x:c>
      <x:c r="E11" s="53" t="n">
        <x:f>IF(C11&lt;3,0,IF(C11&lt;=30,180,240))</x:f>
        <x:v>180</x:v>
      </x:c>
      <x:c r="F11" s="53" t="n">
        <x:f>IF(C11&lt;7,0,IF(C11&lt;=45,420,600))</x:f>
        <x:v>0</x:v>
      </x:c>
      <x:c r="G11" s="53" t="n">
        <x:f>SUM(D11:F11)</x:f>
        <x:v>880</x:v>
      </x:c>
      <x:c r="H11" s="53" t="n">
        <x:f>SUMIFS('Path Daily'!$R$7:$R$1098,'Path Daily'!$D$7:$D$1098,C11)</x:f>
        <x:v>9380</x:v>
      </x:c>
      <x:c r="I11" s="53" t="n">
        <x:f>K10</x:f>
        <x:v>0</x:v>
      </x:c>
      <x:c r="J11" s="53" t="n">
        <x:f>MIN(G11+I11,H11)</x:f>
        <x:v>880</x:v>
      </x:c>
      <x:c r="K11" s="53" t="n">
        <x:f>G11+I11-J11</x:f>
        <x:v>0</x:v>
      </x:c>
      <x:c r="L11" s="45" t="str">
        <x:f>IF(K11=0,"PASS","BACKLOG")</x:f>
        <x:v>PASS</x:v>
      </x:c>
      <x:c r="M11" s="72"/>
      <x:c r="N11" s="72"/>
    </x:row>
    <x:row r="12">
      <x:c r="C12" s="20" t="n">
        <x:v>5</x:v>
      </x:c>
      <x:c r="D12" s="53" t="n">
        <x:f>IF(C12&lt;3,0,IF(C12&lt;=30,700,1000))</x:f>
        <x:v>700</x:v>
      </x:c>
      <x:c r="E12" s="53" t="n">
        <x:f>IF(C12&lt;3,0,IF(C12&lt;=30,180,240))</x:f>
        <x:v>180</x:v>
      </x:c>
      <x:c r="F12" s="53" t="n">
        <x:f>IF(C12&lt;7,0,IF(C12&lt;=45,420,600))</x:f>
        <x:v>0</x:v>
      </x:c>
      <x:c r="G12" s="53" t="n">
        <x:f>SUM(D12:F12)</x:f>
        <x:v>880</x:v>
      </x:c>
      <x:c r="H12" s="53" t="n">
        <x:f>SUMIFS('Path Daily'!$R$7:$R$1098,'Path Daily'!$D$7:$D$1098,C12)</x:f>
        <x:v>9380</x:v>
      </x:c>
      <x:c r="I12" s="53" t="n">
        <x:f>K11</x:f>
        <x:v>0</x:v>
      </x:c>
      <x:c r="J12" s="53" t="n">
        <x:f>MIN(G12+I12,H12)</x:f>
        <x:v>880</x:v>
      </x:c>
      <x:c r="K12" s="53" t="n">
        <x:f>G12+I12-J12</x:f>
        <x:v>0</x:v>
      </x:c>
      <x:c r="L12" s="45" t="str">
        <x:f>IF(K12=0,"PASS","BACKLOG")</x:f>
        <x:v>PASS</x:v>
      </x:c>
      <x:c r="M12" s="72"/>
      <x:c r="N12" s="72"/>
    </x:row>
    <x:row r="13">
      <x:c r="C13" s="20" t="n">
        <x:v>6</x:v>
      </x:c>
      <x:c r="D13" s="53" t="n">
        <x:f>IF(C13&lt;3,0,IF(C13&lt;=30,700,1000))</x:f>
        <x:v>700</x:v>
      </x:c>
      <x:c r="E13" s="53" t="n">
        <x:f>IF(C13&lt;3,0,IF(C13&lt;=30,180,240))</x:f>
        <x:v>180</x:v>
      </x:c>
      <x:c r="F13" s="53" t="n">
        <x:f>IF(C13&lt;7,0,IF(C13&lt;=45,420,600))</x:f>
        <x:v>0</x:v>
      </x:c>
      <x:c r="G13" s="53" t="n">
        <x:f>SUM(D13:F13)</x:f>
        <x:v>880</x:v>
      </x:c>
      <x:c r="H13" s="53" t="n">
        <x:f>SUMIFS('Path Daily'!$R$7:$R$1098,'Path Daily'!$D$7:$D$1098,C13)</x:f>
        <x:v>8053.200000000001</x:v>
      </x:c>
      <x:c r="I13" s="53" t="n">
        <x:f>K12</x:f>
        <x:v>0</x:v>
      </x:c>
      <x:c r="J13" s="53" t="n">
        <x:f>MIN(G13+I13,H13)</x:f>
        <x:v>880</x:v>
      </x:c>
      <x:c r="K13" s="53" t="n">
        <x:f>G13+I13-J13</x:f>
        <x:v>0</x:v>
      </x:c>
      <x:c r="L13" s="45" t="str">
        <x:f>IF(K13=0,"PASS","BACKLOG")</x:f>
        <x:v>PASS</x:v>
      </x:c>
      <x:c r="M13" s="72"/>
      <x:c r="N13" s="72"/>
    </x:row>
    <x:row r="14">
      <x:c r="C14" s="20" t="n">
        <x:v>7</x:v>
      </x:c>
      <x:c r="D14" s="53" t="n">
        <x:f>IF(C14&lt;3,0,IF(C14&lt;=30,700,1000))</x:f>
        <x:v>700</x:v>
      </x:c>
      <x:c r="E14" s="53" t="n">
        <x:f>IF(C14&lt;3,0,IF(C14&lt;=30,180,240))</x:f>
        <x:v>180</x:v>
      </x:c>
      <x:c r="F14" s="53" t="n">
        <x:f>IF(C14&lt;7,0,IF(C14&lt;=45,420,600))</x:f>
        <x:v>420</x:v>
      </x:c>
      <x:c r="G14" s="53" t="n">
        <x:f>SUM(D14:F14)</x:f>
        <x:v>1300</x:v>
      </x:c>
      <x:c r="H14" s="53" t="n">
        <x:f>SUMIFS('Path Daily'!$R$7:$R$1098,'Path Daily'!$D$7:$D$1098,C14)</x:f>
        <x:v>8413.2</x:v>
      </x:c>
      <x:c r="I14" s="53" t="n">
        <x:f>K13</x:f>
        <x:v>0</x:v>
      </x:c>
      <x:c r="J14" s="53" t="n">
        <x:f>MIN(G14+I14,H14)</x:f>
        <x:v>1300</x:v>
      </x:c>
      <x:c r="K14" s="53" t="n">
        <x:f>G14+I14-J14</x:f>
        <x:v>0</x:v>
      </x:c>
      <x:c r="L14" s="45" t="str">
        <x:f>IF(K14=0,"PASS","BACKLOG")</x:f>
        <x:v>PASS</x:v>
      </x:c>
      <x:c r="M14" s="72"/>
      <x:c r="N14" s="72"/>
    </x:row>
    <x:row r="15">
      <x:c r="C15" s="20" t="n">
        <x:v>8</x:v>
      </x:c>
      <x:c r="D15" s="53" t="n">
        <x:f>IF(C15&lt;3,0,IF(C15&lt;=30,700,1000))</x:f>
        <x:v>700</x:v>
      </x:c>
      <x:c r="E15" s="53" t="n">
        <x:f>IF(C15&lt;3,0,IF(C15&lt;=30,180,240))</x:f>
        <x:v>180</x:v>
      </x:c>
      <x:c r="F15" s="53" t="n">
        <x:f>IF(C15&lt;7,0,IF(C15&lt;=45,420,600))</x:f>
        <x:v>420</x:v>
      </x:c>
      <x:c r="G15" s="53" t="n">
        <x:f>SUM(D15:F15)</x:f>
        <x:v>1300</x:v>
      </x:c>
      <x:c r="H15" s="53" t="n">
        <x:f>SUMIFS('Path Daily'!$R$7:$R$1098,'Path Daily'!$D$7:$D$1098,C15)</x:f>
        <x:v>16406</x:v>
      </x:c>
      <x:c r="I15" s="53" t="n">
        <x:f>K14</x:f>
        <x:v>0</x:v>
      </x:c>
      <x:c r="J15" s="53" t="n">
        <x:f>MIN(G15+I15,H15)</x:f>
        <x:v>1300</x:v>
      </x:c>
      <x:c r="K15" s="53" t="n">
        <x:f>G15+I15-J15</x:f>
        <x:v>0</x:v>
      </x:c>
      <x:c r="L15" s="45" t="str">
        <x:f>IF(K15=0,"PASS","BACKLOG")</x:f>
        <x:v>PASS</x:v>
      </x:c>
      <x:c r="M15" s="72"/>
      <x:c r="N15" s="72"/>
    </x:row>
    <x:row r="16">
      <x:c r="C16" s="20" t="n">
        <x:v>9</x:v>
      </x:c>
      <x:c r="D16" s="53" t="n">
        <x:f>IF(C16&lt;3,0,IF(C16&lt;=30,700,1000))</x:f>
        <x:v>700</x:v>
      </x:c>
      <x:c r="E16" s="53" t="n">
        <x:f>IF(C16&lt;3,0,IF(C16&lt;=30,180,240))</x:f>
        <x:v>180</x:v>
      </x:c>
      <x:c r="F16" s="53" t="n">
        <x:f>IF(C16&lt;7,0,IF(C16&lt;=45,420,600))</x:f>
        <x:v>420</x:v>
      </x:c>
      <x:c r="G16" s="53" t="n">
        <x:f>SUM(D16:F16)</x:f>
        <x:v>1300</x:v>
      </x:c>
      <x:c r="H16" s="53" t="n">
        <x:f>SUMIFS('Path Daily'!$R$7:$R$1098,'Path Daily'!$D$7:$D$1098,C16)</x:f>
        <x:v>16406</x:v>
      </x:c>
      <x:c r="I16" s="53" t="n">
        <x:f>K15</x:f>
        <x:v>0</x:v>
      </x:c>
      <x:c r="J16" s="53" t="n">
        <x:f>MIN(G16+I16,H16)</x:f>
        <x:v>1300</x:v>
      </x:c>
      <x:c r="K16" s="53" t="n">
        <x:f>G16+I16-J16</x:f>
        <x:v>0</x:v>
      </x:c>
      <x:c r="L16" s="45" t="str">
        <x:f>IF(K16=0,"PASS","BACKLOG")</x:f>
        <x:v>PASS</x:v>
      </x:c>
      <x:c r="M16" s="72"/>
      <x:c r="N16" s="72"/>
    </x:row>
    <x:row r="17">
      <x:c r="C17" s="20" t="n">
        <x:v>10</x:v>
      </x:c>
      <x:c r="D17" s="53" t="n">
        <x:f>IF(C17&lt;3,0,IF(C17&lt;=30,700,1000))</x:f>
        <x:v>700</x:v>
      </x:c>
      <x:c r="E17" s="53" t="n">
        <x:f>IF(C17&lt;3,0,IF(C17&lt;=30,180,240))</x:f>
        <x:v>180</x:v>
      </x:c>
      <x:c r="F17" s="53" t="n">
        <x:f>IF(C17&lt;7,0,IF(C17&lt;=45,420,600))</x:f>
        <x:v>420</x:v>
      </x:c>
      <x:c r="G17" s="53" t="n">
        <x:f>SUM(D17:F17)</x:f>
        <x:v>1300</x:v>
      </x:c>
      <x:c r="H17" s="53" t="n">
        <x:f>SUMIFS('Path Daily'!$R$7:$R$1098,'Path Daily'!$D$7:$D$1098,C17)</x:f>
        <x:v>18274</x:v>
      </x:c>
      <x:c r="I17" s="53" t="n">
        <x:f>K16</x:f>
        <x:v>0</x:v>
      </x:c>
      <x:c r="J17" s="53" t="n">
        <x:f>MIN(G17+I17,H17)</x:f>
        <x:v>1300</x:v>
      </x:c>
      <x:c r="K17" s="53" t="n">
        <x:f>G17+I17-J17</x:f>
        <x:v>0</x:v>
      </x:c>
      <x:c r="L17" s="45" t="str">
        <x:f>IF(K17=0,"PASS","BACKLOG")</x:f>
        <x:v>PASS</x:v>
      </x:c>
      <x:c r="M17" s="72"/>
      <x:c r="N17" s="72"/>
    </x:row>
    <x:row r="18">
      <x:c r="C18" s="20" t="n">
        <x:v>11</x:v>
      </x:c>
      <x:c r="D18" s="53" t="n">
        <x:f>IF(C18&lt;3,0,IF(C18&lt;=30,700,1000))</x:f>
        <x:v>700</x:v>
      </x:c>
      <x:c r="E18" s="53" t="n">
        <x:f>IF(C18&lt;3,0,IF(C18&lt;=30,180,240))</x:f>
        <x:v>180</x:v>
      </x:c>
      <x:c r="F18" s="53" t="n">
        <x:f>IF(C18&lt;7,0,IF(C18&lt;=45,420,600))</x:f>
        <x:v>420</x:v>
      </x:c>
      <x:c r="G18" s="53" t="n">
        <x:f>SUM(D18:F18)</x:f>
        <x:v>1300</x:v>
      </x:c>
      <x:c r="H18" s="53" t="n">
        <x:f>SUMIFS('Path Daily'!$R$7:$R$1098,'Path Daily'!$D$7:$D$1098,C18)</x:f>
        <x:v>18274</x:v>
      </x:c>
      <x:c r="I18" s="53" t="n">
        <x:f>K17</x:f>
        <x:v>0</x:v>
      </x:c>
      <x:c r="J18" s="53" t="n">
        <x:f>MIN(G18+I18,H18)</x:f>
        <x:v>1300</x:v>
      </x:c>
      <x:c r="K18" s="53" t="n">
        <x:f>G18+I18-J18</x:f>
        <x:v>0</x:v>
      </x:c>
      <x:c r="L18" s="45" t="str">
        <x:f>IF(K18=0,"PASS","BACKLOG")</x:f>
        <x:v>PASS</x:v>
      </x:c>
      <x:c r="M18" s="72"/>
      <x:c r="N18" s="72"/>
    </x:row>
    <x:row r="19">
      <x:c r="C19" s="20" t="n">
        <x:v>12</x:v>
      </x:c>
      <x:c r="D19" s="53" t="n">
        <x:f>IF(C19&lt;3,0,IF(C19&lt;=30,700,1000))</x:f>
        <x:v>700</x:v>
      </x:c>
      <x:c r="E19" s="53" t="n">
        <x:f>IF(C19&lt;3,0,IF(C19&lt;=30,180,240))</x:f>
        <x:v>180</x:v>
      </x:c>
      <x:c r="F19" s="53" t="n">
        <x:f>IF(C19&lt;7,0,IF(C19&lt;=45,420,600))</x:f>
        <x:v>420</x:v>
      </x:c>
      <x:c r="G19" s="53" t="n">
        <x:f>SUM(D19:F19)</x:f>
        <x:v>1300</x:v>
      </x:c>
      <x:c r="H19" s="53" t="n">
        <x:f>SUMIFS('Path Daily'!$R$7:$R$1098,'Path Daily'!$D$7:$D$1098,C19)</x:f>
        <x:v>18274</x:v>
      </x:c>
      <x:c r="I19" s="53" t="n">
        <x:f>K18</x:f>
        <x:v>0</x:v>
      </x:c>
      <x:c r="J19" s="53" t="n">
        <x:f>MIN(G19+I19,H19)</x:f>
        <x:v>1300</x:v>
      </x:c>
      <x:c r="K19" s="53" t="n">
        <x:f>G19+I19-J19</x:f>
        <x:v>0</x:v>
      </x:c>
      <x:c r="L19" s="45" t="str">
        <x:f>IF(K19=0,"PASS","BACKLOG")</x:f>
        <x:v>PASS</x:v>
      </x:c>
      <x:c r="M19" s="72"/>
      <x:c r="N19" s="72"/>
    </x:row>
    <x:row r="20">
      <x:c r="C20" s="20" t="n">
        <x:v>13</x:v>
      </x:c>
      <x:c r="D20" s="53" t="n">
        <x:f>IF(C20&lt;3,0,IF(C20&lt;=30,700,1000))</x:f>
        <x:v>700</x:v>
      </x:c>
      <x:c r="E20" s="53" t="n">
        <x:f>IF(C20&lt;3,0,IF(C20&lt;=30,180,240))</x:f>
        <x:v>180</x:v>
      </x:c>
      <x:c r="F20" s="53" t="n">
        <x:f>IF(C20&lt;7,0,IF(C20&lt;=45,420,600))</x:f>
        <x:v>420</x:v>
      </x:c>
      <x:c r="G20" s="53" t="n">
        <x:f>SUM(D20:F20)</x:f>
        <x:v>1300</x:v>
      </x:c>
      <x:c r="H20" s="53" t="n">
        <x:f>SUMIFS('Path Daily'!$R$7:$R$1098,'Path Daily'!$D$7:$D$1098,C20)</x:f>
        <x:v>18274</x:v>
      </x:c>
      <x:c r="I20" s="53" t="n">
        <x:f>K19</x:f>
        <x:v>0</x:v>
      </x:c>
      <x:c r="J20" s="53" t="n">
        <x:f>MIN(G20+I20,H20)</x:f>
        <x:v>1300</x:v>
      </x:c>
      <x:c r="K20" s="53" t="n">
        <x:f>G20+I20-J20</x:f>
        <x:v>0</x:v>
      </x:c>
      <x:c r="L20" s="45" t="str">
        <x:f>IF(K20=0,"PASS","BACKLOG")</x:f>
        <x:v>PASS</x:v>
      </x:c>
      <x:c r="M20" s="72"/>
      <x:c r="N20" s="72"/>
    </x:row>
    <x:row r="21">
      <x:c r="C21" s="20" t="n">
        <x:v>14</x:v>
      </x:c>
      <x:c r="D21" s="53" t="n">
        <x:f>IF(C21&lt;3,0,IF(C21&lt;=30,700,1000))</x:f>
        <x:v>700</x:v>
      </x:c>
      <x:c r="E21" s="53" t="n">
        <x:f>IF(C21&lt;3,0,IF(C21&lt;=30,180,240))</x:f>
        <x:v>180</x:v>
      </x:c>
      <x:c r="F21" s="53" t="n">
        <x:f>IF(C21&lt;7,0,IF(C21&lt;=45,420,600))</x:f>
        <x:v>420</x:v>
      </x:c>
      <x:c r="G21" s="53" t="n">
        <x:f>SUM(D21:F21)</x:f>
        <x:v>1300</x:v>
      </x:c>
      <x:c r="H21" s="53" t="n">
        <x:f>SUMIFS('Path Daily'!$R$7:$R$1098,'Path Daily'!$D$7:$D$1098,C21)</x:f>
        <x:v>11846.9</x:v>
      </x:c>
      <x:c r="I21" s="53" t="n">
        <x:f>K20</x:f>
        <x:v>0</x:v>
      </x:c>
      <x:c r="J21" s="53" t="n">
        <x:f>MIN(G21+I21,H21)</x:f>
        <x:v>1300</x:v>
      </x:c>
      <x:c r="K21" s="53" t="n">
        <x:f>G21+I21-J21</x:f>
        <x:v>0</x:v>
      </x:c>
      <x:c r="L21" s="45" t="str">
        <x:f>IF(K21=0,"PASS","BACKLOG")</x:f>
        <x:v>PASS</x:v>
      </x:c>
      <x:c r="M21" s="72"/>
      <x:c r="N21" s="72"/>
    </x:row>
    <x:row r="22">
      <x:c r="C22" s="20" t="n">
        <x:v>15</x:v>
      </x:c>
      <x:c r="D22" s="53" t="n">
        <x:f>IF(C22&lt;3,0,IF(C22&lt;=30,700,1000))</x:f>
        <x:v>700</x:v>
      </x:c>
      <x:c r="E22" s="53" t="n">
        <x:f>IF(C22&lt;3,0,IF(C22&lt;=30,180,240))</x:f>
        <x:v>180</x:v>
      </x:c>
      <x:c r="F22" s="53" t="n">
        <x:f>IF(C22&lt;7,0,IF(C22&lt;=45,420,600))</x:f>
        <x:v>420</x:v>
      </x:c>
      <x:c r="G22" s="53" t="n">
        <x:f>SUM(D22:F22)</x:f>
        <x:v>1300</x:v>
      </x:c>
      <x:c r="H22" s="53" t="n">
        <x:f>SUMIFS('Path Daily'!$R$7:$R$1098,'Path Daily'!$D$7:$D$1098,C22)</x:f>
        <x:v>17770.35</x:v>
      </x:c>
      <x:c r="I22" s="53" t="n">
        <x:f>K21</x:f>
        <x:v>0</x:v>
      </x:c>
      <x:c r="J22" s="53" t="n">
        <x:f>MIN(G22+I22,H22)</x:f>
        <x:v>1300</x:v>
      </x:c>
      <x:c r="K22" s="53" t="n">
        <x:f>G22+I22-J22</x:f>
        <x:v>0</x:v>
      </x:c>
      <x:c r="L22" s="45" t="str">
        <x:f>IF(K22=0,"PASS","BACKLOG")</x:f>
        <x:v>PASS</x:v>
      </x:c>
      <x:c r="M22" s="72"/>
      <x:c r="N22" s="72"/>
    </x:row>
    <x:row r="23">
      <x:c r="C23" s="20" t="n">
        <x:v>16</x:v>
      </x:c>
      <x:c r="D23" s="53" t="n">
        <x:f>IF(C23&lt;3,0,IF(C23&lt;=30,700,1000))</x:f>
        <x:v>700</x:v>
      </x:c>
      <x:c r="E23" s="53" t="n">
        <x:f>IF(C23&lt;3,0,IF(C23&lt;=30,180,240))</x:f>
        <x:v>180</x:v>
      </x:c>
      <x:c r="F23" s="53" t="n">
        <x:f>IF(C23&lt;7,0,IF(C23&lt;=45,420,600))</x:f>
        <x:v>420</x:v>
      </x:c>
      <x:c r="G23" s="53" t="n">
        <x:f>SUM(D23:F23)</x:f>
        <x:v>1300</x:v>
      </x:c>
      <x:c r="H23" s="53" t="n">
        <x:f>SUMIFS('Path Daily'!$R$7:$R$1098,'Path Daily'!$D$7:$D$1098,C23)</x:f>
        <x:v>18209.1</x:v>
      </x:c>
      <x:c r="I23" s="53" t="n">
        <x:f>K22</x:f>
        <x:v>0</x:v>
      </x:c>
      <x:c r="J23" s="53" t="n">
        <x:f>MIN(G23+I23,H23)</x:f>
        <x:v>1300</x:v>
      </x:c>
      <x:c r="K23" s="53" t="n">
        <x:f>G23+I23-J23</x:f>
        <x:v>0</x:v>
      </x:c>
      <x:c r="L23" s="45" t="str">
        <x:f>IF(K23=0,"PASS","BACKLOG")</x:f>
        <x:v>PASS</x:v>
      </x:c>
      <x:c r="M23" s="72"/>
      <x:c r="N23" s="72"/>
    </x:row>
    <x:row r="24">
      <x:c r="C24" s="20" t="n">
        <x:v>17</x:v>
      </x:c>
      <x:c r="D24" s="53" t="n">
        <x:f>IF(C24&lt;3,0,IF(C24&lt;=30,700,1000))</x:f>
        <x:v>700</x:v>
      </x:c>
      <x:c r="E24" s="53" t="n">
        <x:f>IF(C24&lt;3,0,IF(C24&lt;=30,180,240))</x:f>
        <x:v>180</x:v>
      </x:c>
      <x:c r="F24" s="53" t="n">
        <x:f>IF(C24&lt;7,0,IF(C24&lt;=45,420,600))</x:f>
        <x:v>420</x:v>
      </x:c>
      <x:c r="G24" s="53" t="n">
        <x:f>SUM(D24:F24)</x:f>
        <x:v>1300</x:v>
      </x:c>
      <x:c r="H24" s="53" t="n">
        <x:f>SUMIFS('Path Daily'!$R$7:$R$1098,'Path Daily'!$D$7:$D$1098,C24)</x:f>
        <x:v>32526</x:v>
      </x:c>
      <x:c r="I24" s="53" t="n">
        <x:f>K23</x:f>
        <x:v>0</x:v>
      </x:c>
      <x:c r="J24" s="53" t="n">
        <x:f>MIN(G24+I24,H24)</x:f>
        <x:v>1300</x:v>
      </x:c>
      <x:c r="K24" s="53" t="n">
        <x:f>G24+I24-J24</x:f>
        <x:v>0</x:v>
      </x:c>
      <x:c r="L24" s="45" t="str">
        <x:f>IF(K24=0,"PASS","BACKLOG")</x:f>
        <x:v>PASS</x:v>
      </x:c>
      <x:c r="M24" s="72"/>
      <x:c r="N24" s="72"/>
    </x:row>
    <x:row r="25">
      <x:c r="C25" s="20" t="n">
        <x:v>18</x:v>
      </x:c>
      <x:c r="D25" s="53" t="n">
        <x:f>IF(C25&lt;3,0,IF(C25&lt;=30,700,1000))</x:f>
        <x:v>700</x:v>
      </x:c>
      <x:c r="E25" s="53" t="n">
        <x:f>IF(C25&lt;3,0,IF(C25&lt;=30,180,240))</x:f>
        <x:v>180</x:v>
      </x:c>
      <x:c r="F25" s="53" t="n">
        <x:f>IF(C25&lt;7,0,IF(C25&lt;=45,420,600))</x:f>
        <x:v>420</x:v>
      </x:c>
      <x:c r="G25" s="53" t="n">
        <x:f>SUM(D25:F25)</x:f>
        <x:v>1300</x:v>
      </x:c>
      <x:c r="H25" s="53" t="n">
        <x:f>SUMIFS('Path Daily'!$R$7:$R$1098,'Path Daily'!$D$7:$D$1098,C25)</x:f>
        <x:v>34686</x:v>
      </x:c>
      <x:c r="I25" s="53" t="n">
        <x:f>K24</x:f>
        <x:v>0</x:v>
      </x:c>
      <x:c r="J25" s="53" t="n">
        <x:f>MIN(G25+I25,H25)</x:f>
        <x:v>1300</x:v>
      </x:c>
      <x:c r="K25" s="53" t="n">
        <x:f>G25+I25-J25</x:f>
        <x:v>0</x:v>
      </x:c>
      <x:c r="L25" s="45" t="str">
        <x:f>IF(K25=0,"PASS","BACKLOG")</x:f>
        <x:v>PASS</x:v>
      </x:c>
      <x:c r="M25" s="72"/>
      <x:c r="N25" s="72"/>
    </x:row>
    <x:row r="26">
      <x:c r="C26" s="20" t="n">
        <x:v>19</x:v>
      </x:c>
      <x:c r="D26" s="53" t="n">
        <x:f>IF(C26&lt;3,0,IF(C26&lt;=30,700,1000))</x:f>
        <x:v>700</x:v>
      </x:c>
      <x:c r="E26" s="53" t="n">
        <x:f>IF(C26&lt;3,0,IF(C26&lt;=30,180,240))</x:f>
        <x:v>180</x:v>
      </x:c>
      <x:c r="F26" s="53" t="n">
        <x:f>IF(C26&lt;7,0,IF(C26&lt;=45,420,600))</x:f>
        <x:v>420</x:v>
      </x:c>
      <x:c r="G26" s="53" t="n">
        <x:f>SUM(D26:F26)</x:f>
        <x:v>1300</x:v>
      </x:c>
      <x:c r="H26" s="53" t="n">
        <x:f>SUMIFS('Path Daily'!$R$7:$R$1098,'Path Daily'!$D$7:$D$1098,C26)</x:f>
        <x:v>34686</x:v>
      </x:c>
      <x:c r="I26" s="53" t="n">
        <x:f>K25</x:f>
        <x:v>0</x:v>
      </x:c>
      <x:c r="J26" s="53" t="n">
        <x:f>MIN(G26+I26,H26)</x:f>
        <x:v>1300</x:v>
      </x:c>
      <x:c r="K26" s="53" t="n">
        <x:f>G26+I26-J26</x:f>
        <x:v>0</x:v>
      </x:c>
      <x:c r="L26" s="45" t="str">
        <x:f>IF(K26=0,"PASS","BACKLOG")</x:f>
        <x:v>PASS</x:v>
      </x:c>
      <x:c r="M26" s="72"/>
      <x:c r="N26" s="72"/>
    </x:row>
    <x:row r="27">
      <x:c r="C27" s="20" t="n">
        <x:v>20</x:v>
      </x:c>
      <x:c r="D27" s="53" t="n">
        <x:f>IF(C27&lt;3,0,IF(C27&lt;=30,700,1000))</x:f>
        <x:v>700</x:v>
      </x:c>
      <x:c r="E27" s="53" t="n">
        <x:f>IF(C27&lt;3,0,IF(C27&lt;=30,180,240))</x:f>
        <x:v>180</x:v>
      </x:c>
      <x:c r="F27" s="53" t="n">
        <x:f>IF(C27&lt;7,0,IF(C27&lt;=45,420,600))</x:f>
        <x:v>420</x:v>
      </x:c>
      <x:c r="G27" s="53" t="n">
        <x:f>SUM(D27:F27)</x:f>
        <x:v>1300</x:v>
      </x:c>
      <x:c r="H27" s="53" t="n">
        <x:f>SUMIFS('Path Daily'!$R$7:$R$1098,'Path Daily'!$D$7:$D$1098,C27)</x:f>
        <x:v>37146</x:v>
      </x:c>
      <x:c r="I27" s="53" t="n">
        <x:f>K26</x:f>
        <x:v>0</x:v>
      </x:c>
      <x:c r="J27" s="53" t="n">
        <x:f>MIN(G27+I27,H27)</x:f>
        <x:v>1300</x:v>
      </x:c>
      <x:c r="K27" s="53" t="n">
        <x:f>G27+I27-J27</x:f>
        <x:v>0</x:v>
      </x:c>
      <x:c r="L27" s="45" t="str">
        <x:f>IF(K27=0,"PASS","BACKLOG")</x:f>
        <x:v>PASS</x:v>
      </x:c>
      <x:c r="M27" s="72"/>
      <x:c r="N27" s="72"/>
    </x:row>
    <x:row r="28">
      <x:c r="C28" s="20" t="n">
        <x:v>21</x:v>
      </x:c>
      <x:c r="D28" s="53" t="n">
        <x:f>IF(C28&lt;3,0,IF(C28&lt;=30,700,1000))</x:f>
        <x:v>700</x:v>
      </x:c>
      <x:c r="E28" s="53" t="n">
        <x:f>IF(C28&lt;3,0,IF(C28&lt;=30,180,240))</x:f>
        <x:v>180</x:v>
      </x:c>
      <x:c r="F28" s="53" t="n">
        <x:f>IF(C28&lt;7,0,IF(C28&lt;=45,420,600))</x:f>
        <x:v>420</x:v>
      </x:c>
      <x:c r="G28" s="53" t="n">
        <x:f>SUM(D28:F28)</x:f>
        <x:v>1300</x:v>
      </x:c>
      <x:c r="H28" s="53" t="n">
        <x:f>SUMIFS('Path Daily'!$R$7:$R$1098,'Path Daily'!$D$7:$D$1098,C28)</x:f>
        <x:v>19795.8</x:v>
      </x:c>
      <x:c r="I28" s="53" t="n">
        <x:f>K27</x:f>
        <x:v>0</x:v>
      </x:c>
      <x:c r="J28" s="53" t="n">
        <x:f>MIN(G28+I28,H28)</x:f>
        <x:v>1300</x:v>
      </x:c>
      <x:c r="K28" s="53" t="n">
        <x:f>G28+I28-J28</x:f>
        <x:v>0</x:v>
      </x:c>
      <x:c r="L28" s="45" t="str">
        <x:f>IF(K28=0,"PASS","BACKLOG")</x:f>
        <x:v>PASS</x:v>
      </x:c>
      <x:c r="M28" s="72"/>
      <x:c r="N28" s="72"/>
    </x:row>
    <x:row r="29">
      <x:c r="C29" s="20" t="n">
        <x:v>22</x:v>
      </x:c>
      <x:c r="D29" s="53" t="n">
        <x:f>IF(C29&lt;3,0,IF(C29&lt;=30,700,1000))</x:f>
        <x:v>700</x:v>
      </x:c>
      <x:c r="E29" s="53" t="n">
        <x:f>IF(C29&lt;3,0,IF(C29&lt;=30,180,240))</x:f>
        <x:v>180</x:v>
      </x:c>
      <x:c r="F29" s="53" t="n">
        <x:f>IF(C29&lt;7,0,IF(C29&lt;=45,420,600))</x:f>
        <x:v>420</x:v>
      </x:c>
      <x:c r="G29" s="53" t="n">
        <x:f>SUM(D29:F29)</x:f>
        <x:v>1300</x:v>
      </x:c>
      <x:c r="H29" s="53" t="n">
        <x:f>SUMIFS('Path Daily'!$R$7:$R$1098,'Path Daily'!$D$7:$D$1098,C29)</x:f>
        <x:v>37146</x:v>
      </x:c>
      <x:c r="I29" s="53" t="n">
        <x:f>K28</x:f>
        <x:v>0</x:v>
      </x:c>
      <x:c r="J29" s="53" t="n">
        <x:f>MIN(G29+I29,H29)</x:f>
        <x:v>1300</x:v>
      </x:c>
      <x:c r="K29" s="53" t="n">
        <x:f>G29+I29-J29</x:f>
        <x:v>0</x:v>
      </x:c>
      <x:c r="L29" s="45" t="str">
        <x:f>IF(K29=0,"PASS","BACKLOG")</x:f>
        <x:v>PASS</x:v>
      </x:c>
      <x:c r="M29" s="72"/>
      <x:c r="N29" s="72"/>
    </x:row>
    <x:row r="30">
      <x:c r="C30" s="20" t="n">
        <x:v>23</x:v>
      </x:c>
      <x:c r="D30" s="53" t="n">
        <x:f>IF(C30&lt;3,0,IF(C30&lt;=30,700,1000))</x:f>
        <x:v>700</x:v>
      </x:c>
      <x:c r="E30" s="53" t="n">
        <x:f>IF(C30&lt;3,0,IF(C30&lt;=30,180,240))</x:f>
        <x:v>180</x:v>
      </x:c>
      <x:c r="F30" s="53" t="n">
        <x:f>IF(C30&lt;7,0,IF(C30&lt;=45,420,600))</x:f>
        <x:v>420</x:v>
      </x:c>
      <x:c r="G30" s="53" t="n">
        <x:f>SUM(D30:F30)</x:f>
        <x:v>1300</x:v>
      </x:c>
      <x:c r="H30" s="53" t="n">
        <x:f>SUMIFS('Path Daily'!$R$7:$R$1098,'Path Daily'!$D$7:$D$1098,C30)</x:f>
        <x:v>37146</x:v>
      </x:c>
      <x:c r="I30" s="53" t="n">
        <x:f>K29</x:f>
        <x:v>0</x:v>
      </x:c>
      <x:c r="J30" s="53" t="n">
        <x:f>MIN(G30+I30,H30)</x:f>
        <x:v>1300</x:v>
      </x:c>
      <x:c r="K30" s="53" t="n">
        <x:f>G30+I30-J30</x:f>
        <x:v>0</x:v>
      </x:c>
      <x:c r="L30" s="45" t="str">
        <x:f>IF(K30=0,"PASS","BACKLOG")</x:f>
        <x:v>PASS</x:v>
      </x:c>
      <x:c r="M30" s="72"/>
      <x:c r="N30" s="72"/>
    </x:row>
    <x:row r="31">
      <x:c r="C31" s="20" t="n">
        <x:v>24</x:v>
      </x:c>
      <x:c r="D31" s="53" t="n">
        <x:f>IF(C31&lt;3,0,IF(C31&lt;=30,700,1000))</x:f>
        <x:v>700</x:v>
      </x:c>
      <x:c r="E31" s="53" t="n">
        <x:f>IF(C31&lt;3,0,IF(C31&lt;=30,180,240))</x:f>
        <x:v>180</x:v>
      </x:c>
      <x:c r="F31" s="53" t="n">
        <x:f>IF(C31&lt;7,0,IF(C31&lt;=45,420,600))</x:f>
        <x:v>420</x:v>
      </x:c>
      <x:c r="G31" s="53" t="n">
        <x:f>SUM(D31:F31)</x:f>
        <x:v>1300</x:v>
      </x:c>
      <x:c r="H31" s="53" t="n">
        <x:f>SUMIFS('Path Daily'!$R$7:$R$1098,'Path Daily'!$D$7:$D$1098,C31)</x:f>
        <x:v>37146</x:v>
      </x:c>
      <x:c r="I31" s="53" t="n">
        <x:f>K30</x:f>
        <x:v>0</x:v>
      </x:c>
      <x:c r="J31" s="53" t="n">
        <x:f>MIN(G31+I31,H31)</x:f>
        <x:v>1300</x:v>
      </x:c>
      <x:c r="K31" s="53" t="n">
        <x:f>G31+I31-J31</x:f>
        <x:v>0</x:v>
      </x:c>
      <x:c r="L31" s="45" t="str">
        <x:f>IF(K31=0,"PASS","BACKLOG")</x:f>
        <x:v>PASS</x:v>
      </x:c>
      <x:c r="M31" s="72"/>
      <x:c r="N31" s="72"/>
    </x:row>
    <x:row r="32">
      <x:c r="C32" s="20" t="n">
        <x:v>25</x:v>
      </x:c>
      <x:c r="D32" s="53" t="n">
        <x:f>IF(C32&lt;3,0,IF(C32&lt;=30,700,1000))</x:f>
        <x:v>700</x:v>
      </x:c>
      <x:c r="E32" s="53" t="n">
        <x:f>IF(C32&lt;3,0,IF(C32&lt;=30,180,240))</x:f>
        <x:v>180</x:v>
      </x:c>
      <x:c r="F32" s="53" t="n">
        <x:f>IF(C32&lt;7,0,IF(C32&lt;=45,420,600))</x:f>
        <x:v>420</x:v>
      </x:c>
      <x:c r="G32" s="53" t="n">
        <x:f>SUM(D32:F32)</x:f>
        <x:v>1300</x:v>
      </x:c>
      <x:c r="H32" s="53" t="n">
        <x:f>SUMIFS('Path Daily'!$R$7:$R$1098,'Path Daily'!$D$7:$D$1098,C32)</x:f>
        <x:v>39951</x:v>
      </x:c>
      <x:c r="I32" s="53" t="n">
        <x:f>K31</x:f>
        <x:v>0</x:v>
      </x:c>
      <x:c r="J32" s="53" t="n">
        <x:f>MIN(G32+I32,H32)</x:f>
        <x:v>1300</x:v>
      </x:c>
      <x:c r="K32" s="53" t="n">
        <x:f>G32+I32-J32</x:f>
        <x:v>0</x:v>
      </x:c>
      <x:c r="L32" s="45" t="str">
        <x:f>IF(K32=0,"PASS","BACKLOG")</x:f>
        <x:v>PASS</x:v>
      </x:c>
      <x:c r="M32" s="72"/>
      <x:c r="N32" s="72"/>
    </x:row>
    <x:row r="33">
      <x:c r="C33" s="20" t="n">
        <x:v>26</x:v>
      </x:c>
      <x:c r="D33" s="53" t="n">
        <x:f>IF(C33&lt;3,0,IF(C33&lt;=30,700,1000))</x:f>
        <x:v>700</x:v>
      </x:c>
      <x:c r="E33" s="53" t="n">
        <x:f>IF(C33&lt;3,0,IF(C33&lt;=30,180,240))</x:f>
        <x:v>180</x:v>
      </x:c>
      <x:c r="F33" s="53" t="n">
        <x:f>IF(C33&lt;7,0,IF(C33&lt;=45,420,600))</x:f>
        <x:v>420</x:v>
      </x:c>
      <x:c r="G33" s="53" t="n">
        <x:f>SUM(D33:F33)</x:f>
        <x:v>1300</x:v>
      </x:c>
      <x:c r="H33" s="53" t="n">
        <x:f>SUMIFS('Path Daily'!$R$7:$R$1098,'Path Daily'!$D$7:$D$1098,C33)</x:f>
        <x:v>39951</x:v>
      </x:c>
      <x:c r="I33" s="53" t="n">
        <x:f>K32</x:f>
        <x:v>0</x:v>
      </x:c>
      <x:c r="J33" s="53" t="n">
        <x:f>MIN(G33+I33,H33)</x:f>
        <x:v>1300</x:v>
      </x:c>
      <x:c r="K33" s="53" t="n">
        <x:f>G33+I33-J33</x:f>
        <x:v>0</x:v>
      </x:c>
      <x:c r="L33" s="45" t="str">
        <x:f>IF(K33=0,"PASS","BACKLOG")</x:f>
        <x:v>PASS</x:v>
      </x:c>
      <x:c r="M33" s="72"/>
      <x:c r="N33" s="72"/>
    </x:row>
    <x:row r="34">
      <x:c r="C34" s="20" t="n">
        <x:v>27</x:v>
      </x:c>
      <x:c r="D34" s="53" t="n">
        <x:f>IF(C34&lt;3,0,IF(C34&lt;=30,700,1000))</x:f>
        <x:v>700</x:v>
      </x:c>
      <x:c r="E34" s="53" t="n">
        <x:f>IF(C34&lt;3,0,IF(C34&lt;=30,180,240))</x:f>
        <x:v>180</x:v>
      </x:c>
      <x:c r="F34" s="53" t="n">
        <x:f>IF(C34&lt;7,0,IF(C34&lt;=45,420,600))</x:f>
        <x:v>420</x:v>
      </x:c>
      <x:c r="G34" s="53" t="n">
        <x:f>SUM(D34:F34)</x:f>
        <x:v>1300</x:v>
      </x:c>
      <x:c r="H34" s="53" t="n">
        <x:f>SUMIFS('Path Daily'!$R$7:$R$1098,'Path Daily'!$D$7:$D$1098,C34)</x:f>
        <x:v>39951</x:v>
      </x:c>
      <x:c r="I34" s="53" t="n">
        <x:f>K33</x:f>
        <x:v>0</x:v>
      </x:c>
      <x:c r="J34" s="53" t="n">
        <x:f>MIN(G34+I34,H34)</x:f>
        <x:v>1300</x:v>
      </x:c>
      <x:c r="K34" s="53" t="n">
        <x:f>G34+I34-J34</x:f>
        <x:v>0</x:v>
      </x:c>
      <x:c r="L34" s="45" t="str">
        <x:f>IF(K34=0,"PASS","BACKLOG")</x:f>
        <x:v>PASS</x:v>
      </x:c>
      <x:c r="M34" s="72"/>
      <x:c r="N34" s="72"/>
    </x:row>
    <x:row r="35">
      <x:c r="C35" s="20" t="n">
        <x:v>28</x:v>
      </x:c>
      <x:c r="D35" s="53" t="n">
        <x:f>IF(C35&lt;3,0,IF(C35&lt;=30,700,1000))</x:f>
        <x:v>700</x:v>
      </x:c>
      <x:c r="E35" s="53" t="n">
        <x:f>IF(C35&lt;3,0,IF(C35&lt;=30,180,240))</x:f>
        <x:v>180</x:v>
      </x:c>
      <x:c r="F35" s="53" t="n">
        <x:f>IF(C35&lt;7,0,IF(C35&lt;=45,420,600))</x:f>
        <x:v>420</x:v>
      </x:c>
      <x:c r="G35" s="53" t="n">
        <x:f>SUM(D35:F35)</x:f>
        <x:v>1300</x:v>
      </x:c>
      <x:c r="H35" s="53" t="n">
        <x:f>SUMIFS('Path Daily'!$R$7:$R$1098,'Path Daily'!$D$7:$D$1098,C35)</x:f>
        <x:v>39951</x:v>
      </x:c>
      <x:c r="I35" s="53" t="n">
        <x:f>K34</x:f>
        <x:v>0</x:v>
      </x:c>
      <x:c r="J35" s="53" t="n">
        <x:f>MIN(G35+I35,H35)</x:f>
        <x:v>1300</x:v>
      </x:c>
      <x:c r="K35" s="53" t="n">
        <x:f>G35+I35-J35</x:f>
        <x:v>0</x:v>
      </x:c>
      <x:c r="L35" s="45" t="str">
        <x:f>IF(K35=0,"PASS","BACKLOG")</x:f>
        <x:v>PASS</x:v>
      </x:c>
      <x:c r="M35" s="72"/>
      <x:c r="N35" s="72"/>
    </x:row>
    <x:row r="36">
      <x:c r="C36" s="20" t="n">
        <x:v>29</x:v>
      </x:c>
      <x:c r="D36" s="53" t="n">
        <x:f>IF(C36&lt;3,0,IF(C36&lt;=30,700,1000))</x:f>
        <x:v>700</x:v>
      </x:c>
      <x:c r="E36" s="53" t="n">
        <x:f>IF(C36&lt;3,0,IF(C36&lt;=30,180,240))</x:f>
        <x:v>180</x:v>
      </x:c>
      <x:c r="F36" s="53" t="n">
        <x:f>IF(C36&lt;7,0,IF(C36&lt;=45,420,600))</x:f>
        <x:v>420</x:v>
      </x:c>
      <x:c r="G36" s="53" t="n">
        <x:f>SUM(D36:F36)</x:f>
        <x:v>1300</x:v>
      </x:c>
      <x:c r="H36" s="53" t="n">
        <x:f>SUMIFS('Path Daily'!$R$7:$R$1098,'Path Daily'!$D$7:$D$1098,C36)</x:f>
        <x:v>39951</x:v>
      </x:c>
      <x:c r="I36" s="53" t="n">
        <x:f>K35</x:f>
        <x:v>0</x:v>
      </x:c>
      <x:c r="J36" s="53" t="n">
        <x:f>MIN(G36+I36,H36)</x:f>
        <x:v>1300</x:v>
      </x:c>
      <x:c r="K36" s="53" t="n">
        <x:f>G36+I36-J36</x:f>
        <x:v>0</x:v>
      </x:c>
      <x:c r="L36" s="45" t="str">
        <x:f>IF(K36=0,"PASS","BACKLOG")</x:f>
        <x:v>PASS</x:v>
      </x:c>
      <x:c r="M36" s="72"/>
      <x:c r="N36" s="72"/>
    </x:row>
    <x:row r="37">
      <x:c r="C37" s="20" t="n">
        <x:v>30</x:v>
      </x:c>
      <x:c r="D37" s="53" t="n">
        <x:f>IF(C37&lt;3,0,IF(C37&lt;=30,700,1000))</x:f>
        <x:v>700</x:v>
      </x:c>
      <x:c r="E37" s="53" t="n">
        <x:f>IF(C37&lt;3,0,IF(C37&lt;=30,180,240))</x:f>
        <x:v>180</x:v>
      </x:c>
      <x:c r="F37" s="53" t="n">
        <x:f>IF(C37&lt;7,0,IF(C37&lt;=45,420,600))</x:f>
        <x:v>420</x:v>
      </x:c>
      <x:c r="G37" s="53" t="n">
        <x:f>SUM(D37:F37)</x:f>
        <x:v>1300</x:v>
      </x:c>
      <x:c r="H37" s="53" t="n">
        <x:f>SUMIFS('Path Daily'!$R$7:$R$1098,'Path Daily'!$D$7:$D$1098,C37)</x:f>
        <x:v>39951</x:v>
      </x:c>
      <x:c r="I37" s="53" t="n">
        <x:f>K36</x:f>
        <x:v>0</x:v>
      </x:c>
      <x:c r="J37" s="53" t="n">
        <x:f>MIN(G37+I37,H37)</x:f>
        <x:v>1300</x:v>
      </x:c>
      <x:c r="K37" s="53" t="n">
        <x:f>G37+I37-J37</x:f>
        <x:v>0</x:v>
      </x:c>
      <x:c r="L37" s="45" t="str">
        <x:f>IF(K37=0,"PASS","BACKLOG")</x:f>
        <x:v>PASS</x:v>
      </x:c>
      <x:c r="M37" s="72"/>
      <x:c r="N37" s="72"/>
    </x:row>
    <x:row r="38">
      <x:c r="C38" s="20" t="n">
        <x:v>31</x:v>
      </x:c>
      <x:c r="D38" s="53" t="n">
        <x:f>IF(C38&lt;3,0,IF(C38&lt;=30,700,1000))</x:f>
        <x:v>1000</x:v>
      </x:c>
      <x:c r="E38" s="53" t="n">
        <x:f>IF(C38&lt;3,0,IF(C38&lt;=30,180,240))</x:f>
        <x:v>240</x:v>
      </x:c>
      <x:c r="F38" s="53" t="n">
        <x:f>IF(C38&lt;7,0,IF(C38&lt;=45,420,600))</x:f>
        <x:v>420</x:v>
      </x:c>
      <x:c r="G38" s="53" t="n">
        <x:f>SUM(D38:F38)</x:f>
        <x:v>1660</x:v>
      </x:c>
      <x:c r="H38" s="53" t="n">
        <x:f>SUMIFS('Path Daily'!$R$7:$R$1098,'Path Daily'!$D$7:$D$1098,C38)</x:f>
        <x:v>39951</x:v>
      </x:c>
      <x:c r="I38" s="53" t="n">
        <x:f>K37</x:f>
        <x:v>0</x:v>
      </x:c>
      <x:c r="J38" s="53" t="n">
        <x:f>MIN(G38+I38,H38)</x:f>
        <x:v>1660</x:v>
      </x:c>
      <x:c r="K38" s="53" t="n">
        <x:f>G38+I38-J38</x:f>
        <x:v>0</x:v>
      </x:c>
      <x:c r="L38" s="45" t="str">
        <x:f>IF(K38=0,"PASS","BACKLOG")</x:f>
        <x:v>PASS</x:v>
      </x:c>
      <x:c r="M38" s="72"/>
      <x:c r="N38" s="72"/>
    </x:row>
    <x:row r="39">
      <x:c r="C39" s="20" t="n">
        <x:v>32</x:v>
      </x:c>
      <x:c r="D39" s="53" t="n">
        <x:f>IF(C39&lt;3,0,IF(C39&lt;=30,700,1000))</x:f>
        <x:v>1000</x:v>
      </x:c>
      <x:c r="E39" s="53" t="n">
        <x:f>IF(C39&lt;3,0,IF(C39&lt;=30,180,240))</x:f>
        <x:v>240</x:v>
      </x:c>
      <x:c r="F39" s="53" t="n">
        <x:f>IF(C39&lt;7,0,IF(C39&lt;=45,420,600))</x:f>
        <x:v>420</x:v>
      </x:c>
      <x:c r="G39" s="53" t="n">
        <x:f>SUM(D39:F39)</x:f>
        <x:v>1660</x:v>
      </x:c>
      <x:c r="H39" s="53" t="n">
        <x:f>SUMIFS('Path Daily'!$R$7:$R$1098,'Path Daily'!$D$7:$D$1098,C39)</x:f>
        <x:v>39951</x:v>
      </x:c>
      <x:c r="I39" s="53" t="n">
        <x:f>K38</x:f>
        <x:v>0</x:v>
      </x:c>
      <x:c r="J39" s="53" t="n">
        <x:f>MIN(G39+I39,H39)</x:f>
        <x:v>1660</x:v>
      </x:c>
      <x:c r="K39" s="53" t="n">
        <x:f>G39+I39-J39</x:f>
        <x:v>0</x:v>
      </x:c>
      <x:c r="L39" s="45" t="str">
        <x:f>IF(K39=0,"PASS","BACKLOG")</x:f>
        <x:v>PASS</x:v>
      </x:c>
      <x:c r="M39" s="72"/>
      <x:c r="N39" s="72"/>
    </x:row>
    <x:row r="40">
      <x:c r="C40" s="20" t="n">
        <x:v>33</x:v>
      </x:c>
      <x:c r="D40" s="53" t="n">
        <x:f>IF(C40&lt;3,0,IF(C40&lt;=30,700,1000))</x:f>
        <x:v>1000</x:v>
      </x:c>
      <x:c r="E40" s="53" t="n">
        <x:f>IF(C40&lt;3,0,IF(C40&lt;=30,180,240))</x:f>
        <x:v>240</x:v>
      </x:c>
      <x:c r="F40" s="53" t="n">
        <x:f>IF(C40&lt;7,0,IF(C40&lt;=45,420,600))</x:f>
        <x:v>420</x:v>
      </x:c>
      <x:c r="G40" s="53" t="n">
        <x:f>SUM(D40:F40)</x:f>
        <x:v>1660</x:v>
      </x:c>
      <x:c r="H40" s="53" t="n">
        <x:f>SUMIFS('Path Daily'!$R$7:$R$1098,'Path Daily'!$D$7:$D$1098,C40)</x:f>
        <x:v>39951</x:v>
      </x:c>
      <x:c r="I40" s="53" t="n">
        <x:f>K39</x:f>
        <x:v>0</x:v>
      </x:c>
      <x:c r="J40" s="53" t="n">
        <x:f>MIN(G40+I40,H40)</x:f>
        <x:v>1660</x:v>
      </x:c>
      <x:c r="K40" s="53" t="n">
        <x:f>G40+I40-J40</x:f>
        <x:v>0</x:v>
      </x:c>
      <x:c r="L40" s="45" t="str">
        <x:f>IF(K40=0,"PASS","BACKLOG")</x:f>
        <x:v>PASS</x:v>
      </x:c>
      <x:c r="M40" s="72"/>
      <x:c r="N40" s="72"/>
    </x:row>
    <x:row r="41">
      <x:c r="C41" s="20" t="n">
        <x:v>34</x:v>
      </x:c>
      <x:c r="D41" s="53" t="n">
        <x:f>IF(C41&lt;3,0,IF(C41&lt;=30,700,1000))</x:f>
        <x:v>1000</x:v>
      </x:c>
      <x:c r="E41" s="53" t="n">
        <x:f>IF(C41&lt;3,0,IF(C41&lt;=30,180,240))</x:f>
        <x:v>240</x:v>
      </x:c>
      <x:c r="F41" s="53" t="n">
        <x:f>IF(C41&lt;7,0,IF(C41&lt;=45,420,600))</x:f>
        <x:v>420</x:v>
      </x:c>
      <x:c r="G41" s="53" t="n">
        <x:f>SUM(D41:F41)</x:f>
        <x:v>1660</x:v>
      </x:c>
      <x:c r="H41" s="53" t="n">
        <x:f>SUMIFS('Path Daily'!$R$7:$R$1098,'Path Daily'!$D$7:$D$1098,C41)</x:f>
        <x:v>21470.1</x:v>
      </x:c>
      <x:c r="I41" s="53" t="n">
        <x:f>K40</x:f>
        <x:v>0</x:v>
      </x:c>
      <x:c r="J41" s="53" t="n">
        <x:f>MIN(G41+I41,H41)</x:f>
        <x:v>1660</x:v>
      </x:c>
      <x:c r="K41" s="53" t="n">
        <x:f>G41+I41-J41</x:f>
        <x:v>0</x:v>
      </x:c>
      <x:c r="L41" s="45" t="str">
        <x:f>IF(K41=0,"PASS","BACKLOG")</x:f>
        <x:v>PASS</x:v>
      </x:c>
      <x:c r="M41" s="72"/>
      <x:c r="N41" s="72"/>
    </x:row>
    <x:row r="42">
      <x:c r="C42" s="20" t="n">
        <x:v>35</x:v>
      </x:c>
      <x:c r="D42" s="53" t="n">
        <x:f>IF(C42&lt;3,0,IF(C42&lt;=30,700,1000))</x:f>
        <x:v>1000</x:v>
      </x:c>
      <x:c r="E42" s="53" t="n">
        <x:f>IF(C42&lt;3,0,IF(C42&lt;=30,180,240))</x:f>
        <x:v>240</x:v>
      </x:c>
      <x:c r="F42" s="53" t="n">
        <x:f>IF(C42&lt;7,0,IF(C42&lt;=45,420,600))</x:f>
        <x:v>420</x:v>
      </x:c>
      <x:c r="G42" s="53" t="n">
        <x:f>SUM(D42:F42)</x:f>
        <x:v>1660</x:v>
      </x:c>
      <x:c r="H42" s="53" t="n">
        <x:f>SUMIFS('Path Daily'!$R$7:$R$1098,'Path Daily'!$D$7:$D$1098,C42)</x:f>
        <x:v>21470.1</x:v>
      </x:c>
      <x:c r="I42" s="53" t="n">
        <x:f>K41</x:f>
        <x:v>0</x:v>
      </x:c>
      <x:c r="J42" s="53" t="n">
        <x:f>MIN(G42+I42,H42)</x:f>
        <x:v>1660</x:v>
      </x:c>
      <x:c r="K42" s="53" t="n">
        <x:f>G42+I42-J42</x:f>
        <x:v>0</x:v>
      </x:c>
      <x:c r="L42" s="45" t="str">
        <x:f>IF(K42=0,"PASS","BACKLOG")</x:f>
        <x:v>PASS</x:v>
      </x:c>
      <x:c r="M42" s="72"/>
      <x:c r="N42" s="72"/>
    </x:row>
    <x:row r="43">
      <x:c r="C43" s="20" t="n">
        <x:v>36</x:v>
      </x:c>
      <x:c r="D43" s="53" t="n">
        <x:f>IF(C43&lt;3,0,IF(C43&lt;=30,700,1000))</x:f>
        <x:v>1000</x:v>
      </x:c>
      <x:c r="E43" s="53" t="n">
        <x:f>IF(C43&lt;3,0,IF(C43&lt;=30,180,240))</x:f>
        <x:v>240</x:v>
      </x:c>
      <x:c r="F43" s="53" t="n">
        <x:f>IF(C43&lt;7,0,IF(C43&lt;=45,420,600))</x:f>
        <x:v>420</x:v>
      </x:c>
      <x:c r="G43" s="53" t="n">
        <x:f>SUM(D43:F43)</x:f>
        <x:v>1660</x:v>
      </x:c>
      <x:c r="H43" s="53" t="n">
        <x:f>SUMIFS('Path Daily'!$R$7:$R$1098,'Path Daily'!$D$7:$D$1098,C43)</x:f>
        <x:v>39951</x:v>
      </x:c>
      <x:c r="I43" s="53" t="n">
        <x:f>K42</x:f>
        <x:v>0</x:v>
      </x:c>
      <x:c r="J43" s="53" t="n">
        <x:f>MIN(G43+I43,H43)</x:f>
        <x:v>1660</x:v>
      </x:c>
      <x:c r="K43" s="53" t="n">
        <x:f>G43+I43-J43</x:f>
        <x:v>0</x:v>
      </x:c>
      <x:c r="L43" s="45" t="str">
        <x:f>IF(K43=0,"PASS","BACKLOG")</x:f>
        <x:v>PASS</x:v>
      </x:c>
      <x:c r="M43" s="72"/>
      <x:c r="N43" s="72"/>
    </x:row>
    <x:row r="44">
      <x:c r="C44" s="20" t="n">
        <x:v>37</x:v>
      </x:c>
      <x:c r="D44" s="53" t="n">
        <x:f>IF(C44&lt;3,0,IF(C44&lt;=30,700,1000))</x:f>
        <x:v>1000</x:v>
      </x:c>
      <x:c r="E44" s="53" t="n">
        <x:f>IF(C44&lt;3,0,IF(C44&lt;=30,180,240))</x:f>
        <x:v>240</x:v>
      </x:c>
      <x:c r="F44" s="53" t="n">
        <x:f>IF(C44&lt;7,0,IF(C44&lt;=45,420,600))</x:f>
        <x:v>420</x:v>
      </x:c>
      <x:c r="G44" s="53" t="n">
        <x:f>SUM(D44:F44)</x:f>
        <x:v>1660</x:v>
      </x:c>
      <x:c r="H44" s="53" t="n">
        <x:f>SUMIFS('Path Daily'!$R$7:$R$1098,'Path Daily'!$D$7:$D$1098,C44)</x:f>
        <x:v>39951</x:v>
      </x:c>
      <x:c r="I44" s="53" t="n">
        <x:f>K43</x:f>
        <x:v>0</x:v>
      </x:c>
      <x:c r="J44" s="53" t="n">
        <x:f>MIN(G44+I44,H44)</x:f>
        <x:v>1660</x:v>
      </x:c>
      <x:c r="K44" s="53" t="n">
        <x:f>G44+I44-J44</x:f>
        <x:v>0</x:v>
      </x:c>
      <x:c r="L44" s="45" t="str">
        <x:f>IF(K44=0,"PASS","BACKLOG")</x:f>
        <x:v>PASS</x:v>
      </x:c>
      <x:c r="M44" s="72"/>
      <x:c r="N44" s="72"/>
    </x:row>
    <x:row r="45">
      <x:c r="C45" s="20" t="n">
        <x:v>38</x:v>
      </x:c>
      <x:c r="D45" s="53" t="n">
        <x:f>IF(C45&lt;3,0,IF(C45&lt;=30,700,1000))</x:f>
        <x:v>1000</x:v>
      </x:c>
      <x:c r="E45" s="53" t="n">
        <x:f>IF(C45&lt;3,0,IF(C45&lt;=30,180,240))</x:f>
        <x:v>240</x:v>
      </x:c>
      <x:c r="F45" s="53" t="n">
        <x:f>IF(C45&lt;7,0,IF(C45&lt;=45,420,600))</x:f>
        <x:v>420</x:v>
      </x:c>
      <x:c r="G45" s="53" t="n">
        <x:f>SUM(D45:F45)</x:f>
        <x:v>1660</x:v>
      </x:c>
      <x:c r="H45" s="53" t="n">
        <x:f>SUMIFS('Path Daily'!$R$7:$R$1098,'Path Daily'!$D$7:$D$1098,C45)</x:f>
        <x:v>39951</x:v>
      </x:c>
      <x:c r="I45" s="53" t="n">
        <x:f>K44</x:f>
        <x:v>0</x:v>
      </x:c>
      <x:c r="J45" s="53" t="n">
        <x:f>MIN(G45+I45,H45)</x:f>
        <x:v>1660</x:v>
      </x:c>
      <x:c r="K45" s="53" t="n">
        <x:f>G45+I45-J45</x:f>
        <x:v>0</x:v>
      </x:c>
      <x:c r="L45" s="45" t="str">
        <x:f>IF(K45=0,"PASS","BACKLOG")</x:f>
        <x:v>PASS</x:v>
      </x:c>
      <x:c r="M45" s="72"/>
      <x:c r="N45" s="72"/>
    </x:row>
    <x:row r="46">
      <x:c r="C46" s="20" t="n">
        <x:v>39</x:v>
      </x:c>
      <x:c r="D46" s="53" t="n">
        <x:f>IF(C46&lt;3,0,IF(C46&lt;=30,700,1000))</x:f>
        <x:v>1000</x:v>
      </x:c>
      <x:c r="E46" s="53" t="n">
        <x:f>IF(C46&lt;3,0,IF(C46&lt;=30,180,240))</x:f>
        <x:v>240</x:v>
      </x:c>
      <x:c r="F46" s="53" t="n">
        <x:f>IF(C46&lt;7,0,IF(C46&lt;=45,420,600))</x:f>
        <x:v>420</x:v>
      </x:c>
      <x:c r="G46" s="53" t="n">
        <x:f>SUM(D46:F46)</x:f>
        <x:v>1660</x:v>
      </x:c>
      <x:c r="H46" s="53" t="n">
        <x:f>SUMIFS('Path Daily'!$R$7:$R$1098,'Path Daily'!$D$7:$D$1098,C46)</x:f>
        <x:v>39951</x:v>
      </x:c>
      <x:c r="I46" s="53" t="n">
        <x:f>K45</x:f>
        <x:v>0</x:v>
      </x:c>
      <x:c r="J46" s="53" t="n">
        <x:f>MIN(G46+I46,H46)</x:f>
        <x:v>1660</x:v>
      </x:c>
      <x:c r="K46" s="53" t="n">
        <x:f>G46+I46-J46</x:f>
        <x:v>0</x:v>
      </x:c>
      <x:c r="L46" s="45" t="str">
        <x:f>IF(K46=0,"PASS","BACKLOG")</x:f>
        <x:v>PASS</x:v>
      </x:c>
      <x:c r="M46" s="72"/>
      <x:c r="N46" s="72"/>
    </x:row>
    <x:row r="47">
      <x:c r="C47" s="20" t="n">
        <x:v>40</x:v>
      </x:c>
      <x:c r="D47" s="53" t="n">
        <x:f>IF(C47&lt;3,0,IF(C47&lt;=30,700,1000))</x:f>
        <x:v>1000</x:v>
      </x:c>
      <x:c r="E47" s="53" t="n">
        <x:f>IF(C47&lt;3,0,IF(C47&lt;=30,180,240))</x:f>
        <x:v>240</x:v>
      </x:c>
      <x:c r="F47" s="53" t="n">
        <x:f>IF(C47&lt;7,0,IF(C47&lt;=45,420,600))</x:f>
        <x:v>420</x:v>
      </x:c>
      <x:c r="G47" s="53" t="n">
        <x:f>SUM(D47:F47)</x:f>
        <x:v>1660</x:v>
      </x:c>
      <x:c r="H47" s="53" t="n">
        <x:f>SUMIFS('Path Daily'!$R$7:$R$1098,'Path Daily'!$D$7:$D$1098,C47)</x:f>
        <x:v>39951</x:v>
      </x:c>
      <x:c r="I47" s="53" t="n">
        <x:f>K46</x:f>
        <x:v>0</x:v>
      </x:c>
      <x:c r="J47" s="53" t="n">
        <x:f>MIN(G47+I47,H47)</x:f>
        <x:v>1660</x:v>
      </x:c>
      <x:c r="K47" s="53" t="n">
        <x:f>G47+I47-J47</x:f>
        <x:v>0</x:v>
      </x:c>
      <x:c r="L47" s="45" t="str">
        <x:f>IF(K47=0,"PASS","BACKLOG")</x:f>
        <x:v>PASS</x:v>
      </x:c>
      <x:c r="M47" s="72"/>
      <x:c r="N47" s="72"/>
    </x:row>
    <x:row r="48">
      <x:c r="C48" s="20" t="n">
        <x:v>41</x:v>
      </x:c>
      <x:c r="D48" s="53" t="n">
        <x:f>IF(C48&lt;3,0,IF(C48&lt;=30,700,1000))</x:f>
        <x:v>1000</x:v>
      </x:c>
      <x:c r="E48" s="53" t="n">
        <x:f>IF(C48&lt;3,0,IF(C48&lt;=30,180,240))</x:f>
        <x:v>240</x:v>
      </x:c>
      <x:c r="F48" s="53" t="n">
        <x:f>IF(C48&lt;7,0,IF(C48&lt;=45,420,600))</x:f>
        <x:v>420</x:v>
      </x:c>
      <x:c r="G48" s="53" t="n">
        <x:f>SUM(D48:F48)</x:f>
        <x:v>1660</x:v>
      </x:c>
      <x:c r="H48" s="53" t="n">
        <x:f>SUMIFS('Path Daily'!$R$7:$R$1098,'Path Daily'!$D$7:$D$1098,C48)</x:f>
        <x:v>39951</x:v>
      </x:c>
      <x:c r="I48" s="53" t="n">
        <x:f>K47</x:f>
        <x:v>0</x:v>
      </x:c>
      <x:c r="J48" s="53" t="n">
        <x:f>MIN(G48+I48,H48)</x:f>
        <x:v>1660</x:v>
      </x:c>
      <x:c r="K48" s="53" t="n">
        <x:f>G48+I48-J48</x:f>
        <x:v>0</x:v>
      </x:c>
      <x:c r="L48" s="45" t="str">
        <x:f>IF(K48=0,"PASS","BACKLOG")</x:f>
        <x:v>PASS</x:v>
      </x:c>
      <x:c r="M48" s="72"/>
      <x:c r="N48" s="72"/>
    </x:row>
    <x:row r="49">
      <x:c r="C49" s="20" t="n">
        <x:v>42</x:v>
      </x:c>
      <x:c r="D49" s="53" t="n">
        <x:f>IF(C49&lt;3,0,IF(C49&lt;=30,700,1000))</x:f>
        <x:v>1000</x:v>
      </x:c>
      <x:c r="E49" s="53" t="n">
        <x:f>IF(C49&lt;3,0,IF(C49&lt;=30,180,240))</x:f>
        <x:v>240</x:v>
      </x:c>
      <x:c r="F49" s="53" t="n">
        <x:f>IF(C49&lt;7,0,IF(C49&lt;=45,420,600))</x:f>
        <x:v>420</x:v>
      </x:c>
      <x:c r="G49" s="53" t="n">
        <x:f>SUM(D49:F49)</x:f>
        <x:v>1660</x:v>
      </x:c>
      <x:c r="H49" s="53" t="n">
        <x:f>SUMIFS('Path Daily'!$R$7:$R$1098,'Path Daily'!$D$7:$D$1098,C49)</x:f>
        <x:v>39951</x:v>
      </x:c>
      <x:c r="I49" s="53" t="n">
        <x:f>K48</x:f>
        <x:v>0</x:v>
      </x:c>
      <x:c r="J49" s="53" t="n">
        <x:f>MIN(G49+I49,H49)</x:f>
        <x:v>1660</x:v>
      </x:c>
      <x:c r="K49" s="53" t="n">
        <x:f>G49+I49-J49</x:f>
        <x:v>0</x:v>
      </x:c>
      <x:c r="L49" s="45" t="str">
        <x:f>IF(K49=0,"PASS","BACKLOG")</x:f>
        <x:v>PASS</x:v>
      </x:c>
      <x:c r="M49" s="72"/>
      <x:c r="N49" s="72"/>
    </x:row>
    <x:row r="50">
      <x:c r="C50" s="20" t="n">
        <x:v>43</x:v>
      </x:c>
      <x:c r="D50" s="53" t="n">
        <x:f>IF(C50&lt;3,0,IF(C50&lt;=30,700,1000))</x:f>
        <x:v>1000</x:v>
      </x:c>
      <x:c r="E50" s="53" t="n">
        <x:f>IF(C50&lt;3,0,IF(C50&lt;=30,180,240))</x:f>
        <x:v>240</x:v>
      </x:c>
      <x:c r="F50" s="53" t="n">
        <x:f>IF(C50&lt;7,0,IF(C50&lt;=45,420,600))</x:f>
        <x:v>420</x:v>
      </x:c>
      <x:c r="G50" s="53" t="n">
        <x:f>SUM(D50:F50)</x:f>
        <x:v>1660</x:v>
      </x:c>
      <x:c r="H50" s="53" t="n">
        <x:f>SUMIFS('Path Daily'!$R$7:$R$1098,'Path Daily'!$D$7:$D$1098,C50)</x:f>
        <x:v>39951</x:v>
      </x:c>
      <x:c r="I50" s="53" t="n">
        <x:f>K49</x:f>
        <x:v>0</x:v>
      </x:c>
      <x:c r="J50" s="53" t="n">
        <x:f>MIN(G50+I50,H50)</x:f>
        <x:v>1660</x:v>
      </x:c>
      <x:c r="K50" s="53" t="n">
        <x:f>G50+I50-J50</x:f>
        <x:v>0</x:v>
      </x:c>
      <x:c r="L50" s="45" t="str">
        <x:f>IF(K50=0,"PASS","BACKLOG")</x:f>
        <x:v>PASS</x:v>
      </x:c>
      <x:c r="M50" s="72"/>
      <x:c r="N50" s="72"/>
    </x:row>
    <x:row r="51">
      <x:c r="C51" s="20" t="n">
        <x:v>44</x:v>
      </x:c>
      <x:c r="D51" s="53" t="n">
        <x:f>IF(C51&lt;3,0,IF(C51&lt;=30,700,1000))</x:f>
        <x:v>1000</x:v>
      </x:c>
      <x:c r="E51" s="53" t="n">
        <x:f>IF(C51&lt;3,0,IF(C51&lt;=30,180,240))</x:f>
        <x:v>240</x:v>
      </x:c>
      <x:c r="F51" s="53" t="n">
        <x:f>IF(C51&lt;7,0,IF(C51&lt;=45,420,600))</x:f>
        <x:v>420</x:v>
      </x:c>
      <x:c r="G51" s="53" t="n">
        <x:f>SUM(D51:F51)</x:f>
        <x:v>1660</x:v>
      </x:c>
      <x:c r="H51" s="53" t="n">
        <x:f>SUMIFS('Path Daily'!$R$7:$R$1098,'Path Daily'!$D$7:$D$1098,C51)</x:f>
        <x:v>39951</x:v>
      </x:c>
      <x:c r="I51" s="53" t="n">
        <x:f>K50</x:f>
        <x:v>0</x:v>
      </x:c>
      <x:c r="J51" s="53" t="n">
        <x:f>MIN(G51+I51,H51)</x:f>
        <x:v>1660</x:v>
      </x:c>
      <x:c r="K51" s="53" t="n">
        <x:f>G51+I51-J51</x:f>
        <x:v>0</x:v>
      </x:c>
      <x:c r="L51" s="45" t="str">
        <x:f>IF(K51=0,"PASS","BACKLOG")</x:f>
        <x:v>PASS</x:v>
      </x:c>
      <x:c r="M51" s="72"/>
      <x:c r="N51" s="72"/>
    </x:row>
    <x:row r="52">
      <x:c r="C52" s="20" t="n">
        <x:v>45</x:v>
      </x:c>
      <x:c r="D52" s="53" t="n">
        <x:f>IF(C52&lt;3,0,IF(C52&lt;=30,700,1000))</x:f>
        <x:v>1000</x:v>
      </x:c>
      <x:c r="E52" s="53" t="n">
        <x:f>IF(C52&lt;3,0,IF(C52&lt;=30,180,240))</x:f>
        <x:v>240</x:v>
      </x:c>
      <x:c r="F52" s="53" t="n">
        <x:f>IF(C52&lt;7,0,IF(C52&lt;=45,420,600))</x:f>
        <x:v>420</x:v>
      </x:c>
      <x:c r="G52" s="53" t="n">
        <x:f>SUM(D52:F52)</x:f>
        <x:v>1660</x:v>
      </x:c>
      <x:c r="H52" s="53" t="n">
        <x:f>SUMIFS('Path Daily'!$R$7:$R$1098,'Path Daily'!$D$7:$D$1098,C52)</x:f>
        <x:v>39951</x:v>
      </x:c>
      <x:c r="I52" s="53" t="n">
        <x:f>K51</x:f>
        <x:v>0</x:v>
      </x:c>
      <x:c r="J52" s="53" t="n">
        <x:f>MIN(G52+I52,H52)</x:f>
        <x:v>1660</x:v>
      </x:c>
      <x:c r="K52" s="53" t="n">
        <x:f>G52+I52-J52</x:f>
        <x:v>0</x:v>
      </x:c>
      <x:c r="L52" s="45" t="str">
        <x:f>IF(K52=0,"PASS","BACKLOG")</x:f>
        <x:v>PASS</x:v>
      </x:c>
      <x:c r="M52" s="72"/>
      <x:c r="N52" s="72"/>
    </x:row>
    <x:row r="53">
      <x:c r="C53" s="20" t="n">
        <x:v>46</x:v>
      </x:c>
      <x:c r="D53" s="53" t="n">
        <x:f>IF(C53&lt;3,0,IF(C53&lt;=30,700,1000))</x:f>
        <x:v>1000</x:v>
      </x:c>
      <x:c r="E53" s="53" t="n">
        <x:f>IF(C53&lt;3,0,IF(C53&lt;=30,180,240))</x:f>
        <x:v>240</x:v>
      </x:c>
      <x:c r="F53" s="53" t="n">
        <x:f>IF(C53&lt;7,0,IF(C53&lt;=45,420,600))</x:f>
        <x:v>600</x:v>
      </x:c>
      <x:c r="G53" s="53" t="n">
        <x:f>SUM(D53:F53)</x:f>
        <x:v>1840</x:v>
      </x:c>
      <x:c r="H53" s="53" t="n">
        <x:f>SUMIFS('Path Daily'!$R$7:$R$1098,'Path Daily'!$D$7:$D$1098,C53)</x:f>
        <x:v>27516.4</x:v>
      </x:c>
      <x:c r="I53" s="53" t="n">
        <x:f>K52</x:f>
        <x:v>0</x:v>
      </x:c>
      <x:c r="J53" s="53" t="n">
        <x:f>MIN(G53+I53,H53)</x:f>
        <x:v>1840</x:v>
      </x:c>
      <x:c r="K53" s="53" t="n">
        <x:f>G53+I53-J53</x:f>
        <x:v>0</x:v>
      </x:c>
      <x:c r="L53" s="45" t="str">
        <x:f>IF(K53=0,"PASS","BACKLOG")</x:f>
        <x:v>PASS</x:v>
      </x:c>
      <x:c r="M53" s="72"/>
      <x:c r="N53" s="72"/>
    </x:row>
    <x:row r="54">
      <x:c r="C54" s="20" t="n">
        <x:v>47</x:v>
      </x:c>
      <x:c r="D54" s="53" t="n">
        <x:f>IF(C54&lt;3,0,IF(C54&lt;=30,700,1000))</x:f>
        <x:v>1000</x:v>
      </x:c>
      <x:c r="E54" s="53" t="n">
        <x:f>IF(C54&lt;3,0,IF(C54&lt;=30,180,240))</x:f>
        <x:v>240</x:v>
      </x:c>
      <x:c r="F54" s="53" t="n">
        <x:f>IF(C54&lt;7,0,IF(C54&lt;=45,420,600))</x:f>
        <x:v>600</x:v>
      </x:c>
      <x:c r="G54" s="53" t="n">
        <x:f>SUM(D54:F54)</x:f>
        <x:v>1840</x:v>
      </x:c>
      <x:c r="H54" s="53" t="n">
        <x:f>SUMIFS('Path Daily'!$R$7:$R$1098,'Path Daily'!$D$7:$D$1098,C54)</x:f>
        <x:v>53268</x:v>
      </x:c>
      <x:c r="I54" s="53" t="n">
        <x:f>K53</x:f>
        <x:v>0</x:v>
      </x:c>
      <x:c r="J54" s="53" t="n">
        <x:f>MIN(G54+I54,H54)</x:f>
        <x:v>1840</x:v>
      </x:c>
      <x:c r="K54" s="53" t="n">
        <x:f>G54+I54-J54</x:f>
        <x:v>0</x:v>
      </x:c>
      <x:c r="L54" s="45" t="str">
        <x:f>IF(K54=0,"PASS","BACKLOG")</x:f>
        <x:v>PASS</x:v>
      </x:c>
      <x:c r="M54" s="72"/>
      <x:c r="N54" s="72"/>
    </x:row>
    <x:row r="55">
      <x:c r="C55" s="20" t="n">
        <x:v>48</x:v>
      </x:c>
      <x:c r="D55" s="53" t="n">
        <x:f>IF(C55&lt;3,0,IF(C55&lt;=30,700,1000))</x:f>
        <x:v>1000</x:v>
      </x:c>
      <x:c r="E55" s="53" t="n">
        <x:f>IF(C55&lt;3,0,IF(C55&lt;=30,180,240))</x:f>
        <x:v>240</x:v>
      </x:c>
      <x:c r="F55" s="53" t="n">
        <x:f>IF(C55&lt;7,0,IF(C55&lt;=45,420,600))</x:f>
        <x:v>600</x:v>
      </x:c>
      <x:c r="G55" s="53" t="n">
        <x:f>SUM(D55:F55)</x:f>
        <x:v>1840</x:v>
      </x:c>
      <x:c r="H55" s="53" t="n">
        <x:f>SUMIFS('Path Daily'!$R$7:$R$1098,'Path Daily'!$D$7:$D$1098,C55)</x:f>
        <x:v>53268</x:v>
      </x:c>
      <x:c r="I55" s="53" t="n">
        <x:f>K54</x:f>
        <x:v>0</x:v>
      </x:c>
      <x:c r="J55" s="53" t="n">
        <x:f>MIN(G55+I55,H55)</x:f>
        <x:v>1840</x:v>
      </x:c>
      <x:c r="K55" s="53" t="n">
        <x:f>G55+I55-J55</x:f>
        <x:v>0</x:v>
      </x:c>
      <x:c r="L55" s="45" t="str">
        <x:f>IF(K55=0,"PASS","BACKLOG")</x:f>
        <x:v>PASS</x:v>
      </x:c>
      <x:c r="M55" s="72"/>
      <x:c r="N55" s="72"/>
    </x:row>
    <x:row r="56">
      <x:c r="C56" s="20" t="n">
        <x:v>49</x:v>
      </x:c>
      <x:c r="D56" s="53" t="n">
        <x:f>IF(C56&lt;3,0,IF(C56&lt;=30,700,1000))</x:f>
        <x:v>1000</x:v>
      </x:c>
      <x:c r="E56" s="53" t="n">
        <x:f>IF(C56&lt;3,0,IF(C56&lt;=30,180,240))</x:f>
        <x:v>240</x:v>
      </x:c>
      <x:c r="F56" s="53" t="n">
        <x:f>IF(C56&lt;7,0,IF(C56&lt;=45,420,600))</x:f>
        <x:v>600</x:v>
      </x:c>
      <x:c r="G56" s="53" t="n">
        <x:f>SUM(D56:F56)</x:f>
        <x:v>1840</x:v>
      </x:c>
      <x:c r="H56" s="53" t="n">
        <x:f>SUMIFS('Path Daily'!$R$7:$R$1098,'Path Daily'!$D$7:$D$1098,C56)</x:f>
        <x:v>53268</x:v>
      </x:c>
      <x:c r="I56" s="53" t="n">
        <x:f>K55</x:f>
        <x:v>0</x:v>
      </x:c>
      <x:c r="J56" s="53" t="n">
        <x:f>MIN(G56+I56,H56)</x:f>
        <x:v>1840</x:v>
      </x:c>
      <x:c r="K56" s="53" t="n">
        <x:f>G56+I56-J56</x:f>
        <x:v>0</x:v>
      </x:c>
      <x:c r="L56" s="45" t="str">
        <x:f>IF(K56=0,"PASS","BACKLOG")</x:f>
        <x:v>PASS</x:v>
      </x:c>
      <x:c r="M56" s="72"/>
      <x:c r="N56" s="72"/>
    </x:row>
    <x:row r="57">
      <x:c r="C57" s="20" t="n">
        <x:v>50</x:v>
      </x:c>
      <x:c r="D57" s="53" t="n">
        <x:f>IF(C57&lt;3,0,IF(C57&lt;=30,700,1000))</x:f>
        <x:v>1000</x:v>
      </x:c>
      <x:c r="E57" s="53" t="n">
        <x:f>IF(C57&lt;3,0,IF(C57&lt;=30,180,240))</x:f>
        <x:v>240</x:v>
      </x:c>
      <x:c r="F57" s="53" t="n">
        <x:f>IF(C57&lt;7,0,IF(C57&lt;=45,420,600))</x:f>
        <x:v>600</x:v>
      </x:c>
      <x:c r="G57" s="53" t="n">
        <x:f>SUM(D57:F57)</x:f>
        <x:v>1840</x:v>
      </x:c>
      <x:c r="H57" s="53" t="n">
        <x:f>SUMIFS('Path Daily'!$R$7:$R$1098,'Path Daily'!$D$7:$D$1098,C57)</x:f>
        <x:v>53268</x:v>
      </x:c>
      <x:c r="I57" s="53" t="n">
        <x:f>K56</x:f>
        <x:v>0</x:v>
      </x:c>
      <x:c r="J57" s="53" t="n">
        <x:f>MIN(G57+I57,H57)</x:f>
        <x:v>1840</x:v>
      </x:c>
      <x:c r="K57" s="53" t="n">
        <x:f>G57+I57-J57</x:f>
        <x:v>0</x:v>
      </x:c>
      <x:c r="L57" s="45" t="str">
        <x:f>IF(K57=0,"PASS","BACKLOG")</x:f>
        <x:v>PASS</x:v>
      </x:c>
      <x:c r="M57" s="72"/>
      <x:c r="N57" s="72"/>
    </x:row>
    <x:row r="58">
      <x:c r="C58" s="20" t="n">
        <x:v>51</x:v>
      </x:c>
      <x:c r="D58" s="53" t="n">
        <x:f>IF(C58&lt;3,0,IF(C58&lt;=30,700,1000))</x:f>
        <x:v>1000</x:v>
      </x:c>
      <x:c r="E58" s="53" t="n">
        <x:f>IF(C58&lt;3,0,IF(C58&lt;=30,180,240))</x:f>
        <x:v>240</x:v>
      </x:c>
      <x:c r="F58" s="53" t="n">
        <x:f>IF(C58&lt;7,0,IF(C58&lt;=45,420,600))</x:f>
        <x:v>600</x:v>
      </x:c>
      <x:c r="G58" s="53" t="n">
        <x:f>SUM(D58:F58)</x:f>
        <x:v>1840</x:v>
      </x:c>
      <x:c r="H58" s="53" t="n">
        <x:f>SUMIFS('Path Daily'!$R$7:$R$1098,'Path Daily'!$D$7:$D$1098,C58)</x:f>
        <x:v>53268</x:v>
      </x:c>
      <x:c r="I58" s="53" t="n">
        <x:f>K57</x:f>
        <x:v>0</x:v>
      </x:c>
      <x:c r="J58" s="53" t="n">
        <x:f>MIN(G58+I58,H58)</x:f>
        <x:v>1840</x:v>
      </x:c>
      <x:c r="K58" s="53" t="n">
        <x:f>G58+I58-J58</x:f>
        <x:v>0</x:v>
      </x:c>
      <x:c r="L58" s="45" t="str">
        <x:f>IF(K58=0,"PASS","BACKLOG")</x:f>
        <x:v>PASS</x:v>
      </x:c>
      <x:c r="M58" s="72"/>
      <x:c r="N58" s="72"/>
    </x:row>
    <x:row r="59">
      <x:c r="C59" s="20" t="n">
        <x:v>52</x:v>
      </x:c>
      <x:c r="D59" s="53" t="n">
        <x:f>IF(C59&lt;3,0,IF(C59&lt;=30,700,1000))</x:f>
        <x:v>1000</x:v>
      </x:c>
      <x:c r="E59" s="53" t="n">
        <x:f>IF(C59&lt;3,0,IF(C59&lt;=30,180,240))</x:f>
        <x:v>240</x:v>
      </x:c>
      <x:c r="F59" s="53" t="n">
        <x:f>IF(C59&lt;7,0,IF(C59&lt;=45,420,600))</x:f>
        <x:v>600</x:v>
      </x:c>
      <x:c r="G59" s="53" t="n">
        <x:f>SUM(D59:F59)</x:f>
        <x:v>1840</x:v>
      </x:c>
      <x:c r="H59" s="53" t="n">
        <x:f>SUMIFS('Path Daily'!$R$7:$R$1098,'Path Daily'!$D$7:$D$1098,C59)</x:f>
        <x:v>53268</x:v>
      </x:c>
      <x:c r="I59" s="53" t="n">
        <x:f>K58</x:f>
        <x:v>0</x:v>
      </x:c>
      <x:c r="J59" s="53" t="n">
        <x:f>MIN(G59+I59,H59)</x:f>
        <x:v>1840</x:v>
      </x:c>
      <x:c r="K59" s="53" t="n">
        <x:f>G59+I59-J59</x:f>
        <x:v>0</x:v>
      </x:c>
      <x:c r="L59" s="45" t="str">
        <x:f>IF(K59=0,"PASS","BACKLOG")</x:f>
        <x:v>PASS</x:v>
      </x:c>
      <x:c r="M59" s="72"/>
      <x:c r="N59" s="72"/>
    </x:row>
    <x:row r="60">
      <x:c r="C60" s="20" t="n">
        <x:v>53</x:v>
      </x:c>
      <x:c r="D60" s="53" t="n">
        <x:f>IF(C60&lt;3,0,IF(C60&lt;=30,700,1000))</x:f>
        <x:v>1000</x:v>
      </x:c>
      <x:c r="E60" s="53" t="n">
        <x:f>IF(C60&lt;3,0,IF(C60&lt;=30,180,240))</x:f>
        <x:v>240</x:v>
      </x:c>
      <x:c r="F60" s="53" t="n">
        <x:f>IF(C60&lt;7,0,IF(C60&lt;=45,420,600))</x:f>
        <x:v>600</x:v>
      </x:c>
      <x:c r="G60" s="53" t="n">
        <x:f>SUM(D60:F60)</x:f>
        <x:v>1840</x:v>
      </x:c>
      <x:c r="H60" s="53" t="n">
        <x:f>SUMIFS('Path Daily'!$R$7:$R$1098,'Path Daily'!$D$7:$D$1098,C60)</x:f>
        <x:v>53268</x:v>
      </x:c>
      <x:c r="I60" s="53" t="n">
        <x:f>K59</x:f>
        <x:v>0</x:v>
      </x:c>
      <x:c r="J60" s="53" t="n">
        <x:f>MIN(G60+I60,H60)</x:f>
        <x:v>1840</x:v>
      </x:c>
      <x:c r="K60" s="53" t="n">
        <x:f>G60+I60-J60</x:f>
        <x:v>0</x:v>
      </x:c>
      <x:c r="L60" s="45" t="str">
        <x:f>IF(K60=0,"PASS","BACKLOG")</x:f>
        <x:v>PASS</x:v>
      </x:c>
      <x:c r="M60" s="72"/>
      <x:c r="N60" s="72"/>
    </x:row>
    <x:row r="61">
      <x:c r="C61" s="20" t="n">
        <x:v>54</x:v>
      </x:c>
      <x:c r="D61" s="53" t="n">
        <x:f>IF(C61&lt;3,0,IF(C61&lt;=30,700,1000))</x:f>
        <x:v>1000</x:v>
      </x:c>
      <x:c r="E61" s="53" t="n">
        <x:f>IF(C61&lt;3,0,IF(C61&lt;=30,180,240))</x:f>
        <x:v>240</x:v>
      </x:c>
      <x:c r="F61" s="53" t="n">
        <x:f>IF(C61&lt;7,0,IF(C61&lt;=45,420,600))</x:f>
        <x:v>600</x:v>
      </x:c>
      <x:c r="G61" s="53" t="n">
        <x:f>SUM(D61:F61)</x:f>
        <x:v>1840</x:v>
      </x:c>
      <x:c r="H61" s="53" t="n">
        <x:f>SUMIFS('Path Daily'!$R$7:$R$1098,'Path Daily'!$D$7:$D$1098,C61)</x:f>
        <x:v>53268</x:v>
      </x:c>
      <x:c r="I61" s="53" t="n">
        <x:f>K60</x:f>
        <x:v>0</x:v>
      </x:c>
      <x:c r="J61" s="53" t="n">
        <x:f>MIN(G61+I61,H61)</x:f>
        <x:v>1840</x:v>
      </x:c>
      <x:c r="K61" s="53" t="n">
        <x:f>G61+I61-J61</x:f>
        <x:v>0</x:v>
      </x:c>
      <x:c r="L61" s="45" t="str">
        <x:f>IF(K61=0,"PASS","BACKLOG")</x:f>
        <x:v>PASS</x:v>
      </x:c>
      <x:c r="M61" s="72"/>
      <x:c r="N61" s="72"/>
    </x:row>
    <x:row r="62">
      <x:c r="C62" s="20" t="n">
        <x:v>55</x:v>
      </x:c>
      <x:c r="D62" s="53" t="n">
        <x:f>IF(C62&lt;3,0,IF(C62&lt;=30,700,1000))</x:f>
        <x:v>1000</x:v>
      </x:c>
      <x:c r="E62" s="53" t="n">
        <x:f>IF(C62&lt;3,0,IF(C62&lt;=30,180,240))</x:f>
        <x:v>240</x:v>
      </x:c>
      <x:c r="F62" s="53" t="n">
        <x:f>IF(C62&lt;7,0,IF(C62&lt;=45,420,600))</x:f>
        <x:v>600</x:v>
      </x:c>
      <x:c r="G62" s="53" t="n">
        <x:f>SUM(D62:F62)</x:f>
        <x:v>1840</x:v>
      </x:c>
      <x:c r="H62" s="53" t="n">
        <x:f>SUMIFS('Path Daily'!$R$7:$R$1098,'Path Daily'!$D$7:$D$1098,C62)</x:f>
        <x:v>53268</x:v>
      </x:c>
      <x:c r="I62" s="53" t="n">
        <x:f>K61</x:f>
        <x:v>0</x:v>
      </x:c>
      <x:c r="J62" s="53" t="n">
        <x:f>MIN(G62+I62,H62)</x:f>
        <x:v>1840</x:v>
      </x:c>
      <x:c r="K62" s="53" t="n">
        <x:f>G62+I62-J62</x:f>
        <x:v>0</x:v>
      </x:c>
      <x:c r="L62" s="45" t="str">
        <x:f>IF(K62=0,"PASS","BACKLOG")</x:f>
        <x:v>PASS</x:v>
      </x:c>
      <x:c r="M62" s="72"/>
      <x:c r="N62" s="72"/>
    </x:row>
    <x:row r="63">
      <x:c r="C63" s="20" t="n">
        <x:v>56</x:v>
      </x:c>
      <x:c r="D63" s="53" t="n">
        <x:f>IF(C63&lt;3,0,IF(C63&lt;=30,700,1000))</x:f>
        <x:v>1000</x:v>
      </x:c>
      <x:c r="E63" s="53" t="n">
        <x:f>IF(C63&lt;3,0,IF(C63&lt;=30,180,240))</x:f>
        <x:v>240</x:v>
      </x:c>
      <x:c r="F63" s="53" t="n">
        <x:f>IF(C63&lt;7,0,IF(C63&lt;=45,420,600))</x:f>
        <x:v>600</x:v>
      </x:c>
      <x:c r="G63" s="53" t="n">
        <x:f>SUM(D63:F63)</x:f>
        <x:v>1840</x:v>
      </x:c>
      <x:c r="H63" s="53" t="n">
        <x:f>SUMIFS('Path Daily'!$R$7:$R$1098,'Path Daily'!$D$7:$D$1098,C63)</x:f>
        <x:v>53268</x:v>
      </x:c>
      <x:c r="I63" s="53" t="n">
        <x:f>K62</x:f>
        <x:v>0</x:v>
      </x:c>
      <x:c r="J63" s="53" t="n">
        <x:f>MIN(G63+I63,H63)</x:f>
        <x:v>1840</x:v>
      </x:c>
      <x:c r="K63" s="53" t="n">
        <x:f>G63+I63-J63</x:f>
        <x:v>0</x:v>
      </x:c>
      <x:c r="L63" s="45" t="str">
        <x:f>IF(K63=0,"PASS","BACKLOG")</x:f>
        <x:v>PASS</x:v>
      </x:c>
      <x:c r="M63" s="72"/>
      <x:c r="N63" s="72"/>
    </x:row>
    <x:row r="64">
      <x:c r="C64" s="20" t="n">
        <x:v>57</x:v>
      </x:c>
      <x:c r="D64" s="53" t="n">
        <x:f>IF(C64&lt;3,0,IF(C64&lt;=30,700,1000))</x:f>
        <x:v>1000</x:v>
      </x:c>
      <x:c r="E64" s="53" t="n">
        <x:f>IF(C64&lt;3,0,IF(C64&lt;=30,180,240))</x:f>
        <x:v>240</x:v>
      </x:c>
      <x:c r="F64" s="53" t="n">
        <x:f>IF(C64&lt;7,0,IF(C64&lt;=45,420,600))</x:f>
        <x:v>600</x:v>
      </x:c>
      <x:c r="G64" s="53" t="n">
        <x:f>SUM(D64:F64)</x:f>
        <x:v>1840</x:v>
      </x:c>
      <x:c r="H64" s="53" t="n">
        <x:f>SUMIFS('Path Daily'!$R$7:$R$1098,'Path Daily'!$D$7:$D$1098,C64)</x:f>
        <x:v>53268</x:v>
      </x:c>
      <x:c r="I64" s="53" t="n">
        <x:f>K63</x:f>
        <x:v>0</x:v>
      </x:c>
      <x:c r="J64" s="53" t="n">
        <x:f>MIN(G64+I64,H64)</x:f>
        <x:v>1840</x:v>
      </x:c>
      <x:c r="K64" s="53" t="n">
        <x:f>G64+I64-J64</x:f>
        <x:v>0</x:v>
      </x:c>
      <x:c r="L64" s="45" t="str">
        <x:f>IF(K64=0,"PASS","BACKLOG")</x:f>
        <x:v>PASS</x:v>
      </x:c>
      <x:c r="M64" s="72"/>
      <x:c r="N64" s="72"/>
    </x:row>
    <x:row r="65">
      <x:c r="C65" s="20" t="n">
        <x:v>58</x:v>
      </x:c>
      <x:c r="D65" s="53" t="n">
        <x:f>IF(C65&lt;3,0,IF(C65&lt;=30,700,1000))</x:f>
        <x:v>1000</x:v>
      </x:c>
      <x:c r="E65" s="53" t="n">
        <x:f>IF(C65&lt;3,0,IF(C65&lt;=30,180,240))</x:f>
        <x:v>240</x:v>
      </x:c>
      <x:c r="F65" s="53" t="n">
        <x:f>IF(C65&lt;7,0,IF(C65&lt;=45,420,600))</x:f>
        <x:v>600</x:v>
      </x:c>
      <x:c r="G65" s="53" t="n">
        <x:f>SUM(D65:F65)</x:f>
        <x:v>1840</x:v>
      </x:c>
      <x:c r="H65" s="53" t="n">
        <x:f>SUMIFS('Path Daily'!$R$7:$R$1098,'Path Daily'!$D$7:$D$1098,C65)</x:f>
        <x:v>53268</x:v>
      </x:c>
      <x:c r="I65" s="53" t="n">
        <x:f>K64</x:f>
        <x:v>0</x:v>
      </x:c>
      <x:c r="J65" s="53" t="n">
        <x:f>MIN(G65+I65,H65)</x:f>
        <x:v>1840</x:v>
      </x:c>
      <x:c r="K65" s="53" t="n">
        <x:f>G65+I65-J65</x:f>
        <x:v>0</x:v>
      </x:c>
      <x:c r="L65" s="45" t="str">
        <x:f>IF(K65=0,"PASS","BACKLOG")</x:f>
        <x:v>PASS</x:v>
      </x:c>
      <x:c r="M65" s="72"/>
      <x:c r="N65" s="72"/>
    </x:row>
    <x:row r="66">
      <x:c r="C66" s="20" t="n">
        <x:v>59</x:v>
      </x:c>
      <x:c r="D66" s="53" t="n">
        <x:f>IF(C66&lt;3,0,IF(C66&lt;=30,700,1000))</x:f>
        <x:v>1000</x:v>
      </x:c>
      <x:c r="E66" s="53" t="n">
        <x:f>IF(C66&lt;3,0,IF(C66&lt;=30,180,240))</x:f>
        <x:v>240</x:v>
      </x:c>
      <x:c r="F66" s="53" t="n">
        <x:f>IF(C66&lt;7,0,IF(C66&lt;=45,420,600))</x:f>
        <x:v>600</x:v>
      </x:c>
      <x:c r="G66" s="53" t="n">
        <x:f>SUM(D66:F66)</x:f>
        <x:v>1840</x:v>
      </x:c>
      <x:c r="H66" s="53" t="n">
        <x:f>SUMIFS('Path Daily'!$R$7:$R$1098,'Path Daily'!$D$7:$D$1098,C66)</x:f>
        <x:v>53268</x:v>
      </x:c>
      <x:c r="I66" s="53" t="n">
        <x:f>K65</x:f>
        <x:v>0</x:v>
      </x:c>
      <x:c r="J66" s="53" t="n">
        <x:f>MIN(G66+I66,H66)</x:f>
        <x:v>1840</x:v>
      </x:c>
      <x:c r="K66" s="53" t="n">
        <x:f>G66+I66-J66</x:f>
        <x:v>0</x:v>
      </x:c>
      <x:c r="L66" s="45" t="str">
        <x:f>IF(K66=0,"PASS","BACKLOG")</x:f>
        <x:v>PASS</x:v>
      </x:c>
      <x:c r="M66" s="72"/>
      <x:c r="N66" s="72"/>
    </x:row>
    <x:row r="67">
      <x:c r="C67" s="20" t="n">
        <x:v>60</x:v>
      </x:c>
      <x:c r="D67" s="53" t="n">
        <x:f>IF(C67&lt;3,0,IF(C67&lt;=30,700,1000))</x:f>
        <x:v>1000</x:v>
      </x:c>
      <x:c r="E67" s="53" t="n">
        <x:f>IF(C67&lt;3,0,IF(C67&lt;=30,180,240))</x:f>
        <x:v>240</x:v>
      </x:c>
      <x:c r="F67" s="53" t="n">
        <x:f>IF(C67&lt;7,0,IF(C67&lt;=45,420,600))</x:f>
        <x:v>600</x:v>
      </x:c>
      <x:c r="G67" s="53" t="n">
        <x:f>SUM(D67:F67)</x:f>
        <x:v>1840</x:v>
      </x:c>
      <x:c r="H67" s="53" t="n">
        <x:f>SUMIFS('Path Daily'!$R$7:$R$1098,'Path Daily'!$D$7:$D$1098,C67)</x:f>
        <x:v>53268</x:v>
      </x:c>
      <x:c r="I67" s="53" t="n">
        <x:f>K66</x:f>
        <x:v>0</x:v>
      </x:c>
      <x:c r="J67" s="53" t="n">
        <x:f>MIN(G67+I67,H67)</x:f>
        <x:v>1840</x:v>
      </x:c>
      <x:c r="K67" s="53" t="n">
        <x:f>G67+I67-J67</x:f>
        <x:v>0</x:v>
      </x:c>
      <x:c r="L67" s="45" t="str">
        <x:f>IF(K67=0,"PASS","BACKLOG")</x:f>
        <x:v>PASS</x:v>
      </x:c>
      <x:c r="M67" s="72"/>
      <x:c r="N67" s="72"/>
    </x:row>
    <x:row r="68">
      <x:c r="C68" s="20" t="n">
        <x:v>61</x:v>
      </x:c>
      <x:c r="D68" s="53" t="n">
        <x:f>IF(C68&lt;3,0,IF(C68&lt;=30,700,1000))</x:f>
        <x:v>1000</x:v>
      </x:c>
      <x:c r="E68" s="53" t="n">
        <x:f>IF(C68&lt;3,0,IF(C68&lt;=30,180,240))</x:f>
        <x:v>240</x:v>
      </x:c>
      <x:c r="F68" s="53" t="n">
        <x:f>IF(C68&lt;7,0,IF(C68&lt;=45,420,600))</x:f>
        <x:v>600</x:v>
      </x:c>
      <x:c r="G68" s="53" t="n">
        <x:f>SUM(D68:F68)</x:f>
        <x:v>1840</x:v>
      </x:c>
      <x:c r="H68" s="53" t="n">
        <x:f>SUMIFS('Path Daily'!$R$7:$R$1098,'Path Daily'!$D$7:$D$1098,C68)</x:f>
        <x:v>28626.8</x:v>
      </x:c>
      <x:c r="I68" s="53" t="n">
        <x:f>K67</x:f>
        <x:v>0</x:v>
      </x:c>
      <x:c r="J68" s="53" t="n">
        <x:f>MIN(G68+I68,H68)</x:f>
        <x:v>1840</x:v>
      </x:c>
      <x:c r="K68" s="53" t="n">
        <x:f>G68+I68-J68</x:f>
        <x:v>0</x:v>
      </x:c>
      <x:c r="L68" s="45" t="str">
        <x:f>IF(K68=0,"PASS","BACKLOG")</x:f>
        <x:v>PASS</x:v>
      </x:c>
      <x:c r="M68" s="72"/>
      <x:c r="N68" s="72"/>
    </x:row>
    <x:row r="69">
      <x:c r="C69" s="20" t="n">
        <x:v>62</x:v>
      </x:c>
      <x:c r="D69" s="53" t="n">
        <x:f>IF(C69&lt;3,0,IF(C69&lt;=30,700,1000))</x:f>
        <x:v>1000</x:v>
      </x:c>
      <x:c r="E69" s="53" t="n">
        <x:f>IF(C69&lt;3,0,IF(C69&lt;=30,180,240))</x:f>
        <x:v>240</x:v>
      </x:c>
      <x:c r="F69" s="53" t="n">
        <x:f>IF(C69&lt;7,0,IF(C69&lt;=45,420,600))</x:f>
        <x:v>600</x:v>
      </x:c>
      <x:c r="G69" s="53" t="n">
        <x:f>SUM(D69:F69)</x:f>
        <x:v>1840</x:v>
      </x:c>
      <x:c r="H69" s="53" t="n">
        <x:f>SUMIFS('Path Daily'!$R$7:$R$1098,'Path Daily'!$D$7:$D$1098,C69)</x:f>
        <x:v>28626.8</x:v>
      </x:c>
      <x:c r="I69" s="53" t="n">
        <x:f>K68</x:f>
        <x:v>0</x:v>
      </x:c>
      <x:c r="J69" s="53" t="n">
        <x:f>MIN(G69+I69,H69)</x:f>
        <x:v>1840</x:v>
      </x:c>
      <x:c r="K69" s="53" t="n">
        <x:f>G69+I69-J69</x:f>
        <x:v>0</x:v>
      </x:c>
      <x:c r="L69" s="45" t="str">
        <x:f>IF(K69=0,"PASS","BACKLOG")</x:f>
        <x:v>PASS</x:v>
      </x:c>
      <x:c r="M69" s="72"/>
      <x:c r="N69" s="72"/>
    </x:row>
    <x:row r="70">
      <x:c r="C70" s="20" t="n">
        <x:v>63</x:v>
      </x:c>
      <x:c r="D70" s="53" t="n">
        <x:f>IF(C70&lt;3,0,IF(C70&lt;=30,700,1000))</x:f>
        <x:v>1000</x:v>
      </x:c>
      <x:c r="E70" s="53" t="n">
        <x:f>IF(C70&lt;3,0,IF(C70&lt;=30,180,240))</x:f>
        <x:v>240</x:v>
      </x:c>
      <x:c r="F70" s="53" t="n">
        <x:f>IF(C70&lt;7,0,IF(C70&lt;=45,420,600))</x:f>
        <x:v>600</x:v>
      </x:c>
      <x:c r="G70" s="53" t="n">
        <x:f>SUM(D70:F70)</x:f>
        <x:v>1840</x:v>
      </x:c>
      <x:c r="H70" s="53" t="n">
        <x:f>SUMIFS('Path Daily'!$R$7:$R$1098,'Path Daily'!$D$7:$D$1098,C70)</x:f>
        <x:v>28626.8</x:v>
      </x:c>
      <x:c r="I70" s="53" t="n">
        <x:f>K69</x:f>
        <x:v>0</x:v>
      </x:c>
      <x:c r="J70" s="53" t="n">
        <x:f>MIN(G70+I70,H70)</x:f>
        <x:v>1840</x:v>
      </x:c>
      <x:c r="K70" s="53" t="n">
        <x:f>G70+I70-J70</x:f>
        <x:v>0</x:v>
      </x:c>
      <x:c r="L70" s="45" t="str">
        <x:f>IF(K70=0,"PASS","BACKLOG")</x:f>
        <x:v>PASS</x:v>
      </x:c>
      <x:c r="M70" s="72"/>
      <x:c r="N70" s="72"/>
    </x:row>
    <x:row r="71">
      <x:c r="C71" s="20" t="n">
        <x:v>64</x:v>
      </x:c>
      <x:c r="D71" s="53" t="n">
        <x:f>IF(C71&lt;3,0,IF(C71&lt;=30,700,1000))</x:f>
        <x:v>1000</x:v>
      </x:c>
      <x:c r="E71" s="53" t="n">
        <x:f>IF(C71&lt;3,0,IF(C71&lt;=30,180,240))</x:f>
        <x:v>240</x:v>
      </x:c>
      <x:c r="F71" s="53" t="n">
        <x:f>IF(C71&lt;7,0,IF(C71&lt;=45,420,600))</x:f>
        <x:v>600</x:v>
      </x:c>
      <x:c r="G71" s="53" t="n">
        <x:f>SUM(D71:F71)</x:f>
        <x:v>1840</x:v>
      </x:c>
      <x:c r="H71" s="53" t="n">
        <x:f>SUMIFS('Path Daily'!$R$7:$R$1098,'Path Daily'!$D$7:$D$1098,C71)</x:f>
        <x:v>53268</x:v>
      </x:c>
      <x:c r="I71" s="53" t="n">
        <x:f>K70</x:f>
        <x:v>0</x:v>
      </x:c>
      <x:c r="J71" s="53" t="n">
        <x:f>MIN(G71+I71,H71)</x:f>
        <x:v>1840</x:v>
      </x:c>
      <x:c r="K71" s="53" t="n">
        <x:f>G71+I71-J71</x:f>
        <x:v>0</x:v>
      </x:c>
      <x:c r="L71" s="45" t="str">
        <x:f>IF(K71=0,"PASS","BACKLOG")</x:f>
        <x:v>PASS</x:v>
      </x:c>
      <x:c r="M71" s="72"/>
      <x:c r="N71" s="72"/>
    </x:row>
    <x:row r="72">
      <x:c r="C72" s="20" t="n">
        <x:v>65</x:v>
      </x:c>
      <x:c r="D72" s="53" t="n">
        <x:f>IF(C72&lt;3,0,IF(C72&lt;=30,700,1000))</x:f>
        <x:v>1000</x:v>
      </x:c>
      <x:c r="E72" s="53" t="n">
        <x:f>IF(C72&lt;3,0,IF(C72&lt;=30,180,240))</x:f>
        <x:v>240</x:v>
      </x:c>
      <x:c r="F72" s="53" t="n">
        <x:f>IF(C72&lt;7,0,IF(C72&lt;=45,420,600))</x:f>
        <x:v>600</x:v>
      </x:c>
      <x:c r="G72" s="53" t="n">
        <x:f>SUM(D72:F72)</x:f>
        <x:v>1840</x:v>
      </x:c>
      <x:c r="H72" s="53" t="n">
        <x:f>SUMIFS('Path Daily'!$R$7:$R$1098,'Path Daily'!$D$7:$D$1098,C72)</x:f>
        <x:v>53268</x:v>
      </x:c>
      <x:c r="I72" s="53" t="n">
        <x:f>K71</x:f>
        <x:v>0</x:v>
      </x:c>
      <x:c r="J72" s="53" t="n">
        <x:f>MIN(G72+I72,H72)</x:f>
        <x:v>1840</x:v>
      </x:c>
      <x:c r="K72" s="53" t="n">
        <x:f>G72+I72-J72</x:f>
        <x:v>0</x:v>
      </x:c>
      <x:c r="L72" s="45" t="str">
        <x:f>IF(K72=0,"PASS","BACKLOG")</x:f>
        <x:v>PASS</x:v>
      </x:c>
      <x:c r="M72" s="72"/>
      <x:c r="N72" s="72"/>
    </x:row>
    <x:row r="73">
      <x:c r="C73" s="20" t="n">
        <x:v>66</x:v>
      </x:c>
      <x:c r="D73" s="53" t="n">
        <x:f>IF(C73&lt;3,0,IF(C73&lt;=30,700,1000))</x:f>
        <x:v>1000</x:v>
      </x:c>
      <x:c r="E73" s="53" t="n">
        <x:f>IF(C73&lt;3,0,IF(C73&lt;=30,180,240))</x:f>
        <x:v>240</x:v>
      </x:c>
      <x:c r="F73" s="53" t="n">
        <x:f>IF(C73&lt;7,0,IF(C73&lt;=45,420,600))</x:f>
        <x:v>600</x:v>
      </x:c>
      <x:c r="G73" s="53" t="n">
        <x:f>SUM(D73:F73)</x:f>
        <x:v>1840</x:v>
      </x:c>
      <x:c r="H73" s="53" t="n">
        <x:f>SUMIFS('Path Daily'!$R$7:$R$1098,'Path Daily'!$D$7:$D$1098,C73)</x:f>
        <x:v>53268</x:v>
      </x:c>
      <x:c r="I73" s="53" t="n">
        <x:f>K72</x:f>
        <x:v>0</x:v>
      </x:c>
      <x:c r="J73" s="53" t="n">
        <x:f>MIN(G73+I73,H73)</x:f>
        <x:v>1840</x:v>
      </x:c>
      <x:c r="K73" s="53" t="n">
        <x:f>G73+I73-J73</x:f>
        <x:v>0</x:v>
      </x:c>
      <x:c r="L73" s="45" t="str">
        <x:f>IF(K73=0,"PASS","BACKLOG")</x:f>
        <x:v>PASS</x:v>
      </x:c>
      <x:c r="M73" s="72"/>
      <x:c r="N73" s="72"/>
    </x:row>
    <x:row r="74">
      <x:c r="C74" s="20" t="n">
        <x:v>67</x:v>
      </x:c>
      <x:c r="D74" s="53" t="n">
        <x:f>IF(C74&lt;3,0,IF(C74&lt;=30,700,1000))</x:f>
        <x:v>1000</x:v>
      </x:c>
      <x:c r="E74" s="53" t="n">
        <x:f>IF(C74&lt;3,0,IF(C74&lt;=30,180,240))</x:f>
        <x:v>240</x:v>
      </x:c>
      <x:c r="F74" s="53" t="n">
        <x:f>IF(C74&lt;7,0,IF(C74&lt;=45,420,600))</x:f>
        <x:v>600</x:v>
      </x:c>
      <x:c r="G74" s="53" t="n">
        <x:f>SUM(D74:F74)</x:f>
        <x:v>1840</x:v>
      </x:c>
      <x:c r="H74" s="53" t="n">
        <x:f>SUMIFS('Path Daily'!$R$7:$R$1098,'Path Daily'!$D$7:$D$1098,C74)</x:f>
        <x:v>53268</x:v>
      </x:c>
      <x:c r="I74" s="53" t="n">
        <x:f>K73</x:f>
        <x:v>0</x:v>
      </x:c>
      <x:c r="J74" s="53" t="n">
        <x:f>MIN(G74+I74,H74)</x:f>
        <x:v>1840</x:v>
      </x:c>
      <x:c r="K74" s="53" t="n">
        <x:f>G74+I74-J74</x:f>
        <x:v>0</x:v>
      </x:c>
      <x:c r="L74" s="45" t="str">
        <x:f>IF(K74=0,"PASS","BACKLOG")</x:f>
        <x:v>PASS</x:v>
      </x:c>
      <x:c r="M74" s="72"/>
      <x:c r="N74" s="72"/>
    </x:row>
    <x:row r="75">
      <x:c r="C75" s="20" t="n">
        <x:v>68</x:v>
      </x:c>
      <x:c r="D75" s="53" t="n">
        <x:f>IF(C75&lt;3,0,IF(C75&lt;=30,700,1000))</x:f>
        <x:v>1000</x:v>
      </x:c>
      <x:c r="E75" s="53" t="n">
        <x:f>IF(C75&lt;3,0,IF(C75&lt;=30,180,240))</x:f>
        <x:v>240</x:v>
      </x:c>
      <x:c r="F75" s="53" t="n">
        <x:f>IF(C75&lt;7,0,IF(C75&lt;=45,420,600))</x:f>
        <x:v>600</x:v>
      </x:c>
      <x:c r="G75" s="53" t="n">
        <x:f>SUM(D75:F75)</x:f>
        <x:v>1840</x:v>
      </x:c>
      <x:c r="H75" s="53" t="n">
        <x:f>SUMIFS('Path Daily'!$R$7:$R$1098,'Path Daily'!$D$7:$D$1098,C75)</x:f>
        <x:v>53268</x:v>
      </x:c>
      <x:c r="I75" s="53" t="n">
        <x:f>K74</x:f>
        <x:v>0</x:v>
      </x:c>
      <x:c r="J75" s="53" t="n">
        <x:f>MIN(G75+I75,H75)</x:f>
        <x:v>1840</x:v>
      </x:c>
      <x:c r="K75" s="53" t="n">
        <x:f>G75+I75-J75</x:f>
        <x:v>0</x:v>
      </x:c>
      <x:c r="L75" s="45" t="str">
        <x:f>IF(K75=0,"PASS","BACKLOG")</x:f>
        <x:v>PASS</x:v>
      </x:c>
      <x:c r="M75" s="72"/>
      <x:c r="N75" s="72"/>
    </x:row>
    <x:row r="76">
      <x:c r="C76" s="20" t="n">
        <x:v>69</x:v>
      </x:c>
      <x:c r="D76" s="53" t="n">
        <x:f>IF(C76&lt;3,0,IF(C76&lt;=30,700,1000))</x:f>
        <x:v>1000</x:v>
      </x:c>
      <x:c r="E76" s="53" t="n">
        <x:f>IF(C76&lt;3,0,IF(C76&lt;=30,180,240))</x:f>
        <x:v>240</x:v>
      </x:c>
      <x:c r="F76" s="53" t="n">
        <x:f>IF(C76&lt;7,0,IF(C76&lt;=45,420,600))</x:f>
        <x:v>600</x:v>
      </x:c>
      <x:c r="G76" s="53" t="n">
        <x:f>SUM(D76:F76)</x:f>
        <x:v>1840</x:v>
      </x:c>
      <x:c r="H76" s="53" t="n">
        <x:f>SUMIFS('Path Daily'!$R$7:$R$1098,'Path Daily'!$D$7:$D$1098,C76)</x:f>
        <x:v>53268</x:v>
      </x:c>
      <x:c r="I76" s="53" t="n">
        <x:f>K75</x:f>
        <x:v>0</x:v>
      </x:c>
      <x:c r="J76" s="53" t="n">
        <x:f>MIN(G76+I76,H76)</x:f>
        <x:v>1840</x:v>
      </x:c>
      <x:c r="K76" s="53" t="n">
        <x:f>G76+I76-J76</x:f>
        <x:v>0</x:v>
      </x:c>
      <x:c r="L76" s="45" t="str">
        <x:f>IF(K76=0,"PASS","BACKLOG")</x:f>
        <x:v>PASS</x:v>
      </x:c>
      <x:c r="M76" s="72"/>
      <x:c r="N76" s="72"/>
    </x:row>
    <x:row r="77">
      <x:c r="C77" s="20" t="n">
        <x:v>70</x:v>
      </x:c>
      <x:c r="D77" s="53" t="n">
        <x:f>IF(C77&lt;3,0,IF(C77&lt;=30,700,1000))</x:f>
        <x:v>1000</x:v>
      </x:c>
      <x:c r="E77" s="53" t="n">
        <x:f>IF(C77&lt;3,0,IF(C77&lt;=30,180,240))</x:f>
        <x:v>240</x:v>
      </x:c>
      <x:c r="F77" s="53" t="n">
        <x:f>IF(C77&lt;7,0,IF(C77&lt;=45,420,600))</x:f>
        <x:v>600</x:v>
      </x:c>
      <x:c r="G77" s="53" t="n">
        <x:f>SUM(D77:F77)</x:f>
        <x:v>1840</x:v>
      </x:c>
      <x:c r="H77" s="53" t="n">
        <x:f>SUMIFS('Path Daily'!$R$7:$R$1098,'Path Daily'!$D$7:$D$1098,C77)</x:f>
        <x:v>53268</x:v>
      </x:c>
      <x:c r="I77" s="53" t="n">
        <x:f>K76</x:f>
        <x:v>0</x:v>
      </x:c>
      <x:c r="J77" s="53" t="n">
        <x:f>MIN(G77+I77,H77)</x:f>
        <x:v>1840</x:v>
      </x:c>
      <x:c r="K77" s="53" t="n">
        <x:f>G77+I77-J77</x:f>
        <x:v>0</x:v>
      </x:c>
      <x:c r="L77" s="45" t="str">
        <x:f>IF(K77=0,"PASS","BACKLOG")</x:f>
        <x:v>PASS</x:v>
      </x:c>
      <x:c r="M77" s="72"/>
      <x:c r="N77" s="72"/>
    </x:row>
    <x:row r="78">
      <x:c r="C78" s="20" t="n">
        <x:v>71</x:v>
      </x:c>
      <x:c r="D78" s="53" t="n">
        <x:f>IF(C78&lt;3,0,IF(C78&lt;=30,700,1000))</x:f>
        <x:v>1000</x:v>
      </x:c>
      <x:c r="E78" s="53" t="n">
        <x:f>IF(C78&lt;3,0,IF(C78&lt;=30,180,240))</x:f>
        <x:v>240</x:v>
      </x:c>
      <x:c r="F78" s="53" t="n">
        <x:f>IF(C78&lt;7,0,IF(C78&lt;=45,420,600))</x:f>
        <x:v>600</x:v>
      </x:c>
      <x:c r="G78" s="53" t="n">
        <x:f>SUM(D78:F78)</x:f>
        <x:v>1840</x:v>
      </x:c>
      <x:c r="H78" s="53" t="n">
        <x:f>SUMIFS('Path Daily'!$R$7:$R$1098,'Path Daily'!$D$7:$D$1098,C78)</x:f>
        <x:v>53268</x:v>
      </x:c>
      <x:c r="I78" s="53" t="n">
        <x:f>K77</x:f>
        <x:v>0</x:v>
      </x:c>
      <x:c r="J78" s="53" t="n">
        <x:f>MIN(G78+I78,H78)</x:f>
        <x:v>1840</x:v>
      </x:c>
      <x:c r="K78" s="53" t="n">
        <x:f>G78+I78-J78</x:f>
        <x:v>0</x:v>
      </x:c>
      <x:c r="L78" s="45" t="str">
        <x:f>IF(K78=0,"PASS","BACKLOG")</x:f>
        <x:v>PASS</x:v>
      </x:c>
      <x:c r="M78" s="72"/>
      <x:c r="N78" s="72"/>
    </x:row>
    <x:row r="79">
      <x:c r="C79" s="20" t="n">
        <x:v>72</x:v>
      </x:c>
      <x:c r="D79" s="53" t="n">
        <x:f>IF(C79&lt;3,0,IF(C79&lt;=30,700,1000))</x:f>
        <x:v>1000</x:v>
      </x:c>
      <x:c r="E79" s="53" t="n">
        <x:f>IF(C79&lt;3,0,IF(C79&lt;=30,180,240))</x:f>
        <x:v>240</x:v>
      </x:c>
      <x:c r="F79" s="53" t="n">
        <x:f>IF(C79&lt;7,0,IF(C79&lt;=45,420,600))</x:f>
        <x:v>600</x:v>
      </x:c>
      <x:c r="G79" s="53" t="n">
        <x:f>SUM(D79:F79)</x:f>
        <x:v>1840</x:v>
      </x:c>
      <x:c r="H79" s="53" t="n">
        <x:f>SUMIFS('Path Daily'!$R$7:$R$1098,'Path Daily'!$D$7:$D$1098,C79)</x:f>
        <x:v>53268</x:v>
      </x:c>
      <x:c r="I79" s="53" t="n">
        <x:f>K78</x:f>
        <x:v>0</x:v>
      </x:c>
      <x:c r="J79" s="53" t="n">
        <x:f>MIN(G79+I79,H79)</x:f>
        <x:v>1840</x:v>
      </x:c>
      <x:c r="K79" s="53" t="n">
        <x:f>G79+I79-J79</x:f>
        <x:v>0</x:v>
      </x:c>
      <x:c r="L79" s="45" t="str">
        <x:f>IF(K79=0,"PASS","BACKLOG")</x:f>
        <x:v>PASS</x:v>
      </x:c>
      <x:c r="M79" s="72"/>
      <x:c r="N79" s="72"/>
    </x:row>
    <x:row r="80">
      <x:c r="C80" s="20" t="n">
        <x:v>73</x:v>
      </x:c>
      <x:c r="D80" s="53" t="n">
        <x:f>IF(C80&lt;3,0,IF(C80&lt;=30,700,1000))</x:f>
        <x:v>1000</x:v>
      </x:c>
      <x:c r="E80" s="53" t="n">
        <x:f>IF(C80&lt;3,0,IF(C80&lt;=30,180,240))</x:f>
        <x:v>240</x:v>
      </x:c>
      <x:c r="F80" s="53" t="n">
        <x:f>IF(C80&lt;7,0,IF(C80&lt;=45,420,600))</x:f>
        <x:v>600</x:v>
      </x:c>
      <x:c r="G80" s="53" t="n">
        <x:f>SUM(D80:F80)</x:f>
        <x:v>1840</x:v>
      </x:c>
      <x:c r="H80" s="53" t="n">
        <x:f>SUMIFS('Path Daily'!$R$7:$R$1098,'Path Daily'!$D$7:$D$1098,C80)</x:f>
        <x:v>53268</x:v>
      </x:c>
      <x:c r="I80" s="53" t="n">
        <x:f>K79</x:f>
        <x:v>0</x:v>
      </x:c>
      <x:c r="J80" s="53" t="n">
        <x:f>MIN(G80+I80,H80)</x:f>
        <x:v>1840</x:v>
      </x:c>
      <x:c r="K80" s="53" t="n">
        <x:f>G80+I80-J80</x:f>
        <x:v>0</x:v>
      </x:c>
      <x:c r="L80" s="45" t="str">
        <x:f>IF(K80=0,"PASS","BACKLOG")</x:f>
        <x:v>PASS</x:v>
      </x:c>
      <x:c r="M80" s="72"/>
      <x:c r="N80" s="72"/>
    </x:row>
    <x:row r="81">
      <x:c r="C81" s="20" t="n">
        <x:v>74</x:v>
      </x:c>
      <x:c r="D81" s="53" t="n">
        <x:f>IF(C81&lt;3,0,IF(C81&lt;=30,700,1000))</x:f>
        <x:v>1000</x:v>
      </x:c>
      <x:c r="E81" s="53" t="n">
        <x:f>IF(C81&lt;3,0,IF(C81&lt;=30,180,240))</x:f>
        <x:v>240</x:v>
      </x:c>
      <x:c r="F81" s="53" t="n">
        <x:f>IF(C81&lt;7,0,IF(C81&lt;=45,420,600))</x:f>
        <x:v>600</x:v>
      </x:c>
      <x:c r="G81" s="53" t="n">
        <x:f>SUM(D81:F81)</x:f>
        <x:v>1840</x:v>
      </x:c>
      <x:c r="H81" s="53" t="n">
        <x:f>SUMIFS('Path Daily'!$R$7:$R$1098,'Path Daily'!$D$7:$D$1098,C81)</x:f>
        <x:v>53268</x:v>
      </x:c>
      <x:c r="I81" s="53" t="n">
        <x:f>K80</x:f>
        <x:v>0</x:v>
      </x:c>
      <x:c r="J81" s="53" t="n">
        <x:f>MIN(G81+I81,H81)</x:f>
        <x:v>1840</x:v>
      </x:c>
      <x:c r="K81" s="53" t="n">
        <x:f>G81+I81-J81</x:f>
        <x:v>0</x:v>
      </x:c>
      <x:c r="L81" s="45" t="str">
        <x:f>IF(K81=0,"PASS","BACKLOG")</x:f>
        <x:v>PASS</x:v>
      </x:c>
      <x:c r="M81" s="72"/>
      <x:c r="N81" s="72"/>
    </x:row>
    <x:row r="82">
      <x:c r="C82" s="20" t="n">
        <x:v>75</x:v>
      </x:c>
      <x:c r="D82" s="53" t="n">
        <x:f>IF(C82&lt;3,0,IF(C82&lt;=30,700,1000))</x:f>
        <x:v>1000</x:v>
      </x:c>
      <x:c r="E82" s="53" t="n">
        <x:f>IF(C82&lt;3,0,IF(C82&lt;=30,180,240))</x:f>
        <x:v>240</x:v>
      </x:c>
      <x:c r="F82" s="53" t="n">
        <x:f>IF(C82&lt;7,0,IF(C82&lt;=45,420,600))</x:f>
        <x:v>600</x:v>
      </x:c>
      <x:c r="G82" s="53" t="n">
        <x:f>SUM(D82:F82)</x:f>
        <x:v>1840</x:v>
      </x:c>
      <x:c r="H82" s="53" t="n">
        <x:f>SUMIFS('Path Daily'!$R$7:$R$1098,'Path Daily'!$D$7:$D$1098,C82)</x:f>
        <x:v>53268</x:v>
      </x:c>
      <x:c r="I82" s="53" t="n">
        <x:f>K81</x:f>
        <x:v>0</x:v>
      </x:c>
      <x:c r="J82" s="53" t="n">
        <x:f>MIN(G82+I82,H82)</x:f>
        <x:v>1840</x:v>
      </x:c>
      <x:c r="K82" s="53" t="n">
        <x:f>G82+I82-J82</x:f>
        <x:v>0</x:v>
      </x:c>
      <x:c r="L82" s="45" t="str">
        <x:f>IF(K82=0,"PASS","BACKLOG")</x:f>
        <x:v>PASS</x:v>
      </x:c>
      <x:c r="M82" s="72"/>
      <x:c r="N82" s="72"/>
    </x:row>
    <x:row r="83">
      <x:c r="C83" s="20" t="n">
        <x:v>76</x:v>
      </x:c>
      <x:c r="D83" s="53" t="n">
        <x:f>IF(C83&lt;3,0,IF(C83&lt;=30,700,1000))</x:f>
        <x:v>1000</x:v>
      </x:c>
      <x:c r="E83" s="53" t="n">
        <x:f>IF(C83&lt;3,0,IF(C83&lt;=30,180,240))</x:f>
        <x:v>240</x:v>
      </x:c>
      <x:c r="F83" s="53" t="n">
        <x:f>IF(C83&lt;7,0,IF(C83&lt;=45,420,600))</x:f>
        <x:v>600</x:v>
      </x:c>
      <x:c r="G83" s="53" t="n">
        <x:f>SUM(D83:F83)</x:f>
        <x:v>1840</x:v>
      </x:c>
      <x:c r="H83" s="53" t="n">
        <x:f>SUMIFS('Path Daily'!$R$7:$R$1098,'Path Daily'!$D$7:$D$1098,C83)</x:f>
        <x:v>53268</x:v>
      </x:c>
      <x:c r="I83" s="53" t="n">
        <x:f>K82</x:f>
        <x:v>0</x:v>
      </x:c>
      <x:c r="J83" s="53" t="n">
        <x:f>MIN(G83+I83,H83)</x:f>
        <x:v>1840</x:v>
      </x:c>
      <x:c r="K83" s="53" t="n">
        <x:f>G83+I83-J83</x:f>
        <x:v>0</x:v>
      </x:c>
      <x:c r="L83" s="45" t="str">
        <x:f>IF(K83=0,"PASS","BACKLOG")</x:f>
        <x:v>PASS</x:v>
      </x:c>
      <x:c r="M83" s="72"/>
      <x:c r="N83" s="72"/>
    </x:row>
    <x:row r="84">
      <x:c r="C84" s="20" t="n">
        <x:v>77</x:v>
      </x:c>
      <x:c r="D84" s="53" t="n">
        <x:f>IF(C84&lt;3,0,IF(C84&lt;=30,700,1000))</x:f>
        <x:v>1000</x:v>
      </x:c>
      <x:c r="E84" s="53" t="n">
        <x:f>IF(C84&lt;3,0,IF(C84&lt;=30,180,240))</x:f>
        <x:v>240</x:v>
      </x:c>
      <x:c r="F84" s="53" t="n">
        <x:f>IF(C84&lt;7,0,IF(C84&lt;=45,420,600))</x:f>
        <x:v>600</x:v>
      </x:c>
      <x:c r="G84" s="53" t="n">
        <x:f>SUM(D84:F84)</x:f>
        <x:v>1840</x:v>
      </x:c>
      <x:c r="H84" s="53" t="n">
        <x:f>SUMIFS('Path Daily'!$R$7:$R$1098,'Path Daily'!$D$7:$D$1098,C84)</x:f>
        <x:v>53268</x:v>
      </x:c>
      <x:c r="I84" s="53" t="n">
        <x:f>K83</x:f>
        <x:v>0</x:v>
      </x:c>
      <x:c r="J84" s="53" t="n">
        <x:f>MIN(G84+I84,H84)</x:f>
        <x:v>1840</x:v>
      </x:c>
      <x:c r="K84" s="53" t="n">
        <x:f>G84+I84-J84</x:f>
        <x:v>0</x:v>
      </x:c>
      <x:c r="L84" s="45" t="str">
        <x:f>IF(K84=0,"PASS","BACKLOG")</x:f>
        <x:v>PASS</x:v>
      </x:c>
      <x:c r="M84" s="72"/>
      <x:c r="N84" s="72"/>
    </x:row>
    <x:row r="85">
      <x:c r="C85" s="20" t="n">
        <x:v>78</x:v>
      </x:c>
      <x:c r="D85" s="53" t="n">
        <x:f>IF(C85&lt;3,0,IF(C85&lt;=30,700,1000))</x:f>
        <x:v>1000</x:v>
      </x:c>
      <x:c r="E85" s="53" t="n">
        <x:f>IF(C85&lt;3,0,IF(C85&lt;=30,180,240))</x:f>
        <x:v>240</x:v>
      </x:c>
      <x:c r="F85" s="53" t="n">
        <x:f>IF(C85&lt;7,0,IF(C85&lt;=45,420,600))</x:f>
        <x:v>600</x:v>
      </x:c>
      <x:c r="G85" s="53" t="n">
        <x:f>SUM(D85:F85)</x:f>
        <x:v>1840</x:v>
      </x:c>
      <x:c r="H85" s="53" t="n">
        <x:f>SUMIFS('Path Daily'!$R$7:$R$1098,'Path Daily'!$D$7:$D$1098,C85)</x:f>
        <x:v>53268</x:v>
      </x:c>
      <x:c r="I85" s="53" t="n">
        <x:f>K84</x:f>
        <x:v>0</x:v>
      </x:c>
      <x:c r="J85" s="53" t="n">
        <x:f>MIN(G85+I85,H85)</x:f>
        <x:v>1840</x:v>
      </x:c>
      <x:c r="K85" s="53" t="n">
        <x:f>G85+I85-J85</x:f>
        <x:v>0</x:v>
      </x:c>
      <x:c r="L85" s="45" t="str">
        <x:f>IF(K85=0,"PASS","BACKLOG")</x:f>
        <x:v>PASS</x:v>
      </x:c>
      <x:c r="M85" s="72"/>
      <x:c r="N85" s="72"/>
    </x:row>
    <x:row r="86">
      <x:c r="C86" s="20" t="n">
        <x:v>79</x:v>
      </x:c>
      <x:c r="D86" s="53" t="n">
        <x:f>IF(C86&lt;3,0,IF(C86&lt;=30,700,1000))</x:f>
        <x:v>1000</x:v>
      </x:c>
      <x:c r="E86" s="53" t="n">
        <x:f>IF(C86&lt;3,0,IF(C86&lt;=30,180,240))</x:f>
        <x:v>240</x:v>
      </x:c>
      <x:c r="F86" s="53" t="n">
        <x:f>IF(C86&lt;7,0,IF(C86&lt;=45,420,600))</x:f>
        <x:v>600</x:v>
      </x:c>
      <x:c r="G86" s="53" t="n">
        <x:f>SUM(D86:F86)</x:f>
        <x:v>1840</x:v>
      </x:c>
      <x:c r="H86" s="53" t="n">
        <x:f>SUMIFS('Path Daily'!$R$7:$R$1098,'Path Daily'!$D$7:$D$1098,C86)</x:f>
        <x:v>53268</x:v>
      </x:c>
      <x:c r="I86" s="53" t="n">
        <x:f>K85</x:f>
        <x:v>0</x:v>
      </x:c>
      <x:c r="J86" s="53" t="n">
        <x:f>MIN(G86+I86,H86)</x:f>
        <x:v>1840</x:v>
      </x:c>
      <x:c r="K86" s="53" t="n">
        <x:f>G86+I86-J86</x:f>
        <x:v>0</x:v>
      </x:c>
      <x:c r="L86" s="45" t="str">
        <x:f>IF(K86=0,"PASS","BACKLOG")</x:f>
        <x:v>PASS</x:v>
      </x:c>
      <x:c r="M86" s="72"/>
      <x:c r="N86" s="72"/>
    </x:row>
    <x:row r="87">
      <x:c r="C87" s="20" t="n">
        <x:v>80</x:v>
      </x:c>
      <x:c r="D87" s="53" t="n">
        <x:f>IF(C87&lt;3,0,IF(C87&lt;=30,700,1000))</x:f>
        <x:v>1000</x:v>
      </x:c>
      <x:c r="E87" s="53" t="n">
        <x:f>IF(C87&lt;3,0,IF(C87&lt;=30,180,240))</x:f>
        <x:v>240</x:v>
      </x:c>
      <x:c r="F87" s="53" t="n">
        <x:f>IF(C87&lt;7,0,IF(C87&lt;=45,420,600))</x:f>
        <x:v>600</x:v>
      </x:c>
      <x:c r="G87" s="53" t="n">
        <x:f>SUM(D87:F87)</x:f>
        <x:v>1840</x:v>
      </x:c>
      <x:c r="H87" s="53" t="n">
        <x:f>SUMIFS('Path Daily'!$R$7:$R$1098,'Path Daily'!$D$7:$D$1098,C87)</x:f>
        <x:v>53268</x:v>
      </x:c>
      <x:c r="I87" s="53" t="n">
        <x:f>K86</x:f>
        <x:v>0</x:v>
      </x:c>
      <x:c r="J87" s="53" t="n">
        <x:f>MIN(G87+I87,H87)</x:f>
        <x:v>1840</x:v>
      </x:c>
      <x:c r="K87" s="53" t="n">
        <x:f>G87+I87-J87</x:f>
        <x:v>0</x:v>
      </x:c>
      <x:c r="L87" s="45" t="str">
        <x:f>IF(K87=0,"PASS","BACKLOG")</x:f>
        <x:v>PASS</x:v>
      </x:c>
      <x:c r="M87" s="72"/>
      <x:c r="N87" s="72"/>
    </x:row>
    <x:row r="88">
      <x:c r="C88" s="20" t="n">
        <x:v>81</x:v>
      </x:c>
      <x:c r="D88" s="53" t="n">
        <x:f>IF(C88&lt;3,0,IF(C88&lt;=30,700,1000))</x:f>
        <x:v>1000</x:v>
      </x:c>
      <x:c r="E88" s="53" t="n">
        <x:f>IF(C88&lt;3,0,IF(C88&lt;=30,180,240))</x:f>
        <x:v>240</x:v>
      </x:c>
      <x:c r="F88" s="53" t="n">
        <x:f>IF(C88&lt;7,0,IF(C88&lt;=45,420,600))</x:f>
        <x:v>600</x:v>
      </x:c>
      <x:c r="G88" s="53" t="n">
        <x:f>SUM(D88:F88)</x:f>
        <x:v>1840</x:v>
      </x:c>
      <x:c r="H88" s="53" t="n">
        <x:f>SUMIFS('Path Daily'!$R$7:$R$1098,'Path Daily'!$D$7:$D$1098,C88)</x:f>
        <x:v>53268</x:v>
      </x:c>
      <x:c r="I88" s="53" t="n">
        <x:f>K87</x:f>
        <x:v>0</x:v>
      </x:c>
      <x:c r="J88" s="53" t="n">
        <x:f>MIN(G88+I88,H88)</x:f>
        <x:v>1840</x:v>
      </x:c>
      <x:c r="K88" s="53" t="n">
        <x:f>G88+I88-J88</x:f>
        <x:v>0</x:v>
      </x:c>
      <x:c r="L88" s="45" t="str">
        <x:f>IF(K88=0,"PASS","BACKLOG")</x:f>
        <x:v>PASS</x:v>
      </x:c>
      <x:c r="M88" s="72"/>
      <x:c r="N88" s="72"/>
    </x:row>
    <x:row r="89">
      <x:c r="C89" s="20" t="n">
        <x:v>82</x:v>
      </x:c>
      <x:c r="D89" s="53" t="n">
        <x:f>IF(C89&lt;3,0,IF(C89&lt;=30,700,1000))</x:f>
        <x:v>1000</x:v>
      </x:c>
      <x:c r="E89" s="53" t="n">
        <x:f>IF(C89&lt;3,0,IF(C89&lt;=30,180,240))</x:f>
        <x:v>240</x:v>
      </x:c>
      <x:c r="F89" s="53" t="n">
        <x:f>IF(C89&lt;7,0,IF(C89&lt;=45,420,600))</x:f>
        <x:v>600</x:v>
      </x:c>
      <x:c r="G89" s="53" t="n">
        <x:f>SUM(D89:F89)</x:f>
        <x:v>1840</x:v>
      </x:c>
      <x:c r="H89" s="53" t="n">
        <x:f>SUMIFS('Path Daily'!$R$7:$R$1098,'Path Daily'!$D$7:$D$1098,C89)</x:f>
        <x:v>53268</x:v>
      </x:c>
      <x:c r="I89" s="53" t="n">
        <x:f>K88</x:f>
        <x:v>0</x:v>
      </x:c>
      <x:c r="J89" s="53" t="n">
        <x:f>MIN(G89+I89,H89)</x:f>
        <x:v>1840</x:v>
      </x:c>
      <x:c r="K89" s="53" t="n">
        <x:f>G89+I89-J89</x:f>
        <x:v>0</x:v>
      </x:c>
      <x:c r="L89" s="45" t="str">
        <x:f>IF(K89=0,"PASS","BACKLOG")</x:f>
        <x:v>PASS</x:v>
      </x:c>
      <x:c r="M89" s="72"/>
      <x:c r="N89" s="72"/>
    </x:row>
    <x:row r="90">
      <x:c r="C90" s="20" t="n">
        <x:v>83</x:v>
      </x:c>
      <x:c r="D90" s="53" t="n">
        <x:f>IF(C90&lt;3,0,IF(C90&lt;=30,700,1000))</x:f>
        <x:v>1000</x:v>
      </x:c>
      <x:c r="E90" s="53" t="n">
        <x:f>IF(C90&lt;3,0,IF(C90&lt;=30,180,240))</x:f>
        <x:v>240</x:v>
      </x:c>
      <x:c r="F90" s="53" t="n">
        <x:f>IF(C90&lt;7,0,IF(C90&lt;=45,420,600))</x:f>
        <x:v>600</x:v>
      </x:c>
      <x:c r="G90" s="53" t="n">
        <x:f>SUM(D90:F90)</x:f>
        <x:v>1840</x:v>
      </x:c>
      <x:c r="H90" s="53" t="n">
        <x:f>SUMIFS('Path Daily'!$R$7:$R$1098,'Path Daily'!$D$7:$D$1098,C90)</x:f>
        <x:v>53268</x:v>
      </x:c>
      <x:c r="I90" s="53" t="n">
        <x:f>K89</x:f>
        <x:v>0</x:v>
      </x:c>
      <x:c r="J90" s="53" t="n">
        <x:f>MIN(G90+I90,H90)</x:f>
        <x:v>1840</x:v>
      </x:c>
      <x:c r="K90" s="53" t="n">
        <x:f>G90+I90-J90</x:f>
        <x:v>0</x:v>
      </x:c>
      <x:c r="L90" s="45" t="str">
        <x:f>IF(K90=0,"PASS","BACKLOG")</x:f>
        <x:v>PASS</x:v>
      </x:c>
      <x:c r="M90" s="72"/>
      <x:c r="N90" s="72"/>
    </x:row>
    <x:row r="91">
      <x:c r="C91" s="20" t="n">
        <x:v>84</x:v>
      </x:c>
      <x:c r="D91" s="53" t="n">
        <x:f>IF(C91&lt;3,0,IF(C91&lt;=30,700,1000))</x:f>
        <x:v>1000</x:v>
      </x:c>
      <x:c r="E91" s="53" t="n">
        <x:f>IF(C91&lt;3,0,IF(C91&lt;=30,180,240))</x:f>
        <x:v>240</x:v>
      </x:c>
      <x:c r="F91" s="53" t="n">
        <x:f>IF(C91&lt;7,0,IF(C91&lt;=45,420,600))</x:f>
        <x:v>600</x:v>
      </x:c>
      <x:c r="G91" s="53" t="n">
        <x:f>SUM(D91:F91)</x:f>
        <x:v>1840</x:v>
      </x:c>
      <x:c r="H91" s="53" t="n">
        <x:f>SUMIFS('Path Daily'!$R$7:$R$1098,'Path Daily'!$D$7:$D$1098,C91)</x:f>
        <x:v>53268</x:v>
      </x:c>
      <x:c r="I91" s="53" t="n">
        <x:f>K90</x:f>
        <x:v>0</x:v>
      </x:c>
      <x:c r="J91" s="53" t="n">
        <x:f>MIN(G91+I91,H91)</x:f>
        <x:v>1840</x:v>
      </x:c>
      <x:c r="K91" s="53" t="n">
        <x:f>G91+I91-J91</x:f>
        <x:v>0</x:v>
      </x:c>
      <x:c r="L91" s="45" t="str">
        <x:f>IF(K91=0,"PASS","BACKLOG")</x:f>
        <x:v>PASS</x:v>
      </x:c>
      <x:c r="M91" s="72"/>
      <x:c r="N91" s="72"/>
    </x:row>
    <x:row r="92">
      <x:c r="C92" s="20" t="n">
        <x:v>85</x:v>
      </x:c>
      <x:c r="D92" s="53" t="n">
        <x:f>IF(C92&lt;3,0,IF(C92&lt;=30,700,1000))</x:f>
        <x:v>1000</x:v>
      </x:c>
      <x:c r="E92" s="53" t="n">
        <x:f>IF(C92&lt;3,0,IF(C92&lt;=30,180,240))</x:f>
        <x:v>240</x:v>
      </x:c>
      <x:c r="F92" s="53" t="n">
        <x:f>IF(C92&lt;7,0,IF(C92&lt;=45,420,600))</x:f>
        <x:v>600</x:v>
      </x:c>
      <x:c r="G92" s="53" t="n">
        <x:f>SUM(D92:F92)</x:f>
        <x:v>1840</x:v>
      </x:c>
      <x:c r="H92" s="53" t="n">
        <x:f>SUMIFS('Path Daily'!$R$7:$R$1098,'Path Daily'!$D$7:$D$1098,C92)</x:f>
        <x:v>53268</x:v>
      </x:c>
      <x:c r="I92" s="53" t="n">
        <x:f>K91</x:f>
        <x:v>0</x:v>
      </x:c>
      <x:c r="J92" s="53" t="n">
        <x:f>MIN(G92+I92,H92)</x:f>
        <x:v>1840</x:v>
      </x:c>
      <x:c r="K92" s="53" t="n">
        <x:f>G92+I92-J92</x:f>
        <x:v>0</x:v>
      </x:c>
      <x:c r="L92" s="45" t="str">
        <x:f>IF(K92=0,"PASS","BACKLOG")</x:f>
        <x:v>PASS</x:v>
      </x:c>
      <x:c r="M92" s="72"/>
      <x:c r="N92" s="72"/>
    </x:row>
    <x:row r="93">
      <x:c r="C93" s="20" t="n">
        <x:v>86</x:v>
      </x:c>
      <x:c r="D93" s="53" t="n">
        <x:f>IF(C93&lt;3,0,IF(C93&lt;=30,700,1000))</x:f>
        <x:v>1000</x:v>
      </x:c>
      <x:c r="E93" s="53" t="n">
        <x:f>IF(C93&lt;3,0,IF(C93&lt;=30,180,240))</x:f>
        <x:v>240</x:v>
      </x:c>
      <x:c r="F93" s="53" t="n">
        <x:f>IF(C93&lt;7,0,IF(C93&lt;=45,420,600))</x:f>
        <x:v>600</x:v>
      </x:c>
      <x:c r="G93" s="53" t="n">
        <x:f>SUM(D93:F93)</x:f>
        <x:v>1840</x:v>
      </x:c>
      <x:c r="H93" s="53" t="n">
        <x:f>SUMIFS('Path Daily'!$R$7:$R$1098,'Path Daily'!$D$7:$D$1098,C93)</x:f>
        <x:v>53268</x:v>
      </x:c>
      <x:c r="I93" s="53" t="n">
        <x:f>K92</x:f>
        <x:v>0</x:v>
      </x:c>
      <x:c r="J93" s="53" t="n">
        <x:f>MIN(G93+I93,H93)</x:f>
        <x:v>1840</x:v>
      </x:c>
      <x:c r="K93" s="53" t="n">
        <x:f>G93+I93-J93</x:f>
        <x:v>0</x:v>
      </x:c>
      <x:c r="L93" s="45" t="str">
        <x:f>IF(K93=0,"PASS","BACKLOG")</x:f>
        <x:v>PASS</x:v>
      </x:c>
      <x:c r="M93" s="72"/>
      <x:c r="N93" s="72"/>
    </x:row>
    <x:row r="94">
      <x:c r="C94" s="20" t="n">
        <x:v>87</x:v>
      </x:c>
      <x:c r="D94" s="53" t="n">
        <x:f>IF(C94&lt;3,0,IF(C94&lt;=30,700,1000))</x:f>
        <x:v>1000</x:v>
      </x:c>
      <x:c r="E94" s="53" t="n">
        <x:f>IF(C94&lt;3,0,IF(C94&lt;=30,180,240))</x:f>
        <x:v>240</x:v>
      </x:c>
      <x:c r="F94" s="53" t="n">
        <x:f>IF(C94&lt;7,0,IF(C94&lt;=45,420,600))</x:f>
        <x:v>600</x:v>
      </x:c>
      <x:c r="G94" s="53" t="n">
        <x:f>SUM(D94:F94)</x:f>
        <x:v>1840</x:v>
      </x:c>
      <x:c r="H94" s="53" t="n">
        <x:f>SUMIFS('Path Daily'!$R$7:$R$1098,'Path Daily'!$D$7:$D$1098,C94)</x:f>
        <x:v>53268</x:v>
      </x:c>
      <x:c r="I94" s="53" t="n">
        <x:f>K93</x:f>
        <x:v>0</x:v>
      </x:c>
      <x:c r="J94" s="53" t="n">
        <x:f>MIN(G94+I94,H94)</x:f>
        <x:v>1840</x:v>
      </x:c>
      <x:c r="K94" s="53" t="n">
        <x:f>G94+I94-J94</x:f>
        <x:v>0</x:v>
      </x:c>
      <x:c r="L94" s="45" t="str">
        <x:f>IF(K94=0,"PASS","BACKLOG")</x:f>
        <x:v>PASS</x:v>
      </x:c>
      <x:c r="M94" s="72"/>
      <x:c r="N94" s="72"/>
    </x:row>
    <x:row r="95">
      <x:c r="C95" s="20" t="n">
        <x:v>88</x:v>
      </x:c>
      <x:c r="D95" s="53" t="n">
        <x:f>IF(C95&lt;3,0,IF(C95&lt;=30,700,1000))</x:f>
        <x:v>1000</x:v>
      </x:c>
      <x:c r="E95" s="53" t="n">
        <x:f>IF(C95&lt;3,0,IF(C95&lt;=30,180,240))</x:f>
        <x:v>240</x:v>
      </x:c>
      <x:c r="F95" s="53" t="n">
        <x:f>IF(C95&lt;7,0,IF(C95&lt;=45,420,600))</x:f>
        <x:v>600</x:v>
      </x:c>
      <x:c r="G95" s="53" t="n">
        <x:f>SUM(D95:F95)</x:f>
        <x:v>1840</x:v>
      </x:c>
      <x:c r="H95" s="53" t="n">
        <x:f>SUMIFS('Path Daily'!$R$7:$R$1098,'Path Daily'!$D$7:$D$1098,C95)</x:f>
        <x:v>53268</x:v>
      </x:c>
      <x:c r="I95" s="53" t="n">
        <x:f>K94</x:f>
        <x:v>0</x:v>
      </x:c>
      <x:c r="J95" s="53" t="n">
        <x:f>MIN(G95+I95,H95)</x:f>
        <x:v>1840</x:v>
      </x:c>
      <x:c r="K95" s="53" t="n">
        <x:f>G95+I95-J95</x:f>
        <x:v>0</x:v>
      </x:c>
      <x:c r="L95" s="45" t="str">
        <x:f>IF(K95=0,"PASS","BACKLOG")</x:f>
        <x:v>PASS</x:v>
      </x:c>
      <x:c r="M95" s="72"/>
      <x:c r="N95" s="72"/>
    </x:row>
    <x:row r="96">
      <x:c r="C96" s="20" t="n">
        <x:v>89</x:v>
      </x:c>
      <x:c r="D96" s="53" t="n">
        <x:f>IF(C96&lt;3,0,IF(C96&lt;=30,700,1000))</x:f>
        <x:v>1000</x:v>
      </x:c>
      <x:c r="E96" s="53" t="n">
        <x:f>IF(C96&lt;3,0,IF(C96&lt;=30,180,240))</x:f>
        <x:v>240</x:v>
      </x:c>
      <x:c r="F96" s="53" t="n">
        <x:f>IF(C96&lt;7,0,IF(C96&lt;=45,420,600))</x:f>
        <x:v>600</x:v>
      </x:c>
      <x:c r="G96" s="53" t="n">
        <x:f>SUM(D96:F96)</x:f>
        <x:v>1840</x:v>
      </x:c>
      <x:c r="H96" s="53" t="n">
        <x:f>SUMIFS('Path Daily'!$R$7:$R$1098,'Path Daily'!$D$7:$D$1098,C96)</x:f>
        <x:v>53268</x:v>
      </x:c>
      <x:c r="I96" s="53" t="n">
        <x:f>K95</x:f>
        <x:v>0</x:v>
      </x:c>
      <x:c r="J96" s="53" t="n">
        <x:f>MIN(G96+I96,H96)</x:f>
        <x:v>1840</x:v>
      </x:c>
      <x:c r="K96" s="53" t="n">
        <x:f>G96+I96-J96</x:f>
        <x:v>0</x:v>
      </x:c>
      <x:c r="L96" s="45" t="str">
        <x:f>IF(K96=0,"PASS","BACKLOG")</x:f>
        <x:v>PASS</x:v>
      </x:c>
      <x:c r="M96" s="72"/>
      <x:c r="N96" s="72"/>
    </x:row>
    <x:row r="97">
      <x:c r="C97" s="20" t="n">
        <x:v>90</x:v>
      </x:c>
      <x:c r="D97" s="53" t="n">
        <x:f>IF(C97&lt;3,0,IF(C97&lt;=30,700,1000))</x:f>
        <x:v>1000</x:v>
      </x:c>
      <x:c r="E97" s="53" t="n">
        <x:f>IF(C97&lt;3,0,IF(C97&lt;=30,180,240))</x:f>
        <x:v>240</x:v>
      </x:c>
      <x:c r="F97" s="53" t="n">
        <x:f>IF(C97&lt;7,0,IF(C97&lt;=45,420,600))</x:f>
        <x:v>600</x:v>
      </x:c>
      <x:c r="G97" s="53" t="n">
        <x:f>SUM(D97:F97)</x:f>
        <x:v>1840</x:v>
      </x:c>
      <x:c r="H97" s="53" t="n">
        <x:f>SUMIFS('Path Daily'!$R$7:$R$1098,'Path Daily'!$D$7:$D$1098,C97)</x:f>
        <x:v>53268</x:v>
      </x:c>
      <x:c r="I97" s="53" t="n">
        <x:f>K96</x:f>
        <x:v>0</x:v>
      </x:c>
      <x:c r="J97" s="53" t="n">
        <x:f>MIN(G97+I97,H97)</x:f>
        <x:v>1840</x:v>
      </x:c>
      <x:c r="K97" s="53" t="n">
        <x:f>G97+I97-J97</x:f>
        <x:v>0</x:v>
      </x:c>
      <x:c r="L97" s="45" t="str">
        <x:f>IF(K97=0,"PASS","BACKLOG")</x:f>
        <x:v>PASS</x:v>
      </x:c>
      <x:c r="M97" s="72"/>
      <x:c r="N97" s="72"/>
    </x:row>
  </x:sheetData>
  <x:mergeCells>
    <x:mergeCell ref="C2:N2"/>
    <x:mergeCell ref="C3:N3"/>
  </x:mergeCells>
  <x:conditionalFormatting sqref="L7:L97">
    <x:cfRule type="containsText" dxfId="45" priority="1" operator="containsText" text="PASS"/>
    <x:cfRule type="containsText" dxfId="46" priority="2" operator="containsText" text="CLOSE"/>
    <x:cfRule type="containsText" dxfId="47" priority="3" operator="containsText" text="FAIL"/>
    <x:cfRule type="containsText" dxfId="48" priority="4" operator="containsText" text="LATE"/>
    <x:cfRule type="containsText" dxfId="49" priority="5" operator="containsText" text="OPEN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22" hidden="0" customWidth="1"/>
    <x:col min="5" max="5" width="15" hidden="0" customWidth="1"/>
    <x:col min="6" max="6" width="22" hidden="0" customWidth="1"/>
    <x:col min="7" max="7" width="15" hidden="0" customWidth="1"/>
    <x:col min="8" max="8" width="20" hidden="0" customWidth="1"/>
    <x:col min="9" max="9" width="16" hidden="0" customWidth="1"/>
    <x:col min="10" max="10" width="14" hidden="0" customWidth="1"/>
    <x:col min="11" max="11" width="21" hidden="0" customWidth="1"/>
    <x:col min="12" max="12" width="14" hidden="0" customWidth="1"/>
    <x:col min="13" max="13" width="19" hidden="0" customWidth="1"/>
    <x:col min="14" max="14" width="14" hidden="0" customWidth="1"/>
  </x:cols>
  <x:sheetData>
    <x:row r="2" ht="24" customHeight="1">
      <x:c r="C2" s="69" t="str">
        <x:v>Patient Movement and Relief in Place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ht="30" customHeight="1">
      <x:c r="C3" s="71" t="str">
        <x:v>Patient evacuation and responder relief are protected passenger flows. Seats are not inferred from unused cargo mass.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</x:row>
    <x:row r="6">
      <x:c r="C6" s="16" t="str">
        <x:v>Day</x:v>
      </x:c>
      <x:c r="D6" s="17" t="str">
        <x:v>Patient-movement demand</x:v>
      </x:c>
      <x:c r="E6" s="17" t="str">
        <x:v>Patient seats</x:v>
      </x:c>
      <x:c r="F6" s="17" t="str">
        <x:v>Patient beginning backlog</x:v>
      </x:c>
      <x:c r="G6" s="17" t="str">
        <x:v>Patients moved</x:v>
      </x:c>
      <x:c r="H6" s="17" t="str">
        <x:v>Patient ending backlog</x:v>
      </x:c>
      <x:c r="I6" s="17" t="str">
        <x:v>Relief demand</x:v>
      </x:c>
      <x:c r="J6" s="17" t="str">
        <x:v>Relief seats</x:v>
      </x:c>
      <x:c r="K6" s="17" t="str">
        <x:v>Relief beginning backlog</x:v>
      </x:c>
      <x:c r="L6" s="17" t="str">
        <x:v>Relief moved</x:v>
      </x:c>
      <x:c r="M6" s="17" t="str">
        <x:v>Relief ending backlog</x:v>
      </x:c>
      <x:c r="N6" s="18" t="str">
        <x:v>Status</x:v>
      </x:c>
      <x:c r="O6" s="72"/>
      <x:c r="P6" s="72"/>
    </x:row>
    <x:row r="7">
      <x:c r="C7" s="20" t="n">
        <x:v>0</x:v>
      </x:c>
      <x:c r="D7" s="47" t="n">
        <x:f>IF(C7&lt;3,0,IF(C7&lt;=10,8000,IF(C7&lt;=20,4000,IF(C7&lt;=30,1500,0))))</x:f>
        <x:v>0</x:v>
      </x:c>
      <x:c r="E7" s="47" t="n">
        <x:f>IF(C7&lt;2,0,IF(C7&lt;=7,10000,IF(C7&lt;=14,15000,8000)))</x:f>
        <x:v>0</x:v>
      </x:c>
      <x:c r="F7" s="47" t="n">
        <x:f>0</x:f>
        <x:v>0</x:v>
      </x:c>
      <x:c r="G7" s="47" t="n">
        <x:f>MIN(D7+F7,E7)</x:f>
        <x:v>0</x:v>
      </x:c>
      <x:c r="H7" s="47" t="n">
        <x:f>D7+F7-G7</x:f>
        <x:v>0</x:v>
      </x:c>
      <x:c r="I7" s="47" t="n">
        <x:f>IF(C7&lt;30,0,IF(MOD(C7-30,30)&lt;15,'Controls'!$D$11/15,0))</x:f>
        <x:v>0</x:v>
      </x:c>
      <x:c r="J7" s="47" t="n">
        <x:f>IF(C7&lt;14,3000,7500)</x:f>
        <x:v>3000</x:v>
      </x:c>
      <x:c r="K7" s="47" t="n">
        <x:f>0</x:f>
        <x:v>0</x:v>
      </x:c>
      <x:c r="L7" s="47" t="n">
        <x:f>MIN(I7+K7,J7)</x:f>
        <x:v>0</x:v>
      </x:c>
      <x:c r="M7" s="47" t="n">
        <x:f>I7+K7-L7</x:f>
        <x:v>0</x:v>
      </x:c>
      <x:c r="N7" s="45" t="str">
        <x:f>IF(AND(H7=0,M7=0),"PASS","BACKLOG")</x:f>
        <x:v>PASS</x:v>
      </x:c>
      <x:c r="O7" s="72"/>
      <x:c r="P7" s="72"/>
    </x:row>
    <x:row r="8">
      <x:c r="C8" s="20" t="n">
        <x:v>1</x:v>
      </x:c>
      <x:c r="D8" s="47" t="n">
        <x:f>IF(C8&lt;3,0,IF(C8&lt;=10,8000,IF(C8&lt;=20,4000,IF(C8&lt;=30,1500,0))))</x:f>
        <x:v>0</x:v>
      </x:c>
      <x:c r="E8" s="47" t="n">
        <x:f>IF(C8&lt;2,0,IF(C8&lt;=7,10000,IF(C8&lt;=14,15000,8000)))</x:f>
        <x:v>0</x:v>
      </x:c>
      <x:c r="F8" s="47" t="n">
        <x:f>H7</x:f>
        <x:v>0</x:v>
      </x:c>
      <x:c r="G8" s="47" t="n">
        <x:f>MIN(D8+F8,E8)</x:f>
        <x:v>0</x:v>
      </x:c>
      <x:c r="H8" s="47" t="n">
        <x:f>D8+F8-G8</x:f>
        <x:v>0</x:v>
      </x:c>
      <x:c r="I8" s="47" t="n">
        <x:f>IF(C8&lt;30,0,IF(MOD(C8-30,30)&lt;15,'Controls'!$D$11/15,0))</x:f>
        <x:v>0</x:v>
      </x:c>
      <x:c r="J8" s="47" t="n">
        <x:f>IF(C8&lt;14,3000,7500)</x:f>
        <x:v>3000</x:v>
      </x:c>
      <x:c r="K8" s="47" t="n">
        <x:f>M7</x:f>
        <x:v>0</x:v>
      </x:c>
      <x:c r="L8" s="47" t="n">
        <x:f>MIN(I8+K8,J8)</x:f>
        <x:v>0</x:v>
      </x:c>
      <x:c r="M8" s="47" t="n">
        <x:f>I8+K8-L8</x:f>
        <x:v>0</x:v>
      </x:c>
      <x:c r="N8" s="45" t="str">
        <x:f>IF(AND(H8=0,M8=0),"PASS","BACKLOG")</x:f>
        <x:v>PASS</x:v>
      </x:c>
      <x:c r="O8" s="72"/>
      <x:c r="P8" s="72"/>
    </x:row>
    <x:row r="9">
      <x:c r="C9" s="20" t="n">
        <x:v>2</x:v>
      </x:c>
      <x:c r="D9" s="47" t="n">
        <x:f>IF(C9&lt;3,0,IF(C9&lt;=10,8000,IF(C9&lt;=20,4000,IF(C9&lt;=30,1500,0))))</x:f>
        <x:v>0</x:v>
      </x:c>
      <x:c r="E9" s="47" t="n">
        <x:f>IF(C9&lt;2,0,IF(C9&lt;=7,10000,IF(C9&lt;=14,15000,8000)))</x:f>
        <x:v>10000</x:v>
      </x:c>
      <x:c r="F9" s="47" t="n">
        <x:f>H8</x:f>
        <x:v>0</x:v>
      </x:c>
      <x:c r="G9" s="47" t="n">
        <x:f>MIN(D9+F9,E9)</x:f>
        <x:v>0</x:v>
      </x:c>
      <x:c r="H9" s="47" t="n">
        <x:f>D9+F9-G9</x:f>
        <x:v>0</x:v>
      </x:c>
      <x:c r="I9" s="47" t="n">
        <x:f>IF(C9&lt;30,0,IF(MOD(C9-30,30)&lt;15,'Controls'!$D$11/15,0))</x:f>
        <x:v>0</x:v>
      </x:c>
      <x:c r="J9" s="47" t="n">
        <x:f>IF(C9&lt;14,3000,7500)</x:f>
        <x:v>3000</x:v>
      </x:c>
      <x:c r="K9" s="47" t="n">
        <x:f>M8</x:f>
        <x:v>0</x:v>
      </x:c>
      <x:c r="L9" s="47" t="n">
        <x:f>MIN(I9+K9,J9)</x:f>
        <x:v>0</x:v>
      </x:c>
      <x:c r="M9" s="47" t="n">
        <x:f>I9+K9-L9</x:f>
        <x:v>0</x:v>
      </x:c>
      <x:c r="N9" s="45" t="str">
        <x:f>IF(AND(H9=0,M9=0),"PASS","BACKLOG")</x:f>
        <x:v>PASS</x:v>
      </x:c>
      <x:c r="O9" s="72"/>
      <x:c r="P9" s="72"/>
    </x:row>
    <x:row r="10">
      <x:c r="C10" s="20" t="n">
        <x:v>3</x:v>
      </x:c>
      <x:c r="D10" s="47" t="n">
        <x:f>IF(C10&lt;3,0,IF(C10&lt;=10,8000,IF(C10&lt;=20,4000,IF(C10&lt;=30,1500,0))))</x:f>
        <x:v>8000</x:v>
      </x:c>
      <x:c r="E10" s="47" t="n">
        <x:f>IF(C10&lt;2,0,IF(C10&lt;=7,10000,IF(C10&lt;=14,15000,8000)))</x:f>
        <x:v>10000</x:v>
      </x:c>
      <x:c r="F10" s="47" t="n">
        <x:f>H9</x:f>
        <x:v>0</x:v>
      </x:c>
      <x:c r="G10" s="47" t="n">
        <x:f>MIN(D10+F10,E10)</x:f>
        <x:v>8000</x:v>
      </x:c>
      <x:c r="H10" s="47" t="n">
        <x:f>D10+F10-G10</x:f>
        <x:v>0</x:v>
      </x:c>
      <x:c r="I10" s="47" t="n">
        <x:f>IF(C10&lt;30,0,IF(MOD(C10-30,30)&lt;15,'Controls'!$D$11/15,0))</x:f>
        <x:v>0</x:v>
      </x:c>
      <x:c r="J10" s="47" t="n">
        <x:f>IF(C10&lt;14,3000,7500)</x:f>
        <x:v>3000</x:v>
      </x:c>
      <x:c r="K10" s="47" t="n">
        <x:f>M9</x:f>
        <x:v>0</x:v>
      </x:c>
      <x:c r="L10" s="47" t="n">
        <x:f>MIN(I10+K10,J10)</x:f>
        <x:v>0</x:v>
      </x:c>
      <x:c r="M10" s="47" t="n">
        <x:f>I10+K10-L10</x:f>
        <x:v>0</x:v>
      </x:c>
      <x:c r="N10" s="45" t="str">
        <x:f>IF(AND(H10=0,M10=0),"PASS","BACKLOG")</x:f>
        <x:v>PASS</x:v>
      </x:c>
      <x:c r="O10" s="72"/>
      <x:c r="P10" s="72"/>
    </x:row>
    <x:row r="11">
      <x:c r="C11" s="20" t="n">
        <x:v>4</x:v>
      </x:c>
      <x:c r="D11" s="47" t="n">
        <x:f>IF(C11&lt;3,0,IF(C11&lt;=10,8000,IF(C11&lt;=20,4000,IF(C11&lt;=30,1500,0))))</x:f>
        <x:v>8000</x:v>
      </x:c>
      <x:c r="E11" s="47" t="n">
        <x:f>IF(C11&lt;2,0,IF(C11&lt;=7,10000,IF(C11&lt;=14,15000,8000)))</x:f>
        <x:v>10000</x:v>
      </x:c>
      <x:c r="F11" s="47" t="n">
        <x:f>H10</x:f>
        <x:v>0</x:v>
      </x:c>
      <x:c r="G11" s="47" t="n">
        <x:f>MIN(D11+F11,E11)</x:f>
        <x:v>8000</x:v>
      </x:c>
      <x:c r="H11" s="47" t="n">
        <x:f>D11+F11-G11</x:f>
        <x:v>0</x:v>
      </x:c>
      <x:c r="I11" s="47" t="n">
        <x:f>IF(C11&lt;30,0,IF(MOD(C11-30,30)&lt;15,'Controls'!$D$11/15,0))</x:f>
        <x:v>0</x:v>
      </x:c>
      <x:c r="J11" s="47" t="n">
        <x:f>IF(C11&lt;14,3000,7500)</x:f>
        <x:v>3000</x:v>
      </x:c>
      <x:c r="K11" s="47" t="n">
        <x:f>M10</x:f>
        <x:v>0</x:v>
      </x:c>
      <x:c r="L11" s="47" t="n">
        <x:f>MIN(I11+K11,J11)</x:f>
        <x:v>0</x:v>
      </x:c>
      <x:c r="M11" s="47" t="n">
        <x:f>I11+K11-L11</x:f>
        <x:v>0</x:v>
      </x:c>
      <x:c r="N11" s="45" t="str">
        <x:f>IF(AND(H11=0,M11=0),"PASS","BACKLOG")</x:f>
        <x:v>PASS</x:v>
      </x:c>
      <x:c r="O11" s="72"/>
      <x:c r="P11" s="72"/>
    </x:row>
    <x:row r="12">
      <x:c r="C12" s="20" t="n">
        <x:v>5</x:v>
      </x:c>
      <x:c r="D12" s="47" t="n">
        <x:f>IF(C12&lt;3,0,IF(C12&lt;=10,8000,IF(C12&lt;=20,4000,IF(C12&lt;=30,1500,0))))</x:f>
        <x:v>8000</x:v>
      </x:c>
      <x:c r="E12" s="47" t="n">
        <x:f>IF(C12&lt;2,0,IF(C12&lt;=7,10000,IF(C12&lt;=14,15000,8000)))</x:f>
        <x:v>10000</x:v>
      </x:c>
      <x:c r="F12" s="47" t="n">
        <x:f>H11</x:f>
        <x:v>0</x:v>
      </x:c>
      <x:c r="G12" s="47" t="n">
        <x:f>MIN(D12+F12,E12)</x:f>
        <x:v>8000</x:v>
      </x:c>
      <x:c r="H12" s="47" t="n">
        <x:f>D12+F12-G12</x:f>
        <x:v>0</x:v>
      </x:c>
      <x:c r="I12" s="47" t="n">
        <x:f>IF(C12&lt;30,0,IF(MOD(C12-30,30)&lt;15,'Controls'!$D$11/15,0))</x:f>
        <x:v>0</x:v>
      </x:c>
      <x:c r="J12" s="47" t="n">
        <x:f>IF(C12&lt;14,3000,7500)</x:f>
        <x:v>3000</x:v>
      </x:c>
      <x:c r="K12" s="47" t="n">
        <x:f>M11</x:f>
        <x:v>0</x:v>
      </x:c>
      <x:c r="L12" s="47" t="n">
        <x:f>MIN(I12+K12,J12)</x:f>
        <x:v>0</x:v>
      </x:c>
      <x:c r="M12" s="47" t="n">
        <x:f>I12+K12-L12</x:f>
        <x:v>0</x:v>
      </x:c>
      <x:c r="N12" s="45" t="str">
        <x:f>IF(AND(H12=0,M12=0),"PASS","BACKLOG")</x:f>
        <x:v>PASS</x:v>
      </x:c>
      <x:c r="O12" s="72"/>
      <x:c r="P12" s="72"/>
    </x:row>
    <x:row r="13">
      <x:c r="C13" s="20" t="n">
        <x:v>6</x:v>
      </x:c>
      <x:c r="D13" s="47" t="n">
        <x:f>IF(C13&lt;3,0,IF(C13&lt;=10,8000,IF(C13&lt;=20,4000,IF(C13&lt;=30,1500,0))))</x:f>
        <x:v>8000</x:v>
      </x:c>
      <x:c r="E13" s="47" t="n">
        <x:f>IF(C13&lt;2,0,IF(C13&lt;=7,10000,IF(C13&lt;=14,15000,8000)))</x:f>
        <x:v>10000</x:v>
      </x:c>
      <x:c r="F13" s="47" t="n">
        <x:f>H12</x:f>
        <x:v>0</x:v>
      </x:c>
      <x:c r="G13" s="47" t="n">
        <x:f>MIN(D13+F13,E13)</x:f>
        <x:v>8000</x:v>
      </x:c>
      <x:c r="H13" s="47" t="n">
        <x:f>D13+F13-G13</x:f>
        <x:v>0</x:v>
      </x:c>
      <x:c r="I13" s="47" t="n">
        <x:f>IF(C13&lt;30,0,IF(MOD(C13-30,30)&lt;15,'Controls'!$D$11/15,0))</x:f>
        <x:v>0</x:v>
      </x:c>
      <x:c r="J13" s="47" t="n">
        <x:f>IF(C13&lt;14,3000,7500)</x:f>
        <x:v>3000</x:v>
      </x:c>
      <x:c r="K13" s="47" t="n">
        <x:f>M12</x:f>
        <x:v>0</x:v>
      </x:c>
      <x:c r="L13" s="47" t="n">
        <x:f>MIN(I13+K13,J13)</x:f>
        <x:v>0</x:v>
      </x:c>
      <x:c r="M13" s="47" t="n">
        <x:f>I13+K13-L13</x:f>
        <x:v>0</x:v>
      </x:c>
      <x:c r="N13" s="45" t="str">
        <x:f>IF(AND(H13=0,M13=0),"PASS","BACKLOG")</x:f>
        <x:v>PASS</x:v>
      </x:c>
      <x:c r="O13" s="72"/>
      <x:c r="P13" s="72"/>
    </x:row>
    <x:row r="14">
      <x:c r="C14" s="20" t="n">
        <x:v>7</x:v>
      </x:c>
      <x:c r="D14" s="47" t="n">
        <x:f>IF(C14&lt;3,0,IF(C14&lt;=10,8000,IF(C14&lt;=20,4000,IF(C14&lt;=30,1500,0))))</x:f>
        <x:v>8000</x:v>
      </x:c>
      <x:c r="E14" s="47" t="n">
        <x:f>IF(C14&lt;2,0,IF(C14&lt;=7,10000,IF(C14&lt;=14,15000,8000)))</x:f>
        <x:v>10000</x:v>
      </x:c>
      <x:c r="F14" s="47" t="n">
        <x:f>H13</x:f>
        <x:v>0</x:v>
      </x:c>
      <x:c r="G14" s="47" t="n">
        <x:f>MIN(D14+F14,E14)</x:f>
        <x:v>8000</x:v>
      </x:c>
      <x:c r="H14" s="47" t="n">
        <x:f>D14+F14-G14</x:f>
        <x:v>0</x:v>
      </x:c>
      <x:c r="I14" s="47" t="n">
        <x:f>IF(C14&lt;30,0,IF(MOD(C14-30,30)&lt;15,'Controls'!$D$11/15,0))</x:f>
        <x:v>0</x:v>
      </x:c>
      <x:c r="J14" s="47" t="n">
        <x:f>IF(C14&lt;14,3000,7500)</x:f>
        <x:v>3000</x:v>
      </x:c>
      <x:c r="K14" s="47" t="n">
        <x:f>M13</x:f>
        <x:v>0</x:v>
      </x:c>
      <x:c r="L14" s="47" t="n">
        <x:f>MIN(I14+K14,J14)</x:f>
        <x:v>0</x:v>
      </x:c>
      <x:c r="M14" s="47" t="n">
        <x:f>I14+K14-L14</x:f>
        <x:v>0</x:v>
      </x:c>
      <x:c r="N14" s="45" t="str">
        <x:f>IF(AND(H14=0,M14=0),"PASS","BACKLOG")</x:f>
        <x:v>PASS</x:v>
      </x:c>
      <x:c r="O14" s="72"/>
      <x:c r="P14" s="72"/>
    </x:row>
    <x:row r="15">
      <x:c r="C15" s="20" t="n">
        <x:v>8</x:v>
      </x:c>
      <x:c r="D15" s="47" t="n">
        <x:f>IF(C15&lt;3,0,IF(C15&lt;=10,8000,IF(C15&lt;=20,4000,IF(C15&lt;=30,1500,0))))</x:f>
        <x:v>8000</x:v>
      </x:c>
      <x:c r="E15" s="47" t="n">
        <x:f>IF(C15&lt;2,0,IF(C15&lt;=7,10000,IF(C15&lt;=14,15000,8000)))</x:f>
        <x:v>15000</x:v>
      </x:c>
      <x:c r="F15" s="47" t="n">
        <x:f>H14</x:f>
        <x:v>0</x:v>
      </x:c>
      <x:c r="G15" s="47" t="n">
        <x:f>MIN(D15+F15,E15)</x:f>
        <x:v>8000</x:v>
      </x:c>
      <x:c r="H15" s="47" t="n">
        <x:f>D15+F15-G15</x:f>
        <x:v>0</x:v>
      </x:c>
      <x:c r="I15" s="47" t="n">
        <x:f>IF(C15&lt;30,0,IF(MOD(C15-30,30)&lt;15,'Controls'!$D$11/15,0))</x:f>
        <x:v>0</x:v>
      </x:c>
      <x:c r="J15" s="47" t="n">
        <x:f>IF(C15&lt;14,3000,7500)</x:f>
        <x:v>3000</x:v>
      </x:c>
      <x:c r="K15" s="47" t="n">
        <x:f>M14</x:f>
        <x:v>0</x:v>
      </x:c>
      <x:c r="L15" s="47" t="n">
        <x:f>MIN(I15+K15,J15)</x:f>
        <x:v>0</x:v>
      </x:c>
      <x:c r="M15" s="47" t="n">
        <x:f>I15+K15-L15</x:f>
        <x:v>0</x:v>
      </x:c>
      <x:c r="N15" s="45" t="str">
        <x:f>IF(AND(H15=0,M15=0),"PASS","BACKLOG")</x:f>
        <x:v>PASS</x:v>
      </x:c>
      <x:c r="O15" s="72"/>
      <x:c r="P15" s="72"/>
    </x:row>
    <x:row r="16">
      <x:c r="C16" s="20" t="n">
        <x:v>9</x:v>
      </x:c>
      <x:c r="D16" s="47" t="n">
        <x:f>IF(C16&lt;3,0,IF(C16&lt;=10,8000,IF(C16&lt;=20,4000,IF(C16&lt;=30,1500,0))))</x:f>
        <x:v>8000</x:v>
      </x:c>
      <x:c r="E16" s="47" t="n">
        <x:f>IF(C16&lt;2,0,IF(C16&lt;=7,10000,IF(C16&lt;=14,15000,8000)))</x:f>
        <x:v>15000</x:v>
      </x:c>
      <x:c r="F16" s="47" t="n">
        <x:f>H15</x:f>
        <x:v>0</x:v>
      </x:c>
      <x:c r="G16" s="47" t="n">
        <x:f>MIN(D16+F16,E16)</x:f>
        <x:v>8000</x:v>
      </x:c>
      <x:c r="H16" s="47" t="n">
        <x:f>D16+F16-G16</x:f>
        <x:v>0</x:v>
      </x:c>
      <x:c r="I16" s="47" t="n">
        <x:f>IF(C16&lt;30,0,IF(MOD(C16-30,30)&lt;15,'Controls'!$D$11/15,0))</x:f>
        <x:v>0</x:v>
      </x:c>
      <x:c r="J16" s="47" t="n">
        <x:f>IF(C16&lt;14,3000,7500)</x:f>
        <x:v>3000</x:v>
      </x:c>
      <x:c r="K16" s="47" t="n">
        <x:f>M15</x:f>
        <x:v>0</x:v>
      </x:c>
      <x:c r="L16" s="47" t="n">
        <x:f>MIN(I16+K16,J16)</x:f>
        <x:v>0</x:v>
      </x:c>
      <x:c r="M16" s="47" t="n">
        <x:f>I16+K16-L16</x:f>
        <x:v>0</x:v>
      </x:c>
      <x:c r="N16" s="45" t="str">
        <x:f>IF(AND(H16=0,M16=0),"PASS","BACKLOG")</x:f>
        <x:v>PASS</x:v>
      </x:c>
      <x:c r="O16" s="72"/>
      <x:c r="P16" s="72"/>
    </x:row>
    <x:row r="17">
      <x:c r="C17" s="20" t="n">
        <x:v>10</x:v>
      </x:c>
      <x:c r="D17" s="47" t="n">
        <x:f>IF(C17&lt;3,0,IF(C17&lt;=10,8000,IF(C17&lt;=20,4000,IF(C17&lt;=30,1500,0))))</x:f>
        <x:v>8000</x:v>
      </x:c>
      <x:c r="E17" s="47" t="n">
        <x:f>IF(C17&lt;2,0,IF(C17&lt;=7,10000,IF(C17&lt;=14,15000,8000)))</x:f>
        <x:v>15000</x:v>
      </x:c>
      <x:c r="F17" s="47" t="n">
        <x:f>H16</x:f>
        <x:v>0</x:v>
      </x:c>
      <x:c r="G17" s="47" t="n">
        <x:f>MIN(D17+F17,E17)</x:f>
        <x:v>8000</x:v>
      </x:c>
      <x:c r="H17" s="47" t="n">
        <x:f>D17+F17-G17</x:f>
        <x:v>0</x:v>
      </x:c>
      <x:c r="I17" s="47" t="n">
        <x:f>IF(C17&lt;30,0,IF(MOD(C17-30,30)&lt;15,'Controls'!$D$11/15,0))</x:f>
        <x:v>0</x:v>
      </x:c>
      <x:c r="J17" s="47" t="n">
        <x:f>IF(C17&lt;14,3000,7500)</x:f>
        <x:v>3000</x:v>
      </x:c>
      <x:c r="K17" s="47" t="n">
        <x:f>M16</x:f>
        <x:v>0</x:v>
      </x:c>
      <x:c r="L17" s="47" t="n">
        <x:f>MIN(I17+K17,J17)</x:f>
        <x:v>0</x:v>
      </x:c>
      <x:c r="M17" s="47" t="n">
        <x:f>I17+K17-L17</x:f>
        <x:v>0</x:v>
      </x:c>
      <x:c r="N17" s="45" t="str">
        <x:f>IF(AND(H17=0,M17=0),"PASS","BACKLOG")</x:f>
        <x:v>PASS</x:v>
      </x:c>
      <x:c r="O17" s="72"/>
      <x:c r="P17" s="72"/>
    </x:row>
    <x:row r="18">
      <x:c r="C18" s="20" t="n">
        <x:v>11</x:v>
      </x:c>
      <x:c r="D18" s="47" t="n">
        <x:f>IF(C18&lt;3,0,IF(C18&lt;=10,8000,IF(C18&lt;=20,4000,IF(C18&lt;=30,1500,0))))</x:f>
        <x:v>4000</x:v>
      </x:c>
      <x:c r="E18" s="47" t="n">
        <x:f>IF(C18&lt;2,0,IF(C18&lt;=7,10000,IF(C18&lt;=14,15000,8000)))</x:f>
        <x:v>15000</x:v>
      </x:c>
      <x:c r="F18" s="47" t="n">
        <x:f>H17</x:f>
        <x:v>0</x:v>
      </x:c>
      <x:c r="G18" s="47" t="n">
        <x:f>MIN(D18+F18,E18)</x:f>
        <x:v>4000</x:v>
      </x:c>
      <x:c r="H18" s="47" t="n">
        <x:f>D18+F18-G18</x:f>
        <x:v>0</x:v>
      </x:c>
      <x:c r="I18" s="47" t="n">
        <x:f>IF(C18&lt;30,0,IF(MOD(C18-30,30)&lt;15,'Controls'!$D$11/15,0))</x:f>
        <x:v>0</x:v>
      </x:c>
      <x:c r="J18" s="47" t="n">
        <x:f>IF(C18&lt;14,3000,7500)</x:f>
        <x:v>3000</x:v>
      </x:c>
      <x:c r="K18" s="47" t="n">
        <x:f>M17</x:f>
        <x:v>0</x:v>
      </x:c>
      <x:c r="L18" s="47" t="n">
        <x:f>MIN(I18+K18,J18)</x:f>
        <x:v>0</x:v>
      </x:c>
      <x:c r="M18" s="47" t="n">
        <x:f>I18+K18-L18</x:f>
        <x:v>0</x:v>
      </x:c>
      <x:c r="N18" s="45" t="str">
        <x:f>IF(AND(H18=0,M18=0),"PASS","BACKLOG")</x:f>
        <x:v>PASS</x:v>
      </x:c>
      <x:c r="O18" s="72"/>
      <x:c r="P18" s="72"/>
    </x:row>
    <x:row r="19">
      <x:c r="C19" s="20" t="n">
        <x:v>12</x:v>
      </x:c>
      <x:c r="D19" s="47" t="n">
        <x:f>IF(C19&lt;3,0,IF(C19&lt;=10,8000,IF(C19&lt;=20,4000,IF(C19&lt;=30,1500,0))))</x:f>
        <x:v>4000</x:v>
      </x:c>
      <x:c r="E19" s="47" t="n">
        <x:f>IF(C19&lt;2,0,IF(C19&lt;=7,10000,IF(C19&lt;=14,15000,8000)))</x:f>
        <x:v>15000</x:v>
      </x:c>
      <x:c r="F19" s="47" t="n">
        <x:f>H18</x:f>
        <x:v>0</x:v>
      </x:c>
      <x:c r="G19" s="47" t="n">
        <x:f>MIN(D19+F19,E19)</x:f>
        <x:v>4000</x:v>
      </x:c>
      <x:c r="H19" s="47" t="n">
        <x:f>D19+F19-G19</x:f>
        <x:v>0</x:v>
      </x:c>
      <x:c r="I19" s="47" t="n">
        <x:f>IF(C19&lt;30,0,IF(MOD(C19-30,30)&lt;15,'Controls'!$D$11/15,0))</x:f>
        <x:v>0</x:v>
      </x:c>
      <x:c r="J19" s="47" t="n">
        <x:f>IF(C19&lt;14,3000,7500)</x:f>
        <x:v>3000</x:v>
      </x:c>
      <x:c r="K19" s="47" t="n">
        <x:f>M18</x:f>
        <x:v>0</x:v>
      </x:c>
      <x:c r="L19" s="47" t="n">
        <x:f>MIN(I19+K19,J19)</x:f>
        <x:v>0</x:v>
      </x:c>
      <x:c r="M19" s="47" t="n">
        <x:f>I19+K19-L19</x:f>
        <x:v>0</x:v>
      </x:c>
      <x:c r="N19" s="45" t="str">
        <x:f>IF(AND(H19=0,M19=0),"PASS","BACKLOG")</x:f>
        <x:v>PASS</x:v>
      </x:c>
      <x:c r="O19" s="72"/>
      <x:c r="P19" s="72"/>
    </x:row>
    <x:row r="20">
      <x:c r="C20" s="20" t="n">
        <x:v>13</x:v>
      </x:c>
      <x:c r="D20" s="47" t="n">
        <x:f>IF(C20&lt;3,0,IF(C20&lt;=10,8000,IF(C20&lt;=20,4000,IF(C20&lt;=30,1500,0))))</x:f>
        <x:v>4000</x:v>
      </x:c>
      <x:c r="E20" s="47" t="n">
        <x:f>IF(C20&lt;2,0,IF(C20&lt;=7,10000,IF(C20&lt;=14,15000,8000)))</x:f>
        <x:v>15000</x:v>
      </x:c>
      <x:c r="F20" s="47" t="n">
        <x:f>H19</x:f>
        <x:v>0</x:v>
      </x:c>
      <x:c r="G20" s="47" t="n">
        <x:f>MIN(D20+F20,E20)</x:f>
        <x:v>4000</x:v>
      </x:c>
      <x:c r="H20" s="47" t="n">
        <x:f>D20+F20-G20</x:f>
        <x:v>0</x:v>
      </x:c>
      <x:c r="I20" s="47" t="n">
        <x:f>IF(C20&lt;30,0,IF(MOD(C20-30,30)&lt;15,'Controls'!$D$11/15,0))</x:f>
        <x:v>0</x:v>
      </x:c>
      <x:c r="J20" s="47" t="n">
        <x:f>IF(C20&lt;14,3000,7500)</x:f>
        <x:v>3000</x:v>
      </x:c>
      <x:c r="K20" s="47" t="n">
        <x:f>M19</x:f>
        <x:v>0</x:v>
      </x:c>
      <x:c r="L20" s="47" t="n">
        <x:f>MIN(I20+K20,J20)</x:f>
        <x:v>0</x:v>
      </x:c>
      <x:c r="M20" s="47" t="n">
        <x:f>I20+K20-L20</x:f>
        <x:v>0</x:v>
      </x:c>
      <x:c r="N20" s="45" t="str">
        <x:f>IF(AND(H20=0,M20=0),"PASS","BACKLOG")</x:f>
        <x:v>PASS</x:v>
      </x:c>
      <x:c r="O20" s="72"/>
      <x:c r="P20" s="72"/>
    </x:row>
    <x:row r="21">
      <x:c r="C21" s="20" t="n">
        <x:v>14</x:v>
      </x:c>
      <x:c r="D21" s="47" t="n">
        <x:f>IF(C21&lt;3,0,IF(C21&lt;=10,8000,IF(C21&lt;=20,4000,IF(C21&lt;=30,1500,0))))</x:f>
        <x:v>4000</x:v>
      </x:c>
      <x:c r="E21" s="47" t="n">
        <x:f>IF(C21&lt;2,0,IF(C21&lt;=7,10000,IF(C21&lt;=14,15000,8000)))</x:f>
        <x:v>15000</x:v>
      </x:c>
      <x:c r="F21" s="47" t="n">
        <x:f>H20</x:f>
        <x:v>0</x:v>
      </x:c>
      <x:c r="G21" s="47" t="n">
        <x:f>MIN(D21+F21,E21)</x:f>
        <x:v>4000</x:v>
      </x:c>
      <x:c r="H21" s="47" t="n">
        <x:f>D21+F21-G21</x:f>
        <x:v>0</x:v>
      </x:c>
      <x:c r="I21" s="47" t="n">
        <x:f>IF(C21&lt;30,0,IF(MOD(C21-30,30)&lt;15,'Controls'!$D$11/15,0))</x:f>
        <x:v>0</x:v>
      </x:c>
      <x:c r="J21" s="47" t="n">
        <x:f>IF(C21&lt;14,3000,7500)</x:f>
        <x:v>7500</x:v>
      </x:c>
      <x:c r="K21" s="47" t="n">
        <x:f>M20</x:f>
        <x:v>0</x:v>
      </x:c>
      <x:c r="L21" s="47" t="n">
        <x:f>MIN(I21+K21,J21)</x:f>
        <x:v>0</x:v>
      </x:c>
      <x:c r="M21" s="47" t="n">
        <x:f>I21+K21-L21</x:f>
        <x:v>0</x:v>
      </x:c>
      <x:c r="N21" s="45" t="str">
        <x:f>IF(AND(H21=0,M21=0),"PASS","BACKLOG")</x:f>
        <x:v>PASS</x:v>
      </x:c>
      <x:c r="O21" s="72"/>
      <x:c r="P21" s="72"/>
    </x:row>
    <x:row r="22">
      <x:c r="C22" s="20" t="n">
        <x:v>15</x:v>
      </x:c>
      <x:c r="D22" s="47" t="n">
        <x:f>IF(C22&lt;3,0,IF(C22&lt;=10,8000,IF(C22&lt;=20,4000,IF(C22&lt;=30,1500,0))))</x:f>
        <x:v>4000</x:v>
      </x:c>
      <x:c r="E22" s="47" t="n">
        <x:f>IF(C22&lt;2,0,IF(C22&lt;=7,10000,IF(C22&lt;=14,15000,8000)))</x:f>
        <x:v>8000</x:v>
      </x:c>
      <x:c r="F22" s="47" t="n">
        <x:f>H21</x:f>
        <x:v>0</x:v>
      </x:c>
      <x:c r="G22" s="47" t="n">
        <x:f>MIN(D22+F22,E22)</x:f>
        <x:v>4000</x:v>
      </x:c>
      <x:c r="H22" s="47" t="n">
        <x:f>D22+F22-G22</x:f>
        <x:v>0</x:v>
      </x:c>
      <x:c r="I22" s="47" t="n">
        <x:f>IF(C22&lt;30,0,IF(MOD(C22-30,30)&lt;15,'Controls'!$D$11/15,0))</x:f>
        <x:v>0</x:v>
      </x:c>
      <x:c r="J22" s="47" t="n">
        <x:f>IF(C22&lt;14,3000,7500)</x:f>
        <x:v>7500</x:v>
      </x:c>
      <x:c r="K22" s="47" t="n">
        <x:f>M21</x:f>
        <x:v>0</x:v>
      </x:c>
      <x:c r="L22" s="47" t="n">
        <x:f>MIN(I22+K22,J22)</x:f>
        <x:v>0</x:v>
      </x:c>
      <x:c r="M22" s="47" t="n">
        <x:f>I22+K22-L22</x:f>
        <x:v>0</x:v>
      </x:c>
      <x:c r="N22" s="45" t="str">
        <x:f>IF(AND(H22=0,M22=0),"PASS","BACKLOG")</x:f>
        <x:v>PASS</x:v>
      </x:c>
      <x:c r="O22" s="72"/>
      <x:c r="P22" s="72"/>
    </x:row>
    <x:row r="23">
      <x:c r="C23" s="20" t="n">
        <x:v>16</x:v>
      </x:c>
      <x:c r="D23" s="47" t="n">
        <x:f>IF(C23&lt;3,0,IF(C23&lt;=10,8000,IF(C23&lt;=20,4000,IF(C23&lt;=30,1500,0))))</x:f>
        <x:v>4000</x:v>
      </x:c>
      <x:c r="E23" s="47" t="n">
        <x:f>IF(C23&lt;2,0,IF(C23&lt;=7,10000,IF(C23&lt;=14,15000,8000)))</x:f>
        <x:v>8000</x:v>
      </x:c>
      <x:c r="F23" s="47" t="n">
        <x:f>H22</x:f>
        <x:v>0</x:v>
      </x:c>
      <x:c r="G23" s="47" t="n">
        <x:f>MIN(D23+F23,E23)</x:f>
        <x:v>4000</x:v>
      </x:c>
      <x:c r="H23" s="47" t="n">
        <x:f>D23+F23-G23</x:f>
        <x:v>0</x:v>
      </x:c>
      <x:c r="I23" s="47" t="n">
        <x:f>IF(C23&lt;30,0,IF(MOD(C23-30,30)&lt;15,'Controls'!$D$11/15,0))</x:f>
        <x:v>0</x:v>
      </x:c>
      <x:c r="J23" s="47" t="n">
        <x:f>IF(C23&lt;14,3000,7500)</x:f>
        <x:v>7500</x:v>
      </x:c>
      <x:c r="K23" s="47" t="n">
        <x:f>M22</x:f>
        <x:v>0</x:v>
      </x:c>
      <x:c r="L23" s="47" t="n">
        <x:f>MIN(I23+K23,J23)</x:f>
        <x:v>0</x:v>
      </x:c>
      <x:c r="M23" s="47" t="n">
        <x:f>I23+K23-L23</x:f>
        <x:v>0</x:v>
      </x:c>
      <x:c r="N23" s="45" t="str">
        <x:f>IF(AND(H23=0,M23=0),"PASS","BACKLOG")</x:f>
        <x:v>PASS</x:v>
      </x:c>
      <x:c r="O23" s="72"/>
      <x:c r="P23" s="72"/>
    </x:row>
    <x:row r="24">
      <x:c r="C24" s="20" t="n">
        <x:v>17</x:v>
      </x:c>
      <x:c r="D24" s="47" t="n">
        <x:f>IF(C24&lt;3,0,IF(C24&lt;=10,8000,IF(C24&lt;=20,4000,IF(C24&lt;=30,1500,0))))</x:f>
        <x:v>4000</x:v>
      </x:c>
      <x:c r="E24" s="47" t="n">
        <x:f>IF(C24&lt;2,0,IF(C24&lt;=7,10000,IF(C24&lt;=14,15000,8000)))</x:f>
        <x:v>8000</x:v>
      </x:c>
      <x:c r="F24" s="47" t="n">
        <x:f>H23</x:f>
        <x:v>0</x:v>
      </x:c>
      <x:c r="G24" s="47" t="n">
        <x:f>MIN(D24+F24,E24)</x:f>
        <x:v>4000</x:v>
      </x:c>
      <x:c r="H24" s="47" t="n">
        <x:f>D24+F24-G24</x:f>
        <x:v>0</x:v>
      </x:c>
      <x:c r="I24" s="47" t="n">
        <x:f>IF(C24&lt;30,0,IF(MOD(C24-30,30)&lt;15,'Controls'!$D$11/15,0))</x:f>
        <x:v>0</x:v>
      </x:c>
      <x:c r="J24" s="47" t="n">
        <x:f>IF(C24&lt;14,3000,7500)</x:f>
        <x:v>7500</x:v>
      </x:c>
      <x:c r="K24" s="47" t="n">
        <x:f>M23</x:f>
        <x:v>0</x:v>
      </x:c>
      <x:c r="L24" s="47" t="n">
        <x:f>MIN(I24+K24,J24)</x:f>
        <x:v>0</x:v>
      </x:c>
      <x:c r="M24" s="47" t="n">
        <x:f>I24+K24-L24</x:f>
        <x:v>0</x:v>
      </x:c>
      <x:c r="N24" s="45" t="str">
        <x:f>IF(AND(H24=0,M24=0),"PASS","BACKLOG")</x:f>
        <x:v>PASS</x:v>
      </x:c>
      <x:c r="O24" s="72"/>
      <x:c r="P24" s="72"/>
    </x:row>
    <x:row r="25">
      <x:c r="C25" s="20" t="n">
        <x:v>18</x:v>
      </x:c>
      <x:c r="D25" s="47" t="n">
        <x:f>IF(C25&lt;3,0,IF(C25&lt;=10,8000,IF(C25&lt;=20,4000,IF(C25&lt;=30,1500,0))))</x:f>
        <x:v>4000</x:v>
      </x:c>
      <x:c r="E25" s="47" t="n">
        <x:f>IF(C25&lt;2,0,IF(C25&lt;=7,10000,IF(C25&lt;=14,15000,8000)))</x:f>
        <x:v>8000</x:v>
      </x:c>
      <x:c r="F25" s="47" t="n">
        <x:f>H24</x:f>
        <x:v>0</x:v>
      </x:c>
      <x:c r="G25" s="47" t="n">
        <x:f>MIN(D25+F25,E25)</x:f>
        <x:v>4000</x:v>
      </x:c>
      <x:c r="H25" s="47" t="n">
        <x:f>D25+F25-G25</x:f>
        <x:v>0</x:v>
      </x:c>
      <x:c r="I25" s="47" t="n">
        <x:f>IF(C25&lt;30,0,IF(MOD(C25-30,30)&lt;15,'Controls'!$D$11/15,0))</x:f>
        <x:v>0</x:v>
      </x:c>
      <x:c r="J25" s="47" t="n">
        <x:f>IF(C25&lt;14,3000,7500)</x:f>
        <x:v>7500</x:v>
      </x:c>
      <x:c r="K25" s="47" t="n">
        <x:f>M24</x:f>
        <x:v>0</x:v>
      </x:c>
      <x:c r="L25" s="47" t="n">
        <x:f>MIN(I25+K25,J25)</x:f>
        <x:v>0</x:v>
      </x:c>
      <x:c r="M25" s="47" t="n">
        <x:f>I25+K25-L25</x:f>
        <x:v>0</x:v>
      </x:c>
      <x:c r="N25" s="45" t="str">
        <x:f>IF(AND(H25=0,M25=0),"PASS","BACKLOG")</x:f>
        <x:v>PASS</x:v>
      </x:c>
      <x:c r="O25" s="72"/>
      <x:c r="P25" s="72"/>
    </x:row>
    <x:row r="26">
      <x:c r="C26" s="20" t="n">
        <x:v>19</x:v>
      </x:c>
      <x:c r="D26" s="47" t="n">
        <x:f>IF(C26&lt;3,0,IF(C26&lt;=10,8000,IF(C26&lt;=20,4000,IF(C26&lt;=30,1500,0))))</x:f>
        <x:v>4000</x:v>
      </x:c>
      <x:c r="E26" s="47" t="n">
        <x:f>IF(C26&lt;2,0,IF(C26&lt;=7,10000,IF(C26&lt;=14,15000,8000)))</x:f>
        <x:v>8000</x:v>
      </x:c>
      <x:c r="F26" s="47" t="n">
        <x:f>H25</x:f>
        <x:v>0</x:v>
      </x:c>
      <x:c r="G26" s="47" t="n">
        <x:f>MIN(D26+F26,E26)</x:f>
        <x:v>4000</x:v>
      </x:c>
      <x:c r="H26" s="47" t="n">
        <x:f>D26+F26-G26</x:f>
        <x:v>0</x:v>
      </x:c>
      <x:c r="I26" s="47" t="n">
        <x:f>IF(C26&lt;30,0,IF(MOD(C26-30,30)&lt;15,'Controls'!$D$11/15,0))</x:f>
        <x:v>0</x:v>
      </x:c>
      <x:c r="J26" s="47" t="n">
        <x:f>IF(C26&lt;14,3000,7500)</x:f>
        <x:v>7500</x:v>
      </x:c>
      <x:c r="K26" s="47" t="n">
        <x:f>M25</x:f>
        <x:v>0</x:v>
      </x:c>
      <x:c r="L26" s="47" t="n">
        <x:f>MIN(I26+K26,J26)</x:f>
        <x:v>0</x:v>
      </x:c>
      <x:c r="M26" s="47" t="n">
        <x:f>I26+K26-L26</x:f>
        <x:v>0</x:v>
      </x:c>
      <x:c r="N26" s="45" t="str">
        <x:f>IF(AND(H26=0,M26=0),"PASS","BACKLOG")</x:f>
        <x:v>PASS</x:v>
      </x:c>
      <x:c r="O26" s="72"/>
      <x:c r="P26" s="72"/>
    </x:row>
    <x:row r="27">
      <x:c r="C27" s="20" t="n">
        <x:v>20</x:v>
      </x:c>
      <x:c r="D27" s="47" t="n">
        <x:f>IF(C27&lt;3,0,IF(C27&lt;=10,8000,IF(C27&lt;=20,4000,IF(C27&lt;=30,1500,0))))</x:f>
        <x:v>4000</x:v>
      </x:c>
      <x:c r="E27" s="47" t="n">
        <x:f>IF(C27&lt;2,0,IF(C27&lt;=7,10000,IF(C27&lt;=14,15000,8000)))</x:f>
        <x:v>8000</x:v>
      </x:c>
      <x:c r="F27" s="47" t="n">
        <x:f>H26</x:f>
        <x:v>0</x:v>
      </x:c>
      <x:c r="G27" s="47" t="n">
        <x:f>MIN(D27+F27,E27)</x:f>
        <x:v>4000</x:v>
      </x:c>
      <x:c r="H27" s="47" t="n">
        <x:f>D27+F27-G27</x:f>
        <x:v>0</x:v>
      </x:c>
      <x:c r="I27" s="47" t="n">
        <x:f>IF(C27&lt;30,0,IF(MOD(C27-30,30)&lt;15,'Controls'!$D$11/15,0))</x:f>
        <x:v>0</x:v>
      </x:c>
      <x:c r="J27" s="47" t="n">
        <x:f>IF(C27&lt;14,3000,7500)</x:f>
        <x:v>7500</x:v>
      </x:c>
      <x:c r="K27" s="47" t="n">
        <x:f>M26</x:f>
        <x:v>0</x:v>
      </x:c>
      <x:c r="L27" s="47" t="n">
        <x:f>MIN(I27+K27,J27)</x:f>
        <x:v>0</x:v>
      </x:c>
      <x:c r="M27" s="47" t="n">
        <x:f>I27+K27-L27</x:f>
        <x:v>0</x:v>
      </x:c>
      <x:c r="N27" s="45" t="str">
        <x:f>IF(AND(H27=0,M27=0),"PASS","BACKLOG")</x:f>
        <x:v>PASS</x:v>
      </x:c>
      <x:c r="O27" s="72"/>
      <x:c r="P27" s="72"/>
    </x:row>
    <x:row r="28">
      <x:c r="C28" s="20" t="n">
        <x:v>21</x:v>
      </x:c>
      <x:c r="D28" s="47" t="n">
        <x:f>IF(C28&lt;3,0,IF(C28&lt;=10,8000,IF(C28&lt;=20,4000,IF(C28&lt;=30,1500,0))))</x:f>
        <x:v>1500</x:v>
      </x:c>
      <x:c r="E28" s="47" t="n">
        <x:f>IF(C28&lt;2,0,IF(C28&lt;=7,10000,IF(C28&lt;=14,15000,8000)))</x:f>
        <x:v>8000</x:v>
      </x:c>
      <x:c r="F28" s="47" t="n">
        <x:f>H27</x:f>
        <x:v>0</x:v>
      </x:c>
      <x:c r="G28" s="47" t="n">
        <x:f>MIN(D28+F28,E28)</x:f>
        <x:v>1500</x:v>
      </x:c>
      <x:c r="H28" s="47" t="n">
        <x:f>D28+F28-G28</x:f>
        <x:v>0</x:v>
      </x:c>
      <x:c r="I28" s="47" t="n">
        <x:f>IF(C28&lt;30,0,IF(MOD(C28-30,30)&lt;15,'Controls'!$D$11/15,0))</x:f>
        <x:v>0</x:v>
      </x:c>
      <x:c r="J28" s="47" t="n">
        <x:f>IF(C28&lt;14,3000,7500)</x:f>
        <x:v>7500</x:v>
      </x:c>
      <x:c r="K28" s="47" t="n">
        <x:f>M27</x:f>
        <x:v>0</x:v>
      </x:c>
      <x:c r="L28" s="47" t="n">
        <x:f>MIN(I28+K28,J28)</x:f>
        <x:v>0</x:v>
      </x:c>
      <x:c r="M28" s="47" t="n">
        <x:f>I28+K28-L28</x:f>
        <x:v>0</x:v>
      </x:c>
      <x:c r="N28" s="45" t="str">
        <x:f>IF(AND(H28=0,M28=0),"PASS","BACKLOG")</x:f>
        <x:v>PASS</x:v>
      </x:c>
      <x:c r="O28" s="72"/>
      <x:c r="P28" s="72"/>
    </x:row>
    <x:row r="29">
      <x:c r="C29" s="20" t="n">
        <x:v>22</x:v>
      </x:c>
      <x:c r="D29" s="47" t="n">
        <x:f>IF(C29&lt;3,0,IF(C29&lt;=10,8000,IF(C29&lt;=20,4000,IF(C29&lt;=30,1500,0))))</x:f>
        <x:v>1500</x:v>
      </x:c>
      <x:c r="E29" s="47" t="n">
        <x:f>IF(C29&lt;2,0,IF(C29&lt;=7,10000,IF(C29&lt;=14,15000,8000)))</x:f>
        <x:v>8000</x:v>
      </x:c>
      <x:c r="F29" s="47" t="n">
        <x:f>H28</x:f>
        <x:v>0</x:v>
      </x:c>
      <x:c r="G29" s="47" t="n">
        <x:f>MIN(D29+F29,E29)</x:f>
        <x:v>1500</x:v>
      </x:c>
      <x:c r="H29" s="47" t="n">
        <x:f>D29+F29-G29</x:f>
        <x:v>0</x:v>
      </x:c>
      <x:c r="I29" s="47" t="n">
        <x:f>IF(C29&lt;30,0,IF(MOD(C29-30,30)&lt;15,'Controls'!$D$11/15,0))</x:f>
        <x:v>0</x:v>
      </x:c>
      <x:c r="J29" s="47" t="n">
        <x:f>IF(C29&lt;14,3000,7500)</x:f>
        <x:v>7500</x:v>
      </x:c>
      <x:c r="K29" s="47" t="n">
        <x:f>M28</x:f>
        <x:v>0</x:v>
      </x:c>
      <x:c r="L29" s="47" t="n">
        <x:f>MIN(I29+K29,J29)</x:f>
        <x:v>0</x:v>
      </x:c>
      <x:c r="M29" s="47" t="n">
        <x:f>I29+K29-L29</x:f>
        <x:v>0</x:v>
      </x:c>
      <x:c r="N29" s="45" t="str">
        <x:f>IF(AND(H29=0,M29=0),"PASS","BACKLOG")</x:f>
        <x:v>PASS</x:v>
      </x:c>
      <x:c r="O29" s="72"/>
      <x:c r="P29" s="72"/>
    </x:row>
    <x:row r="30">
      <x:c r="C30" s="20" t="n">
        <x:v>23</x:v>
      </x:c>
      <x:c r="D30" s="47" t="n">
        <x:f>IF(C30&lt;3,0,IF(C30&lt;=10,8000,IF(C30&lt;=20,4000,IF(C30&lt;=30,1500,0))))</x:f>
        <x:v>1500</x:v>
      </x:c>
      <x:c r="E30" s="47" t="n">
        <x:f>IF(C30&lt;2,0,IF(C30&lt;=7,10000,IF(C30&lt;=14,15000,8000)))</x:f>
        <x:v>8000</x:v>
      </x:c>
      <x:c r="F30" s="47" t="n">
        <x:f>H29</x:f>
        <x:v>0</x:v>
      </x:c>
      <x:c r="G30" s="47" t="n">
        <x:f>MIN(D30+F30,E30)</x:f>
        <x:v>1500</x:v>
      </x:c>
      <x:c r="H30" s="47" t="n">
        <x:f>D30+F30-G30</x:f>
        <x:v>0</x:v>
      </x:c>
      <x:c r="I30" s="47" t="n">
        <x:f>IF(C30&lt;30,0,IF(MOD(C30-30,30)&lt;15,'Controls'!$D$11/15,0))</x:f>
        <x:v>0</x:v>
      </x:c>
      <x:c r="J30" s="47" t="n">
        <x:f>IF(C30&lt;14,3000,7500)</x:f>
        <x:v>7500</x:v>
      </x:c>
      <x:c r="K30" s="47" t="n">
        <x:f>M29</x:f>
        <x:v>0</x:v>
      </x:c>
      <x:c r="L30" s="47" t="n">
        <x:f>MIN(I30+K30,J30)</x:f>
        <x:v>0</x:v>
      </x:c>
      <x:c r="M30" s="47" t="n">
        <x:f>I30+K30-L30</x:f>
        <x:v>0</x:v>
      </x:c>
      <x:c r="N30" s="45" t="str">
        <x:f>IF(AND(H30=0,M30=0),"PASS","BACKLOG")</x:f>
        <x:v>PASS</x:v>
      </x:c>
      <x:c r="O30" s="72"/>
      <x:c r="P30" s="72"/>
    </x:row>
    <x:row r="31">
      <x:c r="C31" s="20" t="n">
        <x:v>24</x:v>
      </x:c>
      <x:c r="D31" s="47" t="n">
        <x:f>IF(C31&lt;3,0,IF(C31&lt;=10,8000,IF(C31&lt;=20,4000,IF(C31&lt;=30,1500,0))))</x:f>
        <x:v>1500</x:v>
      </x:c>
      <x:c r="E31" s="47" t="n">
        <x:f>IF(C31&lt;2,0,IF(C31&lt;=7,10000,IF(C31&lt;=14,15000,8000)))</x:f>
        <x:v>8000</x:v>
      </x:c>
      <x:c r="F31" s="47" t="n">
        <x:f>H30</x:f>
        <x:v>0</x:v>
      </x:c>
      <x:c r="G31" s="47" t="n">
        <x:f>MIN(D31+F31,E31)</x:f>
        <x:v>1500</x:v>
      </x:c>
      <x:c r="H31" s="47" t="n">
        <x:f>D31+F31-G31</x:f>
        <x:v>0</x:v>
      </x:c>
      <x:c r="I31" s="47" t="n">
        <x:f>IF(C31&lt;30,0,IF(MOD(C31-30,30)&lt;15,'Controls'!$D$11/15,0))</x:f>
        <x:v>0</x:v>
      </x:c>
      <x:c r="J31" s="47" t="n">
        <x:f>IF(C31&lt;14,3000,7500)</x:f>
        <x:v>7500</x:v>
      </x:c>
      <x:c r="K31" s="47" t="n">
        <x:f>M30</x:f>
        <x:v>0</x:v>
      </x:c>
      <x:c r="L31" s="47" t="n">
        <x:f>MIN(I31+K31,J31)</x:f>
        <x:v>0</x:v>
      </x:c>
      <x:c r="M31" s="47" t="n">
        <x:f>I31+K31-L31</x:f>
        <x:v>0</x:v>
      </x:c>
      <x:c r="N31" s="45" t="str">
        <x:f>IF(AND(H31=0,M31=0),"PASS","BACKLOG")</x:f>
        <x:v>PASS</x:v>
      </x:c>
      <x:c r="O31" s="72"/>
      <x:c r="P31" s="72"/>
    </x:row>
    <x:row r="32">
      <x:c r="C32" s="20" t="n">
        <x:v>25</x:v>
      </x:c>
      <x:c r="D32" s="47" t="n">
        <x:f>IF(C32&lt;3,0,IF(C32&lt;=10,8000,IF(C32&lt;=20,4000,IF(C32&lt;=30,1500,0))))</x:f>
        <x:v>1500</x:v>
      </x:c>
      <x:c r="E32" s="47" t="n">
        <x:f>IF(C32&lt;2,0,IF(C32&lt;=7,10000,IF(C32&lt;=14,15000,8000)))</x:f>
        <x:v>8000</x:v>
      </x:c>
      <x:c r="F32" s="47" t="n">
        <x:f>H31</x:f>
        <x:v>0</x:v>
      </x:c>
      <x:c r="G32" s="47" t="n">
        <x:f>MIN(D32+F32,E32)</x:f>
        <x:v>1500</x:v>
      </x:c>
      <x:c r="H32" s="47" t="n">
        <x:f>D32+F32-G32</x:f>
        <x:v>0</x:v>
      </x:c>
      <x:c r="I32" s="47" t="n">
        <x:f>IF(C32&lt;30,0,IF(MOD(C32-30,30)&lt;15,'Controls'!$D$11/15,0))</x:f>
        <x:v>0</x:v>
      </x:c>
      <x:c r="J32" s="47" t="n">
        <x:f>IF(C32&lt;14,3000,7500)</x:f>
        <x:v>7500</x:v>
      </x:c>
      <x:c r="K32" s="47" t="n">
        <x:f>M31</x:f>
        <x:v>0</x:v>
      </x:c>
      <x:c r="L32" s="47" t="n">
        <x:f>MIN(I32+K32,J32)</x:f>
        <x:v>0</x:v>
      </x:c>
      <x:c r="M32" s="47" t="n">
        <x:f>I32+K32-L32</x:f>
        <x:v>0</x:v>
      </x:c>
      <x:c r="N32" s="45" t="str">
        <x:f>IF(AND(H32=0,M32=0),"PASS","BACKLOG")</x:f>
        <x:v>PASS</x:v>
      </x:c>
      <x:c r="O32" s="72"/>
      <x:c r="P32" s="72"/>
    </x:row>
    <x:row r="33">
      <x:c r="C33" s="20" t="n">
        <x:v>26</x:v>
      </x:c>
      <x:c r="D33" s="47" t="n">
        <x:f>IF(C33&lt;3,0,IF(C33&lt;=10,8000,IF(C33&lt;=20,4000,IF(C33&lt;=30,1500,0))))</x:f>
        <x:v>1500</x:v>
      </x:c>
      <x:c r="E33" s="47" t="n">
        <x:f>IF(C33&lt;2,0,IF(C33&lt;=7,10000,IF(C33&lt;=14,15000,8000)))</x:f>
        <x:v>8000</x:v>
      </x:c>
      <x:c r="F33" s="47" t="n">
        <x:f>H32</x:f>
        <x:v>0</x:v>
      </x:c>
      <x:c r="G33" s="47" t="n">
        <x:f>MIN(D33+F33,E33)</x:f>
        <x:v>1500</x:v>
      </x:c>
      <x:c r="H33" s="47" t="n">
        <x:f>D33+F33-G33</x:f>
        <x:v>0</x:v>
      </x:c>
      <x:c r="I33" s="47" t="n">
        <x:f>IF(C33&lt;30,0,IF(MOD(C33-30,30)&lt;15,'Controls'!$D$11/15,0))</x:f>
        <x:v>0</x:v>
      </x:c>
      <x:c r="J33" s="47" t="n">
        <x:f>IF(C33&lt;14,3000,7500)</x:f>
        <x:v>7500</x:v>
      </x:c>
      <x:c r="K33" s="47" t="n">
        <x:f>M32</x:f>
        <x:v>0</x:v>
      </x:c>
      <x:c r="L33" s="47" t="n">
        <x:f>MIN(I33+K33,J33)</x:f>
        <x:v>0</x:v>
      </x:c>
      <x:c r="M33" s="47" t="n">
        <x:f>I33+K33-L33</x:f>
        <x:v>0</x:v>
      </x:c>
      <x:c r="N33" s="45" t="str">
        <x:f>IF(AND(H33=0,M33=0),"PASS","BACKLOG")</x:f>
        <x:v>PASS</x:v>
      </x:c>
      <x:c r="O33" s="72"/>
      <x:c r="P33" s="72"/>
    </x:row>
    <x:row r="34">
      <x:c r="C34" s="20" t="n">
        <x:v>27</x:v>
      </x:c>
      <x:c r="D34" s="47" t="n">
        <x:f>IF(C34&lt;3,0,IF(C34&lt;=10,8000,IF(C34&lt;=20,4000,IF(C34&lt;=30,1500,0))))</x:f>
        <x:v>1500</x:v>
      </x:c>
      <x:c r="E34" s="47" t="n">
        <x:f>IF(C34&lt;2,0,IF(C34&lt;=7,10000,IF(C34&lt;=14,15000,8000)))</x:f>
        <x:v>8000</x:v>
      </x:c>
      <x:c r="F34" s="47" t="n">
        <x:f>H33</x:f>
        <x:v>0</x:v>
      </x:c>
      <x:c r="G34" s="47" t="n">
        <x:f>MIN(D34+F34,E34)</x:f>
        <x:v>1500</x:v>
      </x:c>
      <x:c r="H34" s="47" t="n">
        <x:f>D34+F34-G34</x:f>
        <x:v>0</x:v>
      </x:c>
      <x:c r="I34" s="47" t="n">
        <x:f>IF(C34&lt;30,0,IF(MOD(C34-30,30)&lt;15,'Controls'!$D$11/15,0))</x:f>
        <x:v>0</x:v>
      </x:c>
      <x:c r="J34" s="47" t="n">
        <x:f>IF(C34&lt;14,3000,7500)</x:f>
        <x:v>7500</x:v>
      </x:c>
      <x:c r="K34" s="47" t="n">
        <x:f>M33</x:f>
        <x:v>0</x:v>
      </x:c>
      <x:c r="L34" s="47" t="n">
        <x:f>MIN(I34+K34,J34)</x:f>
        <x:v>0</x:v>
      </x:c>
      <x:c r="M34" s="47" t="n">
        <x:f>I34+K34-L34</x:f>
        <x:v>0</x:v>
      </x:c>
      <x:c r="N34" s="45" t="str">
        <x:f>IF(AND(H34=0,M34=0),"PASS","BACKLOG")</x:f>
        <x:v>PASS</x:v>
      </x:c>
      <x:c r="O34" s="72"/>
      <x:c r="P34" s="72"/>
    </x:row>
    <x:row r="35">
      <x:c r="C35" s="20" t="n">
        <x:v>28</x:v>
      </x:c>
      <x:c r="D35" s="47" t="n">
        <x:f>IF(C35&lt;3,0,IF(C35&lt;=10,8000,IF(C35&lt;=20,4000,IF(C35&lt;=30,1500,0))))</x:f>
        <x:v>1500</x:v>
      </x:c>
      <x:c r="E35" s="47" t="n">
        <x:f>IF(C35&lt;2,0,IF(C35&lt;=7,10000,IF(C35&lt;=14,15000,8000)))</x:f>
        <x:v>8000</x:v>
      </x:c>
      <x:c r="F35" s="47" t="n">
        <x:f>H34</x:f>
        <x:v>0</x:v>
      </x:c>
      <x:c r="G35" s="47" t="n">
        <x:f>MIN(D35+F35,E35)</x:f>
        <x:v>1500</x:v>
      </x:c>
      <x:c r="H35" s="47" t="n">
        <x:f>D35+F35-G35</x:f>
        <x:v>0</x:v>
      </x:c>
      <x:c r="I35" s="47" t="n">
        <x:f>IF(C35&lt;30,0,IF(MOD(C35-30,30)&lt;15,'Controls'!$D$11/15,0))</x:f>
        <x:v>0</x:v>
      </x:c>
      <x:c r="J35" s="47" t="n">
        <x:f>IF(C35&lt;14,3000,7500)</x:f>
        <x:v>7500</x:v>
      </x:c>
      <x:c r="K35" s="47" t="n">
        <x:f>M34</x:f>
        <x:v>0</x:v>
      </x:c>
      <x:c r="L35" s="47" t="n">
        <x:f>MIN(I35+K35,J35)</x:f>
        <x:v>0</x:v>
      </x:c>
      <x:c r="M35" s="47" t="n">
        <x:f>I35+K35-L35</x:f>
        <x:v>0</x:v>
      </x:c>
      <x:c r="N35" s="45" t="str">
        <x:f>IF(AND(H35=0,M35=0),"PASS","BACKLOG")</x:f>
        <x:v>PASS</x:v>
      </x:c>
      <x:c r="O35" s="72"/>
      <x:c r="P35" s="72"/>
    </x:row>
    <x:row r="36">
      <x:c r="C36" s="20" t="n">
        <x:v>29</x:v>
      </x:c>
      <x:c r="D36" s="47" t="n">
        <x:f>IF(C36&lt;3,0,IF(C36&lt;=10,8000,IF(C36&lt;=20,4000,IF(C36&lt;=30,1500,0))))</x:f>
        <x:v>1500</x:v>
      </x:c>
      <x:c r="E36" s="47" t="n">
        <x:f>IF(C36&lt;2,0,IF(C36&lt;=7,10000,IF(C36&lt;=14,15000,8000)))</x:f>
        <x:v>8000</x:v>
      </x:c>
      <x:c r="F36" s="47" t="n">
        <x:f>H35</x:f>
        <x:v>0</x:v>
      </x:c>
      <x:c r="G36" s="47" t="n">
        <x:f>MIN(D36+F36,E36)</x:f>
        <x:v>1500</x:v>
      </x:c>
      <x:c r="H36" s="47" t="n">
        <x:f>D36+F36-G36</x:f>
        <x:v>0</x:v>
      </x:c>
      <x:c r="I36" s="47" t="n">
        <x:f>IF(C36&lt;30,0,IF(MOD(C36-30,30)&lt;15,'Controls'!$D$11/15,0))</x:f>
        <x:v>0</x:v>
      </x:c>
      <x:c r="J36" s="47" t="n">
        <x:f>IF(C36&lt;14,3000,7500)</x:f>
        <x:v>7500</x:v>
      </x:c>
      <x:c r="K36" s="47" t="n">
        <x:f>M35</x:f>
        <x:v>0</x:v>
      </x:c>
      <x:c r="L36" s="47" t="n">
        <x:f>MIN(I36+K36,J36)</x:f>
        <x:v>0</x:v>
      </x:c>
      <x:c r="M36" s="47" t="n">
        <x:f>I36+K36-L36</x:f>
        <x:v>0</x:v>
      </x:c>
      <x:c r="N36" s="45" t="str">
        <x:f>IF(AND(H36=0,M36=0),"PASS","BACKLOG")</x:f>
        <x:v>PASS</x:v>
      </x:c>
      <x:c r="O36" s="72"/>
      <x:c r="P36" s="72"/>
    </x:row>
    <x:row r="37">
      <x:c r="C37" s="20" t="n">
        <x:v>30</x:v>
      </x:c>
      <x:c r="D37" s="47" t="n">
        <x:f>IF(C37&lt;3,0,IF(C37&lt;=10,8000,IF(C37&lt;=20,4000,IF(C37&lt;=30,1500,0))))</x:f>
        <x:v>1500</x:v>
      </x:c>
      <x:c r="E37" s="47" t="n">
        <x:f>IF(C37&lt;2,0,IF(C37&lt;=7,10000,IF(C37&lt;=14,15000,8000)))</x:f>
        <x:v>8000</x:v>
      </x:c>
      <x:c r="F37" s="47" t="n">
        <x:f>H36</x:f>
        <x:v>0</x:v>
      </x:c>
      <x:c r="G37" s="47" t="n">
        <x:f>MIN(D37+F37,E37)</x:f>
        <x:v>1500</x:v>
      </x:c>
      <x:c r="H37" s="47" t="n">
        <x:f>D37+F37-G37</x:f>
        <x:v>0</x:v>
      </x:c>
      <x:c r="I37" s="47" t="n">
        <x:f>IF(C37&lt;30,0,IF(MOD(C37-30,30)&lt;15,'Controls'!$D$11/15,0))</x:f>
        <x:v>7207.333333333333</x:v>
      </x:c>
      <x:c r="J37" s="47" t="n">
        <x:f>IF(C37&lt;14,3000,7500)</x:f>
        <x:v>7500</x:v>
      </x:c>
      <x:c r="K37" s="47" t="n">
        <x:f>M36</x:f>
        <x:v>0</x:v>
      </x:c>
      <x:c r="L37" s="47" t="n">
        <x:f>MIN(I37+K37,J37)</x:f>
        <x:v>7207.333333333333</x:v>
      </x:c>
      <x:c r="M37" s="47" t="n">
        <x:f>I37+K37-L37</x:f>
        <x:v>0</x:v>
      </x:c>
      <x:c r="N37" s="45" t="str">
        <x:f>IF(AND(H37=0,M37=0),"PASS","BACKLOG")</x:f>
        <x:v>PASS</x:v>
      </x:c>
      <x:c r="O37" s="72"/>
      <x:c r="P37" s="72"/>
    </x:row>
    <x:row r="38">
      <x:c r="C38" s="20" t="n">
        <x:v>31</x:v>
      </x:c>
      <x:c r="D38" s="47" t="n">
        <x:f>IF(C38&lt;3,0,IF(C38&lt;=10,8000,IF(C38&lt;=20,4000,IF(C38&lt;=30,1500,0))))</x:f>
        <x:v>0</x:v>
      </x:c>
      <x:c r="E38" s="47" t="n">
        <x:f>IF(C38&lt;2,0,IF(C38&lt;=7,10000,IF(C38&lt;=14,15000,8000)))</x:f>
        <x:v>8000</x:v>
      </x:c>
      <x:c r="F38" s="47" t="n">
        <x:f>H37</x:f>
        <x:v>0</x:v>
      </x:c>
      <x:c r="G38" s="47" t="n">
        <x:f>MIN(D38+F38,E38)</x:f>
        <x:v>0</x:v>
      </x:c>
      <x:c r="H38" s="47" t="n">
        <x:f>D38+F38-G38</x:f>
        <x:v>0</x:v>
      </x:c>
      <x:c r="I38" s="47" t="n">
        <x:f>IF(C38&lt;30,0,IF(MOD(C38-30,30)&lt;15,'Controls'!$D$11/15,0))</x:f>
        <x:v>7207.333333333333</x:v>
      </x:c>
      <x:c r="J38" s="47" t="n">
        <x:f>IF(C38&lt;14,3000,7500)</x:f>
        <x:v>7500</x:v>
      </x:c>
      <x:c r="K38" s="47" t="n">
        <x:f>M37</x:f>
        <x:v>0</x:v>
      </x:c>
      <x:c r="L38" s="47" t="n">
        <x:f>MIN(I38+K38,J38)</x:f>
        <x:v>7207.333333333333</x:v>
      </x:c>
      <x:c r="M38" s="47" t="n">
        <x:f>I38+K38-L38</x:f>
        <x:v>0</x:v>
      </x:c>
      <x:c r="N38" s="45" t="str">
        <x:f>IF(AND(H38=0,M38=0),"PASS","BACKLOG")</x:f>
        <x:v>PASS</x:v>
      </x:c>
      <x:c r="O38" s="72"/>
      <x:c r="P38" s="72"/>
    </x:row>
    <x:row r="39">
      <x:c r="C39" s="20" t="n">
        <x:v>32</x:v>
      </x:c>
      <x:c r="D39" s="47" t="n">
        <x:f>IF(C39&lt;3,0,IF(C39&lt;=10,8000,IF(C39&lt;=20,4000,IF(C39&lt;=30,1500,0))))</x:f>
        <x:v>0</x:v>
      </x:c>
      <x:c r="E39" s="47" t="n">
        <x:f>IF(C39&lt;2,0,IF(C39&lt;=7,10000,IF(C39&lt;=14,15000,8000)))</x:f>
        <x:v>8000</x:v>
      </x:c>
      <x:c r="F39" s="47" t="n">
        <x:f>H38</x:f>
        <x:v>0</x:v>
      </x:c>
      <x:c r="G39" s="47" t="n">
        <x:f>MIN(D39+F39,E39)</x:f>
        <x:v>0</x:v>
      </x:c>
      <x:c r="H39" s="47" t="n">
        <x:f>D39+F39-G39</x:f>
        <x:v>0</x:v>
      </x:c>
      <x:c r="I39" s="47" t="n">
        <x:f>IF(C39&lt;30,0,IF(MOD(C39-30,30)&lt;15,'Controls'!$D$11/15,0))</x:f>
        <x:v>7207.333333333333</x:v>
      </x:c>
      <x:c r="J39" s="47" t="n">
        <x:f>IF(C39&lt;14,3000,7500)</x:f>
        <x:v>7500</x:v>
      </x:c>
      <x:c r="K39" s="47" t="n">
        <x:f>M38</x:f>
        <x:v>0</x:v>
      </x:c>
      <x:c r="L39" s="47" t="n">
        <x:f>MIN(I39+K39,J39)</x:f>
        <x:v>7207.333333333333</x:v>
      </x:c>
      <x:c r="M39" s="47" t="n">
        <x:f>I39+K39-L39</x:f>
        <x:v>0</x:v>
      </x:c>
      <x:c r="N39" s="45" t="str">
        <x:f>IF(AND(H39=0,M39=0),"PASS","BACKLOG")</x:f>
        <x:v>PASS</x:v>
      </x:c>
      <x:c r="O39" s="72"/>
      <x:c r="P39" s="72"/>
    </x:row>
    <x:row r="40">
      <x:c r="C40" s="20" t="n">
        <x:v>33</x:v>
      </x:c>
      <x:c r="D40" s="47" t="n">
        <x:f>IF(C40&lt;3,0,IF(C40&lt;=10,8000,IF(C40&lt;=20,4000,IF(C40&lt;=30,1500,0))))</x:f>
        <x:v>0</x:v>
      </x:c>
      <x:c r="E40" s="47" t="n">
        <x:f>IF(C40&lt;2,0,IF(C40&lt;=7,10000,IF(C40&lt;=14,15000,8000)))</x:f>
        <x:v>8000</x:v>
      </x:c>
      <x:c r="F40" s="47" t="n">
        <x:f>H39</x:f>
        <x:v>0</x:v>
      </x:c>
      <x:c r="G40" s="47" t="n">
        <x:f>MIN(D40+F40,E40)</x:f>
        <x:v>0</x:v>
      </x:c>
      <x:c r="H40" s="47" t="n">
        <x:f>D40+F40-G40</x:f>
        <x:v>0</x:v>
      </x:c>
      <x:c r="I40" s="47" t="n">
        <x:f>IF(C40&lt;30,0,IF(MOD(C40-30,30)&lt;15,'Controls'!$D$11/15,0))</x:f>
        <x:v>7207.333333333333</x:v>
      </x:c>
      <x:c r="J40" s="47" t="n">
        <x:f>IF(C40&lt;14,3000,7500)</x:f>
        <x:v>7500</x:v>
      </x:c>
      <x:c r="K40" s="47" t="n">
        <x:f>M39</x:f>
        <x:v>0</x:v>
      </x:c>
      <x:c r="L40" s="47" t="n">
        <x:f>MIN(I40+K40,J40)</x:f>
        <x:v>7207.333333333333</x:v>
      </x:c>
      <x:c r="M40" s="47" t="n">
        <x:f>I40+K40-L40</x:f>
        <x:v>0</x:v>
      </x:c>
      <x:c r="N40" s="45" t="str">
        <x:f>IF(AND(H40=0,M40=0),"PASS","BACKLOG")</x:f>
        <x:v>PASS</x:v>
      </x:c>
      <x:c r="O40" s="72"/>
      <x:c r="P40" s="72"/>
    </x:row>
    <x:row r="41">
      <x:c r="C41" s="20" t="n">
        <x:v>34</x:v>
      </x:c>
      <x:c r="D41" s="47" t="n">
        <x:f>IF(C41&lt;3,0,IF(C41&lt;=10,8000,IF(C41&lt;=20,4000,IF(C41&lt;=30,1500,0))))</x:f>
        <x:v>0</x:v>
      </x:c>
      <x:c r="E41" s="47" t="n">
        <x:f>IF(C41&lt;2,0,IF(C41&lt;=7,10000,IF(C41&lt;=14,15000,8000)))</x:f>
        <x:v>8000</x:v>
      </x:c>
      <x:c r="F41" s="47" t="n">
        <x:f>H40</x:f>
        <x:v>0</x:v>
      </x:c>
      <x:c r="G41" s="47" t="n">
        <x:f>MIN(D41+F41,E41)</x:f>
        <x:v>0</x:v>
      </x:c>
      <x:c r="H41" s="47" t="n">
        <x:f>D41+F41-G41</x:f>
        <x:v>0</x:v>
      </x:c>
      <x:c r="I41" s="47" t="n">
        <x:f>IF(C41&lt;30,0,IF(MOD(C41-30,30)&lt;15,'Controls'!$D$11/15,0))</x:f>
        <x:v>7207.333333333333</x:v>
      </x:c>
      <x:c r="J41" s="47" t="n">
        <x:f>IF(C41&lt;14,3000,7500)</x:f>
        <x:v>7500</x:v>
      </x:c>
      <x:c r="K41" s="47" t="n">
        <x:f>M40</x:f>
        <x:v>0</x:v>
      </x:c>
      <x:c r="L41" s="47" t="n">
        <x:f>MIN(I41+K41,J41)</x:f>
        <x:v>7207.333333333333</x:v>
      </x:c>
      <x:c r="M41" s="47" t="n">
        <x:f>I41+K41-L41</x:f>
        <x:v>0</x:v>
      </x:c>
      <x:c r="N41" s="45" t="str">
        <x:f>IF(AND(H41=0,M41=0),"PASS","BACKLOG")</x:f>
        <x:v>PASS</x:v>
      </x:c>
      <x:c r="O41" s="72"/>
      <x:c r="P41" s="72"/>
    </x:row>
    <x:row r="42">
      <x:c r="C42" s="20" t="n">
        <x:v>35</x:v>
      </x:c>
      <x:c r="D42" s="47" t="n">
        <x:f>IF(C42&lt;3,0,IF(C42&lt;=10,8000,IF(C42&lt;=20,4000,IF(C42&lt;=30,1500,0))))</x:f>
        <x:v>0</x:v>
      </x:c>
      <x:c r="E42" s="47" t="n">
        <x:f>IF(C42&lt;2,0,IF(C42&lt;=7,10000,IF(C42&lt;=14,15000,8000)))</x:f>
        <x:v>8000</x:v>
      </x:c>
      <x:c r="F42" s="47" t="n">
        <x:f>H41</x:f>
        <x:v>0</x:v>
      </x:c>
      <x:c r="G42" s="47" t="n">
        <x:f>MIN(D42+F42,E42)</x:f>
        <x:v>0</x:v>
      </x:c>
      <x:c r="H42" s="47" t="n">
        <x:f>D42+F42-G42</x:f>
        <x:v>0</x:v>
      </x:c>
      <x:c r="I42" s="47" t="n">
        <x:f>IF(C42&lt;30,0,IF(MOD(C42-30,30)&lt;15,'Controls'!$D$11/15,0))</x:f>
        <x:v>7207.333333333333</x:v>
      </x:c>
      <x:c r="J42" s="47" t="n">
        <x:f>IF(C42&lt;14,3000,7500)</x:f>
        <x:v>7500</x:v>
      </x:c>
      <x:c r="K42" s="47" t="n">
        <x:f>M41</x:f>
        <x:v>0</x:v>
      </x:c>
      <x:c r="L42" s="47" t="n">
        <x:f>MIN(I42+K42,J42)</x:f>
        <x:v>7207.333333333333</x:v>
      </x:c>
      <x:c r="M42" s="47" t="n">
        <x:f>I42+K42-L42</x:f>
        <x:v>0</x:v>
      </x:c>
      <x:c r="N42" s="45" t="str">
        <x:f>IF(AND(H42=0,M42=0),"PASS","BACKLOG")</x:f>
        <x:v>PASS</x:v>
      </x:c>
      <x:c r="O42" s="72"/>
      <x:c r="P42" s="72"/>
    </x:row>
    <x:row r="43">
      <x:c r="C43" s="20" t="n">
        <x:v>36</x:v>
      </x:c>
      <x:c r="D43" s="47" t="n">
        <x:f>IF(C43&lt;3,0,IF(C43&lt;=10,8000,IF(C43&lt;=20,4000,IF(C43&lt;=30,1500,0))))</x:f>
        <x:v>0</x:v>
      </x:c>
      <x:c r="E43" s="47" t="n">
        <x:f>IF(C43&lt;2,0,IF(C43&lt;=7,10000,IF(C43&lt;=14,15000,8000)))</x:f>
        <x:v>8000</x:v>
      </x:c>
      <x:c r="F43" s="47" t="n">
        <x:f>H42</x:f>
        <x:v>0</x:v>
      </x:c>
      <x:c r="G43" s="47" t="n">
        <x:f>MIN(D43+F43,E43)</x:f>
        <x:v>0</x:v>
      </x:c>
      <x:c r="H43" s="47" t="n">
        <x:f>D43+F43-G43</x:f>
        <x:v>0</x:v>
      </x:c>
      <x:c r="I43" s="47" t="n">
        <x:f>IF(C43&lt;30,0,IF(MOD(C43-30,30)&lt;15,'Controls'!$D$11/15,0))</x:f>
        <x:v>7207.333333333333</x:v>
      </x:c>
      <x:c r="J43" s="47" t="n">
        <x:f>IF(C43&lt;14,3000,7500)</x:f>
        <x:v>7500</x:v>
      </x:c>
      <x:c r="K43" s="47" t="n">
        <x:f>M42</x:f>
        <x:v>0</x:v>
      </x:c>
      <x:c r="L43" s="47" t="n">
        <x:f>MIN(I43+K43,J43)</x:f>
        <x:v>7207.333333333333</x:v>
      </x:c>
      <x:c r="M43" s="47" t="n">
        <x:f>I43+K43-L43</x:f>
        <x:v>0</x:v>
      </x:c>
      <x:c r="N43" s="45" t="str">
        <x:f>IF(AND(H43=0,M43=0),"PASS","BACKLOG")</x:f>
        <x:v>PASS</x:v>
      </x:c>
      <x:c r="O43" s="72"/>
      <x:c r="P43" s="72"/>
    </x:row>
    <x:row r="44">
      <x:c r="C44" s="20" t="n">
        <x:v>37</x:v>
      </x:c>
      <x:c r="D44" s="47" t="n">
        <x:f>IF(C44&lt;3,0,IF(C44&lt;=10,8000,IF(C44&lt;=20,4000,IF(C44&lt;=30,1500,0))))</x:f>
        <x:v>0</x:v>
      </x:c>
      <x:c r="E44" s="47" t="n">
        <x:f>IF(C44&lt;2,0,IF(C44&lt;=7,10000,IF(C44&lt;=14,15000,8000)))</x:f>
        <x:v>8000</x:v>
      </x:c>
      <x:c r="F44" s="47" t="n">
        <x:f>H43</x:f>
        <x:v>0</x:v>
      </x:c>
      <x:c r="G44" s="47" t="n">
        <x:f>MIN(D44+F44,E44)</x:f>
        <x:v>0</x:v>
      </x:c>
      <x:c r="H44" s="47" t="n">
        <x:f>D44+F44-G44</x:f>
        <x:v>0</x:v>
      </x:c>
      <x:c r="I44" s="47" t="n">
        <x:f>IF(C44&lt;30,0,IF(MOD(C44-30,30)&lt;15,'Controls'!$D$11/15,0))</x:f>
        <x:v>7207.333333333333</x:v>
      </x:c>
      <x:c r="J44" s="47" t="n">
        <x:f>IF(C44&lt;14,3000,7500)</x:f>
        <x:v>7500</x:v>
      </x:c>
      <x:c r="K44" s="47" t="n">
        <x:f>M43</x:f>
        <x:v>0</x:v>
      </x:c>
      <x:c r="L44" s="47" t="n">
        <x:f>MIN(I44+K44,J44)</x:f>
        <x:v>7207.333333333333</x:v>
      </x:c>
      <x:c r="M44" s="47" t="n">
        <x:f>I44+K44-L44</x:f>
        <x:v>0</x:v>
      </x:c>
      <x:c r="N44" s="45" t="str">
        <x:f>IF(AND(H44=0,M44=0),"PASS","BACKLOG")</x:f>
        <x:v>PASS</x:v>
      </x:c>
      <x:c r="O44" s="72"/>
      <x:c r="P44" s="72"/>
    </x:row>
    <x:row r="45">
      <x:c r="C45" s="20" t="n">
        <x:v>38</x:v>
      </x:c>
      <x:c r="D45" s="47" t="n">
        <x:f>IF(C45&lt;3,0,IF(C45&lt;=10,8000,IF(C45&lt;=20,4000,IF(C45&lt;=30,1500,0))))</x:f>
        <x:v>0</x:v>
      </x:c>
      <x:c r="E45" s="47" t="n">
        <x:f>IF(C45&lt;2,0,IF(C45&lt;=7,10000,IF(C45&lt;=14,15000,8000)))</x:f>
        <x:v>8000</x:v>
      </x:c>
      <x:c r="F45" s="47" t="n">
        <x:f>H44</x:f>
        <x:v>0</x:v>
      </x:c>
      <x:c r="G45" s="47" t="n">
        <x:f>MIN(D45+F45,E45)</x:f>
        <x:v>0</x:v>
      </x:c>
      <x:c r="H45" s="47" t="n">
        <x:f>D45+F45-G45</x:f>
        <x:v>0</x:v>
      </x:c>
      <x:c r="I45" s="47" t="n">
        <x:f>IF(C45&lt;30,0,IF(MOD(C45-30,30)&lt;15,'Controls'!$D$11/15,0))</x:f>
        <x:v>7207.333333333333</x:v>
      </x:c>
      <x:c r="J45" s="47" t="n">
        <x:f>IF(C45&lt;14,3000,7500)</x:f>
        <x:v>7500</x:v>
      </x:c>
      <x:c r="K45" s="47" t="n">
        <x:f>M44</x:f>
        <x:v>0</x:v>
      </x:c>
      <x:c r="L45" s="47" t="n">
        <x:f>MIN(I45+K45,J45)</x:f>
        <x:v>7207.333333333333</x:v>
      </x:c>
      <x:c r="M45" s="47" t="n">
        <x:f>I45+K45-L45</x:f>
        <x:v>0</x:v>
      </x:c>
      <x:c r="N45" s="45" t="str">
        <x:f>IF(AND(H45=0,M45=0),"PASS","BACKLOG")</x:f>
        <x:v>PASS</x:v>
      </x:c>
      <x:c r="O45" s="72"/>
      <x:c r="P45" s="72"/>
    </x:row>
    <x:row r="46">
      <x:c r="C46" s="20" t="n">
        <x:v>39</x:v>
      </x:c>
      <x:c r="D46" s="47" t="n">
        <x:f>IF(C46&lt;3,0,IF(C46&lt;=10,8000,IF(C46&lt;=20,4000,IF(C46&lt;=30,1500,0))))</x:f>
        <x:v>0</x:v>
      </x:c>
      <x:c r="E46" s="47" t="n">
        <x:f>IF(C46&lt;2,0,IF(C46&lt;=7,10000,IF(C46&lt;=14,15000,8000)))</x:f>
        <x:v>8000</x:v>
      </x:c>
      <x:c r="F46" s="47" t="n">
        <x:f>H45</x:f>
        <x:v>0</x:v>
      </x:c>
      <x:c r="G46" s="47" t="n">
        <x:f>MIN(D46+F46,E46)</x:f>
        <x:v>0</x:v>
      </x:c>
      <x:c r="H46" s="47" t="n">
        <x:f>D46+F46-G46</x:f>
        <x:v>0</x:v>
      </x:c>
      <x:c r="I46" s="47" t="n">
        <x:f>IF(C46&lt;30,0,IF(MOD(C46-30,30)&lt;15,'Controls'!$D$11/15,0))</x:f>
        <x:v>7207.333333333333</x:v>
      </x:c>
      <x:c r="J46" s="47" t="n">
        <x:f>IF(C46&lt;14,3000,7500)</x:f>
        <x:v>7500</x:v>
      </x:c>
      <x:c r="K46" s="47" t="n">
        <x:f>M45</x:f>
        <x:v>0</x:v>
      </x:c>
      <x:c r="L46" s="47" t="n">
        <x:f>MIN(I46+K46,J46)</x:f>
        <x:v>7207.333333333333</x:v>
      </x:c>
      <x:c r="M46" s="47" t="n">
        <x:f>I46+K46-L46</x:f>
        <x:v>0</x:v>
      </x:c>
      <x:c r="N46" s="45" t="str">
        <x:f>IF(AND(H46=0,M46=0),"PASS","BACKLOG")</x:f>
        <x:v>PASS</x:v>
      </x:c>
      <x:c r="O46" s="72"/>
      <x:c r="P46" s="72"/>
    </x:row>
    <x:row r="47">
      <x:c r="C47" s="20" t="n">
        <x:v>40</x:v>
      </x:c>
      <x:c r="D47" s="47" t="n">
        <x:f>IF(C47&lt;3,0,IF(C47&lt;=10,8000,IF(C47&lt;=20,4000,IF(C47&lt;=30,1500,0))))</x:f>
        <x:v>0</x:v>
      </x:c>
      <x:c r="E47" s="47" t="n">
        <x:f>IF(C47&lt;2,0,IF(C47&lt;=7,10000,IF(C47&lt;=14,15000,8000)))</x:f>
        <x:v>8000</x:v>
      </x:c>
      <x:c r="F47" s="47" t="n">
        <x:f>H46</x:f>
        <x:v>0</x:v>
      </x:c>
      <x:c r="G47" s="47" t="n">
        <x:f>MIN(D47+F47,E47)</x:f>
        <x:v>0</x:v>
      </x:c>
      <x:c r="H47" s="47" t="n">
        <x:f>D47+F47-G47</x:f>
        <x:v>0</x:v>
      </x:c>
      <x:c r="I47" s="47" t="n">
        <x:f>IF(C47&lt;30,0,IF(MOD(C47-30,30)&lt;15,'Controls'!$D$11/15,0))</x:f>
        <x:v>7207.333333333333</x:v>
      </x:c>
      <x:c r="J47" s="47" t="n">
        <x:f>IF(C47&lt;14,3000,7500)</x:f>
        <x:v>7500</x:v>
      </x:c>
      <x:c r="K47" s="47" t="n">
        <x:f>M46</x:f>
        <x:v>0</x:v>
      </x:c>
      <x:c r="L47" s="47" t="n">
        <x:f>MIN(I47+K47,J47)</x:f>
        <x:v>7207.333333333333</x:v>
      </x:c>
      <x:c r="M47" s="47" t="n">
        <x:f>I47+K47-L47</x:f>
        <x:v>0</x:v>
      </x:c>
      <x:c r="N47" s="45" t="str">
        <x:f>IF(AND(H47=0,M47=0),"PASS","BACKLOG")</x:f>
        <x:v>PASS</x:v>
      </x:c>
      <x:c r="O47" s="72"/>
      <x:c r="P47" s="72"/>
    </x:row>
    <x:row r="48">
      <x:c r="C48" s="20" t="n">
        <x:v>41</x:v>
      </x:c>
      <x:c r="D48" s="47" t="n">
        <x:f>IF(C48&lt;3,0,IF(C48&lt;=10,8000,IF(C48&lt;=20,4000,IF(C48&lt;=30,1500,0))))</x:f>
        <x:v>0</x:v>
      </x:c>
      <x:c r="E48" s="47" t="n">
        <x:f>IF(C48&lt;2,0,IF(C48&lt;=7,10000,IF(C48&lt;=14,15000,8000)))</x:f>
        <x:v>8000</x:v>
      </x:c>
      <x:c r="F48" s="47" t="n">
        <x:f>H47</x:f>
        <x:v>0</x:v>
      </x:c>
      <x:c r="G48" s="47" t="n">
        <x:f>MIN(D48+F48,E48)</x:f>
        <x:v>0</x:v>
      </x:c>
      <x:c r="H48" s="47" t="n">
        <x:f>D48+F48-G48</x:f>
        <x:v>0</x:v>
      </x:c>
      <x:c r="I48" s="47" t="n">
        <x:f>IF(C48&lt;30,0,IF(MOD(C48-30,30)&lt;15,'Controls'!$D$11/15,0))</x:f>
        <x:v>7207.333333333333</x:v>
      </x:c>
      <x:c r="J48" s="47" t="n">
        <x:f>IF(C48&lt;14,3000,7500)</x:f>
        <x:v>7500</x:v>
      </x:c>
      <x:c r="K48" s="47" t="n">
        <x:f>M47</x:f>
        <x:v>0</x:v>
      </x:c>
      <x:c r="L48" s="47" t="n">
        <x:f>MIN(I48+K48,J48)</x:f>
        <x:v>7207.333333333333</x:v>
      </x:c>
      <x:c r="M48" s="47" t="n">
        <x:f>I48+K48-L48</x:f>
        <x:v>0</x:v>
      </x:c>
      <x:c r="N48" s="45" t="str">
        <x:f>IF(AND(H48=0,M48=0),"PASS","BACKLOG")</x:f>
        <x:v>PASS</x:v>
      </x:c>
      <x:c r="O48" s="72"/>
      <x:c r="P48" s="72"/>
    </x:row>
    <x:row r="49">
      <x:c r="C49" s="20" t="n">
        <x:v>42</x:v>
      </x:c>
      <x:c r="D49" s="47" t="n">
        <x:f>IF(C49&lt;3,0,IF(C49&lt;=10,8000,IF(C49&lt;=20,4000,IF(C49&lt;=30,1500,0))))</x:f>
        <x:v>0</x:v>
      </x:c>
      <x:c r="E49" s="47" t="n">
        <x:f>IF(C49&lt;2,0,IF(C49&lt;=7,10000,IF(C49&lt;=14,15000,8000)))</x:f>
        <x:v>8000</x:v>
      </x:c>
      <x:c r="F49" s="47" t="n">
        <x:f>H48</x:f>
        <x:v>0</x:v>
      </x:c>
      <x:c r="G49" s="47" t="n">
        <x:f>MIN(D49+F49,E49)</x:f>
        <x:v>0</x:v>
      </x:c>
      <x:c r="H49" s="47" t="n">
        <x:f>D49+F49-G49</x:f>
        <x:v>0</x:v>
      </x:c>
      <x:c r="I49" s="47" t="n">
        <x:f>IF(C49&lt;30,0,IF(MOD(C49-30,30)&lt;15,'Controls'!$D$11/15,0))</x:f>
        <x:v>7207.333333333333</x:v>
      </x:c>
      <x:c r="J49" s="47" t="n">
        <x:f>IF(C49&lt;14,3000,7500)</x:f>
        <x:v>7500</x:v>
      </x:c>
      <x:c r="K49" s="47" t="n">
        <x:f>M48</x:f>
        <x:v>0</x:v>
      </x:c>
      <x:c r="L49" s="47" t="n">
        <x:f>MIN(I49+K49,J49)</x:f>
        <x:v>7207.333333333333</x:v>
      </x:c>
      <x:c r="M49" s="47" t="n">
        <x:f>I49+K49-L49</x:f>
        <x:v>0</x:v>
      </x:c>
      <x:c r="N49" s="45" t="str">
        <x:f>IF(AND(H49=0,M49=0),"PASS","BACKLOG")</x:f>
        <x:v>PASS</x:v>
      </x:c>
      <x:c r="O49" s="72"/>
      <x:c r="P49" s="72"/>
    </x:row>
    <x:row r="50">
      <x:c r="C50" s="20" t="n">
        <x:v>43</x:v>
      </x:c>
      <x:c r="D50" s="47" t="n">
        <x:f>IF(C50&lt;3,0,IF(C50&lt;=10,8000,IF(C50&lt;=20,4000,IF(C50&lt;=30,1500,0))))</x:f>
        <x:v>0</x:v>
      </x:c>
      <x:c r="E50" s="47" t="n">
        <x:f>IF(C50&lt;2,0,IF(C50&lt;=7,10000,IF(C50&lt;=14,15000,8000)))</x:f>
        <x:v>8000</x:v>
      </x:c>
      <x:c r="F50" s="47" t="n">
        <x:f>H49</x:f>
        <x:v>0</x:v>
      </x:c>
      <x:c r="G50" s="47" t="n">
        <x:f>MIN(D50+F50,E50)</x:f>
        <x:v>0</x:v>
      </x:c>
      <x:c r="H50" s="47" t="n">
        <x:f>D50+F50-G50</x:f>
        <x:v>0</x:v>
      </x:c>
      <x:c r="I50" s="47" t="n">
        <x:f>IF(C50&lt;30,0,IF(MOD(C50-30,30)&lt;15,'Controls'!$D$11/15,0))</x:f>
        <x:v>7207.333333333333</x:v>
      </x:c>
      <x:c r="J50" s="47" t="n">
        <x:f>IF(C50&lt;14,3000,7500)</x:f>
        <x:v>7500</x:v>
      </x:c>
      <x:c r="K50" s="47" t="n">
        <x:f>M49</x:f>
        <x:v>0</x:v>
      </x:c>
      <x:c r="L50" s="47" t="n">
        <x:f>MIN(I50+K50,J50)</x:f>
        <x:v>7207.333333333333</x:v>
      </x:c>
      <x:c r="M50" s="47" t="n">
        <x:f>I50+K50-L50</x:f>
        <x:v>0</x:v>
      </x:c>
      <x:c r="N50" s="45" t="str">
        <x:f>IF(AND(H50=0,M50=0),"PASS","BACKLOG")</x:f>
        <x:v>PASS</x:v>
      </x:c>
      <x:c r="O50" s="72"/>
      <x:c r="P50" s="72"/>
    </x:row>
    <x:row r="51">
      <x:c r="C51" s="20" t="n">
        <x:v>44</x:v>
      </x:c>
      <x:c r="D51" s="47" t="n">
        <x:f>IF(C51&lt;3,0,IF(C51&lt;=10,8000,IF(C51&lt;=20,4000,IF(C51&lt;=30,1500,0))))</x:f>
        <x:v>0</x:v>
      </x:c>
      <x:c r="E51" s="47" t="n">
        <x:f>IF(C51&lt;2,0,IF(C51&lt;=7,10000,IF(C51&lt;=14,15000,8000)))</x:f>
        <x:v>8000</x:v>
      </x:c>
      <x:c r="F51" s="47" t="n">
        <x:f>H50</x:f>
        <x:v>0</x:v>
      </x:c>
      <x:c r="G51" s="47" t="n">
        <x:f>MIN(D51+F51,E51)</x:f>
        <x:v>0</x:v>
      </x:c>
      <x:c r="H51" s="47" t="n">
        <x:f>D51+F51-G51</x:f>
        <x:v>0</x:v>
      </x:c>
      <x:c r="I51" s="47" t="n">
        <x:f>IF(C51&lt;30,0,IF(MOD(C51-30,30)&lt;15,'Controls'!$D$11/15,0))</x:f>
        <x:v>7207.333333333333</x:v>
      </x:c>
      <x:c r="J51" s="47" t="n">
        <x:f>IF(C51&lt;14,3000,7500)</x:f>
        <x:v>7500</x:v>
      </x:c>
      <x:c r="K51" s="47" t="n">
        <x:f>M50</x:f>
        <x:v>0</x:v>
      </x:c>
      <x:c r="L51" s="47" t="n">
        <x:f>MIN(I51+K51,J51)</x:f>
        <x:v>7207.333333333333</x:v>
      </x:c>
      <x:c r="M51" s="47" t="n">
        <x:f>I51+K51-L51</x:f>
        <x:v>0</x:v>
      </x:c>
      <x:c r="N51" s="45" t="str">
        <x:f>IF(AND(H51=0,M51=0),"PASS","BACKLOG")</x:f>
        <x:v>PASS</x:v>
      </x:c>
      <x:c r="O51" s="72"/>
      <x:c r="P51" s="72"/>
    </x:row>
    <x:row r="52">
      <x:c r="C52" s="20" t="n">
        <x:v>45</x:v>
      </x:c>
      <x:c r="D52" s="47" t="n">
        <x:f>IF(C52&lt;3,0,IF(C52&lt;=10,8000,IF(C52&lt;=20,4000,IF(C52&lt;=30,1500,0))))</x:f>
        <x:v>0</x:v>
      </x:c>
      <x:c r="E52" s="47" t="n">
        <x:f>IF(C52&lt;2,0,IF(C52&lt;=7,10000,IF(C52&lt;=14,15000,8000)))</x:f>
        <x:v>8000</x:v>
      </x:c>
      <x:c r="F52" s="47" t="n">
        <x:f>H51</x:f>
        <x:v>0</x:v>
      </x:c>
      <x:c r="G52" s="47" t="n">
        <x:f>MIN(D52+F52,E52)</x:f>
        <x:v>0</x:v>
      </x:c>
      <x:c r="H52" s="47" t="n">
        <x:f>D52+F52-G52</x:f>
        <x:v>0</x:v>
      </x:c>
      <x:c r="I52" s="47" t="n">
        <x:f>IF(C52&lt;30,0,IF(MOD(C52-30,30)&lt;15,'Controls'!$D$11/15,0))</x:f>
        <x:v>0</x:v>
      </x:c>
      <x:c r="J52" s="47" t="n">
        <x:f>IF(C52&lt;14,3000,7500)</x:f>
        <x:v>7500</x:v>
      </x:c>
      <x:c r="K52" s="47" t="n">
        <x:f>M51</x:f>
        <x:v>0</x:v>
      </x:c>
      <x:c r="L52" s="47" t="n">
        <x:f>MIN(I52+K52,J52)</x:f>
        <x:v>0</x:v>
      </x:c>
      <x:c r="M52" s="47" t="n">
        <x:f>I52+K52-L52</x:f>
        <x:v>0</x:v>
      </x:c>
      <x:c r="N52" s="45" t="str">
        <x:f>IF(AND(H52=0,M52=0),"PASS","BACKLOG")</x:f>
        <x:v>PASS</x:v>
      </x:c>
      <x:c r="O52" s="72"/>
      <x:c r="P52" s="72"/>
    </x:row>
    <x:row r="53">
      <x:c r="C53" s="20" t="n">
        <x:v>46</x:v>
      </x:c>
      <x:c r="D53" s="47" t="n">
        <x:f>IF(C53&lt;3,0,IF(C53&lt;=10,8000,IF(C53&lt;=20,4000,IF(C53&lt;=30,1500,0))))</x:f>
        <x:v>0</x:v>
      </x:c>
      <x:c r="E53" s="47" t="n">
        <x:f>IF(C53&lt;2,0,IF(C53&lt;=7,10000,IF(C53&lt;=14,15000,8000)))</x:f>
        <x:v>8000</x:v>
      </x:c>
      <x:c r="F53" s="47" t="n">
        <x:f>H52</x:f>
        <x:v>0</x:v>
      </x:c>
      <x:c r="G53" s="47" t="n">
        <x:f>MIN(D53+F53,E53)</x:f>
        <x:v>0</x:v>
      </x:c>
      <x:c r="H53" s="47" t="n">
        <x:f>D53+F53-G53</x:f>
        <x:v>0</x:v>
      </x:c>
      <x:c r="I53" s="47" t="n">
        <x:f>IF(C53&lt;30,0,IF(MOD(C53-30,30)&lt;15,'Controls'!$D$11/15,0))</x:f>
        <x:v>0</x:v>
      </x:c>
      <x:c r="J53" s="47" t="n">
        <x:f>IF(C53&lt;14,3000,7500)</x:f>
        <x:v>7500</x:v>
      </x:c>
      <x:c r="K53" s="47" t="n">
        <x:f>M52</x:f>
        <x:v>0</x:v>
      </x:c>
      <x:c r="L53" s="47" t="n">
        <x:f>MIN(I53+K53,J53)</x:f>
        <x:v>0</x:v>
      </x:c>
      <x:c r="M53" s="47" t="n">
        <x:f>I53+K53-L53</x:f>
        <x:v>0</x:v>
      </x:c>
      <x:c r="N53" s="45" t="str">
        <x:f>IF(AND(H53=0,M53=0),"PASS","BACKLOG")</x:f>
        <x:v>PASS</x:v>
      </x:c>
      <x:c r="O53" s="72"/>
      <x:c r="P53" s="72"/>
    </x:row>
    <x:row r="54">
      <x:c r="C54" s="20" t="n">
        <x:v>47</x:v>
      </x:c>
      <x:c r="D54" s="47" t="n">
        <x:f>IF(C54&lt;3,0,IF(C54&lt;=10,8000,IF(C54&lt;=20,4000,IF(C54&lt;=30,1500,0))))</x:f>
        <x:v>0</x:v>
      </x:c>
      <x:c r="E54" s="47" t="n">
        <x:f>IF(C54&lt;2,0,IF(C54&lt;=7,10000,IF(C54&lt;=14,15000,8000)))</x:f>
        <x:v>8000</x:v>
      </x:c>
      <x:c r="F54" s="47" t="n">
        <x:f>H53</x:f>
        <x:v>0</x:v>
      </x:c>
      <x:c r="G54" s="47" t="n">
        <x:f>MIN(D54+F54,E54)</x:f>
        <x:v>0</x:v>
      </x:c>
      <x:c r="H54" s="47" t="n">
        <x:f>D54+F54-G54</x:f>
        <x:v>0</x:v>
      </x:c>
      <x:c r="I54" s="47" t="n">
        <x:f>IF(C54&lt;30,0,IF(MOD(C54-30,30)&lt;15,'Controls'!$D$11/15,0))</x:f>
        <x:v>0</x:v>
      </x:c>
      <x:c r="J54" s="47" t="n">
        <x:f>IF(C54&lt;14,3000,7500)</x:f>
        <x:v>7500</x:v>
      </x:c>
      <x:c r="K54" s="47" t="n">
        <x:f>M53</x:f>
        <x:v>0</x:v>
      </x:c>
      <x:c r="L54" s="47" t="n">
        <x:f>MIN(I54+K54,J54)</x:f>
        <x:v>0</x:v>
      </x:c>
      <x:c r="M54" s="47" t="n">
        <x:f>I54+K54-L54</x:f>
        <x:v>0</x:v>
      </x:c>
      <x:c r="N54" s="45" t="str">
        <x:f>IF(AND(H54=0,M54=0),"PASS","BACKLOG")</x:f>
        <x:v>PASS</x:v>
      </x:c>
      <x:c r="O54" s="72"/>
      <x:c r="P54" s="72"/>
    </x:row>
    <x:row r="55">
      <x:c r="C55" s="20" t="n">
        <x:v>48</x:v>
      </x:c>
      <x:c r="D55" s="47" t="n">
        <x:f>IF(C55&lt;3,0,IF(C55&lt;=10,8000,IF(C55&lt;=20,4000,IF(C55&lt;=30,1500,0))))</x:f>
        <x:v>0</x:v>
      </x:c>
      <x:c r="E55" s="47" t="n">
        <x:f>IF(C55&lt;2,0,IF(C55&lt;=7,10000,IF(C55&lt;=14,15000,8000)))</x:f>
        <x:v>8000</x:v>
      </x:c>
      <x:c r="F55" s="47" t="n">
        <x:f>H54</x:f>
        <x:v>0</x:v>
      </x:c>
      <x:c r="G55" s="47" t="n">
        <x:f>MIN(D55+F55,E55)</x:f>
        <x:v>0</x:v>
      </x:c>
      <x:c r="H55" s="47" t="n">
        <x:f>D55+F55-G55</x:f>
        <x:v>0</x:v>
      </x:c>
      <x:c r="I55" s="47" t="n">
        <x:f>IF(C55&lt;30,0,IF(MOD(C55-30,30)&lt;15,'Controls'!$D$11/15,0))</x:f>
        <x:v>0</x:v>
      </x:c>
      <x:c r="J55" s="47" t="n">
        <x:f>IF(C55&lt;14,3000,7500)</x:f>
        <x:v>7500</x:v>
      </x:c>
      <x:c r="K55" s="47" t="n">
        <x:f>M54</x:f>
        <x:v>0</x:v>
      </x:c>
      <x:c r="L55" s="47" t="n">
        <x:f>MIN(I55+K55,J55)</x:f>
        <x:v>0</x:v>
      </x:c>
      <x:c r="M55" s="47" t="n">
        <x:f>I55+K55-L55</x:f>
        <x:v>0</x:v>
      </x:c>
      <x:c r="N55" s="45" t="str">
        <x:f>IF(AND(H55=0,M55=0),"PASS","BACKLOG")</x:f>
        <x:v>PASS</x:v>
      </x:c>
      <x:c r="O55" s="72"/>
      <x:c r="P55" s="72"/>
    </x:row>
    <x:row r="56">
      <x:c r="C56" s="20" t="n">
        <x:v>49</x:v>
      </x:c>
      <x:c r="D56" s="47" t="n">
        <x:f>IF(C56&lt;3,0,IF(C56&lt;=10,8000,IF(C56&lt;=20,4000,IF(C56&lt;=30,1500,0))))</x:f>
        <x:v>0</x:v>
      </x:c>
      <x:c r="E56" s="47" t="n">
        <x:f>IF(C56&lt;2,0,IF(C56&lt;=7,10000,IF(C56&lt;=14,15000,8000)))</x:f>
        <x:v>8000</x:v>
      </x:c>
      <x:c r="F56" s="47" t="n">
        <x:f>H55</x:f>
        <x:v>0</x:v>
      </x:c>
      <x:c r="G56" s="47" t="n">
        <x:f>MIN(D56+F56,E56)</x:f>
        <x:v>0</x:v>
      </x:c>
      <x:c r="H56" s="47" t="n">
        <x:f>D56+F56-G56</x:f>
        <x:v>0</x:v>
      </x:c>
      <x:c r="I56" s="47" t="n">
        <x:f>IF(C56&lt;30,0,IF(MOD(C56-30,30)&lt;15,'Controls'!$D$11/15,0))</x:f>
        <x:v>0</x:v>
      </x:c>
      <x:c r="J56" s="47" t="n">
        <x:f>IF(C56&lt;14,3000,7500)</x:f>
        <x:v>7500</x:v>
      </x:c>
      <x:c r="K56" s="47" t="n">
        <x:f>M55</x:f>
        <x:v>0</x:v>
      </x:c>
      <x:c r="L56" s="47" t="n">
        <x:f>MIN(I56+K56,J56)</x:f>
        <x:v>0</x:v>
      </x:c>
      <x:c r="M56" s="47" t="n">
        <x:f>I56+K56-L56</x:f>
        <x:v>0</x:v>
      </x:c>
      <x:c r="N56" s="45" t="str">
        <x:f>IF(AND(H56=0,M56=0),"PASS","BACKLOG")</x:f>
        <x:v>PASS</x:v>
      </x:c>
      <x:c r="O56" s="72"/>
      <x:c r="P56" s="72"/>
    </x:row>
    <x:row r="57">
      <x:c r="C57" s="20" t="n">
        <x:v>50</x:v>
      </x:c>
      <x:c r="D57" s="47" t="n">
        <x:f>IF(C57&lt;3,0,IF(C57&lt;=10,8000,IF(C57&lt;=20,4000,IF(C57&lt;=30,1500,0))))</x:f>
        <x:v>0</x:v>
      </x:c>
      <x:c r="E57" s="47" t="n">
        <x:f>IF(C57&lt;2,0,IF(C57&lt;=7,10000,IF(C57&lt;=14,15000,8000)))</x:f>
        <x:v>8000</x:v>
      </x:c>
      <x:c r="F57" s="47" t="n">
        <x:f>H56</x:f>
        <x:v>0</x:v>
      </x:c>
      <x:c r="G57" s="47" t="n">
        <x:f>MIN(D57+F57,E57)</x:f>
        <x:v>0</x:v>
      </x:c>
      <x:c r="H57" s="47" t="n">
        <x:f>D57+F57-G57</x:f>
        <x:v>0</x:v>
      </x:c>
      <x:c r="I57" s="47" t="n">
        <x:f>IF(C57&lt;30,0,IF(MOD(C57-30,30)&lt;15,'Controls'!$D$11/15,0))</x:f>
        <x:v>0</x:v>
      </x:c>
      <x:c r="J57" s="47" t="n">
        <x:f>IF(C57&lt;14,3000,7500)</x:f>
        <x:v>7500</x:v>
      </x:c>
      <x:c r="K57" s="47" t="n">
        <x:f>M56</x:f>
        <x:v>0</x:v>
      </x:c>
      <x:c r="L57" s="47" t="n">
        <x:f>MIN(I57+K57,J57)</x:f>
        <x:v>0</x:v>
      </x:c>
      <x:c r="M57" s="47" t="n">
        <x:f>I57+K57-L57</x:f>
        <x:v>0</x:v>
      </x:c>
      <x:c r="N57" s="45" t="str">
        <x:f>IF(AND(H57=0,M57=0),"PASS","BACKLOG")</x:f>
        <x:v>PASS</x:v>
      </x:c>
      <x:c r="O57" s="72"/>
      <x:c r="P57" s="72"/>
    </x:row>
    <x:row r="58">
      <x:c r="C58" s="20" t="n">
        <x:v>51</x:v>
      </x:c>
      <x:c r="D58" s="47" t="n">
        <x:f>IF(C58&lt;3,0,IF(C58&lt;=10,8000,IF(C58&lt;=20,4000,IF(C58&lt;=30,1500,0))))</x:f>
        <x:v>0</x:v>
      </x:c>
      <x:c r="E58" s="47" t="n">
        <x:f>IF(C58&lt;2,0,IF(C58&lt;=7,10000,IF(C58&lt;=14,15000,8000)))</x:f>
        <x:v>8000</x:v>
      </x:c>
      <x:c r="F58" s="47" t="n">
        <x:f>H57</x:f>
        <x:v>0</x:v>
      </x:c>
      <x:c r="G58" s="47" t="n">
        <x:f>MIN(D58+F58,E58)</x:f>
        <x:v>0</x:v>
      </x:c>
      <x:c r="H58" s="47" t="n">
        <x:f>D58+F58-G58</x:f>
        <x:v>0</x:v>
      </x:c>
      <x:c r="I58" s="47" t="n">
        <x:f>IF(C58&lt;30,0,IF(MOD(C58-30,30)&lt;15,'Controls'!$D$11/15,0))</x:f>
        <x:v>0</x:v>
      </x:c>
      <x:c r="J58" s="47" t="n">
        <x:f>IF(C58&lt;14,3000,7500)</x:f>
        <x:v>7500</x:v>
      </x:c>
      <x:c r="K58" s="47" t="n">
        <x:f>M57</x:f>
        <x:v>0</x:v>
      </x:c>
      <x:c r="L58" s="47" t="n">
        <x:f>MIN(I58+K58,J58)</x:f>
        <x:v>0</x:v>
      </x:c>
      <x:c r="M58" s="47" t="n">
        <x:f>I58+K58-L58</x:f>
        <x:v>0</x:v>
      </x:c>
      <x:c r="N58" s="45" t="str">
        <x:f>IF(AND(H58=0,M58=0),"PASS","BACKLOG")</x:f>
        <x:v>PASS</x:v>
      </x:c>
      <x:c r="O58" s="72"/>
      <x:c r="P58" s="72"/>
    </x:row>
    <x:row r="59">
      <x:c r="C59" s="20" t="n">
        <x:v>52</x:v>
      </x:c>
      <x:c r="D59" s="47" t="n">
        <x:f>IF(C59&lt;3,0,IF(C59&lt;=10,8000,IF(C59&lt;=20,4000,IF(C59&lt;=30,1500,0))))</x:f>
        <x:v>0</x:v>
      </x:c>
      <x:c r="E59" s="47" t="n">
        <x:f>IF(C59&lt;2,0,IF(C59&lt;=7,10000,IF(C59&lt;=14,15000,8000)))</x:f>
        <x:v>8000</x:v>
      </x:c>
      <x:c r="F59" s="47" t="n">
        <x:f>H58</x:f>
        <x:v>0</x:v>
      </x:c>
      <x:c r="G59" s="47" t="n">
        <x:f>MIN(D59+F59,E59)</x:f>
        <x:v>0</x:v>
      </x:c>
      <x:c r="H59" s="47" t="n">
        <x:f>D59+F59-G59</x:f>
        <x:v>0</x:v>
      </x:c>
      <x:c r="I59" s="47" t="n">
        <x:f>IF(C59&lt;30,0,IF(MOD(C59-30,30)&lt;15,'Controls'!$D$11/15,0))</x:f>
        <x:v>0</x:v>
      </x:c>
      <x:c r="J59" s="47" t="n">
        <x:f>IF(C59&lt;14,3000,7500)</x:f>
        <x:v>7500</x:v>
      </x:c>
      <x:c r="K59" s="47" t="n">
        <x:f>M58</x:f>
        <x:v>0</x:v>
      </x:c>
      <x:c r="L59" s="47" t="n">
        <x:f>MIN(I59+K59,J59)</x:f>
        <x:v>0</x:v>
      </x:c>
      <x:c r="M59" s="47" t="n">
        <x:f>I59+K59-L59</x:f>
        <x:v>0</x:v>
      </x:c>
      <x:c r="N59" s="45" t="str">
        <x:f>IF(AND(H59=0,M59=0),"PASS","BACKLOG")</x:f>
        <x:v>PASS</x:v>
      </x:c>
      <x:c r="O59" s="72"/>
      <x:c r="P59" s="72"/>
    </x:row>
    <x:row r="60">
      <x:c r="C60" s="20" t="n">
        <x:v>53</x:v>
      </x:c>
      <x:c r="D60" s="47" t="n">
        <x:f>IF(C60&lt;3,0,IF(C60&lt;=10,8000,IF(C60&lt;=20,4000,IF(C60&lt;=30,1500,0))))</x:f>
        <x:v>0</x:v>
      </x:c>
      <x:c r="E60" s="47" t="n">
        <x:f>IF(C60&lt;2,0,IF(C60&lt;=7,10000,IF(C60&lt;=14,15000,8000)))</x:f>
        <x:v>8000</x:v>
      </x:c>
      <x:c r="F60" s="47" t="n">
        <x:f>H59</x:f>
        <x:v>0</x:v>
      </x:c>
      <x:c r="G60" s="47" t="n">
        <x:f>MIN(D60+F60,E60)</x:f>
        <x:v>0</x:v>
      </x:c>
      <x:c r="H60" s="47" t="n">
        <x:f>D60+F60-G60</x:f>
        <x:v>0</x:v>
      </x:c>
      <x:c r="I60" s="47" t="n">
        <x:f>IF(C60&lt;30,0,IF(MOD(C60-30,30)&lt;15,'Controls'!$D$11/15,0))</x:f>
        <x:v>0</x:v>
      </x:c>
      <x:c r="J60" s="47" t="n">
        <x:f>IF(C60&lt;14,3000,7500)</x:f>
        <x:v>7500</x:v>
      </x:c>
      <x:c r="K60" s="47" t="n">
        <x:f>M59</x:f>
        <x:v>0</x:v>
      </x:c>
      <x:c r="L60" s="47" t="n">
        <x:f>MIN(I60+K60,J60)</x:f>
        <x:v>0</x:v>
      </x:c>
      <x:c r="M60" s="47" t="n">
        <x:f>I60+K60-L60</x:f>
        <x:v>0</x:v>
      </x:c>
      <x:c r="N60" s="45" t="str">
        <x:f>IF(AND(H60=0,M60=0),"PASS","BACKLOG")</x:f>
        <x:v>PASS</x:v>
      </x:c>
      <x:c r="O60" s="72"/>
      <x:c r="P60" s="72"/>
    </x:row>
    <x:row r="61">
      <x:c r="C61" s="20" t="n">
        <x:v>54</x:v>
      </x:c>
      <x:c r="D61" s="47" t="n">
        <x:f>IF(C61&lt;3,0,IF(C61&lt;=10,8000,IF(C61&lt;=20,4000,IF(C61&lt;=30,1500,0))))</x:f>
        <x:v>0</x:v>
      </x:c>
      <x:c r="E61" s="47" t="n">
        <x:f>IF(C61&lt;2,0,IF(C61&lt;=7,10000,IF(C61&lt;=14,15000,8000)))</x:f>
        <x:v>8000</x:v>
      </x:c>
      <x:c r="F61" s="47" t="n">
        <x:f>H60</x:f>
        <x:v>0</x:v>
      </x:c>
      <x:c r="G61" s="47" t="n">
        <x:f>MIN(D61+F61,E61)</x:f>
        <x:v>0</x:v>
      </x:c>
      <x:c r="H61" s="47" t="n">
        <x:f>D61+F61-G61</x:f>
        <x:v>0</x:v>
      </x:c>
      <x:c r="I61" s="47" t="n">
        <x:f>IF(C61&lt;30,0,IF(MOD(C61-30,30)&lt;15,'Controls'!$D$11/15,0))</x:f>
        <x:v>0</x:v>
      </x:c>
      <x:c r="J61" s="47" t="n">
        <x:f>IF(C61&lt;14,3000,7500)</x:f>
        <x:v>7500</x:v>
      </x:c>
      <x:c r="K61" s="47" t="n">
        <x:f>M60</x:f>
        <x:v>0</x:v>
      </x:c>
      <x:c r="L61" s="47" t="n">
        <x:f>MIN(I61+K61,J61)</x:f>
        <x:v>0</x:v>
      </x:c>
      <x:c r="M61" s="47" t="n">
        <x:f>I61+K61-L61</x:f>
        <x:v>0</x:v>
      </x:c>
      <x:c r="N61" s="45" t="str">
        <x:f>IF(AND(H61=0,M61=0),"PASS","BACKLOG")</x:f>
        <x:v>PASS</x:v>
      </x:c>
      <x:c r="O61" s="72"/>
      <x:c r="P61" s="72"/>
    </x:row>
    <x:row r="62">
      <x:c r="C62" s="20" t="n">
        <x:v>55</x:v>
      </x:c>
      <x:c r="D62" s="47" t="n">
        <x:f>IF(C62&lt;3,0,IF(C62&lt;=10,8000,IF(C62&lt;=20,4000,IF(C62&lt;=30,1500,0))))</x:f>
        <x:v>0</x:v>
      </x:c>
      <x:c r="E62" s="47" t="n">
        <x:f>IF(C62&lt;2,0,IF(C62&lt;=7,10000,IF(C62&lt;=14,15000,8000)))</x:f>
        <x:v>8000</x:v>
      </x:c>
      <x:c r="F62" s="47" t="n">
        <x:f>H61</x:f>
        <x:v>0</x:v>
      </x:c>
      <x:c r="G62" s="47" t="n">
        <x:f>MIN(D62+F62,E62)</x:f>
        <x:v>0</x:v>
      </x:c>
      <x:c r="H62" s="47" t="n">
        <x:f>D62+F62-G62</x:f>
        <x:v>0</x:v>
      </x:c>
      <x:c r="I62" s="47" t="n">
        <x:f>IF(C62&lt;30,0,IF(MOD(C62-30,30)&lt;15,'Controls'!$D$11/15,0))</x:f>
        <x:v>0</x:v>
      </x:c>
      <x:c r="J62" s="47" t="n">
        <x:f>IF(C62&lt;14,3000,7500)</x:f>
        <x:v>7500</x:v>
      </x:c>
      <x:c r="K62" s="47" t="n">
        <x:f>M61</x:f>
        <x:v>0</x:v>
      </x:c>
      <x:c r="L62" s="47" t="n">
        <x:f>MIN(I62+K62,J62)</x:f>
        <x:v>0</x:v>
      </x:c>
      <x:c r="M62" s="47" t="n">
        <x:f>I62+K62-L62</x:f>
        <x:v>0</x:v>
      </x:c>
      <x:c r="N62" s="45" t="str">
        <x:f>IF(AND(H62=0,M62=0),"PASS","BACKLOG")</x:f>
        <x:v>PASS</x:v>
      </x:c>
      <x:c r="O62" s="72"/>
      <x:c r="P62" s="72"/>
    </x:row>
    <x:row r="63">
      <x:c r="C63" s="20" t="n">
        <x:v>56</x:v>
      </x:c>
      <x:c r="D63" s="47" t="n">
        <x:f>IF(C63&lt;3,0,IF(C63&lt;=10,8000,IF(C63&lt;=20,4000,IF(C63&lt;=30,1500,0))))</x:f>
        <x:v>0</x:v>
      </x:c>
      <x:c r="E63" s="47" t="n">
        <x:f>IF(C63&lt;2,0,IF(C63&lt;=7,10000,IF(C63&lt;=14,15000,8000)))</x:f>
        <x:v>8000</x:v>
      </x:c>
      <x:c r="F63" s="47" t="n">
        <x:f>H62</x:f>
        <x:v>0</x:v>
      </x:c>
      <x:c r="G63" s="47" t="n">
        <x:f>MIN(D63+F63,E63)</x:f>
        <x:v>0</x:v>
      </x:c>
      <x:c r="H63" s="47" t="n">
        <x:f>D63+F63-G63</x:f>
        <x:v>0</x:v>
      </x:c>
      <x:c r="I63" s="47" t="n">
        <x:f>IF(C63&lt;30,0,IF(MOD(C63-30,30)&lt;15,'Controls'!$D$11/15,0))</x:f>
        <x:v>0</x:v>
      </x:c>
      <x:c r="J63" s="47" t="n">
        <x:f>IF(C63&lt;14,3000,7500)</x:f>
        <x:v>7500</x:v>
      </x:c>
      <x:c r="K63" s="47" t="n">
        <x:f>M62</x:f>
        <x:v>0</x:v>
      </x:c>
      <x:c r="L63" s="47" t="n">
        <x:f>MIN(I63+K63,J63)</x:f>
        <x:v>0</x:v>
      </x:c>
      <x:c r="M63" s="47" t="n">
        <x:f>I63+K63-L63</x:f>
        <x:v>0</x:v>
      </x:c>
      <x:c r="N63" s="45" t="str">
        <x:f>IF(AND(H63=0,M63=0),"PASS","BACKLOG")</x:f>
        <x:v>PASS</x:v>
      </x:c>
      <x:c r="O63" s="72"/>
      <x:c r="P63" s="72"/>
    </x:row>
    <x:row r="64">
      <x:c r="C64" s="20" t="n">
        <x:v>57</x:v>
      </x:c>
      <x:c r="D64" s="47" t="n">
        <x:f>IF(C64&lt;3,0,IF(C64&lt;=10,8000,IF(C64&lt;=20,4000,IF(C64&lt;=30,1500,0))))</x:f>
        <x:v>0</x:v>
      </x:c>
      <x:c r="E64" s="47" t="n">
        <x:f>IF(C64&lt;2,0,IF(C64&lt;=7,10000,IF(C64&lt;=14,15000,8000)))</x:f>
        <x:v>8000</x:v>
      </x:c>
      <x:c r="F64" s="47" t="n">
        <x:f>H63</x:f>
        <x:v>0</x:v>
      </x:c>
      <x:c r="G64" s="47" t="n">
        <x:f>MIN(D64+F64,E64)</x:f>
        <x:v>0</x:v>
      </x:c>
      <x:c r="H64" s="47" t="n">
        <x:f>D64+F64-G64</x:f>
        <x:v>0</x:v>
      </x:c>
      <x:c r="I64" s="47" t="n">
        <x:f>IF(C64&lt;30,0,IF(MOD(C64-30,30)&lt;15,'Controls'!$D$11/15,0))</x:f>
        <x:v>0</x:v>
      </x:c>
      <x:c r="J64" s="47" t="n">
        <x:f>IF(C64&lt;14,3000,7500)</x:f>
        <x:v>7500</x:v>
      </x:c>
      <x:c r="K64" s="47" t="n">
        <x:f>M63</x:f>
        <x:v>0</x:v>
      </x:c>
      <x:c r="L64" s="47" t="n">
        <x:f>MIN(I64+K64,J64)</x:f>
        <x:v>0</x:v>
      </x:c>
      <x:c r="M64" s="47" t="n">
        <x:f>I64+K64-L64</x:f>
        <x:v>0</x:v>
      </x:c>
      <x:c r="N64" s="45" t="str">
        <x:f>IF(AND(H64=0,M64=0),"PASS","BACKLOG")</x:f>
        <x:v>PASS</x:v>
      </x:c>
      <x:c r="O64" s="72"/>
      <x:c r="P64" s="72"/>
    </x:row>
    <x:row r="65">
      <x:c r="C65" s="20" t="n">
        <x:v>58</x:v>
      </x:c>
      <x:c r="D65" s="47" t="n">
        <x:f>IF(C65&lt;3,0,IF(C65&lt;=10,8000,IF(C65&lt;=20,4000,IF(C65&lt;=30,1500,0))))</x:f>
        <x:v>0</x:v>
      </x:c>
      <x:c r="E65" s="47" t="n">
        <x:f>IF(C65&lt;2,0,IF(C65&lt;=7,10000,IF(C65&lt;=14,15000,8000)))</x:f>
        <x:v>8000</x:v>
      </x:c>
      <x:c r="F65" s="47" t="n">
        <x:f>H64</x:f>
        <x:v>0</x:v>
      </x:c>
      <x:c r="G65" s="47" t="n">
        <x:f>MIN(D65+F65,E65)</x:f>
        <x:v>0</x:v>
      </x:c>
      <x:c r="H65" s="47" t="n">
        <x:f>D65+F65-G65</x:f>
        <x:v>0</x:v>
      </x:c>
      <x:c r="I65" s="47" t="n">
        <x:f>IF(C65&lt;30,0,IF(MOD(C65-30,30)&lt;15,'Controls'!$D$11/15,0))</x:f>
        <x:v>0</x:v>
      </x:c>
      <x:c r="J65" s="47" t="n">
        <x:f>IF(C65&lt;14,3000,7500)</x:f>
        <x:v>7500</x:v>
      </x:c>
      <x:c r="K65" s="47" t="n">
        <x:f>M64</x:f>
        <x:v>0</x:v>
      </x:c>
      <x:c r="L65" s="47" t="n">
        <x:f>MIN(I65+K65,J65)</x:f>
        <x:v>0</x:v>
      </x:c>
      <x:c r="M65" s="47" t="n">
        <x:f>I65+K65-L65</x:f>
        <x:v>0</x:v>
      </x:c>
      <x:c r="N65" s="45" t="str">
        <x:f>IF(AND(H65=0,M65=0),"PASS","BACKLOG")</x:f>
        <x:v>PASS</x:v>
      </x:c>
      <x:c r="O65" s="72"/>
      <x:c r="P65" s="72"/>
    </x:row>
    <x:row r="66">
      <x:c r="C66" s="20" t="n">
        <x:v>59</x:v>
      </x:c>
      <x:c r="D66" s="47" t="n">
        <x:f>IF(C66&lt;3,0,IF(C66&lt;=10,8000,IF(C66&lt;=20,4000,IF(C66&lt;=30,1500,0))))</x:f>
        <x:v>0</x:v>
      </x:c>
      <x:c r="E66" s="47" t="n">
        <x:f>IF(C66&lt;2,0,IF(C66&lt;=7,10000,IF(C66&lt;=14,15000,8000)))</x:f>
        <x:v>8000</x:v>
      </x:c>
      <x:c r="F66" s="47" t="n">
        <x:f>H65</x:f>
        <x:v>0</x:v>
      </x:c>
      <x:c r="G66" s="47" t="n">
        <x:f>MIN(D66+F66,E66)</x:f>
        <x:v>0</x:v>
      </x:c>
      <x:c r="H66" s="47" t="n">
        <x:f>D66+F66-G66</x:f>
        <x:v>0</x:v>
      </x:c>
      <x:c r="I66" s="47" t="n">
        <x:f>IF(C66&lt;30,0,IF(MOD(C66-30,30)&lt;15,'Controls'!$D$11/15,0))</x:f>
        <x:v>0</x:v>
      </x:c>
      <x:c r="J66" s="47" t="n">
        <x:f>IF(C66&lt;14,3000,7500)</x:f>
        <x:v>7500</x:v>
      </x:c>
      <x:c r="K66" s="47" t="n">
        <x:f>M65</x:f>
        <x:v>0</x:v>
      </x:c>
      <x:c r="L66" s="47" t="n">
        <x:f>MIN(I66+K66,J66)</x:f>
        <x:v>0</x:v>
      </x:c>
      <x:c r="M66" s="47" t="n">
        <x:f>I66+K66-L66</x:f>
        <x:v>0</x:v>
      </x:c>
      <x:c r="N66" s="45" t="str">
        <x:f>IF(AND(H66=0,M66=0),"PASS","BACKLOG")</x:f>
        <x:v>PASS</x:v>
      </x:c>
      <x:c r="O66" s="72"/>
      <x:c r="P66" s="72"/>
    </x:row>
    <x:row r="67">
      <x:c r="C67" s="20" t="n">
        <x:v>60</x:v>
      </x:c>
      <x:c r="D67" s="47" t="n">
        <x:f>IF(C67&lt;3,0,IF(C67&lt;=10,8000,IF(C67&lt;=20,4000,IF(C67&lt;=30,1500,0))))</x:f>
        <x:v>0</x:v>
      </x:c>
      <x:c r="E67" s="47" t="n">
        <x:f>IF(C67&lt;2,0,IF(C67&lt;=7,10000,IF(C67&lt;=14,15000,8000)))</x:f>
        <x:v>8000</x:v>
      </x:c>
      <x:c r="F67" s="47" t="n">
        <x:f>H66</x:f>
        <x:v>0</x:v>
      </x:c>
      <x:c r="G67" s="47" t="n">
        <x:f>MIN(D67+F67,E67)</x:f>
        <x:v>0</x:v>
      </x:c>
      <x:c r="H67" s="47" t="n">
        <x:f>D67+F67-G67</x:f>
        <x:v>0</x:v>
      </x:c>
      <x:c r="I67" s="47" t="n">
        <x:f>IF(C67&lt;30,0,IF(MOD(C67-30,30)&lt;15,'Controls'!$D$11/15,0))</x:f>
        <x:v>7207.333333333333</x:v>
      </x:c>
      <x:c r="J67" s="47" t="n">
        <x:f>IF(C67&lt;14,3000,7500)</x:f>
        <x:v>7500</x:v>
      </x:c>
      <x:c r="K67" s="47" t="n">
        <x:f>M66</x:f>
        <x:v>0</x:v>
      </x:c>
      <x:c r="L67" s="47" t="n">
        <x:f>MIN(I67+K67,J67)</x:f>
        <x:v>7207.333333333333</x:v>
      </x:c>
      <x:c r="M67" s="47" t="n">
        <x:f>I67+K67-L67</x:f>
        <x:v>0</x:v>
      </x:c>
      <x:c r="N67" s="45" t="str">
        <x:f>IF(AND(H67=0,M67=0),"PASS","BACKLOG")</x:f>
        <x:v>PASS</x:v>
      </x:c>
      <x:c r="O67" s="72"/>
      <x:c r="P67" s="72"/>
    </x:row>
    <x:row r="68">
      <x:c r="C68" s="20" t="n">
        <x:v>61</x:v>
      </x:c>
      <x:c r="D68" s="47" t="n">
        <x:f>IF(C68&lt;3,0,IF(C68&lt;=10,8000,IF(C68&lt;=20,4000,IF(C68&lt;=30,1500,0))))</x:f>
        <x:v>0</x:v>
      </x:c>
      <x:c r="E68" s="47" t="n">
        <x:f>IF(C68&lt;2,0,IF(C68&lt;=7,10000,IF(C68&lt;=14,15000,8000)))</x:f>
        <x:v>8000</x:v>
      </x:c>
      <x:c r="F68" s="47" t="n">
        <x:f>H67</x:f>
        <x:v>0</x:v>
      </x:c>
      <x:c r="G68" s="47" t="n">
        <x:f>MIN(D68+F68,E68)</x:f>
        <x:v>0</x:v>
      </x:c>
      <x:c r="H68" s="47" t="n">
        <x:f>D68+F68-G68</x:f>
        <x:v>0</x:v>
      </x:c>
      <x:c r="I68" s="47" t="n">
        <x:f>IF(C68&lt;30,0,IF(MOD(C68-30,30)&lt;15,'Controls'!$D$11/15,0))</x:f>
        <x:v>7207.333333333333</x:v>
      </x:c>
      <x:c r="J68" s="47" t="n">
        <x:f>IF(C68&lt;14,3000,7500)</x:f>
        <x:v>7500</x:v>
      </x:c>
      <x:c r="K68" s="47" t="n">
        <x:f>M67</x:f>
        <x:v>0</x:v>
      </x:c>
      <x:c r="L68" s="47" t="n">
        <x:f>MIN(I68+K68,J68)</x:f>
        <x:v>7207.333333333333</x:v>
      </x:c>
      <x:c r="M68" s="47" t="n">
        <x:f>I68+K68-L68</x:f>
        <x:v>0</x:v>
      </x:c>
      <x:c r="N68" s="45" t="str">
        <x:f>IF(AND(H68=0,M68=0),"PASS","BACKLOG")</x:f>
        <x:v>PASS</x:v>
      </x:c>
      <x:c r="O68" s="72"/>
      <x:c r="P68" s="72"/>
    </x:row>
    <x:row r="69">
      <x:c r="C69" s="20" t="n">
        <x:v>62</x:v>
      </x:c>
      <x:c r="D69" s="47" t="n">
        <x:f>IF(C69&lt;3,0,IF(C69&lt;=10,8000,IF(C69&lt;=20,4000,IF(C69&lt;=30,1500,0))))</x:f>
        <x:v>0</x:v>
      </x:c>
      <x:c r="E69" s="47" t="n">
        <x:f>IF(C69&lt;2,0,IF(C69&lt;=7,10000,IF(C69&lt;=14,15000,8000)))</x:f>
        <x:v>8000</x:v>
      </x:c>
      <x:c r="F69" s="47" t="n">
        <x:f>H68</x:f>
        <x:v>0</x:v>
      </x:c>
      <x:c r="G69" s="47" t="n">
        <x:f>MIN(D69+F69,E69)</x:f>
        <x:v>0</x:v>
      </x:c>
      <x:c r="H69" s="47" t="n">
        <x:f>D69+F69-G69</x:f>
        <x:v>0</x:v>
      </x:c>
      <x:c r="I69" s="47" t="n">
        <x:f>IF(C69&lt;30,0,IF(MOD(C69-30,30)&lt;15,'Controls'!$D$11/15,0))</x:f>
        <x:v>7207.333333333333</x:v>
      </x:c>
      <x:c r="J69" s="47" t="n">
        <x:f>IF(C69&lt;14,3000,7500)</x:f>
        <x:v>7500</x:v>
      </x:c>
      <x:c r="K69" s="47" t="n">
        <x:f>M68</x:f>
        <x:v>0</x:v>
      </x:c>
      <x:c r="L69" s="47" t="n">
        <x:f>MIN(I69+K69,J69)</x:f>
        <x:v>7207.333333333333</x:v>
      </x:c>
      <x:c r="M69" s="47" t="n">
        <x:f>I69+K69-L69</x:f>
        <x:v>0</x:v>
      </x:c>
      <x:c r="N69" s="45" t="str">
        <x:f>IF(AND(H69=0,M69=0),"PASS","BACKLOG")</x:f>
        <x:v>PASS</x:v>
      </x:c>
      <x:c r="O69" s="72"/>
      <x:c r="P69" s="72"/>
    </x:row>
    <x:row r="70">
      <x:c r="C70" s="20" t="n">
        <x:v>63</x:v>
      </x:c>
      <x:c r="D70" s="47" t="n">
        <x:f>IF(C70&lt;3,0,IF(C70&lt;=10,8000,IF(C70&lt;=20,4000,IF(C70&lt;=30,1500,0))))</x:f>
        <x:v>0</x:v>
      </x:c>
      <x:c r="E70" s="47" t="n">
        <x:f>IF(C70&lt;2,0,IF(C70&lt;=7,10000,IF(C70&lt;=14,15000,8000)))</x:f>
        <x:v>8000</x:v>
      </x:c>
      <x:c r="F70" s="47" t="n">
        <x:f>H69</x:f>
        <x:v>0</x:v>
      </x:c>
      <x:c r="G70" s="47" t="n">
        <x:f>MIN(D70+F70,E70)</x:f>
        <x:v>0</x:v>
      </x:c>
      <x:c r="H70" s="47" t="n">
        <x:f>D70+F70-G70</x:f>
        <x:v>0</x:v>
      </x:c>
      <x:c r="I70" s="47" t="n">
        <x:f>IF(C70&lt;30,0,IF(MOD(C70-30,30)&lt;15,'Controls'!$D$11/15,0))</x:f>
        <x:v>7207.333333333333</x:v>
      </x:c>
      <x:c r="J70" s="47" t="n">
        <x:f>IF(C70&lt;14,3000,7500)</x:f>
        <x:v>7500</x:v>
      </x:c>
      <x:c r="K70" s="47" t="n">
        <x:f>M69</x:f>
        <x:v>0</x:v>
      </x:c>
      <x:c r="L70" s="47" t="n">
        <x:f>MIN(I70+K70,J70)</x:f>
        <x:v>7207.333333333333</x:v>
      </x:c>
      <x:c r="M70" s="47" t="n">
        <x:f>I70+K70-L70</x:f>
        <x:v>0</x:v>
      </x:c>
      <x:c r="N70" s="45" t="str">
        <x:f>IF(AND(H70=0,M70=0),"PASS","BACKLOG")</x:f>
        <x:v>PASS</x:v>
      </x:c>
      <x:c r="O70" s="72"/>
      <x:c r="P70" s="72"/>
    </x:row>
    <x:row r="71">
      <x:c r="C71" s="20" t="n">
        <x:v>64</x:v>
      </x:c>
      <x:c r="D71" s="47" t="n">
        <x:f>IF(C71&lt;3,0,IF(C71&lt;=10,8000,IF(C71&lt;=20,4000,IF(C71&lt;=30,1500,0))))</x:f>
        <x:v>0</x:v>
      </x:c>
      <x:c r="E71" s="47" t="n">
        <x:f>IF(C71&lt;2,0,IF(C71&lt;=7,10000,IF(C71&lt;=14,15000,8000)))</x:f>
        <x:v>8000</x:v>
      </x:c>
      <x:c r="F71" s="47" t="n">
        <x:f>H70</x:f>
        <x:v>0</x:v>
      </x:c>
      <x:c r="G71" s="47" t="n">
        <x:f>MIN(D71+F71,E71)</x:f>
        <x:v>0</x:v>
      </x:c>
      <x:c r="H71" s="47" t="n">
        <x:f>D71+F71-G71</x:f>
        <x:v>0</x:v>
      </x:c>
      <x:c r="I71" s="47" t="n">
        <x:f>IF(C71&lt;30,0,IF(MOD(C71-30,30)&lt;15,'Controls'!$D$11/15,0))</x:f>
        <x:v>7207.333333333333</x:v>
      </x:c>
      <x:c r="J71" s="47" t="n">
        <x:f>IF(C71&lt;14,3000,7500)</x:f>
        <x:v>7500</x:v>
      </x:c>
      <x:c r="K71" s="47" t="n">
        <x:f>M70</x:f>
        <x:v>0</x:v>
      </x:c>
      <x:c r="L71" s="47" t="n">
        <x:f>MIN(I71+K71,J71)</x:f>
        <x:v>7207.333333333333</x:v>
      </x:c>
      <x:c r="M71" s="47" t="n">
        <x:f>I71+K71-L71</x:f>
        <x:v>0</x:v>
      </x:c>
      <x:c r="N71" s="45" t="str">
        <x:f>IF(AND(H71=0,M71=0),"PASS","BACKLOG")</x:f>
        <x:v>PASS</x:v>
      </x:c>
      <x:c r="O71" s="72"/>
      <x:c r="P71" s="72"/>
    </x:row>
    <x:row r="72">
      <x:c r="C72" s="20" t="n">
        <x:v>65</x:v>
      </x:c>
      <x:c r="D72" s="47" t="n">
        <x:f>IF(C72&lt;3,0,IF(C72&lt;=10,8000,IF(C72&lt;=20,4000,IF(C72&lt;=30,1500,0))))</x:f>
        <x:v>0</x:v>
      </x:c>
      <x:c r="E72" s="47" t="n">
        <x:f>IF(C72&lt;2,0,IF(C72&lt;=7,10000,IF(C72&lt;=14,15000,8000)))</x:f>
        <x:v>8000</x:v>
      </x:c>
      <x:c r="F72" s="47" t="n">
        <x:f>H71</x:f>
        <x:v>0</x:v>
      </x:c>
      <x:c r="G72" s="47" t="n">
        <x:f>MIN(D72+F72,E72)</x:f>
        <x:v>0</x:v>
      </x:c>
      <x:c r="H72" s="47" t="n">
        <x:f>D72+F72-G72</x:f>
        <x:v>0</x:v>
      </x:c>
      <x:c r="I72" s="47" t="n">
        <x:f>IF(C72&lt;30,0,IF(MOD(C72-30,30)&lt;15,'Controls'!$D$11/15,0))</x:f>
        <x:v>7207.333333333333</x:v>
      </x:c>
      <x:c r="J72" s="47" t="n">
        <x:f>IF(C72&lt;14,3000,7500)</x:f>
        <x:v>7500</x:v>
      </x:c>
      <x:c r="K72" s="47" t="n">
        <x:f>M71</x:f>
        <x:v>0</x:v>
      </x:c>
      <x:c r="L72" s="47" t="n">
        <x:f>MIN(I72+K72,J72)</x:f>
        <x:v>7207.333333333333</x:v>
      </x:c>
      <x:c r="M72" s="47" t="n">
        <x:f>I72+K72-L72</x:f>
        <x:v>0</x:v>
      </x:c>
      <x:c r="N72" s="45" t="str">
        <x:f>IF(AND(H72=0,M72=0),"PASS","BACKLOG")</x:f>
        <x:v>PASS</x:v>
      </x:c>
      <x:c r="O72" s="72"/>
      <x:c r="P72" s="72"/>
    </x:row>
    <x:row r="73">
      <x:c r="C73" s="20" t="n">
        <x:v>66</x:v>
      </x:c>
      <x:c r="D73" s="47" t="n">
        <x:f>IF(C73&lt;3,0,IF(C73&lt;=10,8000,IF(C73&lt;=20,4000,IF(C73&lt;=30,1500,0))))</x:f>
        <x:v>0</x:v>
      </x:c>
      <x:c r="E73" s="47" t="n">
        <x:f>IF(C73&lt;2,0,IF(C73&lt;=7,10000,IF(C73&lt;=14,15000,8000)))</x:f>
        <x:v>8000</x:v>
      </x:c>
      <x:c r="F73" s="47" t="n">
        <x:f>H72</x:f>
        <x:v>0</x:v>
      </x:c>
      <x:c r="G73" s="47" t="n">
        <x:f>MIN(D73+F73,E73)</x:f>
        <x:v>0</x:v>
      </x:c>
      <x:c r="H73" s="47" t="n">
        <x:f>D73+F73-G73</x:f>
        <x:v>0</x:v>
      </x:c>
      <x:c r="I73" s="47" t="n">
        <x:f>IF(C73&lt;30,0,IF(MOD(C73-30,30)&lt;15,'Controls'!$D$11/15,0))</x:f>
        <x:v>7207.333333333333</x:v>
      </x:c>
      <x:c r="J73" s="47" t="n">
        <x:f>IF(C73&lt;14,3000,7500)</x:f>
        <x:v>7500</x:v>
      </x:c>
      <x:c r="K73" s="47" t="n">
        <x:f>M72</x:f>
        <x:v>0</x:v>
      </x:c>
      <x:c r="L73" s="47" t="n">
        <x:f>MIN(I73+K73,J73)</x:f>
        <x:v>7207.333333333333</x:v>
      </x:c>
      <x:c r="M73" s="47" t="n">
        <x:f>I73+K73-L73</x:f>
        <x:v>0</x:v>
      </x:c>
      <x:c r="N73" s="45" t="str">
        <x:f>IF(AND(H73=0,M73=0),"PASS","BACKLOG")</x:f>
        <x:v>PASS</x:v>
      </x:c>
      <x:c r="O73" s="72"/>
      <x:c r="P73" s="72"/>
    </x:row>
    <x:row r="74">
      <x:c r="C74" s="20" t="n">
        <x:v>67</x:v>
      </x:c>
      <x:c r="D74" s="47" t="n">
        <x:f>IF(C74&lt;3,0,IF(C74&lt;=10,8000,IF(C74&lt;=20,4000,IF(C74&lt;=30,1500,0))))</x:f>
        <x:v>0</x:v>
      </x:c>
      <x:c r="E74" s="47" t="n">
        <x:f>IF(C74&lt;2,0,IF(C74&lt;=7,10000,IF(C74&lt;=14,15000,8000)))</x:f>
        <x:v>8000</x:v>
      </x:c>
      <x:c r="F74" s="47" t="n">
        <x:f>H73</x:f>
        <x:v>0</x:v>
      </x:c>
      <x:c r="G74" s="47" t="n">
        <x:f>MIN(D74+F74,E74)</x:f>
        <x:v>0</x:v>
      </x:c>
      <x:c r="H74" s="47" t="n">
        <x:f>D74+F74-G74</x:f>
        <x:v>0</x:v>
      </x:c>
      <x:c r="I74" s="47" t="n">
        <x:f>IF(C74&lt;30,0,IF(MOD(C74-30,30)&lt;15,'Controls'!$D$11/15,0))</x:f>
        <x:v>7207.333333333333</x:v>
      </x:c>
      <x:c r="J74" s="47" t="n">
        <x:f>IF(C74&lt;14,3000,7500)</x:f>
        <x:v>7500</x:v>
      </x:c>
      <x:c r="K74" s="47" t="n">
        <x:f>M73</x:f>
        <x:v>0</x:v>
      </x:c>
      <x:c r="L74" s="47" t="n">
        <x:f>MIN(I74+K74,J74)</x:f>
        <x:v>7207.333333333333</x:v>
      </x:c>
      <x:c r="M74" s="47" t="n">
        <x:f>I74+K74-L74</x:f>
        <x:v>0</x:v>
      </x:c>
      <x:c r="N74" s="45" t="str">
        <x:f>IF(AND(H74=0,M74=0),"PASS","BACKLOG")</x:f>
        <x:v>PASS</x:v>
      </x:c>
      <x:c r="O74" s="72"/>
      <x:c r="P74" s="72"/>
    </x:row>
    <x:row r="75">
      <x:c r="C75" s="20" t="n">
        <x:v>68</x:v>
      </x:c>
      <x:c r="D75" s="47" t="n">
        <x:f>IF(C75&lt;3,0,IF(C75&lt;=10,8000,IF(C75&lt;=20,4000,IF(C75&lt;=30,1500,0))))</x:f>
        <x:v>0</x:v>
      </x:c>
      <x:c r="E75" s="47" t="n">
        <x:f>IF(C75&lt;2,0,IF(C75&lt;=7,10000,IF(C75&lt;=14,15000,8000)))</x:f>
        <x:v>8000</x:v>
      </x:c>
      <x:c r="F75" s="47" t="n">
        <x:f>H74</x:f>
        <x:v>0</x:v>
      </x:c>
      <x:c r="G75" s="47" t="n">
        <x:f>MIN(D75+F75,E75)</x:f>
        <x:v>0</x:v>
      </x:c>
      <x:c r="H75" s="47" t="n">
        <x:f>D75+F75-G75</x:f>
        <x:v>0</x:v>
      </x:c>
      <x:c r="I75" s="47" t="n">
        <x:f>IF(C75&lt;30,0,IF(MOD(C75-30,30)&lt;15,'Controls'!$D$11/15,0))</x:f>
        <x:v>7207.333333333333</x:v>
      </x:c>
      <x:c r="J75" s="47" t="n">
        <x:f>IF(C75&lt;14,3000,7500)</x:f>
        <x:v>7500</x:v>
      </x:c>
      <x:c r="K75" s="47" t="n">
        <x:f>M74</x:f>
        <x:v>0</x:v>
      </x:c>
      <x:c r="L75" s="47" t="n">
        <x:f>MIN(I75+K75,J75)</x:f>
        <x:v>7207.333333333333</x:v>
      </x:c>
      <x:c r="M75" s="47" t="n">
        <x:f>I75+K75-L75</x:f>
        <x:v>0</x:v>
      </x:c>
      <x:c r="N75" s="45" t="str">
        <x:f>IF(AND(H75=0,M75=0),"PASS","BACKLOG")</x:f>
        <x:v>PASS</x:v>
      </x:c>
      <x:c r="O75" s="72"/>
      <x:c r="P75" s="72"/>
    </x:row>
    <x:row r="76">
      <x:c r="C76" s="20" t="n">
        <x:v>69</x:v>
      </x:c>
      <x:c r="D76" s="47" t="n">
        <x:f>IF(C76&lt;3,0,IF(C76&lt;=10,8000,IF(C76&lt;=20,4000,IF(C76&lt;=30,1500,0))))</x:f>
        <x:v>0</x:v>
      </x:c>
      <x:c r="E76" s="47" t="n">
        <x:f>IF(C76&lt;2,0,IF(C76&lt;=7,10000,IF(C76&lt;=14,15000,8000)))</x:f>
        <x:v>8000</x:v>
      </x:c>
      <x:c r="F76" s="47" t="n">
        <x:f>H75</x:f>
        <x:v>0</x:v>
      </x:c>
      <x:c r="G76" s="47" t="n">
        <x:f>MIN(D76+F76,E76)</x:f>
        <x:v>0</x:v>
      </x:c>
      <x:c r="H76" s="47" t="n">
        <x:f>D76+F76-G76</x:f>
        <x:v>0</x:v>
      </x:c>
      <x:c r="I76" s="47" t="n">
        <x:f>IF(C76&lt;30,0,IF(MOD(C76-30,30)&lt;15,'Controls'!$D$11/15,0))</x:f>
        <x:v>7207.333333333333</x:v>
      </x:c>
      <x:c r="J76" s="47" t="n">
        <x:f>IF(C76&lt;14,3000,7500)</x:f>
        <x:v>7500</x:v>
      </x:c>
      <x:c r="K76" s="47" t="n">
        <x:f>M75</x:f>
        <x:v>0</x:v>
      </x:c>
      <x:c r="L76" s="47" t="n">
        <x:f>MIN(I76+K76,J76)</x:f>
        <x:v>7207.333333333333</x:v>
      </x:c>
      <x:c r="M76" s="47" t="n">
        <x:f>I76+K76-L76</x:f>
        <x:v>0</x:v>
      </x:c>
      <x:c r="N76" s="45" t="str">
        <x:f>IF(AND(H76=0,M76=0),"PASS","BACKLOG")</x:f>
        <x:v>PASS</x:v>
      </x:c>
      <x:c r="O76" s="72"/>
      <x:c r="P76" s="72"/>
    </x:row>
    <x:row r="77">
      <x:c r="C77" s="20" t="n">
        <x:v>70</x:v>
      </x:c>
      <x:c r="D77" s="47" t="n">
        <x:f>IF(C77&lt;3,0,IF(C77&lt;=10,8000,IF(C77&lt;=20,4000,IF(C77&lt;=30,1500,0))))</x:f>
        <x:v>0</x:v>
      </x:c>
      <x:c r="E77" s="47" t="n">
        <x:f>IF(C77&lt;2,0,IF(C77&lt;=7,10000,IF(C77&lt;=14,15000,8000)))</x:f>
        <x:v>8000</x:v>
      </x:c>
      <x:c r="F77" s="47" t="n">
        <x:f>H76</x:f>
        <x:v>0</x:v>
      </x:c>
      <x:c r="G77" s="47" t="n">
        <x:f>MIN(D77+F77,E77)</x:f>
        <x:v>0</x:v>
      </x:c>
      <x:c r="H77" s="47" t="n">
        <x:f>D77+F77-G77</x:f>
        <x:v>0</x:v>
      </x:c>
      <x:c r="I77" s="47" t="n">
        <x:f>IF(C77&lt;30,0,IF(MOD(C77-30,30)&lt;15,'Controls'!$D$11/15,0))</x:f>
        <x:v>7207.333333333333</x:v>
      </x:c>
      <x:c r="J77" s="47" t="n">
        <x:f>IF(C77&lt;14,3000,7500)</x:f>
        <x:v>7500</x:v>
      </x:c>
      <x:c r="K77" s="47" t="n">
        <x:f>M76</x:f>
        <x:v>0</x:v>
      </x:c>
      <x:c r="L77" s="47" t="n">
        <x:f>MIN(I77+K77,J77)</x:f>
        <x:v>7207.333333333333</x:v>
      </x:c>
      <x:c r="M77" s="47" t="n">
        <x:f>I77+K77-L77</x:f>
        <x:v>0</x:v>
      </x:c>
      <x:c r="N77" s="45" t="str">
        <x:f>IF(AND(H77=0,M77=0),"PASS","BACKLOG")</x:f>
        <x:v>PASS</x:v>
      </x:c>
      <x:c r="O77" s="72"/>
      <x:c r="P77" s="72"/>
    </x:row>
    <x:row r="78">
      <x:c r="C78" s="20" t="n">
        <x:v>71</x:v>
      </x:c>
      <x:c r="D78" s="47" t="n">
        <x:f>IF(C78&lt;3,0,IF(C78&lt;=10,8000,IF(C78&lt;=20,4000,IF(C78&lt;=30,1500,0))))</x:f>
        <x:v>0</x:v>
      </x:c>
      <x:c r="E78" s="47" t="n">
        <x:f>IF(C78&lt;2,0,IF(C78&lt;=7,10000,IF(C78&lt;=14,15000,8000)))</x:f>
        <x:v>8000</x:v>
      </x:c>
      <x:c r="F78" s="47" t="n">
        <x:f>H77</x:f>
        <x:v>0</x:v>
      </x:c>
      <x:c r="G78" s="47" t="n">
        <x:f>MIN(D78+F78,E78)</x:f>
        <x:v>0</x:v>
      </x:c>
      <x:c r="H78" s="47" t="n">
        <x:f>D78+F78-G78</x:f>
        <x:v>0</x:v>
      </x:c>
      <x:c r="I78" s="47" t="n">
        <x:f>IF(C78&lt;30,0,IF(MOD(C78-30,30)&lt;15,'Controls'!$D$11/15,0))</x:f>
        <x:v>7207.333333333333</x:v>
      </x:c>
      <x:c r="J78" s="47" t="n">
        <x:f>IF(C78&lt;14,3000,7500)</x:f>
        <x:v>7500</x:v>
      </x:c>
      <x:c r="K78" s="47" t="n">
        <x:f>M77</x:f>
        <x:v>0</x:v>
      </x:c>
      <x:c r="L78" s="47" t="n">
        <x:f>MIN(I78+K78,J78)</x:f>
        <x:v>7207.333333333333</x:v>
      </x:c>
      <x:c r="M78" s="47" t="n">
        <x:f>I78+K78-L78</x:f>
        <x:v>0</x:v>
      </x:c>
      <x:c r="N78" s="45" t="str">
        <x:f>IF(AND(H78=0,M78=0),"PASS","BACKLOG")</x:f>
        <x:v>PASS</x:v>
      </x:c>
      <x:c r="O78" s="72"/>
      <x:c r="P78" s="72"/>
    </x:row>
    <x:row r="79">
      <x:c r="C79" s="20" t="n">
        <x:v>72</x:v>
      </x:c>
      <x:c r="D79" s="47" t="n">
        <x:f>IF(C79&lt;3,0,IF(C79&lt;=10,8000,IF(C79&lt;=20,4000,IF(C79&lt;=30,1500,0))))</x:f>
        <x:v>0</x:v>
      </x:c>
      <x:c r="E79" s="47" t="n">
        <x:f>IF(C79&lt;2,0,IF(C79&lt;=7,10000,IF(C79&lt;=14,15000,8000)))</x:f>
        <x:v>8000</x:v>
      </x:c>
      <x:c r="F79" s="47" t="n">
        <x:f>H78</x:f>
        <x:v>0</x:v>
      </x:c>
      <x:c r="G79" s="47" t="n">
        <x:f>MIN(D79+F79,E79)</x:f>
        <x:v>0</x:v>
      </x:c>
      <x:c r="H79" s="47" t="n">
        <x:f>D79+F79-G79</x:f>
        <x:v>0</x:v>
      </x:c>
      <x:c r="I79" s="47" t="n">
        <x:f>IF(C79&lt;30,0,IF(MOD(C79-30,30)&lt;15,'Controls'!$D$11/15,0))</x:f>
        <x:v>7207.333333333333</x:v>
      </x:c>
      <x:c r="J79" s="47" t="n">
        <x:f>IF(C79&lt;14,3000,7500)</x:f>
        <x:v>7500</x:v>
      </x:c>
      <x:c r="K79" s="47" t="n">
        <x:f>M78</x:f>
        <x:v>0</x:v>
      </x:c>
      <x:c r="L79" s="47" t="n">
        <x:f>MIN(I79+K79,J79)</x:f>
        <x:v>7207.333333333333</x:v>
      </x:c>
      <x:c r="M79" s="47" t="n">
        <x:f>I79+K79-L79</x:f>
        <x:v>0</x:v>
      </x:c>
      <x:c r="N79" s="45" t="str">
        <x:f>IF(AND(H79=0,M79=0),"PASS","BACKLOG")</x:f>
        <x:v>PASS</x:v>
      </x:c>
      <x:c r="O79" s="72"/>
      <x:c r="P79" s="72"/>
    </x:row>
    <x:row r="80">
      <x:c r="C80" s="20" t="n">
        <x:v>73</x:v>
      </x:c>
      <x:c r="D80" s="47" t="n">
        <x:f>IF(C80&lt;3,0,IF(C80&lt;=10,8000,IF(C80&lt;=20,4000,IF(C80&lt;=30,1500,0))))</x:f>
        <x:v>0</x:v>
      </x:c>
      <x:c r="E80" s="47" t="n">
        <x:f>IF(C80&lt;2,0,IF(C80&lt;=7,10000,IF(C80&lt;=14,15000,8000)))</x:f>
        <x:v>8000</x:v>
      </x:c>
      <x:c r="F80" s="47" t="n">
        <x:f>H79</x:f>
        <x:v>0</x:v>
      </x:c>
      <x:c r="G80" s="47" t="n">
        <x:f>MIN(D80+F80,E80)</x:f>
        <x:v>0</x:v>
      </x:c>
      <x:c r="H80" s="47" t="n">
        <x:f>D80+F80-G80</x:f>
        <x:v>0</x:v>
      </x:c>
      <x:c r="I80" s="47" t="n">
        <x:f>IF(C80&lt;30,0,IF(MOD(C80-30,30)&lt;15,'Controls'!$D$11/15,0))</x:f>
        <x:v>7207.333333333333</x:v>
      </x:c>
      <x:c r="J80" s="47" t="n">
        <x:f>IF(C80&lt;14,3000,7500)</x:f>
        <x:v>7500</x:v>
      </x:c>
      <x:c r="K80" s="47" t="n">
        <x:f>M79</x:f>
        <x:v>0</x:v>
      </x:c>
      <x:c r="L80" s="47" t="n">
        <x:f>MIN(I80+K80,J80)</x:f>
        <x:v>7207.333333333333</x:v>
      </x:c>
      <x:c r="M80" s="47" t="n">
        <x:f>I80+K80-L80</x:f>
        <x:v>0</x:v>
      </x:c>
      <x:c r="N80" s="45" t="str">
        <x:f>IF(AND(H80=0,M80=0),"PASS","BACKLOG")</x:f>
        <x:v>PASS</x:v>
      </x:c>
      <x:c r="O80" s="72"/>
      <x:c r="P80" s="72"/>
    </x:row>
    <x:row r="81">
      <x:c r="C81" s="20" t="n">
        <x:v>74</x:v>
      </x:c>
      <x:c r="D81" s="47" t="n">
        <x:f>IF(C81&lt;3,0,IF(C81&lt;=10,8000,IF(C81&lt;=20,4000,IF(C81&lt;=30,1500,0))))</x:f>
        <x:v>0</x:v>
      </x:c>
      <x:c r="E81" s="47" t="n">
        <x:f>IF(C81&lt;2,0,IF(C81&lt;=7,10000,IF(C81&lt;=14,15000,8000)))</x:f>
        <x:v>8000</x:v>
      </x:c>
      <x:c r="F81" s="47" t="n">
        <x:f>H80</x:f>
        <x:v>0</x:v>
      </x:c>
      <x:c r="G81" s="47" t="n">
        <x:f>MIN(D81+F81,E81)</x:f>
        <x:v>0</x:v>
      </x:c>
      <x:c r="H81" s="47" t="n">
        <x:f>D81+F81-G81</x:f>
        <x:v>0</x:v>
      </x:c>
      <x:c r="I81" s="47" t="n">
        <x:f>IF(C81&lt;30,0,IF(MOD(C81-30,30)&lt;15,'Controls'!$D$11/15,0))</x:f>
        <x:v>7207.333333333333</x:v>
      </x:c>
      <x:c r="J81" s="47" t="n">
        <x:f>IF(C81&lt;14,3000,7500)</x:f>
        <x:v>7500</x:v>
      </x:c>
      <x:c r="K81" s="47" t="n">
        <x:f>M80</x:f>
        <x:v>0</x:v>
      </x:c>
      <x:c r="L81" s="47" t="n">
        <x:f>MIN(I81+K81,J81)</x:f>
        <x:v>7207.333333333333</x:v>
      </x:c>
      <x:c r="M81" s="47" t="n">
        <x:f>I81+K81-L81</x:f>
        <x:v>0</x:v>
      </x:c>
      <x:c r="N81" s="45" t="str">
        <x:f>IF(AND(H81=0,M81=0),"PASS","BACKLOG")</x:f>
        <x:v>PASS</x:v>
      </x:c>
      <x:c r="O81" s="72"/>
      <x:c r="P81" s="72"/>
    </x:row>
    <x:row r="82">
      <x:c r="C82" s="20" t="n">
        <x:v>75</x:v>
      </x:c>
      <x:c r="D82" s="47" t="n">
        <x:f>IF(C82&lt;3,0,IF(C82&lt;=10,8000,IF(C82&lt;=20,4000,IF(C82&lt;=30,1500,0))))</x:f>
        <x:v>0</x:v>
      </x:c>
      <x:c r="E82" s="47" t="n">
        <x:f>IF(C82&lt;2,0,IF(C82&lt;=7,10000,IF(C82&lt;=14,15000,8000)))</x:f>
        <x:v>8000</x:v>
      </x:c>
      <x:c r="F82" s="47" t="n">
        <x:f>H81</x:f>
        <x:v>0</x:v>
      </x:c>
      <x:c r="G82" s="47" t="n">
        <x:f>MIN(D82+F82,E82)</x:f>
        <x:v>0</x:v>
      </x:c>
      <x:c r="H82" s="47" t="n">
        <x:f>D82+F82-G82</x:f>
        <x:v>0</x:v>
      </x:c>
      <x:c r="I82" s="47" t="n">
        <x:f>IF(C82&lt;30,0,IF(MOD(C82-30,30)&lt;15,'Controls'!$D$11/15,0))</x:f>
        <x:v>0</x:v>
      </x:c>
      <x:c r="J82" s="47" t="n">
        <x:f>IF(C82&lt;14,3000,7500)</x:f>
        <x:v>7500</x:v>
      </x:c>
      <x:c r="K82" s="47" t="n">
        <x:f>M81</x:f>
        <x:v>0</x:v>
      </x:c>
      <x:c r="L82" s="47" t="n">
        <x:f>MIN(I82+K82,J82)</x:f>
        <x:v>0</x:v>
      </x:c>
      <x:c r="M82" s="47" t="n">
        <x:f>I82+K82-L82</x:f>
        <x:v>0</x:v>
      </x:c>
      <x:c r="N82" s="45" t="str">
        <x:f>IF(AND(H82=0,M82=0),"PASS","BACKLOG")</x:f>
        <x:v>PASS</x:v>
      </x:c>
      <x:c r="O82" s="72"/>
      <x:c r="P82" s="72"/>
    </x:row>
    <x:row r="83">
      <x:c r="C83" s="20" t="n">
        <x:v>76</x:v>
      </x:c>
      <x:c r="D83" s="47" t="n">
        <x:f>IF(C83&lt;3,0,IF(C83&lt;=10,8000,IF(C83&lt;=20,4000,IF(C83&lt;=30,1500,0))))</x:f>
        <x:v>0</x:v>
      </x:c>
      <x:c r="E83" s="47" t="n">
        <x:f>IF(C83&lt;2,0,IF(C83&lt;=7,10000,IF(C83&lt;=14,15000,8000)))</x:f>
        <x:v>8000</x:v>
      </x:c>
      <x:c r="F83" s="47" t="n">
        <x:f>H82</x:f>
        <x:v>0</x:v>
      </x:c>
      <x:c r="G83" s="47" t="n">
        <x:f>MIN(D83+F83,E83)</x:f>
        <x:v>0</x:v>
      </x:c>
      <x:c r="H83" s="47" t="n">
        <x:f>D83+F83-G83</x:f>
        <x:v>0</x:v>
      </x:c>
      <x:c r="I83" s="47" t="n">
        <x:f>IF(C83&lt;30,0,IF(MOD(C83-30,30)&lt;15,'Controls'!$D$11/15,0))</x:f>
        <x:v>0</x:v>
      </x:c>
      <x:c r="J83" s="47" t="n">
        <x:f>IF(C83&lt;14,3000,7500)</x:f>
        <x:v>7500</x:v>
      </x:c>
      <x:c r="K83" s="47" t="n">
        <x:f>M82</x:f>
        <x:v>0</x:v>
      </x:c>
      <x:c r="L83" s="47" t="n">
        <x:f>MIN(I83+K83,J83)</x:f>
        <x:v>0</x:v>
      </x:c>
      <x:c r="M83" s="47" t="n">
        <x:f>I83+K83-L83</x:f>
        <x:v>0</x:v>
      </x:c>
      <x:c r="N83" s="45" t="str">
        <x:f>IF(AND(H83=0,M83=0),"PASS","BACKLOG")</x:f>
        <x:v>PASS</x:v>
      </x:c>
      <x:c r="O83" s="72"/>
      <x:c r="P83" s="72"/>
    </x:row>
    <x:row r="84">
      <x:c r="C84" s="20" t="n">
        <x:v>77</x:v>
      </x:c>
      <x:c r="D84" s="47" t="n">
        <x:f>IF(C84&lt;3,0,IF(C84&lt;=10,8000,IF(C84&lt;=20,4000,IF(C84&lt;=30,1500,0))))</x:f>
        <x:v>0</x:v>
      </x:c>
      <x:c r="E84" s="47" t="n">
        <x:f>IF(C84&lt;2,0,IF(C84&lt;=7,10000,IF(C84&lt;=14,15000,8000)))</x:f>
        <x:v>8000</x:v>
      </x:c>
      <x:c r="F84" s="47" t="n">
        <x:f>H83</x:f>
        <x:v>0</x:v>
      </x:c>
      <x:c r="G84" s="47" t="n">
        <x:f>MIN(D84+F84,E84)</x:f>
        <x:v>0</x:v>
      </x:c>
      <x:c r="H84" s="47" t="n">
        <x:f>D84+F84-G84</x:f>
        <x:v>0</x:v>
      </x:c>
      <x:c r="I84" s="47" t="n">
        <x:f>IF(C84&lt;30,0,IF(MOD(C84-30,30)&lt;15,'Controls'!$D$11/15,0))</x:f>
        <x:v>0</x:v>
      </x:c>
      <x:c r="J84" s="47" t="n">
        <x:f>IF(C84&lt;14,3000,7500)</x:f>
        <x:v>7500</x:v>
      </x:c>
      <x:c r="K84" s="47" t="n">
        <x:f>M83</x:f>
        <x:v>0</x:v>
      </x:c>
      <x:c r="L84" s="47" t="n">
        <x:f>MIN(I84+K84,J84)</x:f>
        <x:v>0</x:v>
      </x:c>
      <x:c r="M84" s="47" t="n">
        <x:f>I84+K84-L84</x:f>
        <x:v>0</x:v>
      </x:c>
      <x:c r="N84" s="45" t="str">
        <x:f>IF(AND(H84=0,M84=0),"PASS","BACKLOG")</x:f>
        <x:v>PASS</x:v>
      </x:c>
      <x:c r="O84" s="72"/>
      <x:c r="P84" s="72"/>
    </x:row>
    <x:row r="85">
      <x:c r="C85" s="20" t="n">
        <x:v>78</x:v>
      </x:c>
      <x:c r="D85" s="47" t="n">
        <x:f>IF(C85&lt;3,0,IF(C85&lt;=10,8000,IF(C85&lt;=20,4000,IF(C85&lt;=30,1500,0))))</x:f>
        <x:v>0</x:v>
      </x:c>
      <x:c r="E85" s="47" t="n">
        <x:f>IF(C85&lt;2,0,IF(C85&lt;=7,10000,IF(C85&lt;=14,15000,8000)))</x:f>
        <x:v>8000</x:v>
      </x:c>
      <x:c r="F85" s="47" t="n">
        <x:f>H84</x:f>
        <x:v>0</x:v>
      </x:c>
      <x:c r="G85" s="47" t="n">
        <x:f>MIN(D85+F85,E85)</x:f>
        <x:v>0</x:v>
      </x:c>
      <x:c r="H85" s="47" t="n">
        <x:f>D85+F85-G85</x:f>
        <x:v>0</x:v>
      </x:c>
      <x:c r="I85" s="47" t="n">
        <x:f>IF(C85&lt;30,0,IF(MOD(C85-30,30)&lt;15,'Controls'!$D$11/15,0))</x:f>
        <x:v>0</x:v>
      </x:c>
      <x:c r="J85" s="47" t="n">
        <x:f>IF(C85&lt;14,3000,7500)</x:f>
        <x:v>7500</x:v>
      </x:c>
      <x:c r="K85" s="47" t="n">
        <x:f>M84</x:f>
        <x:v>0</x:v>
      </x:c>
      <x:c r="L85" s="47" t="n">
        <x:f>MIN(I85+K85,J85)</x:f>
        <x:v>0</x:v>
      </x:c>
      <x:c r="M85" s="47" t="n">
        <x:f>I85+K85-L85</x:f>
        <x:v>0</x:v>
      </x:c>
      <x:c r="N85" s="45" t="str">
        <x:f>IF(AND(H85=0,M85=0),"PASS","BACKLOG")</x:f>
        <x:v>PASS</x:v>
      </x:c>
      <x:c r="O85" s="72"/>
      <x:c r="P85" s="72"/>
    </x:row>
    <x:row r="86">
      <x:c r="C86" s="20" t="n">
        <x:v>79</x:v>
      </x:c>
      <x:c r="D86" s="47" t="n">
        <x:f>IF(C86&lt;3,0,IF(C86&lt;=10,8000,IF(C86&lt;=20,4000,IF(C86&lt;=30,1500,0))))</x:f>
        <x:v>0</x:v>
      </x:c>
      <x:c r="E86" s="47" t="n">
        <x:f>IF(C86&lt;2,0,IF(C86&lt;=7,10000,IF(C86&lt;=14,15000,8000)))</x:f>
        <x:v>8000</x:v>
      </x:c>
      <x:c r="F86" s="47" t="n">
        <x:f>H85</x:f>
        <x:v>0</x:v>
      </x:c>
      <x:c r="G86" s="47" t="n">
        <x:f>MIN(D86+F86,E86)</x:f>
        <x:v>0</x:v>
      </x:c>
      <x:c r="H86" s="47" t="n">
        <x:f>D86+F86-G86</x:f>
        <x:v>0</x:v>
      </x:c>
      <x:c r="I86" s="47" t="n">
        <x:f>IF(C86&lt;30,0,IF(MOD(C86-30,30)&lt;15,'Controls'!$D$11/15,0))</x:f>
        <x:v>0</x:v>
      </x:c>
      <x:c r="J86" s="47" t="n">
        <x:f>IF(C86&lt;14,3000,7500)</x:f>
        <x:v>7500</x:v>
      </x:c>
      <x:c r="K86" s="47" t="n">
        <x:f>M85</x:f>
        <x:v>0</x:v>
      </x:c>
      <x:c r="L86" s="47" t="n">
        <x:f>MIN(I86+K86,J86)</x:f>
        <x:v>0</x:v>
      </x:c>
      <x:c r="M86" s="47" t="n">
        <x:f>I86+K86-L86</x:f>
        <x:v>0</x:v>
      </x:c>
      <x:c r="N86" s="45" t="str">
        <x:f>IF(AND(H86=0,M86=0),"PASS","BACKLOG")</x:f>
        <x:v>PASS</x:v>
      </x:c>
      <x:c r="O86" s="72"/>
      <x:c r="P86" s="72"/>
    </x:row>
    <x:row r="87">
      <x:c r="C87" s="20" t="n">
        <x:v>80</x:v>
      </x:c>
      <x:c r="D87" s="47" t="n">
        <x:f>IF(C87&lt;3,0,IF(C87&lt;=10,8000,IF(C87&lt;=20,4000,IF(C87&lt;=30,1500,0))))</x:f>
        <x:v>0</x:v>
      </x:c>
      <x:c r="E87" s="47" t="n">
        <x:f>IF(C87&lt;2,0,IF(C87&lt;=7,10000,IF(C87&lt;=14,15000,8000)))</x:f>
        <x:v>8000</x:v>
      </x:c>
      <x:c r="F87" s="47" t="n">
        <x:f>H86</x:f>
        <x:v>0</x:v>
      </x:c>
      <x:c r="G87" s="47" t="n">
        <x:f>MIN(D87+F87,E87)</x:f>
        <x:v>0</x:v>
      </x:c>
      <x:c r="H87" s="47" t="n">
        <x:f>D87+F87-G87</x:f>
        <x:v>0</x:v>
      </x:c>
      <x:c r="I87" s="47" t="n">
        <x:f>IF(C87&lt;30,0,IF(MOD(C87-30,30)&lt;15,'Controls'!$D$11/15,0))</x:f>
        <x:v>0</x:v>
      </x:c>
      <x:c r="J87" s="47" t="n">
        <x:f>IF(C87&lt;14,3000,7500)</x:f>
        <x:v>7500</x:v>
      </x:c>
      <x:c r="K87" s="47" t="n">
        <x:f>M86</x:f>
        <x:v>0</x:v>
      </x:c>
      <x:c r="L87" s="47" t="n">
        <x:f>MIN(I87+K87,J87)</x:f>
        <x:v>0</x:v>
      </x:c>
      <x:c r="M87" s="47" t="n">
        <x:f>I87+K87-L87</x:f>
        <x:v>0</x:v>
      </x:c>
      <x:c r="N87" s="45" t="str">
        <x:f>IF(AND(H87=0,M87=0),"PASS","BACKLOG")</x:f>
        <x:v>PASS</x:v>
      </x:c>
      <x:c r="O87" s="72"/>
      <x:c r="P87" s="72"/>
    </x:row>
    <x:row r="88">
      <x:c r="C88" s="20" t="n">
        <x:v>81</x:v>
      </x:c>
      <x:c r="D88" s="47" t="n">
        <x:f>IF(C88&lt;3,0,IF(C88&lt;=10,8000,IF(C88&lt;=20,4000,IF(C88&lt;=30,1500,0))))</x:f>
        <x:v>0</x:v>
      </x:c>
      <x:c r="E88" s="47" t="n">
        <x:f>IF(C88&lt;2,0,IF(C88&lt;=7,10000,IF(C88&lt;=14,15000,8000)))</x:f>
        <x:v>8000</x:v>
      </x:c>
      <x:c r="F88" s="47" t="n">
        <x:f>H87</x:f>
        <x:v>0</x:v>
      </x:c>
      <x:c r="G88" s="47" t="n">
        <x:f>MIN(D88+F88,E88)</x:f>
        <x:v>0</x:v>
      </x:c>
      <x:c r="H88" s="47" t="n">
        <x:f>D88+F88-G88</x:f>
        <x:v>0</x:v>
      </x:c>
      <x:c r="I88" s="47" t="n">
        <x:f>IF(C88&lt;30,0,IF(MOD(C88-30,30)&lt;15,'Controls'!$D$11/15,0))</x:f>
        <x:v>0</x:v>
      </x:c>
      <x:c r="J88" s="47" t="n">
        <x:f>IF(C88&lt;14,3000,7500)</x:f>
        <x:v>7500</x:v>
      </x:c>
      <x:c r="K88" s="47" t="n">
        <x:f>M87</x:f>
        <x:v>0</x:v>
      </x:c>
      <x:c r="L88" s="47" t="n">
        <x:f>MIN(I88+K88,J88)</x:f>
        <x:v>0</x:v>
      </x:c>
      <x:c r="M88" s="47" t="n">
        <x:f>I88+K88-L88</x:f>
        <x:v>0</x:v>
      </x:c>
      <x:c r="N88" s="45" t="str">
        <x:f>IF(AND(H88=0,M88=0),"PASS","BACKLOG")</x:f>
        <x:v>PASS</x:v>
      </x:c>
      <x:c r="O88" s="72"/>
      <x:c r="P88" s="72"/>
    </x:row>
    <x:row r="89">
      <x:c r="C89" s="20" t="n">
        <x:v>82</x:v>
      </x:c>
      <x:c r="D89" s="47" t="n">
        <x:f>IF(C89&lt;3,0,IF(C89&lt;=10,8000,IF(C89&lt;=20,4000,IF(C89&lt;=30,1500,0))))</x:f>
        <x:v>0</x:v>
      </x:c>
      <x:c r="E89" s="47" t="n">
        <x:f>IF(C89&lt;2,0,IF(C89&lt;=7,10000,IF(C89&lt;=14,15000,8000)))</x:f>
        <x:v>8000</x:v>
      </x:c>
      <x:c r="F89" s="47" t="n">
        <x:f>H88</x:f>
        <x:v>0</x:v>
      </x:c>
      <x:c r="G89" s="47" t="n">
        <x:f>MIN(D89+F89,E89)</x:f>
        <x:v>0</x:v>
      </x:c>
      <x:c r="H89" s="47" t="n">
        <x:f>D89+F89-G89</x:f>
        <x:v>0</x:v>
      </x:c>
      <x:c r="I89" s="47" t="n">
        <x:f>IF(C89&lt;30,0,IF(MOD(C89-30,30)&lt;15,'Controls'!$D$11/15,0))</x:f>
        <x:v>0</x:v>
      </x:c>
      <x:c r="J89" s="47" t="n">
        <x:f>IF(C89&lt;14,3000,7500)</x:f>
        <x:v>7500</x:v>
      </x:c>
      <x:c r="K89" s="47" t="n">
        <x:f>M88</x:f>
        <x:v>0</x:v>
      </x:c>
      <x:c r="L89" s="47" t="n">
        <x:f>MIN(I89+K89,J89)</x:f>
        <x:v>0</x:v>
      </x:c>
      <x:c r="M89" s="47" t="n">
        <x:f>I89+K89-L89</x:f>
        <x:v>0</x:v>
      </x:c>
      <x:c r="N89" s="45" t="str">
        <x:f>IF(AND(H89=0,M89=0),"PASS","BACKLOG")</x:f>
        <x:v>PASS</x:v>
      </x:c>
      <x:c r="O89" s="72"/>
      <x:c r="P89" s="72"/>
    </x:row>
    <x:row r="90">
      <x:c r="C90" s="20" t="n">
        <x:v>83</x:v>
      </x:c>
      <x:c r="D90" s="47" t="n">
        <x:f>IF(C90&lt;3,0,IF(C90&lt;=10,8000,IF(C90&lt;=20,4000,IF(C90&lt;=30,1500,0))))</x:f>
        <x:v>0</x:v>
      </x:c>
      <x:c r="E90" s="47" t="n">
        <x:f>IF(C90&lt;2,0,IF(C90&lt;=7,10000,IF(C90&lt;=14,15000,8000)))</x:f>
        <x:v>8000</x:v>
      </x:c>
      <x:c r="F90" s="47" t="n">
        <x:f>H89</x:f>
        <x:v>0</x:v>
      </x:c>
      <x:c r="G90" s="47" t="n">
        <x:f>MIN(D90+F90,E90)</x:f>
        <x:v>0</x:v>
      </x:c>
      <x:c r="H90" s="47" t="n">
        <x:f>D90+F90-G90</x:f>
        <x:v>0</x:v>
      </x:c>
      <x:c r="I90" s="47" t="n">
        <x:f>IF(C90&lt;30,0,IF(MOD(C90-30,30)&lt;15,'Controls'!$D$11/15,0))</x:f>
        <x:v>0</x:v>
      </x:c>
      <x:c r="J90" s="47" t="n">
        <x:f>IF(C90&lt;14,3000,7500)</x:f>
        <x:v>7500</x:v>
      </x:c>
      <x:c r="K90" s="47" t="n">
        <x:f>M89</x:f>
        <x:v>0</x:v>
      </x:c>
      <x:c r="L90" s="47" t="n">
        <x:f>MIN(I90+K90,J90)</x:f>
        <x:v>0</x:v>
      </x:c>
      <x:c r="M90" s="47" t="n">
        <x:f>I90+K90-L90</x:f>
        <x:v>0</x:v>
      </x:c>
      <x:c r="N90" s="45" t="str">
        <x:f>IF(AND(H90=0,M90=0),"PASS","BACKLOG")</x:f>
        <x:v>PASS</x:v>
      </x:c>
      <x:c r="O90" s="72"/>
      <x:c r="P90" s="72"/>
    </x:row>
    <x:row r="91">
      <x:c r="C91" s="20" t="n">
        <x:v>84</x:v>
      </x:c>
      <x:c r="D91" s="47" t="n">
        <x:f>IF(C91&lt;3,0,IF(C91&lt;=10,8000,IF(C91&lt;=20,4000,IF(C91&lt;=30,1500,0))))</x:f>
        <x:v>0</x:v>
      </x:c>
      <x:c r="E91" s="47" t="n">
        <x:f>IF(C91&lt;2,0,IF(C91&lt;=7,10000,IF(C91&lt;=14,15000,8000)))</x:f>
        <x:v>8000</x:v>
      </x:c>
      <x:c r="F91" s="47" t="n">
        <x:f>H90</x:f>
        <x:v>0</x:v>
      </x:c>
      <x:c r="G91" s="47" t="n">
        <x:f>MIN(D91+F91,E91)</x:f>
        <x:v>0</x:v>
      </x:c>
      <x:c r="H91" s="47" t="n">
        <x:f>D91+F91-G91</x:f>
        <x:v>0</x:v>
      </x:c>
      <x:c r="I91" s="47" t="n">
        <x:f>IF(C91&lt;30,0,IF(MOD(C91-30,30)&lt;15,'Controls'!$D$11/15,0))</x:f>
        <x:v>0</x:v>
      </x:c>
      <x:c r="J91" s="47" t="n">
        <x:f>IF(C91&lt;14,3000,7500)</x:f>
        <x:v>7500</x:v>
      </x:c>
      <x:c r="K91" s="47" t="n">
        <x:f>M90</x:f>
        <x:v>0</x:v>
      </x:c>
      <x:c r="L91" s="47" t="n">
        <x:f>MIN(I91+K91,J91)</x:f>
        <x:v>0</x:v>
      </x:c>
      <x:c r="M91" s="47" t="n">
        <x:f>I91+K91-L91</x:f>
        <x:v>0</x:v>
      </x:c>
      <x:c r="N91" s="45" t="str">
        <x:f>IF(AND(H91=0,M91=0),"PASS","BACKLOG")</x:f>
        <x:v>PASS</x:v>
      </x:c>
      <x:c r="O91" s="72"/>
      <x:c r="P91" s="72"/>
    </x:row>
    <x:row r="92">
      <x:c r="C92" s="20" t="n">
        <x:v>85</x:v>
      </x:c>
      <x:c r="D92" s="47" t="n">
        <x:f>IF(C92&lt;3,0,IF(C92&lt;=10,8000,IF(C92&lt;=20,4000,IF(C92&lt;=30,1500,0))))</x:f>
        <x:v>0</x:v>
      </x:c>
      <x:c r="E92" s="47" t="n">
        <x:f>IF(C92&lt;2,0,IF(C92&lt;=7,10000,IF(C92&lt;=14,15000,8000)))</x:f>
        <x:v>8000</x:v>
      </x:c>
      <x:c r="F92" s="47" t="n">
        <x:f>H91</x:f>
        <x:v>0</x:v>
      </x:c>
      <x:c r="G92" s="47" t="n">
        <x:f>MIN(D92+F92,E92)</x:f>
        <x:v>0</x:v>
      </x:c>
      <x:c r="H92" s="47" t="n">
        <x:f>D92+F92-G92</x:f>
        <x:v>0</x:v>
      </x:c>
      <x:c r="I92" s="47" t="n">
        <x:f>IF(C92&lt;30,0,IF(MOD(C92-30,30)&lt;15,'Controls'!$D$11/15,0))</x:f>
        <x:v>0</x:v>
      </x:c>
      <x:c r="J92" s="47" t="n">
        <x:f>IF(C92&lt;14,3000,7500)</x:f>
        <x:v>7500</x:v>
      </x:c>
      <x:c r="K92" s="47" t="n">
        <x:f>M91</x:f>
        <x:v>0</x:v>
      </x:c>
      <x:c r="L92" s="47" t="n">
        <x:f>MIN(I92+K92,J92)</x:f>
        <x:v>0</x:v>
      </x:c>
      <x:c r="M92" s="47" t="n">
        <x:f>I92+K92-L92</x:f>
        <x:v>0</x:v>
      </x:c>
      <x:c r="N92" s="45" t="str">
        <x:f>IF(AND(H92=0,M92=0),"PASS","BACKLOG")</x:f>
        <x:v>PASS</x:v>
      </x:c>
      <x:c r="O92" s="72"/>
      <x:c r="P92" s="72"/>
    </x:row>
    <x:row r="93">
      <x:c r="C93" s="20" t="n">
        <x:v>86</x:v>
      </x:c>
      <x:c r="D93" s="47" t="n">
        <x:f>IF(C93&lt;3,0,IF(C93&lt;=10,8000,IF(C93&lt;=20,4000,IF(C93&lt;=30,1500,0))))</x:f>
        <x:v>0</x:v>
      </x:c>
      <x:c r="E93" s="47" t="n">
        <x:f>IF(C93&lt;2,0,IF(C93&lt;=7,10000,IF(C93&lt;=14,15000,8000)))</x:f>
        <x:v>8000</x:v>
      </x:c>
      <x:c r="F93" s="47" t="n">
        <x:f>H92</x:f>
        <x:v>0</x:v>
      </x:c>
      <x:c r="G93" s="47" t="n">
        <x:f>MIN(D93+F93,E93)</x:f>
        <x:v>0</x:v>
      </x:c>
      <x:c r="H93" s="47" t="n">
        <x:f>D93+F93-G93</x:f>
        <x:v>0</x:v>
      </x:c>
      <x:c r="I93" s="47" t="n">
        <x:f>IF(C93&lt;30,0,IF(MOD(C93-30,30)&lt;15,'Controls'!$D$11/15,0))</x:f>
        <x:v>0</x:v>
      </x:c>
      <x:c r="J93" s="47" t="n">
        <x:f>IF(C93&lt;14,3000,7500)</x:f>
        <x:v>7500</x:v>
      </x:c>
      <x:c r="K93" s="47" t="n">
        <x:f>M92</x:f>
        <x:v>0</x:v>
      </x:c>
      <x:c r="L93" s="47" t="n">
        <x:f>MIN(I93+K93,J93)</x:f>
        <x:v>0</x:v>
      </x:c>
      <x:c r="M93" s="47" t="n">
        <x:f>I93+K93-L93</x:f>
        <x:v>0</x:v>
      </x:c>
      <x:c r="N93" s="45" t="str">
        <x:f>IF(AND(H93=0,M93=0),"PASS","BACKLOG")</x:f>
        <x:v>PASS</x:v>
      </x:c>
      <x:c r="O93" s="72"/>
      <x:c r="P93" s="72"/>
    </x:row>
    <x:row r="94">
      <x:c r="C94" s="20" t="n">
        <x:v>87</x:v>
      </x:c>
      <x:c r="D94" s="47" t="n">
        <x:f>IF(C94&lt;3,0,IF(C94&lt;=10,8000,IF(C94&lt;=20,4000,IF(C94&lt;=30,1500,0))))</x:f>
        <x:v>0</x:v>
      </x:c>
      <x:c r="E94" s="47" t="n">
        <x:f>IF(C94&lt;2,0,IF(C94&lt;=7,10000,IF(C94&lt;=14,15000,8000)))</x:f>
        <x:v>8000</x:v>
      </x:c>
      <x:c r="F94" s="47" t="n">
        <x:f>H93</x:f>
        <x:v>0</x:v>
      </x:c>
      <x:c r="G94" s="47" t="n">
        <x:f>MIN(D94+F94,E94)</x:f>
        <x:v>0</x:v>
      </x:c>
      <x:c r="H94" s="47" t="n">
        <x:f>D94+F94-G94</x:f>
        <x:v>0</x:v>
      </x:c>
      <x:c r="I94" s="47" t="n">
        <x:f>IF(C94&lt;30,0,IF(MOD(C94-30,30)&lt;15,'Controls'!$D$11/15,0))</x:f>
        <x:v>0</x:v>
      </x:c>
      <x:c r="J94" s="47" t="n">
        <x:f>IF(C94&lt;14,3000,7500)</x:f>
        <x:v>7500</x:v>
      </x:c>
      <x:c r="K94" s="47" t="n">
        <x:f>M93</x:f>
        <x:v>0</x:v>
      </x:c>
      <x:c r="L94" s="47" t="n">
        <x:f>MIN(I94+K94,J94)</x:f>
        <x:v>0</x:v>
      </x:c>
      <x:c r="M94" s="47" t="n">
        <x:f>I94+K94-L94</x:f>
        <x:v>0</x:v>
      </x:c>
      <x:c r="N94" s="45" t="str">
        <x:f>IF(AND(H94=0,M94=0),"PASS","BACKLOG")</x:f>
        <x:v>PASS</x:v>
      </x:c>
      <x:c r="O94" s="72"/>
      <x:c r="P94" s="72"/>
    </x:row>
    <x:row r="95">
      <x:c r="C95" s="20" t="n">
        <x:v>88</x:v>
      </x:c>
      <x:c r="D95" s="47" t="n">
        <x:f>IF(C95&lt;3,0,IF(C95&lt;=10,8000,IF(C95&lt;=20,4000,IF(C95&lt;=30,1500,0))))</x:f>
        <x:v>0</x:v>
      </x:c>
      <x:c r="E95" s="47" t="n">
        <x:f>IF(C95&lt;2,0,IF(C95&lt;=7,10000,IF(C95&lt;=14,15000,8000)))</x:f>
        <x:v>8000</x:v>
      </x:c>
      <x:c r="F95" s="47" t="n">
        <x:f>H94</x:f>
        <x:v>0</x:v>
      </x:c>
      <x:c r="G95" s="47" t="n">
        <x:f>MIN(D95+F95,E95)</x:f>
        <x:v>0</x:v>
      </x:c>
      <x:c r="H95" s="47" t="n">
        <x:f>D95+F95-G95</x:f>
        <x:v>0</x:v>
      </x:c>
      <x:c r="I95" s="47" t="n">
        <x:f>IF(C95&lt;30,0,IF(MOD(C95-30,30)&lt;15,'Controls'!$D$11/15,0))</x:f>
        <x:v>0</x:v>
      </x:c>
      <x:c r="J95" s="47" t="n">
        <x:f>IF(C95&lt;14,3000,7500)</x:f>
        <x:v>7500</x:v>
      </x:c>
      <x:c r="K95" s="47" t="n">
        <x:f>M94</x:f>
        <x:v>0</x:v>
      </x:c>
      <x:c r="L95" s="47" t="n">
        <x:f>MIN(I95+K95,J95)</x:f>
        <x:v>0</x:v>
      </x:c>
      <x:c r="M95" s="47" t="n">
        <x:f>I95+K95-L95</x:f>
        <x:v>0</x:v>
      </x:c>
      <x:c r="N95" s="45" t="str">
        <x:f>IF(AND(H95=0,M95=0),"PASS","BACKLOG")</x:f>
        <x:v>PASS</x:v>
      </x:c>
      <x:c r="O95" s="72"/>
      <x:c r="P95" s="72"/>
    </x:row>
    <x:row r="96">
      <x:c r="C96" s="20" t="n">
        <x:v>89</x:v>
      </x:c>
      <x:c r="D96" s="47" t="n">
        <x:f>IF(C96&lt;3,0,IF(C96&lt;=10,8000,IF(C96&lt;=20,4000,IF(C96&lt;=30,1500,0))))</x:f>
        <x:v>0</x:v>
      </x:c>
      <x:c r="E96" s="47" t="n">
        <x:f>IF(C96&lt;2,0,IF(C96&lt;=7,10000,IF(C96&lt;=14,15000,8000)))</x:f>
        <x:v>8000</x:v>
      </x:c>
      <x:c r="F96" s="47" t="n">
        <x:f>H95</x:f>
        <x:v>0</x:v>
      </x:c>
      <x:c r="G96" s="47" t="n">
        <x:f>MIN(D96+F96,E96)</x:f>
        <x:v>0</x:v>
      </x:c>
      <x:c r="H96" s="47" t="n">
        <x:f>D96+F96-G96</x:f>
        <x:v>0</x:v>
      </x:c>
      <x:c r="I96" s="47" t="n">
        <x:f>IF(C96&lt;30,0,IF(MOD(C96-30,30)&lt;15,'Controls'!$D$11/15,0))</x:f>
        <x:v>0</x:v>
      </x:c>
      <x:c r="J96" s="47" t="n">
        <x:f>IF(C96&lt;14,3000,7500)</x:f>
        <x:v>7500</x:v>
      </x:c>
      <x:c r="K96" s="47" t="n">
        <x:f>M95</x:f>
        <x:v>0</x:v>
      </x:c>
      <x:c r="L96" s="47" t="n">
        <x:f>MIN(I96+K96,J96)</x:f>
        <x:v>0</x:v>
      </x:c>
      <x:c r="M96" s="47" t="n">
        <x:f>I96+K96-L96</x:f>
        <x:v>0</x:v>
      </x:c>
      <x:c r="N96" s="45" t="str">
        <x:f>IF(AND(H96=0,M96=0),"PASS","BACKLOG")</x:f>
        <x:v>PASS</x:v>
      </x:c>
      <x:c r="O96" s="72"/>
      <x:c r="P96" s="72"/>
    </x:row>
    <x:row r="97">
      <x:c r="C97" s="20" t="n">
        <x:v>90</x:v>
      </x:c>
      <x:c r="D97" s="47" t="n">
        <x:f>IF(C97&lt;3,0,IF(C97&lt;=10,8000,IF(C97&lt;=20,4000,IF(C97&lt;=30,1500,0))))</x:f>
        <x:v>0</x:v>
      </x:c>
      <x:c r="E97" s="47" t="n">
        <x:f>IF(C97&lt;2,0,IF(C97&lt;=7,10000,IF(C97&lt;=14,15000,8000)))</x:f>
        <x:v>8000</x:v>
      </x:c>
      <x:c r="F97" s="47" t="n">
        <x:f>H96</x:f>
        <x:v>0</x:v>
      </x:c>
      <x:c r="G97" s="47" t="n">
        <x:f>MIN(D97+F97,E97)</x:f>
        <x:v>0</x:v>
      </x:c>
      <x:c r="H97" s="47" t="n">
        <x:f>D97+F97-G97</x:f>
        <x:v>0</x:v>
      </x:c>
      <x:c r="I97" s="47" t="n">
        <x:f>IF(C97&lt;30,0,IF(MOD(C97-30,30)&lt;15,'Controls'!$D$11/15,0))</x:f>
        <x:v>7207.333333333333</x:v>
      </x:c>
      <x:c r="J97" s="47" t="n">
        <x:f>IF(C97&lt;14,3000,7500)</x:f>
        <x:v>7500</x:v>
      </x:c>
      <x:c r="K97" s="47" t="n">
        <x:f>M96</x:f>
        <x:v>0</x:v>
      </x:c>
      <x:c r="L97" s="47" t="n">
        <x:f>MIN(I97+K97,J97)</x:f>
        <x:v>7207.333333333333</x:v>
      </x:c>
      <x:c r="M97" s="47" t="n">
        <x:f>I97+K97-L97</x:f>
        <x:v>0</x:v>
      </x:c>
      <x:c r="N97" s="45" t="str">
        <x:f>IF(AND(H97=0,M97=0),"PASS","BACKLOG")</x:f>
        <x:v>PASS</x:v>
      </x:c>
      <x:c r="O97" s="72"/>
      <x:c r="P97" s="72"/>
    </x:row>
  </x:sheetData>
  <x:mergeCells>
    <x:mergeCell ref="C2:P2"/>
    <x:mergeCell ref="C3:P3"/>
  </x:mergeCells>
  <x:conditionalFormatting sqref="N7:N97">
    <x:cfRule type="containsText" dxfId="50" priority="1" operator="containsText" text="PASS"/>
    <x:cfRule type="containsText" dxfId="51" priority="2" operator="containsText" text="CLOSE"/>
    <x:cfRule type="containsText" dxfId="52" priority="3" operator="containsText" text="FAIL"/>
    <x:cfRule type="containsText" dxfId="53" priority="4" operator="containsText" text="LATE"/>
    <x:cfRule type="containsText" dxfId="54" priority="5" operator="containsText" text="OPEN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2" ht="24" customHeight="1">
      <x:c r="C2" s="69" t="str">
        <x:v>Formation Return and Reconstitution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R1 and R2 equipment returns within the 180-day screen. Depot induction and a 30-day inspection/repair lag determine when the force is ready again.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Day</x:v>
      </x:c>
      <x:c r="D6" s="17" t="str">
        <x:v>R1 return</x:v>
      </x:c>
      <x:c r="E6" s="17" t="str">
        <x:v>R2 return</x:v>
      </x:c>
      <x:c r="F6" s="17" t="str">
        <x:v>R3 return</x:v>
      </x:c>
      <x:c r="G6" s="17" t="str">
        <x:v>Total return</x:v>
      </x:c>
      <x:c r="H6" s="17" t="str">
        <x:v>Depot capacity</x:v>
      </x:c>
      <x:c r="I6" s="17" t="str">
        <x:v>Beginning backlog</x:v>
      </x:c>
      <x:c r="J6" s="17" t="str">
        <x:v>Inducted</x:v>
      </x:c>
      <x:c r="K6" s="17" t="str">
        <x:v>Ending backlog</x:v>
      </x:c>
      <x:c r="L6" s="18" t="str">
        <x:v>Ready again</x:v>
      </x:c>
      <x:c r="M6" s="72"/>
      <x:c r="N6" s="72"/>
    </x:row>
    <x:row r="7">
      <x:c r="C7" s="20" t="n">
        <x:v>0</x:v>
      </x:c>
      <x:c r="D7" s="53" t="n">
        <x:f>IF(AND(C7&gt;=30,C7&lt;=39),8813,0)</x:f>
        <x:v>0</x:v>
      </x:c>
      <x:c r="E7" s="53" t="n">
        <x:f>IF(AND(C7&gt;=60,C7&lt;=79),15863.4,0)</x:f>
        <x:v>0</x:v>
      </x:c>
      <x:c r="F7" s="53" t="n">
        <x:f>IF(AND(C7&gt;=130,C7&lt;=159),27614.0667,0)</x:f>
        <x:v>0</x:v>
      </x:c>
      <x:c r="G7" s="53" t="n">
        <x:f>SUM(D7:F7)</x:f>
        <x:v>0</x:v>
      </x:c>
      <x:c r="H7" s="53" t="n">
        <x:f>35000</x:f>
        <x:v>35000</x:v>
      </x:c>
      <x:c r="I7" s="53" t="n">
        <x:f>0</x:f>
        <x:v>0</x:v>
      </x:c>
      <x:c r="J7" s="53" t="n">
        <x:f>MIN(G7+I7,H7)</x:f>
        <x:v>0</x:v>
      </x:c>
      <x:c r="K7" s="53" t="n">
        <x:f>G7+I7-J7</x:f>
        <x:v>0</x:v>
      </x:c>
      <x:c r="L7" s="53" t="n">
        <x:f>0</x:f>
        <x:v>0</x:v>
      </x:c>
      <x:c r="M7" s="72"/>
      <x:c r="N7" s="72"/>
    </x:row>
    <x:row r="8">
      <x:c r="C8" s="20" t="n">
        <x:v>1</x:v>
      </x:c>
      <x:c r="D8" s="53" t="n">
        <x:f>IF(AND(C8&gt;=30,C8&lt;=39),8813,0)</x:f>
        <x:v>0</x:v>
      </x:c>
      <x:c r="E8" s="53" t="n">
        <x:f>IF(AND(C8&gt;=60,C8&lt;=79),15863.4,0)</x:f>
        <x:v>0</x:v>
      </x:c>
      <x:c r="F8" s="53" t="n">
        <x:f>IF(AND(C8&gt;=130,C8&lt;=159),27614.0667,0)</x:f>
        <x:v>0</x:v>
      </x:c>
      <x:c r="G8" s="53" t="n">
        <x:f>SUM(D8:F8)</x:f>
        <x:v>0</x:v>
      </x:c>
      <x:c r="H8" s="53" t="n">
        <x:f>35000</x:f>
        <x:v>35000</x:v>
      </x:c>
      <x:c r="I8" s="53" t="n">
        <x:f>K7</x:f>
        <x:v>0</x:v>
      </x:c>
      <x:c r="J8" s="53" t="n">
        <x:f>MIN(G8+I8,H8)</x:f>
        <x:v>0</x:v>
      </x:c>
      <x:c r="K8" s="53" t="n">
        <x:f>G8+I8-J8</x:f>
        <x:v>0</x:v>
      </x:c>
      <x:c r="L8" s="53" t="n">
        <x:f>0</x:f>
        <x:v>0</x:v>
      </x:c>
      <x:c r="M8" s="72"/>
      <x:c r="N8" s="72"/>
    </x:row>
    <x:row r="9">
      <x:c r="C9" s="20" t="n">
        <x:v>2</x:v>
      </x:c>
      <x:c r="D9" s="53" t="n">
        <x:f>IF(AND(C9&gt;=30,C9&lt;=39),8813,0)</x:f>
        <x:v>0</x:v>
      </x:c>
      <x:c r="E9" s="53" t="n">
        <x:f>IF(AND(C9&gt;=60,C9&lt;=79),15863.4,0)</x:f>
        <x:v>0</x:v>
      </x:c>
      <x:c r="F9" s="53" t="n">
        <x:f>IF(AND(C9&gt;=130,C9&lt;=159),27614.0667,0)</x:f>
        <x:v>0</x:v>
      </x:c>
      <x:c r="G9" s="53" t="n">
        <x:f>SUM(D9:F9)</x:f>
        <x:v>0</x:v>
      </x:c>
      <x:c r="H9" s="53" t="n">
        <x:f>35000</x:f>
        <x:v>35000</x:v>
      </x:c>
      <x:c r="I9" s="53" t="n">
        <x:f>K8</x:f>
        <x:v>0</x:v>
      </x:c>
      <x:c r="J9" s="53" t="n">
        <x:f>MIN(G9+I9,H9)</x:f>
        <x:v>0</x:v>
      </x:c>
      <x:c r="K9" s="53" t="n">
        <x:f>G9+I9-J9</x:f>
        <x:v>0</x:v>
      </x:c>
      <x:c r="L9" s="53" t="n">
        <x:f>0</x:f>
        <x:v>0</x:v>
      </x:c>
      <x:c r="M9" s="72"/>
      <x:c r="N9" s="72"/>
    </x:row>
    <x:row r="10">
      <x:c r="C10" s="20" t="n">
        <x:v>3</x:v>
      </x:c>
      <x:c r="D10" s="53" t="n">
        <x:f>IF(AND(C10&gt;=30,C10&lt;=39),8813,0)</x:f>
        <x:v>0</x:v>
      </x:c>
      <x:c r="E10" s="53" t="n">
        <x:f>IF(AND(C10&gt;=60,C10&lt;=79),15863.4,0)</x:f>
        <x:v>0</x:v>
      </x:c>
      <x:c r="F10" s="53" t="n">
        <x:f>IF(AND(C10&gt;=130,C10&lt;=159),27614.0667,0)</x:f>
        <x:v>0</x:v>
      </x:c>
      <x:c r="G10" s="53" t="n">
        <x:f>SUM(D10:F10)</x:f>
        <x:v>0</x:v>
      </x:c>
      <x:c r="H10" s="53" t="n">
        <x:f>35000</x:f>
        <x:v>35000</x:v>
      </x:c>
      <x:c r="I10" s="53" t="n">
        <x:f>K9</x:f>
        <x:v>0</x:v>
      </x:c>
      <x:c r="J10" s="53" t="n">
        <x:f>MIN(G10+I10,H10)</x:f>
        <x:v>0</x:v>
      </x:c>
      <x:c r="K10" s="53" t="n">
        <x:f>G10+I10-J10</x:f>
        <x:v>0</x:v>
      </x:c>
      <x:c r="L10" s="53" t="n">
        <x:f>0</x:f>
        <x:v>0</x:v>
      </x:c>
      <x:c r="M10" s="72"/>
      <x:c r="N10" s="72"/>
    </x:row>
    <x:row r="11">
      <x:c r="C11" s="20" t="n">
        <x:v>4</x:v>
      </x:c>
      <x:c r="D11" s="53" t="n">
        <x:f>IF(AND(C11&gt;=30,C11&lt;=39),8813,0)</x:f>
        <x:v>0</x:v>
      </x:c>
      <x:c r="E11" s="53" t="n">
        <x:f>IF(AND(C11&gt;=60,C11&lt;=79),15863.4,0)</x:f>
        <x:v>0</x:v>
      </x:c>
      <x:c r="F11" s="53" t="n">
        <x:f>IF(AND(C11&gt;=130,C11&lt;=159),27614.0667,0)</x:f>
        <x:v>0</x:v>
      </x:c>
      <x:c r="G11" s="53" t="n">
        <x:f>SUM(D11:F11)</x:f>
        <x:v>0</x:v>
      </x:c>
      <x:c r="H11" s="53" t="n">
        <x:f>35000</x:f>
        <x:v>35000</x:v>
      </x:c>
      <x:c r="I11" s="53" t="n">
        <x:f>K10</x:f>
        <x:v>0</x:v>
      </x:c>
      <x:c r="J11" s="53" t="n">
        <x:f>MIN(G11+I11,H11)</x:f>
        <x:v>0</x:v>
      </x:c>
      <x:c r="K11" s="53" t="n">
        <x:f>G11+I11-J11</x:f>
        <x:v>0</x:v>
      </x:c>
      <x:c r="L11" s="53" t="n">
        <x:f>0</x:f>
        <x:v>0</x:v>
      </x:c>
      <x:c r="M11" s="72"/>
      <x:c r="N11" s="72"/>
    </x:row>
    <x:row r="12">
      <x:c r="C12" s="20" t="n">
        <x:v>5</x:v>
      </x:c>
      <x:c r="D12" s="53" t="n">
        <x:f>IF(AND(C12&gt;=30,C12&lt;=39),8813,0)</x:f>
        <x:v>0</x:v>
      </x:c>
      <x:c r="E12" s="53" t="n">
        <x:f>IF(AND(C12&gt;=60,C12&lt;=79),15863.4,0)</x:f>
        <x:v>0</x:v>
      </x:c>
      <x:c r="F12" s="53" t="n">
        <x:f>IF(AND(C12&gt;=130,C12&lt;=159),27614.0667,0)</x:f>
        <x:v>0</x:v>
      </x:c>
      <x:c r="G12" s="53" t="n">
        <x:f>SUM(D12:F12)</x:f>
        <x:v>0</x:v>
      </x:c>
      <x:c r="H12" s="53" t="n">
        <x:f>35000</x:f>
        <x:v>35000</x:v>
      </x:c>
      <x:c r="I12" s="53" t="n">
        <x:f>K11</x:f>
        <x:v>0</x:v>
      </x:c>
      <x:c r="J12" s="53" t="n">
        <x:f>MIN(G12+I12,H12)</x:f>
        <x:v>0</x:v>
      </x:c>
      <x:c r="K12" s="53" t="n">
        <x:f>G12+I12-J12</x:f>
        <x:v>0</x:v>
      </x:c>
      <x:c r="L12" s="53" t="n">
        <x:f>0</x:f>
        <x:v>0</x:v>
      </x:c>
      <x:c r="M12" s="72"/>
      <x:c r="N12" s="72"/>
    </x:row>
    <x:row r="13">
      <x:c r="C13" s="20" t="n">
        <x:v>6</x:v>
      </x:c>
      <x:c r="D13" s="53" t="n">
        <x:f>IF(AND(C13&gt;=30,C13&lt;=39),8813,0)</x:f>
        <x:v>0</x:v>
      </x:c>
      <x:c r="E13" s="53" t="n">
        <x:f>IF(AND(C13&gt;=60,C13&lt;=79),15863.4,0)</x:f>
        <x:v>0</x:v>
      </x:c>
      <x:c r="F13" s="53" t="n">
        <x:f>IF(AND(C13&gt;=130,C13&lt;=159),27614.0667,0)</x:f>
        <x:v>0</x:v>
      </x:c>
      <x:c r="G13" s="53" t="n">
        <x:f>SUM(D13:F13)</x:f>
        <x:v>0</x:v>
      </x:c>
      <x:c r="H13" s="53" t="n">
        <x:f>35000</x:f>
        <x:v>35000</x:v>
      </x:c>
      <x:c r="I13" s="53" t="n">
        <x:f>K12</x:f>
        <x:v>0</x:v>
      </x:c>
      <x:c r="J13" s="53" t="n">
        <x:f>MIN(G13+I13,H13)</x:f>
        <x:v>0</x:v>
      </x:c>
      <x:c r="K13" s="53" t="n">
        <x:f>G13+I13-J13</x:f>
        <x:v>0</x:v>
      </x:c>
      <x:c r="L13" s="53" t="n">
        <x:f>0</x:f>
        <x:v>0</x:v>
      </x:c>
      <x:c r="M13" s="72"/>
      <x:c r="N13" s="72"/>
    </x:row>
    <x:row r="14">
      <x:c r="C14" s="20" t="n">
        <x:v>7</x:v>
      </x:c>
      <x:c r="D14" s="53" t="n">
        <x:f>IF(AND(C14&gt;=30,C14&lt;=39),8813,0)</x:f>
        <x:v>0</x:v>
      </x:c>
      <x:c r="E14" s="53" t="n">
        <x:f>IF(AND(C14&gt;=60,C14&lt;=79),15863.4,0)</x:f>
        <x:v>0</x:v>
      </x:c>
      <x:c r="F14" s="53" t="n">
        <x:f>IF(AND(C14&gt;=130,C14&lt;=159),27614.0667,0)</x:f>
        <x:v>0</x:v>
      </x:c>
      <x:c r="G14" s="53" t="n">
        <x:f>SUM(D14:F14)</x:f>
        <x:v>0</x:v>
      </x:c>
      <x:c r="H14" s="53" t="n">
        <x:f>35000</x:f>
        <x:v>35000</x:v>
      </x:c>
      <x:c r="I14" s="53" t="n">
        <x:f>K13</x:f>
        <x:v>0</x:v>
      </x:c>
      <x:c r="J14" s="53" t="n">
        <x:f>MIN(G14+I14,H14)</x:f>
        <x:v>0</x:v>
      </x:c>
      <x:c r="K14" s="53" t="n">
        <x:f>G14+I14-J14</x:f>
        <x:v>0</x:v>
      </x:c>
      <x:c r="L14" s="53" t="n">
        <x:f>0</x:f>
        <x:v>0</x:v>
      </x:c>
      <x:c r="M14" s="72"/>
      <x:c r="N14" s="72"/>
    </x:row>
    <x:row r="15">
      <x:c r="C15" s="20" t="n">
        <x:v>8</x:v>
      </x:c>
      <x:c r="D15" s="53" t="n">
        <x:f>IF(AND(C15&gt;=30,C15&lt;=39),8813,0)</x:f>
        <x:v>0</x:v>
      </x:c>
      <x:c r="E15" s="53" t="n">
        <x:f>IF(AND(C15&gt;=60,C15&lt;=79),15863.4,0)</x:f>
        <x:v>0</x:v>
      </x:c>
      <x:c r="F15" s="53" t="n">
        <x:f>IF(AND(C15&gt;=130,C15&lt;=159),27614.0667,0)</x:f>
        <x:v>0</x:v>
      </x:c>
      <x:c r="G15" s="53" t="n">
        <x:f>SUM(D15:F15)</x:f>
        <x:v>0</x:v>
      </x:c>
      <x:c r="H15" s="53" t="n">
        <x:f>35000</x:f>
        <x:v>35000</x:v>
      </x:c>
      <x:c r="I15" s="53" t="n">
        <x:f>K14</x:f>
        <x:v>0</x:v>
      </x:c>
      <x:c r="J15" s="53" t="n">
        <x:f>MIN(G15+I15,H15)</x:f>
        <x:v>0</x:v>
      </x:c>
      <x:c r="K15" s="53" t="n">
        <x:f>G15+I15-J15</x:f>
        <x:v>0</x:v>
      </x:c>
      <x:c r="L15" s="53" t="n">
        <x:f>0</x:f>
        <x:v>0</x:v>
      </x:c>
      <x:c r="M15" s="72"/>
      <x:c r="N15" s="72"/>
    </x:row>
    <x:row r="16">
      <x:c r="C16" s="20" t="n">
        <x:v>9</x:v>
      </x:c>
      <x:c r="D16" s="53" t="n">
        <x:f>IF(AND(C16&gt;=30,C16&lt;=39),8813,0)</x:f>
        <x:v>0</x:v>
      </x:c>
      <x:c r="E16" s="53" t="n">
        <x:f>IF(AND(C16&gt;=60,C16&lt;=79),15863.4,0)</x:f>
        <x:v>0</x:v>
      </x:c>
      <x:c r="F16" s="53" t="n">
        <x:f>IF(AND(C16&gt;=130,C16&lt;=159),27614.0667,0)</x:f>
        <x:v>0</x:v>
      </x:c>
      <x:c r="G16" s="53" t="n">
        <x:f>SUM(D16:F16)</x:f>
        <x:v>0</x:v>
      </x:c>
      <x:c r="H16" s="53" t="n">
        <x:f>35000</x:f>
        <x:v>35000</x:v>
      </x:c>
      <x:c r="I16" s="53" t="n">
        <x:f>K15</x:f>
        <x:v>0</x:v>
      </x:c>
      <x:c r="J16" s="53" t="n">
        <x:f>MIN(G16+I16,H16)</x:f>
        <x:v>0</x:v>
      </x:c>
      <x:c r="K16" s="53" t="n">
        <x:f>G16+I16-J16</x:f>
        <x:v>0</x:v>
      </x:c>
      <x:c r="L16" s="53" t="n">
        <x:f>0</x:f>
        <x:v>0</x:v>
      </x:c>
      <x:c r="M16" s="72"/>
      <x:c r="N16" s="72"/>
    </x:row>
    <x:row r="17">
      <x:c r="C17" s="20" t="n">
        <x:v>10</x:v>
      </x:c>
      <x:c r="D17" s="53" t="n">
        <x:f>IF(AND(C17&gt;=30,C17&lt;=39),8813,0)</x:f>
        <x:v>0</x:v>
      </x:c>
      <x:c r="E17" s="53" t="n">
        <x:f>IF(AND(C17&gt;=60,C17&lt;=79),15863.4,0)</x:f>
        <x:v>0</x:v>
      </x:c>
      <x:c r="F17" s="53" t="n">
        <x:f>IF(AND(C17&gt;=130,C17&lt;=159),27614.0667,0)</x:f>
        <x:v>0</x:v>
      </x:c>
      <x:c r="G17" s="53" t="n">
        <x:f>SUM(D17:F17)</x:f>
        <x:v>0</x:v>
      </x:c>
      <x:c r="H17" s="53" t="n">
        <x:f>35000</x:f>
        <x:v>35000</x:v>
      </x:c>
      <x:c r="I17" s="53" t="n">
        <x:f>K16</x:f>
        <x:v>0</x:v>
      </x:c>
      <x:c r="J17" s="53" t="n">
        <x:f>MIN(G17+I17,H17)</x:f>
        <x:v>0</x:v>
      </x:c>
      <x:c r="K17" s="53" t="n">
        <x:f>G17+I17-J17</x:f>
        <x:v>0</x:v>
      </x:c>
      <x:c r="L17" s="53" t="n">
        <x:f>0</x:f>
        <x:v>0</x:v>
      </x:c>
      <x:c r="M17" s="72"/>
      <x:c r="N17" s="72"/>
    </x:row>
    <x:row r="18">
      <x:c r="C18" s="20" t="n">
        <x:v>11</x:v>
      </x:c>
      <x:c r="D18" s="53" t="n">
        <x:f>IF(AND(C18&gt;=30,C18&lt;=39),8813,0)</x:f>
        <x:v>0</x:v>
      </x:c>
      <x:c r="E18" s="53" t="n">
        <x:f>IF(AND(C18&gt;=60,C18&lt;=79),15863.4,0)</x:f>
        <x:v>0</x:v>
      </x:c>
      <x:c r="F18" s="53" t="n">
        <x:f>IF(AND(C18&gt;=130,C18&lt;=159),27614.0667,0)</x:f>
        <x:v>0</x:v>
      </x:c>
      <x:c r="G18" s="53" t="n">
        <x:f>SUM(D18:F18)</x:f>
        <x:v>0</x:v>
      </x:c>
      <x:c r="H18" s="53" t="n">
        <x:f>35000</x:f>
        <x:v>35000</x:v>
      </x:c>
      <x:c r="I18" s="53" t="n">
        <x:f>K17</x:f>
        <x:v>0</x:v>
      </x:c>
      <x:c r="J18" s="53" t="n">
        <x:f>MIN(G18+I18,H18)</x:f>
        <x:v>0</x:v>
      </x:c>
      <x:c r="K18" s="53" t="n">
        <x:f>G18+I18-J18</x:f>
        <x:v>0</x:v>
      </x:c>
      <x:c r="L18" s="53" t="n">
        <x:f>0</x:f>
        <x:v>0</x:v>
      </x:c>
      <x:c r="M18" s="72"/>
      <x:c r="N18" s="72"/>
    </x:row>
    <x:row r="19">
      <x:c r="C19" s="20" t="n">
        <x:v>12</x:v>
      </x:c>
      <x:c r="D19" s="53" t="n">
        <x:f>IF(AND(C19&gt;=30,C19&lt;=39),8813,0)</x:f>
        <x:v>0</x:v>
      </x:c>
      <x:c r="E19" s="53" t="n">
        <x:f>IF(AND(C19&gt;=60,C19&lt;=79),15863.4,0)</x:f>
        <x:v>0</x:v>
      </x:c>
      <x:c r="F19" s="53" t="n">
        <x:f>IF(AND(C19&gt;=130,C19&lt;=159),27614.0667,0)</x:f>
        <x:v>0</x:v>
      </x:c>
      <x:c r="G19" s="53" t="n">
        <x:f>SUM(D19:F19)</x:f>
        <x:v>0</x:v>
      </x:c>
      <x:c r="H19" s="53" t="n">
        <x:f>35000</x:f>
        <x:v>35000</x:v>
      </x:c>
      <x:c r="I19" s="53" t="n">
        <x:f>K18</x:f>
        <x:v>0</x:v>
      </x:c>
      <x:c r="J19" s="53" t="n">
        <x:f>MIN(G19+I19,H19)</x:f>
        <x:v>0</x:v>
      </x:c>
      <x:c r="K19" s="53" t="n">
        <x:f>G19+I19-J19</x:f>
        <x:v>0</x:v>
      </x:c>
      <x:c r="L19" s="53" t="n">
        <x:f>0</x:f>
        <x:v>0</x:v>
      </x:c>
      <x:c r="M19" s="72"/>
      <x:c r="N19" s="72"/>
    </x:row>
    <x:row r="20">
      <x:c r="C20" s="20" t="n">
        <x:v>13</x:v>
      </x:c>
      <x:c r="D20" s="53" t="n">
        <x:f>IF(AND(C20&gt;=30,C20&lt;=39),8813,0)</x:f>
        <x:v>0</x:v>
      </x:c>
      <x:c r="E20" s="53" t="n">
        <x:f>IF(AND(C20&gt;=60,C20&lt;=79),15863.4,0)</x:f>
        <x:v>0</x:v>
      </x:c>
      <x:c r="F20" s="53" t="n">
        <x:f>IF(AND(C20&gt;=130,C20&lt;=159),27614.0667,0)</x:f>
        <x:v>0</x:v>
      </x:c>
      <x:c r="G20" s="53" t="n">
        <x:f>SUM(D20:F20)</x:f>
        <x:v>0</x:v>
      </x:c>
      <x:c r="H20" s="53" t="n">
        <x:f>35000</x:f>
        <x:v>35000</x:v>
      </x:c>
      <x:c r="I20" s="53" t="n">
        <x:f>K19</x:f>
        <x:v>0</x:v>
      </x:c>
      <x:c r="J20" s="53" t="n">
        <x:f>MIN(G20+I20,H20)</x:f>
        <x:v>0</x:v>
      </x:c>
      <x:c r="K20" s="53" t="n">
        <x:f>G20+I20-J20</x:f>
        <x:v>0</x:v>
      </x:c>
      <x:c r="L20" s="53" t="n">
        <x:f>0</x:f>
        <x:v>0</x:v>
      </x:c>
      <x:c r="M20" s="72"/>
      <x:c r="N20" s="72"/>
    </x:row>
    <x:row r="21">
      <x:c r="C21" s="20" t="n">
        <x:v>14</x:v>
      </x:c>
      <x:c r="D21" s="53" t="n">
        <x:f>IF(AND(C21&gt;=30,C21&lt;=39),8813,0)</x:f>
        <x:v>0</x:v>
      </x:c>
      <x:c r="E21" s="53" t="n">
        <x:f>IF(AND(C21&gt;=60,C21&lt;=79),15863.4,0)</x:f>
        <x:v>0</x:v>
      </x:c>
      <x:c r="F21" s="53" t="n">
        <x:f>IF(AND(C21&gt;=130,C21&lt;=159),27614.0667,0)</x:f>
        <x:v>0</x:v>
      </x:c>
      <x:c r="G21" s="53" t="n">
        <x:f>SUM(D21:F21)</x:f>
        <x:v>0</x:v>
      </x:c>
      <x:c r="H21" s="53" t="n">
        <x:f>35000</x:f>
        <x:v>35000</x:v>
      </x:c>
      <x:c r="I21" s="53" t="n">
        <x:f>K20</x:f>
        <x:v>0</x:v>
      </x:c>
      <x:c r="J21" s="53" t="n">
        <x:f>MIN(G21+I21,H21)</x:f>
        <x:v>0</x:v>
      </x:c>
      <x:c r="K21" s="53" t="n">
        <x:f>G21+I21-J21</x:f>
        <x:v>0</x:v>
      </x:c>
      <x:c r="L21" s="53" t="n">
        <x:f>0</x:f>
        <x:v>0</x:v>
      </x:c>
      <x:c r="M21" s="72"/>
      <x:c r="N21" s="72"/>
    </x:row>
    <x:row r="22">
      <x:c r="C22" s="20" t="n">
        <x:v>15</x:v>
      </x:c>
      <x:c r="D22" s="53" t="n">
        <x:f>IF(AND(C22&gt;=30,C22&lt;=39),8813,0)</x:f>
        <x:v>0</x:v>
      </x:c>
      <x:c r="E22" s="53" t="n">
        <x:f>IF(AND(C22&gt;=60,C22&lt;=79),15863.4,0)</x:f>
        <x:v>0</x:v>
      </x:c>
      <x:c r="F22" s="53" t="n">
        <x:f>IF(AND(C22&gt;=130,C22&lt;=159),27614.0667,0)</x:f>
        <x:v>0</x:v>
      </x:c>
      <x:c r="G22" s="53" t="n">
        <x:f>SUM(D22:F22)</x:f>
        <x:v>0</x:v>
      </x:c>
      <x:c r="H22" s="53" t="n">
        <x:f>35000</x:f>
        <x:v>35000</x:v>
      </x:c>
      <x:c r="I22" s="53" t="n">
        <x:f>K21</x:f>
        <x:v>0</x:v>
      </x:c>
      <x:c r="J22" s="53" t="n">
        <x:f>MIN(G22+I22,H22)</x:f>
        <x:v>0</x:v>
      </x:c>
      <x:c r="K22" s="53" t="n">
        <x:f>G22+I22-J22</x:f>
        <x:v>0</x:v>
      </x:c>
      <x:c r="L22" s="53" t="n">
        <x:f>0</x:f>
        <x:v>0</x:v>
      </x:c>
      <x:c r="M22" s="72"/>
      <x:c r="N22" s="72"/>
    </x:row>
    <x:row r="23">
      <x:c r="C23" s="20" t="n">
        <x:v>16</x:v>
      </x:c>
      <x:c r="D23" s="53" t="n">
        <x:f>IF(AND(C23&gt;=30,C23&lt;=39),8813,0)</x:f>
        <x:v>0</x:v>
      </x:c>
      <x:c r="E23" s="53" t="n">
        <x:f>IF(AND(C23&gt;=60,C23&lt;=79),15863.4,0)</x:f>
        <x:v>0</x:v>
      </x:c>
      <x:c r="F23" s="53" t="n">
        <x:f>IF(AND(C23&gt;=130,C23&lt;=159),27614.0667,0)</x:f>
        <x:v>0</x:v>
      </x:c>
      <x:c r="G23" s="53" t="n">
        <x:f>SUM(D23:F23)</x:f>
        <x:v>0</x:v>
      </x:c>
      <x:c r="H23" s="53" t="n">
        <x:f>35000</x:f>
        <x:v>35000</x:v>
      </x:c>
      <x:c r="I23" s="53" t="n">
        <x:f>K22</x:f>
        <x:v>0</x:v>
      </x:c>
      <x:c r="J23" s="53" t="n">
        <x:f>MIN(G23+I23,H23)</x:f>
        <x:v>0</x:v>
      </x:c>
      <x:c r="K23" s="53" t="n">
        <x:f>G23+I23-J23</x:f>
        <x:v>0</x:v>
      </x:c>
      <x:c r="L23" s="53" t="n">
        <x:f>0</x:f>
        <x:v>0</x:v>
      </x:c>
      <x:c r="M23" s="72"/>
      <x:c r="N23" s="72"/>
    </x:row>
    <x:row r="24">
      <x:c r="C24" s="20" t="n">
        <x:v>17</x:v>
      </x:c>
      <x:c r="D24" s="53" t="n">
        <x:f>IF(AND(C24&gt;=30,C24&lt;=39),8813,0)</x:f>
        <x:v>0</x:v>
      </x:c>
      <x:c r="E24" s="53" t="n">
        <x:f>IF(AND(C24&gt;=60,C24&lt;=79),15863.4,0)</x:f>
        <x:v>0</x:v>
      </x:c>
      <x:c r="F24" s="53" t="n">
        <x:f>IF(AND(C24&gt;=130,C24&lt;=159),27614.0667,0)</x:f>
        <x:v>0</x:v>
      </x:c>
      <x:c r="G24" s="53" t="n">
        <x:f>SUM(D24:F24)</x:f>
        <x:v>0</x:v>
      </x:c>
      <x:c r="H24" s="53" t="n">
        <x:f>35000</x:f>
        <x:v>35000</x:v>
      </x:c>
      <x:c r="I24" s="53" t="n">
        <x:f>K23</x:f>
        <x:v>0</x:v>
      </x:c>
      <x:c r="J24" s="53" t="n">
        <x:f>MIN(G24+I24,H24)</x:f>
        <x:v>0</x:v>
      </x:c>
      <x:c r="K24" s="53" t="n">
        <x:f>G24+I24-J24</x:f>
        <x:v>0</x:v>
      </x:c>
      <x:c r="L24" s="53" t="n">
        <x:f>0</x:f>
        <x:v>0</x:v>
      </x:c>
      <x:c r="M24" s="72"/>
      <x:c r="N24" s="72"/>
    </x:row>
    <x:row r="25">
      <x:c r="C25" s="20" t="n">
        <x:v>18</x:v>
      </x:c>
      <x:c r="D25" s="53" t="n">
        <x:f>IF(AND(C25&gt;=30,C25&lt;=39),8813,0)</x:f>
        <x:v>0</x:v>
      </x:c>
      <x:c r="E25" s="53" t="n">
        <x:f>IF(AND(C25&gt;=60,C25&lt;=79),15863.4,0)</x:f>
        <x:v>0</x:v>
      </x:c>
      <x:c r="F25" s="53" t="n">
        <x:f>IF(AND(C25&gt;=130,C25&lt;=159),27614.0667,0)</x:f>
        <x:v>0</x:v>
      </x:c>
      <x:c r="G25" s="53" t="n">
        <x:f>SUM(D25:F25)</x:f>
        <x:v>0</x:v>
      </x:c>
      <x:c r="H25" s="53" t="n">
        <x:f>35000</x:f>
        <x:v>35000</x:v>
      </x:c>
      <x:c r="I25" s="53" t="n">
        <x:f>K24</x:f>
        <x:v>0</x:v>
      </x:c>
      <x:c r="J25" s="53" t="n">
        <x:f>MIN(G25+I25,H25)</x:f>
        <x:v>0</x:v>
      </x:c>
      <x:c r="K25" s="53" t="n">
        <x:f>G25+I25-J25</x:f>
        <x:v>0</x:v>
      </x:c>
      <x:c r="L25" s="53" t="n">
        <x:f>0</x:f>
        <x:v>0</x:v>
      </x:c>
      <x:c r="M25" s="72"/>
      <x:c r="N25" s="72"/>
    </x:row>
    <x:row r="26">
      <x:c r="C26" s="20" t="n">
        <x:v>19</x:v>
      </x:c>
      <x:c r="D26" s="53" t="n">
        <x:f>IF(AND(C26&gt;=30,C26&lt;=39),8813,0)</x:f>
        <x:v>0</x:v>
      </x:c>
      <x:c r="E26" s="53" t="n">
        <x:f>IF(AND(C26&gt;=60,C26&lt;=79),15863.4,0)</x:f>
        <x:v>0</x:v>
      </x:c>
      <x:c r="F26" s="53" t="n">
        <x:f>IF(AND(C26&gt;=130,C26&lt;=159),27614.0667,0)</x:f>
        <x:v>0</x:v>
      </x:c>
      <x:c r="G26" s="53" t="n">
        <x:f>SUM(D26:F26)</x:f>
        <x:v>0</x:v>
      </x:c>
      <x:c r="H26" s="53" t="n">
        <x:f>35000</x:f>
        <x:v>35000</x:v>
      </x:c>
      <x:c r="I26" s="53" t="n">
        <x:f>K25</x:f>
        <x:v>0</x:v>
      </x:c>
      <x:c r="J26" s="53" t="n">
        <x:f>MIN(G26+I26,H26)</x:f>
        <x:v>0</x:v>
      </x:c>
      <x:c r="K26" s="53" t="n">
        <x:f>G26+I26-J26</x:f>
        <x:v>0</x:v>
      </x:c>
      <x:c r="L26" s="53" t="n">
        <x:f>0</x:f>
        <x:v>0</x:v>
      </x:c>
      <x:c r="M26" s="72"/>
      <x:c r="N26" s="72"/>
    </x:row>
    <x:row r="27">
      <x:c r="C27" s="20" t="n">
        <x:v>20</x:v>
      </x:c>
      <x:c r="D27" s="53" t="n">
        <x:f>IF(AND(C27&gt;=30,C27&lt;=39),8813,0)</x:f>
        <x:v>0</x:v>
      </x:c>
      <x:c r="E27" s="53" t="n">
        <x:f>IF(AND(C27&gt;=60,C27&lt;=79),15863.4,0)</x:f>
        <x:v>0</x:v>
      </x:c>
      <x:c r="F27" s="53" t="n">
        <x:f>IF(AND(C27&gt;=130,C27&lt;=159),27614.0667,0)</x:f>
        <x:v>0</x:v>
      </x:c>
      <x:c r="G27" s="53" t="n">
        <x:f>SUM(D27:F27)</x:f>
        <x:v>0</x:v>
      </x:c>
      <x:c r="H27" s="53" t="n">
        <x:f>35000</x:f>
        <x:v>35000</x:v>
      </x:c>
      <x:c r="I27" s="53" t="n">
        <x:f>K26</x:f>
        <x:v>0</x:v>
      </x:c>
      <x:c r="J27" s="53" t="n">
        <x:f>MIN(G27+I27,H27)</x:f>
        <x:v>0</x:v>
      </x:c>
      <x:c r="K27" s="53" t="n">
        <x:f>G27+I27-J27</x:f>
        <x:v>0</x:v>
      </x:c>
      <x:c r="L27" s="53" t="n">
        <x:f>0</x:f>
        <x:v>0</x:v>
      </x:c>
      <x:c r="M27" s="72"/>
      <x:c r="N27" s="72"/>
    </x:row>
    <x:row r="28">
      <x:c r="C28" s="20" t="n">
        <x:v>21</x:v>
      </x:c>
      <x:c r="D28" s="53" t="n">
        <x:f>IF(AND(C28&gt;=30,C28&lt;=39),8813,0)</x:f>
        <x:v>0</x:v>
      </x:c>
      <x:c r="E28" s="53" t="n">
        <x:f>IF(AND(C28&gt;=60,C28&lt;=79),15863.4,0)</x:f>
        <x:v>0</x:v>
      </x:c>
      <x:c r="F28" s="53" t="n">
        <x:f>IF(AND(C28&gt;=130,C28&lt;=159),27614.0667,0)</x:f>
        <x:v>0</x:v>
      </x:c>
      <x:c r="G28" s="53" t="n">
        <x:f>SUM(D28:F28)</x:f>
        <x:v>0</x:v>
      </x:c>
      <x:c r="H28" s="53" t="n">
        <x:f>35000</x:f>
        <x:v>35000</x:v>
      </x:c>
      <x:c r="I28" s="53" t="n">
        <x:f>K27</x:f>
        <x:v>0</x:v>
      </x:c>
      <x:c r="J28" s="53" t="n">
        <x:f>MIN(G28+I28,H28)</x:f>
        <x:v>0</x:v>
      </x:c>
      <x:c r="K28" s="53" t="n">
        <x:f>G28+I28-J28</x:f>
        <x:v>0</x:v>
      </x:c>
      <x:c r="L28" s="53" t="n">
        <x:f>0</x:f>
        <x:v>0</x:v>
      </x:c>
      <x:c r="M28" s="72"/>
      <x:c r="N28" s="72"/>
    </x:row>
    <x:row r="29">
      <x:c r="C29" s="20" t="n">
        <x:v>22</x:v>
      </x:c>
      <x:c r="D29" s="53" t="n">
        <x:f>IF(AND(C29&gt;=30,C29&lt;=39),8813,0)</x:f>
        <x:v>0</x:v>
      </x:c>
      <x:c r="E29" s="53" t="n">
        <x:f>IF(AND(C29&gt;=60,C29&lt;=79),15863.4,0)</x:f>
        <x:v>0</x:v>
      </x:c>
      <x:c r="F29" s="53" t="n">
        <x:f>IF(AND(C29&gt;=130,C29&lt;=159),27614.0667,0)</x:f>
        <x:v>0</x:v>
      </x:c>
      <x:c r="G29" s="53" t="n">
        <x:f>SUM(D29:F29)</x:f>
        <x:v>0</x:v>
      </x:c>
      <x:c r="H29" s="53" t="n">
        <x:f>35000</x:f>
        <x:v>35000</x:v>
      </x:c>
      <x:c r="I29" s="53" t="n">
        <x:f>K28</x:f>
        <x:v>0</x:v>
      </x:c>
      <x:c r="J29" s="53" t="n">
        <x:f>MIN(G29+I29,H29)</x:f>
        <x:v>0</x:v>
      </x:c>
      <x:c r="K29" s="53" t="n">
        <x:f>G29+I29-J29</x:f>
        <x:v>0</x:v>
      </x:c>
      <x:c r="L29" s="53" t="n">
        <x:f>0</x:f>
        <x:v>0</x:v>
      </x:c>
      <x:c r="M29" s="72"/>
      <x:c r="N29" s="72"/>
    </x:row>
    <x:row r="30">
      <x:c r="C30" s="20" t="n">
        <x:v>23</x:v>
      </x:c>
      <x:c r="D30" s="53" t="n">
        <x:f>IF(AND(C30&gt;=30,C30&lt;=39),8813,0)</x:f>
        <x:v>0</x:v>
      </x:c>
      <x:c r="E30" s="53" t="n">
        <x:f>IF(AND(C30&gt;=60,C30&lt;=79),15863.4,0)</x:f>
        <x:v>0</x:v>
      </x:c>
      <x:c r="F30" s="53" t="n">
        <x:f>IF(AND(C30&gt;=130,C30&lt;=159),27614.0667,0)</x:f>
        <x:v>0</x:v>
      </x:c>
      <x:c r="G30" s="53" t="n">
        <x:f>SUM(D30:F30)</x:f>
        <x:v>0</x:v>
      </x:c>
      <x:c r="H30" s="53" t="n">
        <x:f>35000</x:f>
        <x:v>35000</x:v>
      </x:c>
      <x:c r="I30" s="53" t="n">
        <x:f>K29</x:f>
        <x:v>0</x:v>
      </x:c>
      <x:c r="J30" s="53" t="n">
        <x:f>MIN(G30+I30,H30)</x:f>
        <x:v>0</x:v>
      </x:c>
      <x:c r="K30" s="53" t="n">
        <x:f>G30+I30-J30</x:f>
        <x:v>0</x:v>
      </x:c>
      <x:c r="L30" s="53" t="n">
        <x:f>0</x:f>
        <x:v>0</x:v>
      </x:c>
      <x:c r="M30" s="72"/>
      <x:c r="N30" s="72"/>
    </x:row>
    <x:row r="31">
      <x:c r="C31" s="20" t="n">
        <x:v>24</x:v>
      </x:c>
      <x:c r="D31" s="53" t="n">
        <x:f>IF(AND(C31&gt;=30,C31&lt;=39),8813,0)</x:f>
        <x:v>0</x:v>
      </x:c>
      <x:c r="E31" s="53" t="n">
        <x:f>IF(AND(C31&gt;=60,C31&lt;=79),15863.4,0)</x:f>
        <x:v>0</x:v>
      </x:c>
      <x:c r="F31" s="53" t="n">
        <x:f>IF(AND(C31&gt;=130,C31&lt;=159),27614.0667,0)</x:f>
        <x:v>0</x:v>
      </x:c>
      <x:c r="G31" s="53" t="n">
        <x:f>SUM(D31:F31)</x:f>
        <x:v>0</x:v>
      </x:c>
      <x:c r="H31" s="53" t="n">
        <x:f>35000</x:f>
        <x:v>35000</x:v>
      </x:c>
      <x:c r="I31" s="53" t="n">
        <x:f>K30</x:f>
        <x:v>0</x:v>
      </x:c>
      <x:c r="J31" s="53" t="n">
        <x:f>MIN(G31+I31,H31)</x:f>
        <x:v>0</x:v>
      </x:c>
      <x:c r="K31" s="53" t="n">
        <x:f>G31+I31-J31</x:f>
        <x:v>0</x:v>
      </x:c>
      <x:c r="L31" s="53" t="n">
        <x:f>0</x:f>
        <x:v>0</x:v>
      </x:c>
      <x:c r="M31" s="72"/>
      <x:c r="N31" s="72"/>
    </x:row>
    <x:row r="32">
      <x:c r="C32" s="20" t="n">
        <x:v>25</x:v>
      </x:c>
      <x:c r="D32" s="53" t="n">
        <x:f>IF(AND(C32&gt;=30,C32&lt;=39),8813,0)</x:f>
        <x:v>0</x:v>
      </x:c>
      <x:c r="E32" s="53" t="n">
        <x:f>IF(AND(C32&gt;=60,C32&lt;=79),15863.4,0)</x:f>
        <x:v>0</x:v>
      </x:c>
      <x:c r="F32" s="53" t="n">
        <x:f>IF(AND(C32&gt;=130,C32&lt;=159),27614.0667,0)</x:f>
        <x:v>0</x:v>
      </x:c>
      <x:c r="G32" s="53" t="n">
        <x:f>SUM(D32:F32)</x:f>
        <x:v>0</x:v>
      </x:c>
      <x:c r="H32" s="53" t="n">
        <x:f>35000</x:f>
        <x:v>35000</x:v>
      </x:c>
      <x:c r="I32" s="53" t="n">
        <x:f>K31</x:f>
        <x:v>0</x:v>
      </x:c>
      <x:c r="J32" s="53" t="n">
        <x:f>MIN(G32+I32,H32)</x:f>
        <x:v>0</x:v>
      </x:c>
      <x:c r="K32" s="53" t="n">
        <x:f>G32+I32-J32</x:f>
        <x:v>0</x:v>
      </x:c>
      <x:c r="L32" s="53" t="n">
        <x:f>0</x:f>
        <x:v>0</x:v>
      </x:c>
      <x:c r="M32" s="72"/>
      <x:c r="N32" s="72"/>
    </x:row>
    <x:row r="33">
      <x:c r="C33" s="20" t="n">
        <x:v>26</x:v>
      </x:c>
      <x:c r="D33" s="53" t="n">
        <x:f>IF(AND(C33&gt;=30,C33&lt;=39),8813,0)</x:f>
        <x:v>0</x:v>
      </x:c>
      <x:c r="E33" s="53" t="n">
        <x:f>IF(AND(C33&gt;=60,C33&lt;=79),15863.4,0)</x:f>
        <x:v>0</x:v>
      </x:c>
      <x:c r="F33" s="53" t="n">
        <x:f>IF(AND(C33&gt;=130,C33&lt;=159),27614.0667,0)</x:f>
        <x:v>0</x:v>
      </x:c>
      <x:c r="G33" s="53" t="n">
        <x:f>SUM(D33:F33)</x:f>
        <x:v>0</x:v>
      </x:c>
      <x:c r="H33" s="53" t="n">
        <x:f>35000</x:f>
        <x:v>35000</x:v>
      </x:c>
      <x:c r="I33" s="53" t="n">
        <x:f>K32</x:f>
        <x:v>0</x:v>
      </x:c>
      <x:c r="J33" s="53" t="n">
        <x:f>MIN(G33+I33,H33)</x:f>
        <x:v>0</x:v>
      </x:c>
      <x:c r="K33" s="53" t="n">
        <x:f>G33+I33-J33</x:f>
        <x:v>0</x:v>
      </x:c>
      <x:c r="L33" s="53" t="n">
        <x:f>0</x:f>
        <x:v>0</x:v>
      </x:c>
      <x:c r="M33" s="72"/>
      <x:c r="N33" s="72"/>
    </x:row>
    <x:row r="34">
      <x:c r="C34" s="20" t="n">
        <x:v>27</x:v>
      </x:c>
      <x:c r="D34" s="53" t="n">
        <x:f>IF(AND(C34&gt;=30,C34&lt;=39),8813,0)</x:f>
        <x:v>0</x:v>
      </x:c>
      <x:c r="E34" s="53" t="n">
        <x:f>IF(AND(C34&gt;=60,C34&lt;=79),15863.4,0)</x:f>
        <x:v>0</x:v>
      </x:c>
      <x:c r="F34" s="53" t="n">
        <x:f>IF(AND(C34&gt;=130,C34&lt;=159),27614.0667,0)</x:f>
        <x:v>0</x:v>
      </x:c>
      <x:c r="G34" s="53" t="n">
        <x:f>SUM(D34:F34)</x:f>
        <x:v>0</x:v>
      </x:c>
      <x:c r="H34" s="53" t="n">
        <x:f>35000</x:f>
        <x:v>35000</x:v>
      </x:c>
      <x:c r="I34" s="53" t="n">
        <x:f>K33</x:f>
        <x:v>0</x:v>
      </x:c>
      <x:c r="J34" s="53" t="n">
        <x:f>MIN(G34+I34,H34)</x:f>
        <x:v>0</x:v>
      </x:c>
      <x:c r="K34" s="53" t="n">
        <x:f>G34+I34-J34</x:f>
        <x:v>0</x:v>
      </x:c>
      <x:c r="L34" s="53" t="n">
        <x:f>0</x:f>
        <x:v>0</x:v>
      </x:c>
      <x:c r="M34" s="72"/>
      <x:c r="N34" s="72"/>
    </x:row>
    <x:row r="35">
      <x:c r="C35" s="20" t="n">
        <x:v>28</x:v>
      </x:c>
      <x:c r="D35" s="53" t="n">
        <x:f>IF(AND(C35&gt;=30,C35&lt;=39),8813,0)</x:f>
        <x:v>0</x:v>
      </x:c>
      <x:c r="E35" s="53" t="n">
        <x:f>IF(AND(C35&gt;=60,C35&lt;=79),15863.4,0)</x:f>
        <x:v>0</x:v>
      </x:c>
      <x:c r="F35" s="53" t="n">
        <x:f>IF(AND(C35&gt;=130,C35&lt;=159),27614.0667,0)</x:f>
        <x:v>0</x:v>
      </x:c>
      <x:c r="G35" s="53" t="n">
        <x:f>SUM(D35:F35)</x:f>
        <x:v>0</x:v>
      </x:c>
      <x:c r="H35" s="53" t="n">
        <x:f>35000</x:f>
        <x:v>35000</x:v>
      </x:c>
      <x:c r="I35" s="53" t="n">
        <x:f>K34</x:f>
        <x:v>0</x:v>
      </x:c>
      <x:c r="J35" s="53" t="n">
        <x:f>MIN(G35+I35,H35)</x:f>
        <x:v>0</x:v>
      </x:c>
      <x:c r="K35" s="53" t="n">
        <x:f>G35+I35-J35</x:f>
        <x:v>0</x:v>
      </x:c>
      <x:c r="L35" s="53" t="n">
        <x:f>0</x:f>
        <x:v>0</x:v>
      </x:c>
      <x:c r="M35" s="72"/>
      <x:c r="N35" s="72"/>
    </x:row>
    <x:row r="36">
      <x:c r="C36" s="20" t="n">
        <x:v>29</x:v>
      </x:c>
      <x:c r="D36" s="53" t="n">
        <x:f>IF(AND(C36&gt;=30,C36&lt;=39),8813,0)</x:f>
        <x:v>0</x:v>
      </x:c>
      <x:c r="E36" s="53" t="n">
        <x:f>IF(AND(C36&gt;=60,C36&lt;=79),15863.4,0)</x:f>
        <x:v>0</x:v>
      </x:c>
      <x:c r="F36" s="53" t="n">
        <x:f>IF(AND(C36&gt;=130,C36&lt;=159),27614.0667,0)</x:f>
        <x:v>0</x:v>
      </x:c>
      <x:c r="G36" s="53" t="n">
        <x:f>SUM(D36:F36)</x:f>
        <x:v>0</x:v>
      </x:c>
      <x:c r="H36" s="53" t="n">
        <x:f>35000</x:f>
        <x:v>35000</x:v>
      </x:c>
      <x:c r="I36" s="53" t="n">
        <x:f>K35</x:f>
        <x:v>0</x:v>
      </x:c>
      <x:c r="J36" s="53" t="n">
        <x:f>MIN(G36+I36,H36)</x:f>
        <x:v>0</x:v>
      </x:c>
      <x:c r="K36" s="53" t="n">
        <x:f>G36+I36-J36</x:f>
        <x:v>0</x:v>
      </x:c>
      <x:c r="L36" s="53" t="n">
        <x:f>0</x:f>
        <x:v>0</x:v>
      </x:c>
      <x:c r="M36" s="72"/>
      <x:c r="N36" s="72"/>
    </x:row>
    <x:row r="37">
      <x:c r="C37" s="20" t="n">
        <x:v>30</x:v>
      </x:c>
      <x:c r="D37" s="53" t="n">
        <x:f>IF(AND(C37&gt;=30,C37&lt;=39),8813,0)</x:f>
        <x:v>8813</x:v>
      </x:c>
      <x:c r="E37" s="53" t="n">
        <x:f>IF(AND(C37&gt;=60,C37&lt;=79),15863.4,0)</x:f>
        <x:v>0</x:v>
      </x:c>
      <x:c r="F37" s="53" t="n">
        <x:f>IF(AND(C37&gt;=130,C37&lt;=159),27614.0667,0)</x:f>
        <x:v>0</x:v>
      </x:c>
      <x:c r="G37" s="53" t="n">
        <x:f>SUM(D37:F37)</x:f>
        <x:v>8813</x:v>
      </x:c>
      <x:c r="H37" s="53" t="n">
        <x:f>35000</x:f>
        <x:v>35000</x:v>
      </x:c>
      <x:c r="I37" s="53" t="n">
        <x:f>K36</x:f>
        <x:v>0</x:v>
      </x:c>
      <x:c r="J37" s="53" t="n">
        <x:f>MIN(G37+I37,H37)</x:f>
        <x:v>8813</x:v>
      </x:c>
      <x:c r="K37" s="53" t="n">
        <x:f>G37+I37-J37</x:f>
        <x:v>0</x:v>
      </x:c>
      <x:c r="L37" s="53" t="n">
        <x:f>SUM($J$7:J7)</x:f>
        <x:v>0</x:v>
      </x:c>
      <x:c r="M37" s="72"/>
      <x:c r="N37" s="72"/>
    </x:row>
    <x:row r="38">
      <x:c r="C38" s="20" t="n">
        <x:v>31</x:v>
      </x:c>
      <x:c r="D38" s="53" t="n">
        <x:f>IF(AND(C38&gt;=30,C38&lt;=39),8813,0)</x:f>
        <x:v>8813</x:v>
      </x:c>
      <x:c r="E38" s="53" t="n">
        <x:f>IF(AND(C38&gt;=60,C38&lt;=79),15863.4,0)</x:f>
        <x:v>0</x:v>
      </x:c>
      <x:c r="F38" s="53" t="n">
        <x:f>IF(AND(C38&gt;=130,C38&lt;=159),27614.0667,0)</x:f>
        <x:v>0</x:v>
      </x:c>
      <x:c r="G38" s="53" t="n">
        <x:f>SUM(D38:F38)</x:f>
        <x:v>8813</x:v>
      </x:c>
      <x:c r="H38" s="53" t="n">
        <x:f>35000</x:f>
        <x:v>35000</x:v>
      </x:c>
      <x:c r="I38" s="53" t="n">
        <x:f>K37</x:f>
        <x:v>0</x:v>
      </x:c>
      <x:c r="J38" s="53" t="n">
        <x:f>MIN(G38+I38,H38)</x:f>
        <x:v>8813</x:v>
      </x:c>
      <x:c r="K38" s="53" t="n">
        <x:f>G38+I38-J38</x:f>
        <x:v>0</x:v>
      </x:c>
      <x:c r="L38" s="53" t="n">
        <x:f>SUM($J$7:J8)</x:f>
        <x:v>0</x:v>
      </x:c>
      <x:c r="M38" s="72"/>
      <x:c r="N38" s="72"/>
    </x:row>
    <x:row r="39">
      <x:c r="C39" s="20" t="n">
        <x:v>32</x:v>
      </x:c>
      <x:c r="D39" s="53" t="n">
        <x:f>IF(AND(C39&gt;=30,C39&lt;=39),8813,0)</x:f>
        <x:v>8813</x:v>
      </x:c>
      <x:c r="E39" s="53" t="n">
        <x:f>IF(AND(C39&gt;=60,C39&lt;=79),15863.4,0)</x:f>
        <x:v>0</x:v>
      </x:c>
      <x:c r="F39" s="53" t="n">
        <x:f>IF(AND(C39&gt;=130,C39&lt;=159),27614.0667,0)</x:f>
        <x:v>0</x:v>
      </x:c>
      <x:c r="G39" s="53" t="n">
        <x:f>SUM(D39:F39)</x:f>
        <x:v>8813</x:v>
      </x:c>
      <x:c r="H39" s="53" t="n">
        <x:f>35000</x:f>
        <x:v>35000</x:v>
      </x:c>
      <x:c r="I39" s="53" t="n">
        <x:f>K38</x:f>
        <x:v>0</x:v>
      </x:c>
      <x:c r="J39" s="53" t="n">
        <x:f>MIN(G39+I39,H39)</x:f>
        <x:v>8813</x:v>
      </x:c>
      <x:c r="K39" s="53" t="n">
        <x:f>G39+I39-J39</x:f>
        <x:v>0</x:v>
      </x:c>
      <x:c r="L39" s="53" t="n">
        <x:f>SUM($J$7:J9)</x:f>
        <x:v>0</x:v>
      </x:c>
      <x:c r="M39" s="72"/>
      <x:c r="N39" s="72"/>
    </x:row>
    <x:row r="40">
      <x:c r="C40" s="20" t="n">
        <x:v>33</x:v>
      </x:c>
      <x:c r="D40" s="53" t="n">
        <x:f>IF(AND(C40&gt;=30,C40&lt;=39),8813,0)</x:f>
        <x:v>8813</x:v>
      </x:c>
      <x:c r="E40" s="53" t="n">
        <x:f>IF(AND(C40&gt;=60,C40&lt;=79),15863.4,0)</x:f>
        <x:v>0</x:v>
      </x:c>
      <x:c r="F40" s="53" t="n">
        <x:f>IF(AND(C40&gt;=130,C40&lt;=159),27614.0667,0)</x:f>
        <x:v>0</x:v>
      </x:c>
      <x:c r="G40" s="53" t="n">
        <x:f>SUM(D40:F40)</x:f>
        <x:v>8813</x:v>
      </x:c>
      <x:c r="H40" s="53" t="n">
        <x:f>35000</x:f>
        <x:v>35000</x:v>
      </x:c>
      <x:c r="I40" s="53" t="n">
        <x:f>K39</x:f>
        <x:v>0</x:v>
      </x:c>
      <x:c r="J40" s="53" t="n">
        <x:f>MIN(G40+I40,H40)</x:f>
        <x:v>8813</x:v>
      </x:c>
      <x:c r="K40" s="53" t="n">
        <x:f>G40+I40-J40</x:f>
        <x:v>0</x:v>
      </x:c>
      <x:c r="L40" s="53" t="n">
        <x:f>SUM($J$7:J10)</x:f>
        <x:v>0</x:v>
      </x:c>
      <x:c r="M40" s="72"/>
      <x:c r="N40" s="72"/>
    </x:row>
    <x:row r="41">
      <x:c r="C41" s="20" t="n">
        <x:v>34</x:v>
      </x:c>
      <x:c r="D41" s="53" t="n">
        <x:f>IF(AND(C41&gt;=30,C41&lt;=39),8813,0)</x:f>
        <x:v>8813</x:v>
      </x:c>
      <x:c r="E41" s="53" t="n">
        <x:f>IF(AND(C41&gt;=60,C41&lt;=79),15863.4,0)</x:f>
        <x:v>0</x:v>
      </x:c>
      <x:c r="F41" s="53" t="n">
        <x:f>IF(AND(C41&gt;=130,C41&lt;=159),27614.0667,0)</x:f>
        <x:v>0</x:v>
      </x:c>
      <x:c r="G41" s="53" t="n">
        <x:f>SUM(D41:F41)</x:f>
        <x:v>8813</x:v>
      </x:c>
      <x:c r="H41" s="53" t="n">
        <x:f>35000</x:f>
        <x:v>35000</x:v>
      </x:c>
      <x:c r="I41" s="53" t="n">
        <x:f>K40</x:f>
        <x:v>0</x:v>
      </x:c>
      <x:c r="J41" s="53" t="n">
        <x:f>MIN(G41+I41,H41)</x:f>
        <x:v>8813</x:v>
      </x:c>
      <x:c r="K41" s="53" t="n">
        <x:f>G41+I41-J41</x:f>
        <x:v>0</x:v>
      </x:c>
      <x:c r="L41" s="53" t="n">
        <x:f>SUM($J$7:J11)</x:f>
        <x:v>0</x:v>
      </x:c>
      <x:c r="M41" s="72"/>
      <x:c r="N41" s="72"/>
    </x:row>
    <x:row r="42">
      <x:c r="C42" s="20" t="n">
        <x:v>35</x:v>
      </x:c>
      <x:c r="D42" s="53" t="n">
        <x:f>IF(AND(C42&gt;=30,C42&lt;=39),8813,0)</x:f>
        <x:v>8813</x:v>
      </x:c>
      <x:c r="E42" s="53" t="n">
        <x:f>IF(AND(C42&gt;=60,C42&lt;=79),15863.4,0)</x:f>
        <x:v>0</x:v>
      </x:c>
      <x:c r="F42" s="53" t="n">
        <x:f>IF(AND(C42&gt;=130,C42&lt;=159),27614.0667,0)</x:f>
        <x:v>0</x:v>
      </x:c>
      <x:c r="G42" s="53" t="n">
        <x:f>SUM(D42:F42)</x:f>
        <x:v>8813</x:v>
      </x:c>
      <x:c r="H42" s="53" t="n">
        <x:f>35000</x:f>
        <x:v>35000</x:v>
      </x:c>
      <x:c r="I42" s="53" t="n">
        <x:f>K41</x:f>
        <x:v>0</x:v>
      </x:c>
      <x:c r="J42" s="53" t="n">
        <x:f>MIN(G42+I42,H42)</x:f>
        <x:v>8813</x:v>
      </x:c>
      <x:c r="K42" s="53" t="n">
        <x:f>G42+I42-J42</x:f>
        <x:v>0</x:v>
      </x:c>
      <x:c r="L42" s="53" t="n">
        <x:f>SUM($J$7:J12)</x:f>
        <x:v>0</x:v>
      </x:c>
      <x:c r="M42" s="72"/>
      <x:c r="N42" s="72"/>
    </x:row>
    <x:row r="43">
      <x:c r="C43" s="20" t="n">
        <x:v>36</x:v>
      </x:c>
      <x:c r="D43" s="53" t="n">
        <x:f>IF(AND(C43&gt;=30,C43&lt;=39),8813,0)</x:f>
        <x:v>8813</x:v>
      </x:c>
      <x:c r="E43" s="53" t="n">
        <x:f>IF(AND(C43&gt;=60,C43&lt;=79),15863.4,0)</x:f>
        <x:v>0</x:v>
      </x:c>
      <x:c r="F43" s="53" t="n">
        <x:f>IF(AND(C43&gt;=130,C43&lt;=159),27614.0667,0)</x:f>
        <x:v>0</x:v>
      </x:c>
      <x:c r="G43" s="53" t="n">
        <x:f>SUM(D43:F43)</x:f>
        <x:v>8813</x:v>
      </x:c>
      <x:c r="H43" s="53" t="n">
        <x:f>35000</x:f>
        <x:v>35000</x:v>
      </x:c>
      <x:c r="I43" s="53" t="n">
        <x:f>K42</x:f>
        <x:v>0</x:v>
      </x:c>
      <x:c r="J43" s="53" t="n">
        <x:f>MIN(G43+I43,H43)</x:f>
        <x:v>8813</x:v>
      </x:c>
      <x:c r="K43" s="53" t="n">
        <x:f>G43+I43-J43</x:f>
        <x:v>0</x:v>
      </x:c>
      <x:c r="L43" s="53" t="n">
        <x:f>SUM($J$7:J13)</x:f>
        <x:v>0</x:v>
      </x:c>
      <x:c r="M43" s="72"/>
      <x:c r="N43" s="72"/>
    </x:row>
    <x:row r="44">
      <x:c r="C44" s="20" t="n">
        <x:v>37</x:v>
      </x:c>
      <x:c r="D44" s="53" t="n">
        <x:f>IF(AND(C44&gt;=30,C44&lt;=39),8813,0)</x:f>
        <x:v>8813</x:v>
      </x:c>
      <x:c r="E44" s="53" t="n">
        <x:f>IF(AND(C44&gt;=60,C44&lt;=79),15863.4,0)</x:f>
        <x:v>0</x:v>
      </x:c>
      <x:c r="F44" s="53" t="n">
        <x:f>IF(AND(C44&gt;=130,C44&lt;=159),27614.0667,0)</x:f>
        <x:v>0</x:v>
      </x:c>
      <x:c r="G44" s="53" t="n">
        <x:f>SUM(D44:F44)</x:f>
        <x:v>8813</x:v>
      </x:c>
      <x:c r="H44" s="53" t="n">
        <x:f>35000</x:f>
        <x:v>35000</x:v>
      </x:c>
      <x:c r="I44" s="53" t="n">
        <x:f>K43</x:f>
        <x:v>0</x:v>
      </x:c>
      <x:c r="J44" s="53" t="n">
        <x:f>MIN(G44+I44,H44)</x:f>
        <x:v>8813</x:v>
      </x:c>
      <x:c r="K44" s="53" t="n">
        <x:f>G44+I44-J44</x:f>
        <x:v>0</x:v>
      </x:c>
      <x:c r="L44" s="53" t="n">
        <x:f>SUM($J$7:J14)</x:f>
        <x:v>0</x:v>
      </x:c>
      <x:c r="M44" s="72"/>
      <x:c r="N44" s="72"/>
    </x:row>
    <x:row r="45">
      <x:c r="C45" s="20" t="n">
        <x:v>38</x:v>
      </x:c>
      <x:c r="D45" s="53" t="n">
        <x:f>IF(AND(C45&gt;=30,C45&lt;=39),8813,0)</x:f>
        <x:v>8813</x:v>
      </x:c>
      <x:c r="E45" s="53" t="n">
        <x:f>IF(AND(C45&gt;=60,C45&lt;=79),15863.4,0)</x:f>
        <x:v>0</x:v>
      </x:c>
      <x:c r="F45" s="53" t="n">
        <x:f>IF(AND(C45&gt;=130,C45&lt;=159),27614.0667,0)</x:f>
        <x:v>0</x:v>
      </x:c>
      <x:c r="G45" s="53" t="n">
        <x:f>SUM(D45:F45)</x:f>
        <x:v>8813</x:v>
      </x:c>
      <x:c r="H45" s="53" t="n">
        <x:f>35000</x:f>
        <x:v>35000</x:v>
      </x:c>
      <x:c r="I45" s="53" t="n">
        <x:f>K44</x:f>
        <x:v>0</x:v>
      </x:c>
      <x:c r="J45" s="53" t="n">
        <x:f>MIN(G45+I45,H45)</x:f>
        <x:v>8813</x:v>
      </x:c>
      <x:c r="K45" s="53" t="n">
        <x:f>G45+I45-J45</x:f>
        <x:v>0</x:v>
      </x:c>
      <x:c r="L45" s="53" t="n">
        <x:f>SUM($J$7:J15)</x:f>
        <x:v>0</x:v>
      </x:c>
      <x:c r="M45" s="72"/>
      <x:c r="N45" s="72"/>
    </x:row>
    <x:row r="46">
      <x:c r="C46" s="20" t="n">
        <x:v>39</x:v>
      </x:c>
      <x:c r="D46" s="53" t="n">
        <x:f>IF(AND(C46&gt;=30,C46&lt;=39),8813,0)</x:f>
        <x:v>8813</x:v>
      </x:c>
      <x:c r="E46" s="53" t="n">
        <x:f>IF(AND(C46&gt;=60,C46&lt;=79),15863.4,0)</x:f>
        <x:v>0</x:v>
      </x:c>
      <x:c r="F46" s="53" t="n">
        <x:f>IF(AND(C46&gt;=130,C46&lt;=159),27614.0667,0)</x:f>
        <x:v>0</x:v>
      </x:c>
      <x:c r="G46" s="53" t="n">
        <x:f>SUM(D46:F46)</x:f>
        <x:v>8813</x:v>
      </x:c>
      <x:c r="H46" s="53" t="n">
        <x:f>35000</x:f>
        <x:v>35000</x:v>
      </x:c>
      <x:c r="I46" s="53" t="n">
        <x:f>K45</x:f>
        <x:v>0</x:v>
      </x:c>
      <x:c r="J46" s="53" t="n">
        <x:f>MIN(G46+I46,H46)</x:f>
        <x:v>8813</x:v>
      </x:c>
      <x:c r="K46" s="53" t="n">
        <x:f>G46+I46-J46</x:f>
        <x:v>0</x:v>
      </x:c>
      <x:c r="L46" s="53" t="n">
        <x:f>SUM($J$7:J16)</x:f>
        <x:v>0</x:v>
      </x:c>
      <x:c r="M46" s="72"/>
      <x:c r="N46" s="72"/>
    </x:row>
    <x:row r="47">
      <x:c r="C47" s="20" t="n">
        <x:v>40</x:v>
      </x:c>
      <x:c r="D47" s="53" t="n">
        <x:f>IF(AND(C47&gt;=30,C47&lt;=39),8813,0)</x:f>
        <x:v>0</x:v>
      </x:c>
      <x:c r="E47" s="53" t="n">
        <x:f>IF(AND(C47&gt;=60,C47&lt;=79),15863.4,0)</x:f>
        <x:v>0</x:v>
      </x:c>
      <x:c r="F47" s="53" t="n">
        <x:f>IF(AND(C47&gt;=130,C47&lt;=159),27614.0667,0)</x:f>
        <x:v>0</x:v>
      </x:c>
      <x:c r="G47" s="53" t="n">
        <x:f>SUM(D47:F47)</x:f>
        <x:v>0</x:v>
      </x:c>
      <x:c r="H47" s="53" t="n">
        <x:f>35000</x:f>
        <x:v>35000</x:v>
      </x:c>
      <x:c r="I47" s="53" t="n">
        <x:f>K46</x:f>
        <x:v>0</x:v>
      </x:c>
      <x:c r="J47" s="53" t="n">
        <x:f>MIN(G47+I47,H47)</x:f>
        <x:v>0</x:v>
      </x:c>
      <x:c r="K47" s="53" t="n">
        <x:f>G47+I47-J47</x:f>
        <x:v>0</x:v>
      </x:c>
      <x:c r="L47" s="53" t="n">
        <x:f>SUM($J$7:J17)</x:f>
        <x:v>0</x:v>
      </x:c>
      <x:c r="M47" s="72"/>
      <x:c r="N47" s="72"/>
    </x:row>
    <x:row r="48">
      <x:c r="C48" s="20" t="n">
        <x:v>41</x:v>
      </x:c>
      <x:c r="D48" s="53" t="n">
        <x:f>IF(AND(C48&gt;=30,C48&lt;=39),8813,0)</x:f>
        <x:v>0</x:v>
      </x:c>
      <x:c r="E48" s="53" t="n">
        <x:f>IF(AND(C48&gt;=60,C48&lt;=79),15863.4,0)</x:f>
        <x:v>0</x:v>
      </x:c>
      <x:c r="F48" s="53" t="n">
        <x:f>IF(AND(C48&gt;=130,C48&lt;=159),27614.0667,0)</x:f>
        <x:v>0</x:v>
      </x:c>
      <x:c r="G48" s="53" t="n">
        <x:f>SUM(D48:F48)</x:f>
        <x:v>0</x:v>
      </x:c>
      <x:c r="H48" s="53" t="n">
        <x:f>35000</x:f>
        <x:v>35000</x:v>
      </x:c>
      <x:c r="I48" s="53" t="n">
        <x:f>K47</x:f>
        <x:v>0</x:v>
      </x:c>
      <x:c r="J48" s="53" t="n">
        <x:f>MIN(G48+I48,H48)</x:f>
        <x:v>0</x:v>
      </x:c>
      <x:c r="K48" s="53" t="n">
        <x:f>G48+I48-J48</x:f>
        <x:v>0</x:v>
      </x:c>
      <x:c r="L48" s="53" t="n">
        <x:f>SUM($J$7:J18)</x:f>
        <x:v>0</x:v>
      </x:c>
      <x:c r="M48" s="72"/>
      <x:c r="N48" s="72"/>
    </x:row>
    <x:row r="49">
      <x:c r="C49" s="20" t="n">
        <x:v>42</x:v>
      </x:c>
      <x:c r="D49" s="53" t="n">
        <x:f>IF(AND(C49&gt;=30,C49&lt;=39),8813,0)</x:f>
        <x:v>0</x:v>
      </x:c>
      <x:c r="E49" s="53" t="n">
        <x:f>IF(AND(C49&gt;=60,C49&lt;=79),15863.4,0)</x:f>
        <x:v>0</x:v>
      </x:c>
      <x:c r="F49" s="53" t="n">
        <x:f>IF(AND(C49&gt;=130,C49&lt;=159),27614.0667,0)</x:f>
        <x:v>0</x:v>
      </x:c>
      <x:c r="G49" s="53" t="n">
        <x:f>SUM(D49:F49)</x:f>
        <x:v>0</x:v>
      </x:c>
      <x:c r="H49" s="53" t="n">
        <x:f>35000</x:f>
        <x:v>35000</x:v>
      </x:c>
      <x:c r="I49" s="53" t="n">
        <x:f>K48</x:f>
        <x:v>0</x:v>
      </x:c>
      <x:c r="J49" s="53" t="n">
        <x:f>MIN(G49+I49,H49)</x:f>
        <x:v>0</x:v>
      </x:c>
      <x:c r="K49" s="53" t="n">
        <x:f>G49+I49-J49</x:f>
        <x:v>0</x:v>
      </x:c>
      <x:c r="L49" s="53" t="n">
        <x:f>SUM($J$7:J19)</x:f>
        <x:v>0</x:v>
      </x:c>
      <x:c r="M49" s="72"/>
      <x:c r="N49" s="72"/>
    </x:row>
    <x:row r="50">
      <x:c r="C50" s="20" t="n">
        <x:v>43</x:v>
      </x:c>
      <x:c r="D50" s="53" t="n">
        <x:f>IF(AND(C50&gt;=30,C50&lt;=39),8813,0)</x:f>
        <x:v>0</x:v>
      </x:c>
      <x:c r="E50" s="53" t="n">
        <x:f>IF(AND(C50&gt;=60,C50&lt;=79),15863.4,0)</x:f>
        <x:v>0</x:v>
      </x:c>
      <x:c r="F50" s="53" t="n">
        <x:f>IF(AND(C50&gt;=130,C50&lt;=159),27614.0667,0)</x:f>
        <x:v>0</x:v>
      </x:c>
      <x:c r="G50" s="53" t="n">
        <x:f>SUM(D50:F50)</x:f>
        <x:v>0</x:v>
      </x:c>
      <x:c r="H50" s="53" t="n">
        <x:f>35000</x:f>
        <x:v>35000</x:v>
      </x:c>
      <x:c r="I50" s="53" t="n">
        <x:f>K49</x:f>
        <x:v>0</x:v>
      </x:c>
      <x:c r="J50" s="53" t="n">
        <x:f>MIN(G50+I50,H50)</x:f>
        <x:v>0</x:v>
      </x:c>
      <x:c r="K50" s="53" t="n">
        <x:f>G50+I50-J50</x:f>
        <x:v>0</x:v>
      </x:c>
      <x:c r="L50" s="53" t="n">
        <x:f>SUM($J$7:J20)</x:f>
        <x:v>0</x:v>
      </x:c>
      <x:c r="M50" s="72"/>
      <x:c r="N50" s="72"/>
    </x:row>
    <x:row r="51">
      <x:c r="C51" s="20" t="n">
        <x:v>44</x:v>
      </x:c>
      <x:c r="D51" s="53" t="n">
        <x:f>IF(AND(C51&gt;=30,C51&lt;=39),8813,0)</x:f>
        <x:v>0</x:v>
      </x:c>
      <x:c r="E51" s="53" t="n">
        <x:f>IF(AND(C51&gt;=60,C51&lt;=79),15863.4,0)</x:f>
        <x:v>0</x:v>
      </x:c>
      <x:c r="F51" s="53" t="n">
        <x:f>IF(AND(C51&gt;=130,C51&lt;=159),27614.0667,0)</x:f>
        <x:v>0</x:v>
      </x:c>
      <x:c r="G51" s="53" t="n">
        <x:f>SUM(D51:F51)</x:f>
        <x:v>0</x:v>
      </x:c>
      <x:c r="H51" s="53" t="n">
        <x:f>35000</x:f>
        <x:v>35000</x:v>
      </x:c>
      <x:c r="I51" s="53" t="n">
        <x:f>K50</x:f>
        <x:v>0</x:v>
      </x:c>
      <x:c r="J51" s="53" t="n">
        <x:f>MIN(G51+I51,H51)</x:f>
        <x:v>0</x:v>
      </x:c>
      <x:c r="K51" s="53" t="n">
        <x:f>G51+I51-J51</x:f>
        <x:v>0</x:v>
      </x:c>
      <x:c r="L51" s="53" t="n">
        <x:f>SUM($J$7:J21)</x:f>
        <x:v>0</x:v>
      </x:c>
      <x:c r="M51" s="72"/>
      <x:c r="N51" s="72"/>
    </x:row>
    <x:row r="52">
      <x:c r="C52" s="20" t="n">
        <x:v>45</x:v>
      </x:c>
      <x:c r="D52" s="53" t="n">
        <x:f>IF(AND(C52&gt;=30,C52&lt;=39),8813,0)</x:f>
        <x:v>0</x:v>
      </x:c>
      <x:c r="E52" s="53" t="n">
        <x:f>IF(AND(C52&gt;=60,C52&lt;=79),15863.4,0)</x:f>
        <x:v>0</x:v>
      </x:c>
      <x:c r="F52" s="53" t="n">
        <x:f>IF(AND(C52&gt;=130,C52&lt;=159),27614.0667,0)</x:f>
        <x:v>0</x:v>
      </x:c>
      <x:c r="G52" s="53" t="n">
        <x:f>SUM(D52:F52)</x:f>
        <x:v>0</x:v>
      </x:c>
      <x:c r="H52" s="53" t="n">
        <x:f>35000</x:f>
        <x:v>35000</x:v>
      </x:c>
      <x:c r="I52" s="53" t="n">
        <x:f>K51</x:f>
        <x:v>0</x:v>
      </x:c>
      <x:c r="J52" s="53" t="n">
        <x:f>MIN(G52+I52,H52)</x:f>
        <x:v>0</x:v>
      </x:c>
      <x:c r="K52" s="53" t="n">
        <x:f>G52+I52-J52</x:f>
        <x:v>0</x:v>
      </x:c>
      <x:c r="L52" s="53" t="n">
        <x:f>SUM($J$7:J22)</x:f>
        <x:v>0</x:v>
      </x:c>
      <x:c r="M52" s="72"/>
      <x:c r="N52" s="72"/>
    </x:row>
    <x:row r="53">
      <x:c r="C53" s="20" t="n">
        <x:v>46</x:v>
      </x:c>
      <x:c r="D53" s="53" t="n">
        <x:f>IF(AND(C53&gt;=30,C53&lt;=39),8813,0)</x:f>
        <x:v>0</x:v>
      </x:c>
      <x:c r="E53" s="53" t="n">
        <x:f>IF(AND(C53&gt;=60,C53&lt;=79),15863.4,0)</x:f>
        <x:v>0</x:v>
      </x:c>
      <x:c r="F53" s="53" t="n">
        <x:f>IF(AND(C53&gt;=130,C53&lt;=159),27614.0667,0)</x:f>
        <x:v>0</x:v>
      </x:c>
      <x:c r="G53" s="53" t="n">
        <x:f>SUM(D53:F53)</x:f>
        <x:v>0</x:v>
      </x:c>
      <x:c r="H53" s="53" t="n">
        <x:f>35000</x:f>
        <x:v>35000</x:v>
      </x:c>
      <x:c r="I53" s="53" t="n">
        <x:f>K52</x:f>
        <x:v>0</x:v>
      </x:c>
      <x:c r="J53" s="53" t="n">
        <x:f>MIN(G53+I53,H53)</x:f>
        <x:v>0</x:v>
      </x:c>
      <x:c r="K53" s="53" t="n">
        <x:f>G53+I53-J53</x:f>
        <x:v>0</x:v>
      </x:c>
      <x:c r="L53" s="53" t="n">
        <x:f>SUM($J$7:J23)</x:f>
        <x:v>0</x:v>
      </x:c>
      <x:c r="M53" s="72"/>
      <x:c r="N53" s="72"/>
    </x:row>
    <x:row r="54">
      <x:c r="C54" s="20" t="n">
        <x:v>47</x:v>
      </x:c>
      <x:c r="D54" s="53" t="n">
        <x:f>IF(AND(C54&gt;=30,C54&lt;=39),8813,0)</x:f>
        <x:v>0</x:v>
      </x:c>
      <x:c r="E54" s="53" t="n">
        <x:f>IF(AND(C54&gt;=60,C54&lt;=79),15863.4,0)</x:f>
        <x:v>0</x:v>
      </x:c>
      <x:c r="F54" s="53" t="n">
        <x:f>IF(AND(C54&gt;=130,C54&lt;=159),27614.0667,0)</x:f>
        <x:v>0</x:v>
      </x:c>
      <x:c r="G54" s="53" t="n">
        <x:f>SUM(D54:F54)</x:f>
        <x:v>0</x:v>
      </x:c>
      <x:c r="H54" s="53" t="n">
        <x:f>35000</x:f>
        <x:v>35000</x:v>
      </x:c>
      <x:c r="I54" s="53" t="n">
        <x:f>K53</x:f>
        <x:v>0</x:v>
      </x:c>
      <x:c r="J54" s="53" t="n">
        <x:f>MIN(G54+I54,H54)</x:f>
        <x:v>0</x:v>
      </x:c>
      <x:c r="K54" s="53" t="n">
        <x:f>G54+I54-J54</x:f>
        <x:v>0</x:v>
      </x:c>
      <x:c r="L54" s="53" t="n">
        <x:f>SUM($J$7:J24)</x:f>
        <x:v>0</x:v>
      </x:c>
      <x:c r="M54" s="72"/>
      <x:c r="N54" s="72"/>
    </x:row>
    <x:row r="55">
      <x:c r="C55" s="20" t="n">
        <x:v>48</x:v>
      </x:c>
      <x:c r="D55" s="53" t="n">
        <x:f>IF(AND(C55&gt;=30,C55&lt;=39),8813,0)</x:f>
        <x:v>0</x:v>
      </x:c>
      <x:c r="E55" s="53" t="n">
        <x:f>IF(AND(C55&gt;=60,C55&lt;=79),15863.4,0)</x:f>
        <x:v>0</x:v>
      </x:c>
      <x:c r="F55" s="53" t="n">
        <x:f>IF(AND(C55&gt;=130,C55&lt;=159),27614.0667,0)</x:f>
        <x:v>0</x:v>
      </x:c>
      <x:c r="G55" s="53" t="n">
        <x:f>SUM(D55:F55)</x:f>
        <x:v>0</x:v>
      </x:c>
      <x:c r="H55" s="53" t="n">
        <x:f>35000</x:f>
        <x:v>35000</x:v>
      </x:c>
      <x:c r="I55" s="53" t="n">
        <x:f>K54</x:f>
        <x:v>0</x:v>
      </x:c>
      <x:c r="J55" s="53" t="n">
        <x:f>MIN(G55+I55,H55)</x:f>
        <x:v>0</x:v>
      </x:c>
      <x:c r="K55" s="53" t="n">
        <x:f>G55+I55-J55</x:f>
        <x:v>0</x:v>
      </x:c>
      <x:c r="L55" s="53" t="n">
        <x:f>SUM($J$7:J25)</x:f>
        <x:v>0</x:v>
      </x:c>
      <x:c r="M55" s="72"/>
      <x:c r="N55" s="72"/>
    </x:row>
    <x:row r="56">
      <x:c r="C56" s="20" t="n">
        <x:v>49</x:v>
      </x:c>
      <x:c r="D56" s="53" t="n">
        <x:f>IF(AND(C56&gt;=30,C56&lt;=39),8813,0)</x:f>
        <x:v>0</x:v>
      </x:c>
      <x:c r="E56" s="53" t="n">
        <x:f>IF(AND(C56&gt;=60,C56&lt;=79),15863.4,0)</x:f>
        <x:v>0</x:v>
      </x:c>
      <x:c r="F56" s="53" t="n">
        <x:f>IF(AND(C56&gt;=130,C56&lt;=159),27614.0667,0)</x:f>
        <x:v>0</x:v>
      </x:c>
      <x:c r="G56" s="53" t="n">
        <x:f>SUM(D56:F56)</x:f>
        <x:v>0</x:v>
      </x:c>
      <x:c r="H56" s="53" t="n">
        <x:f>35000</x:f>
        <x:v>35000</x:v>
      </x:c>
      <x:c r="I56" s="53" t="n">
        <x:f>K55</x:f>
        <x:v>0</x:v>
      </x:c>
      <x:c r="J56" s="53" t="n">
        <x:f>MIN(G56+I56,H56)</x:f>
        <x:v>0</x:v>
      </x:c>
      <x:c r="K56" s="53" t="n">
        <x:f>G56+I56-J56</x:f>
        <x:v>0</x:v>
      </x:c>
      <x:c r="L56" s="53" t="n">
        <x:f>SUM($J$7:J26)</x:f>
        <x:v>0</x:v>
      </x:c>
      <x:c r="M56" s="72"/>
      <x:c r="N56" s="72"/>
    </x:row>
    <x:row r="57">
      <x:c r="C57" s="20" t="n">
        <x:v>50</x:v>
      </x:c>
      <x:c r="D57" s="53" t="n">
        <x:f>IF(AND(C57&gt;=30,C57&lt;=39),8813,0)</x:f>
        <x:v>0</x:v>
      </x:c>
      <x:c r="E57" s="53" t="n">
        <x:f>IF(AND(C57&gt;=60,C57&lt;=79),15863.4,0)</x:f>
        <x:v>0</x:v>
      </x:c>
      <x:c r="F57" s="53" t="n">
        <x:f>IF(AND(C57&gt;=130,C57&lt;=159),27614.0667,0)</x:f>
        <x:v>0</x:v>
      </x:c>
      <x:c r="G57" s="53" t="n">
        <x:f>SUM(D57:F57)</x:f>
        <x:v>0</x:v>
      </x:c>
      <x:c r="H57" s="53" t="n">
        <x:f>35000</x:f>
        <x:v>35000</x:v>
      </x:c>
      <x:c r="I57" s="53" t="n">
        <x:f>K56</x:f>
        <x:v>0</x:v>
      </x:c>
      <x:c r="J57" s="53" t="n">
        <x:f>MIN(G57+I57,H57)</x:f>
        <x:v>0</x:v>
      </x:c>
      <x:c r="K57" s="53" t="n">
        <x:f>G57+I57-J57</x:f>
        <x:v>0</x:v>
      </x:c>
      <x:c r="L57" s="53" t="n">
        <x:f>SUM($J$7:J27)</x:f>
        <x:v>0</x:v>
      </x:c>
      <x:c r="M57" s="72"/>
      <x:c r="N57" s="72"/>
    </x:row>
    <x:row r="58">
      <x:c r="C58" s="20" t="n">
        <x:v>51</x:v>
      </x:c>
      <x:c r="D58" s="53" t="n">
        <x:f>IF(AND(C58&gt;=30,C58&lt;=39),8813,0)</x:f>
        <x:v>0</x:v>
      </x:c>
      <x:c r="E58" s="53" t="n">
        <x:f>IF(AND(C58&gt;=60,C58&lt;=79),15863.4,0)</x:f>
        <x:v>0</x:v>
      </x:c>
      <x:c r="F58" s="53" t="n">
        <x:f>IF(AND(C58&gt;=130,C58&lt;=159),27614.0667,0)</x:f>
        <x:v>0</x:v>
      </x:c>
      <x:c r="G58" s="53" t="n">
        <x:f>SUM(D58:F58)</x:f>
        <x:v>0</x:v>
      </x:c>
      <x:c r="H58" s="53" t="n">
        <x:f>35000</x:f>
        <x:v>35000</x:v>
      </x:c>
      <x:c r="I58" s="53" t="n">
        <x:f>K57</x:f>
        <x:v>0</x:v>
      </x:c>
      <x:c r="J58" s="53" t="n">
        <x:f>MIN(G58+I58,H58)</x:f>
        <x:v>0</x:v>
      </x:c>
      <x:c r="K58" s="53" t="n">
        <x:f>G58+I58-J58</x:f>
        <x:v>0</x:v>
      </x:c>
      <x:c r="L58" s="53" t="n">
        <x:f>SUM($J$7:J28)</x:f>
        <x:v>0</x:v>
      </x:c>
      <x:c r="M58" s="72"/>
      <x:c r="N58" s="72"/>
    </x:row>
    <x:row r="59">
      <x:c r="C59" s="20" t="n">
        <x:v>52</x:v>
      </x:c>
      <x:c r="D59" s="53" t="n">
        <x:f>IF(AND(C59&gt;=30,C59&lt;=39),8813,0)</x:f>
        <x:v>0</x:v>
      </x:c>
      <x:c r="E59" s="53" t="n">
        <x:f>IF(AND(C59&gt;=60,C59&lt;=79),15863.4,0)</x:f>
        <x:v>0</x:v>
      </x:c>
      <x:c r="F59" s="53" t="n">
        <x:f>IF(AND(C59&gt;=130,C59&lt;=159),27614.0667,0)</x:f>
        <x:v>0</x:v>
      </x:c>
      <x:c r="G59" s="53" t="n">
        <x:f>SUM(D59:F59)</x:f>
        <x:v>0</x:v>
      </x:c>
      <x:c r="H59" s="53" t="n">
        <x:f>35000</x:f>
        <x:v>35000</x:v>
      </x:c>
      <x:c r="I59" s="53" t="n">
        <x:f>K58</x:f>
        <x:v>0</x:v>
      </x:c>
      <x:c r="J59" s="53" t="n">
        <x:f>MIN(G59+I59,H59)</x:f>
        <x:v>0</x:v>
      </x:c>
      <x:c r="K59" s="53" t="n">
        <x:f>G59+I59-J59</x:f>
        <x:v>0</x:v>
      </x:c>
      <x:c r="L59" s="53" t="n">
        <x:f>SUM($J$7:J29)</x:f>
        <x:v>0</x:v>
      </x:c>
      <x:c r="M59" s="72"/>
      <x:c r="N59" s="72"/>
    </x:row>
    <x:row r="60">
      <x:c r="C60" s="20" t="n">
        <x:v>53</x:v>
      </x:c>
      <x:c r="D60" s="53" t="n">
        <x:f>IF(AND(C60&gt;=30,C60&lt;=39),8813,0)</x:f>
        <x:v>0</x:v>
      </x:c>
      <x:c r="E60" s="53" t="n">
        <x:f>IF(AND(C60&gt;=60,C60&lt;=79),15863.4,0)</x:f>
        <x:v>0</x:v>
      </x:c>
      <x:c r="F60" s="53" t="n">
        <x:f>IF(AND(C60&gt;=130,C60&lt;=159),27614.0667,0)</x:f>
        <x:v>0</x:v>
      </x:c>
      <x:c r="G60" s="53" t="n">
        <x:f>SUM(D60:F60)</x:f>
        <x:v>0</x:v>
      </x:c>
      <x:c r="H60" s="53" t="n">
        <x:f>35000</x:f>
        <x:v>35000</x:v>
      </x:c>
      <x:c r="I60" s="53" t="n">
        <x:f>K59</x:f>
        <x:v>0</x:v>
      </x:c>
      <x:c r="J60" s="53" t="n">
        <x:f>MIN(G60+I60,H60)</x:f>
        <x:v>0</x:v>
      </x:c>
      <x:c r="K60" s="53" t="n">
        <x:f>G60+I60-J60</x:f>
        <x:v>0</x:v>
      </x:c>
      <x:c r="L60" s="53" t="n">
        <x:f>SUM($J$7:J30)</x:f>
        <x:v>0</x:v>
      </x:c>
      <x:c r="M60" s="72"/>
      <x:c r="N60" s="72"/>
    </x:row>
    <x:row r="61">
      <x:c r="C61" s="20" t="n">
        <x:v>54</x:v>
      </x:c>
      <x:c r="D61" s="53" t="n">
        <x:f>IF(AND(C61&gt;=30,C61&lt;=39),8813,0)</x:f>
        <x:v>0</x:v>
      </x:c>
      <x:c r="E61" s="53" t="n">
        <x:f>IF(AND(C61&gt;=60,C61&lt;=79),15863.4,0)</x:f>
        <x:v>0</x:v>
      </x:c>
      <x:c r="F61" s="53" t="n">
        <x:f>IF(AND(C61&gt;=130,C61&lt;=159),27614.0667,0)</x:f>
        <x:v>0</x:v>
      </x:c>
      <x:c r="G61" s="53" t="n">
        <x:f>SUM(D61:F61)</x:f>
        <x:v>0</x:v>
      </x:c>
      <x:c r="H61" s="53" t="n">
        <x:f>35000</x:f>
        <x:v>35000</x:v>
      </x:c>
      <x:c r="I61" s="53" t="n">
        <x:f>K60</x:f>
        <x:v>0</x:v>
      </x:c>
      <x:c r="J61" s="53" t="n">
        <x:f>MIN(G61+I61,H61)</x:f>
        <x:v>0</x:v>
      </x:c>
      <x:c r="K61" s="53" t="n">
        <x:f>G61+I61-J61</x:f>
        <x:v>0</x:v>
      </x:c>
      <x:c r="L61" s="53" t="n">
        <x:f>SUM($J$7:J31)</x:f>
        <x:v>0</x:v>
      </x:c>
      <x:c r="M61" s="72"/>
      <x:c r="N61" s="72"/>
    </x:row>
    <x:row r="62">
      <x:c r="C62" s="20" t="n">
        <x:v>55</x:v>
      </x:c>
      <x:c r="D62" s="53" t="n">
        <x:f>IF(AND(C62&gt;=30,C62&lt;=39),8813,0)</x:f>
        <x:v>0</x:v>
      </x:c>
      <x:c r="E62" s="53" t="n">
        <x:f>IF(AND(C62&gt;=60,C62&lt;=79),15863.4,0)</x:f>
        <x:v>0</x:v>
      </x:c>
      <x:c r="F62" s="53" t="n">
        <x:f>IF(AND(C62&gt;=130,C62&lt;=159),27614.0667,0)</x:f>
        <x:v>0</x:v>
      </x:c>
      <x:c r="G62" s="53" t="n">
        <x:f>SUM(D62:F62)</x:f>
        <x:v>0</x:v>
      </x:c>
      <x:c r="H62" s="53" t="n">
        <x:f>35000</x:f>
        <x:v>35000</x:v>
      </x:c>
      <x:c r="I62" s="53" t="n">
        <x:f>K61</x:f>
        <x:v>0</x:v>
      </x:c>
      <x:c r="J62" s="53" t="n">
        <x:f>MIN(G62+I62,H62)</x:f>
        <x:v>0</x:v>
      </x:c>
      <x:c r="K62" s="53" t="n">
        <x:f>G62+I62-J62</x:f>
        <x:v>0</x:v>
      </x:c>
      <x:c r="L62" s="53" t="n">
        <x:f>SUM($J$7:J32)</x:f>
        <x:v>0</x:v>
      </x:c>
      <x:c r="M62" s="72"/>
      <x:c r="N62" s="72"/>
    </x:row>
    <x:row r="63">
      <x:c r="C63" s="20" t="n">
        <x:v>56</x:v>
      </x:c>
      <x:c r="D63" s="53" t="n">
        <x:f>IF(AND(C63&gt;=30,C63&lt;=39),8813,0)</x:f>
        <x:v>0</x:v>
      </x:c>
      <x:c r="E63" s="53" t="n">
        <x:f>IF(AND(C63&gt;=60,C63&lt;=79),15863.4,0)</x:f>
        <x:v>0</x:v>
      </x:c>
      <x:c r="F63" s="53" t="n">
        <x:f>IF(AND(C63&gt;=130,C63&lt;=159),27614.0667,0)</x:f>
        <x:v>0</x:v>
      </x:c>
      <x:c r="G63" s="53" t="n">
        <x:f>SUM(D63:F63)</x:f>
        <x:v>0</x:v>
      </x:c>
      <x:c r="H63" s="53" t="n">
        <x:f>35000</x:f>
        <x:v>35000</x:v>
      </x:c>
      <x:c r="I63" s="53" t="n">
        <x:f>K62</x:f>
        <x:v>0</x:v>
      </x:c>
      <x:c r="J63" s="53" t="n">
        <x:f>MIN(G63+I63,H63)</x:f>
        <x:v>0</x:v>
      </x:c>
      <x:c r="K63" s="53" t="n">
        <x:f>G63+I63-J63</x:f>
        <x:v>0</x:v>
      </x:c>
      <x:c r="L63" s="53" t="n">
        <x:f>SUM($J$7:J33)</x:f>
        <x:v>0</x:v>
      </x:c>
      <x:c r="M63" s="72"/>
      <x:c r="N63" s="72"/>
    </x:row>
    <x:row r="64">
      <x:c r="C64" s="20" t="n">
        <x:v>57</x:v>
      </x:c>
      <x:c r="D64" s="53" t="n">
        <x:f>IF(AND(C64&gt;=30,C64&lt;=39),8813,0)</x:f>
        <x:v>0</x:v>
      </x:c>
      <x:c r="E64" s="53" t="n">
        <x:f>IF(AND(C64&gt;=60,C64&lt;=79),15863.4,0)</x:f>
        <x:v>0</x:v>
      </x:c>
      <x:c r="F64" s="53" t="n">
        <x:f>IF(AND(C64&gt;=130,C64&lt;=159),27614.0667,0)</x:f>
        <x:v>0</x:v>
      </x:c>
      <x:c r="G64" s="53" t="n">
        <x:f>SUM(D64:F64)</x:f>
        <x:v>0</x:v>
      </x:c>
      <x:c r="H64" s="53" t="n">
        <x:f>35000</x:f>
        <x:v>35000</x:v>
      </x:c>
      <x:c r="I64" s="53" t="n">
        <x:f>K63</x:f>
        <x:v>0</x:v>
      </x:c>
      <x:c r="J64" s="53" t="n">
        <x:f>MIN(G64+I64,H64)</x:f>
        <x:v>0</x:v>
      </x:c>
      <x:c r="K64" s="53" t="n">
        <x:f>G64+I64-J64</x:f>
        <x:v>0</x:v>
      </x:c>
      <x:c r="L64" s="53" t="n">
        <x:f>SUM($J$7:J34)</x:f>
        <x:v>0</x:v>
      </x:c>
      <x:c r="M64" s="72"/>
      <x:c r="N64" s="72"/>
    </x:row>
    <x:row r="65">
      <x:c r="C65" s="20" t="n">
        <x:v>58</x:v>
      </x:c>
      <x:c r="D65" s="53" t="n">
        <x:f>IF(AND(C65&gt;=30,C65&lt;=39),8813,0)</x:f>
        <x:v>0</x:v>
      </x:c>
      <x:c r="E65" s="53" t="n">
        <x:f>IF(AND(C65&gt;=60,C65&lt;=79),15863.4,0)</x:f>
        <x:v>0</x:v>
      </x:c>
      <x:c r="F65" s="53" t="n">
        <x:f>IF(AND(C65&gt;=130,C65&lt;=159),27614.0667,0)</x:f>
        <x:v>0</x:v>
      </x:c>
      <x:c r="G65" s="53" t="n">
        <x:f>SUM(D65:F65)</x:f>
        <x:v>0</x:v>
      </x:c>
      <x:c r="H65" s="53" t="n">
        <x:f>35000</x:f>
        <x:v>35000</x:v>
      </x:c>
      <x:c r="I65" s="53" t="n">
        <x:f>K64</x:f>
        <x:v>0</x:v>
      </x:c>
      <x:c r="J65" s="53" t="n">
        <x:f>MIN(G65+I65,H65)</x:f>
        <x:v>0</x:v>
      </x:c>
      <x:c r="K65" s="53" t="n">
        <x:f>G65+I65-J65</x:f>
        <x:v>0</x:v>
      </x:c>
      <x:c r="L65" s="53" t="n">
        <x:f>SUM($J$7:J35)</x:f>
        <x:v>0</x:v>
      </x:c>
      <x:c r="M65" s="72"/>
      <x:c r="N65" s="72"/>
    </x:row>
    <x:row r="66">
      <x:c r="C66" s="20" t="n">
        <x:v>59</x:v>
      </x:c>
      <x:c r="D66" s="53" t="n">
        <x:f>IF(AND(C66&gt;=30,C66&lt;=39),8813,0)</x:f>
        <x:v>0</x:v>
      </x:c>
      <x:c r="E66" s="53" t="n">
        <x:f>IF(AND(C66&gt;=60,C66&lt;=79),15863.4,0)</x:f>
        <x:v>0</x:v>
      </x:c>
      <x:c r="F66" s="53" t="n">
        <x:f>IF(AND(C66&gt;=130,C66&lt;=159),27614.0667,0)</x:f>
        <x:v>0</x:v>
      </x:c>
      <x:c r="G66" s="53" t="n">
        <x:f>SUM(D66:F66)</x:f>
        <x:v>0</x:v>
      </x:c>
      <x:c r="H66" s="53" t="n">
        <x:f>35000</x:f>
        <x:v>35000</x:v>
      </x:c>
      <x:c r="I66" s="53" t="n">
        <x:f>K65</x:f>
        <x:v>0</x:v>
      </x:c>
      <x:c r="J66" s="53" t="n">
        <x:f>MIN(G66+I66,H66)</x:f>
        <x:v>0</x:v>
      </x:c>
      <x:c r="K66" s="53" t="n">
        <x:f>G66+I66-J66</x:f>
        <x:v>0</x:v>
      </x:c>
      <x:c r="L66" s="53" t="n">
        <x:f>SUM($J$7:J36)</x:f>
        <x:v>0</x:v>
      </x:c>
      <x:c r="M66" s="72"/>
      <x:c r="N66" s="72"/>
    </x:row>
    <x:row r="67">
      <x:c r="C67" s="20" t="n">
        <x:v>60</x:v>
      </x:c>
      <x:c r="D67" s="53" t="n">
        <x:f>IF(AND(C67&gt;=30,C67&lt;=39),8813,0)</x:f>
        <x:v>0</x:v>
      </x:c>
      <x:c r="E67" s="53" t="n">
        <x:f>IF(AND(C67&gt;=60,C67&lt;=79),15863.4,0)</x:f>
        <x:v>15863.4</x:v>
      </x:c>
      <x:c r="F67" s="53" t="n">
        <x:f>IF(AND(C67&gt;=130,C67&lt;=159),27614.0667,0)</x:f>
        <x:v>0</x:v>
      </x:c>
      <x:c r="G67" s="53" t="n">
        <x:f>SUM(D67:F67)</x:f>
        <x:v>15863.4</x:v>
      </x:c>
      <x:c r="H67" s="53" t="n">
        <x:f>35000</x:f>
        <x:v>35000</x:v>
      </x:c>
      <x:c r="I67" s="53" t="n">
        <x:f>K66</x:f>
        <x:v>0</x:v>
      </x:c>
      <x:c r="J67" s="53" t="n">
        <x:f>MIN(G67+I67,H67)</x:f>
        <x:v>15863.4</x:v>
      </x:c>
      <x:c r="K67" s="53" t="n">
        <x:f>G67+I67-J67</x:f>
        <x:v>0</x:v>
      </x:c>
      <x:c r="L67" s="53" t="n">
        <x:f>SUM($J$7:J37)</x:f>
        <x:v>8813</x:v>
      </x:c>
      <x:c r="M67" s="72"/>
      <x:c r="N67" s="72"/>
    </x:row>
    <x:row r="68">
      <x:c r="C68" s="20" t="n">
        <x:v>61</x:v>
      </x:c>
      <x:c r="D68" s="53" t="n">
        <x:f>IF(AND(C68&gt;=30,C68&lt;=39),8813,0)</x:f>
        <x:v>0</x:v>
      </x:c>
      <x:c r="E68" s="53" t="n">
        <x:f>IF(AND(C68&gt;=60,C68&lt;=79),15863.4,0)</x:f>
        <x:v>15863.4</x:v>
      </x:c>
      <x:c r="F68" s="53" t="n">
        <x:f>IF(AND(C68&gt;=130,C68&lt;=159),27614.0667,0)</x:f>
        <x:v>0</x:v>
      </x:c>
      <x:c r="G68" s="53" t="n">
        <x:f>SUM(D68:F68)</x:f>
        <x:v>15863.4</x:v>
      </x:c>
      <x:c r="H68" s="53" t="n">
        <x:f>35000</x:f>
        <x:v>35000</x:v>
      </x:c>
      <x:c r="I68" s="53" t="n">
        <x:f>K67</x:f>
        <x:v>0</x:v>
      </x:c>
      <x:c r="J68" s="53" t="n">
        <x:f>MIN(G68+I68,H68)</x:f>
        <x:v>15863.4</x:v>
      </x:c>
      <x:c r="K68" s="53" t="n">
        <x:f>G68+I68-J68</x:f>
        <x:v>0</x:v>
      </x:c>
      <x:c r="L68" s="53" t="n">
        <x:f>SUM($J$7:J38)</x:f>
        <x:v>17626</x:v>
      </x:c>
      <x:c r="M68" s="72"/>
      <x:c r="N68" s="72"/>
    </x:row>
    <x:row r="69">
      <x:c r="C69" s="20" t="n">
        <x:v>62</x:v>
      </x:c>
      <x:c r="D69" s="53" t="n">
        <x:f>IF(AND(C69&gt;=30,C69&lt;=39),8813,0)</x:f>
        <x:v>0</x:v>
      </x:c>
      <x:c r="E69" s="53" t="n">
        <x:f>IF(AND(C69&gt;=60,C69&lt;=79),15863.4,0)</x:f>
        <x:v>15863.4</x:v>
      </x:c>
      <x:c r="F69" s="53" t="n">
        <x:f>IF(AND(C69&gt;=130,C69&lt;=159),27614.0667,0)</x:f>
        <x:v>0</x:v>
      </x:c>
      <x:c r="G69" s="53" t="n">
        <x:f>SUM(D69:F69)</x:f>
        <x:v>15863.4</x:v>
      </x:c>
      <x:c r="H69" s="53" t="n">
        <x:f>35000</x:f>
        <x:v>35000</x:v>
      </x:c>
      <x:c r="I69" s="53" t="n">
        <x:f>K68</x:f>
        <x:v>0</x:v>
      </x:c>
      <x:c r="J69" s="53" t="n">
        <x:f>MIN(G69+I69,H69)</x:f>
        <x:v>15863.4</x:v>
      </x:c>
      <x:c r="K69" s="53" t="n">
        <x:f>G69+I69-J69</x:f>
        <x:v>0</x:v>
      </x:c>
      <x:c r="L69" s="53" t="n">
        <x:f>SUM($J$7:J39)</x:f>
        <x:v>26439</x:v>
      </x:c>
      <x:c r="M69" s="72"/>
      <x:c r="N69" s="72"/>
    </x:row>
    <x:row r="70">
      <x:c r="C70" s="20" t="n">
        <x:v>63</x:v>
      </x:c>
      <x:c r="D70" s="53" t="n">
        <x:f>IF(AND(C70&gt;=30,C70&lt;=39),8813,0)</x:f>
        <x:v>0</x:v>
      </x:c>
      <x:c r="E70" s="53" t="n">
        <x:f>IF(AND(C70&gt;=60,C70&lt;=79),15863.4,0)</x:f>
        <x:v>15863.4</x:v>
      </x:c>
      <x:c r="F70" s="53" t="n">
        <x:f>IF(AND(C70&gt;=130,C70&lt;=159),27614.0667,0)</x:f>
        <x:v>0</x:v>
      </x:c>
      <x:c r="G70" s="53" t="n">
        <x:f>SUM(D70:F70)</x:f>
        <x:v>15863.4</x:v>
      </x:c>
      <x:c r="H70" s="53" t="n">
        <x:f>35000</x:f>
        <x:v>35000</x:v>
      </x:c>
      <x:c r="I70" s="53" t="n">
        <x:f>K69</x:f>
        <x:v>0</x:v>
      </x:c>
      <x:c r="J70" s="53" t="n">
        <x:f>MIN(G70+I70,H70)</x:f>
        <x:v>15863.4</x:v>
      </x:c>
      <x:c r="K70" s="53" t="n">
        <x:f>G70+I70-J70</x:f>
        <x:v>0</x:v>
      </x:c>
      <x:c r="L70" s="53" t="n">
        <x:f>SUM($J$7:J40)</x:f>
        <x:v>35252</x:v>
      </x:c>
      <x:c r="M70" s="72"/>
      <x:c r="N70" s="72"/>
    </x:row>
    <x:row r="71">
      <x:c r="C71" s="20" t="n">
        <x:v>64</x:v>
      </x:c>
      <x:c r="D71" s="53" t="n">
        <x:f>IF(AND(C71&gt;=30,C71&lt;=39),8813,0)</x:f>
        <x:v>0</x:v>
      </x:c>
      <x:c r="E71" s="53" t="n">
        <x:f>IF(AND(C71&gt;=60,C71&lt;=79),15863.4,0)</x:f>
        <x:v>15863.4</x:v>
      </x:c>
      <x:c r="F71" s="53" t="n">
        <x:f>IF(AND(C71&gt;=130,C71&lt;=159),27614.0667,0)</x:f>
        <x:v>0</x:v>
      </x:c>
      <x:c r="G71" s="53" t="n">
        <x:f>SUM(D71:F71)</x:f>
        <x:v>15863.4</x:v>
      </x:c>
      <x:c r="H71" s="53" t="n">
        <x:f>35000</x:f>
        <x:v>35000</x:v>
      </x:c>
      <x:c r="I71" s="53" t="n">
        <x:f>K70</x:f>
        <x:v>0</x:v>
      </x:c>
      <x:c r="J71" s="53" t="n">
        <x:f>MIN(G71+I71,H71)</x:f>
        <x:v>15863.4</x:v>
      </x:c>
      <x:c r="K71" s="53" t="n">
        <x:f>G71+I71-J71</x:f>
        <x:v>0</x:v>
      </x:c>
      <x:c r="L71" s="53" t="n">
        <x:f>SUM($J$7:J41)</x:f>
        <x:v>44065</x:v>
      </x:c>
      <x:c r="M71" s="72"/>
      <x:c r="N71" s="72"/>
    </x:row>
    <x:row r="72">
      <x:c r="C72" s="20" t="n">
        <x:v>65</x:v>
      </x:c>
      <x:c r="D72" s="53" t="n">
        <x:f>IF(AND(C72&gt;=30,C72&lt;=39),8813,0)</x:f>
        <x:v>0</x:v>
      </x:c>
      <x:c r="E72" s="53" t="n">
        <x:f>IF(AND(C72&gt;=60,C72&lt;=79),15863.4,0)</x:f>
        <x:v>15863.4</x:v>
      </x:c>
      <x:c r="F72" s="53" t="n">
        <x:f>IF(AND(C72&gt;=130,C72&lt;=159),27614.0667,0)</x:f>
        <x:v>0</x:v>
      </x:c>
      <x:c r="G72" s="53" t="n">
        <x:f>SUM(D72:F72)</x:f>
        <x:v>15863.4</x:v>
      </x:c>
      <x:c r="H72" s="53" t="n">
        <x:f>35000</x:f>
        <x:v>35000</x:v>
      </x:c>
      <x:c r="I72" s="53" t="n">
        <x:f>K71</x:f>
        <x:v>0</x:v>
      </x:c>
      <x:c r="J72" s="53" t="n">
        <x:f>MIN(G72+I72,H72)</x:f>
        <x:v>15863.4</x:v>
      </x:c>
      <x:c r="K72" s="53" t="n">
        <x:f>G72+I72-J72</x:f>
        <x:v>0</x:v>
      </x:c>
      <x:c r="L72" s="53" t="n">
        <x:f>SUM($J$7:J42)</x:f>
        <x:v>52878</x:v>
      </x:c>
      <x:c r="M72" s="72"/>
      <x:c r="N72" s="72"/>
    </x:row>
    <x:row r="73">
      <x:c r="C73" s="20" t="n">
        <x:v>66</x:v>
      </x:c>
      <x:c r="D73" s="53" t="n">
        <x:f>IF(AND(C73&gt;=30,C73&lt;=39),8813,0)</x:f>
        <x:v>0</x:v>
      </x:c>
      <x:c r="E73" s="53" t="n">
        <x:f>IF(AND(C73&gt;=60,C73&lt;=79),15863.4,0)</x:f>
        <x:v>15863.4</x:v>
      </x:c>
      <x:c r="F73" s="53" t="n">
        <x:f>IF(AND(C73&gt;=130,C73&lt;=159),27614.0667,0)</x:f>
        <x:v>0</x:v>
      </x:c>
      <x:c r="G73" s="53" t="n">
        <x:f>SUM(D73:F73)</x:f>
        <x:v>15863.4</x:v>
      </x:c>
      <x:c r="H73" s="53" t="n">
        <x:f>35000</x:f>
        <x:v>35000</x:v>
      </x:c>
      <x:c r="I73" s="53" t="n">
        <x:f>K72</x:f>
        <x:v>0</x:v>
      </x:c>
      <x:c r="J73" s="53" t="n">
        <x:f>MIN(G73+I73,H73)</x:f>
        <x:v>15863.4</x:v>
      </x:c>
      <x:c r="K73" s="53" t="n">
        <x:f>G73+I73-J73</x:f>
        <x:v>0</x:v>
      </x:c>
      <x:c r="L73" s="53" t="n">
        <x:f>SUM($J$7:J43)</x:f>
        <x:v>61691</x:v>
      </x:c>
      <x:c r="M73" s="72"/>
      <x:c r="N73" s="72"/>
    </x:row>
    <x:row r="74">
      <x:c r="C74" s="20" t="n">
        <x:v>67</x:v>
      </x:c>
      <x:c r="D74" s="53" t="n">
        <x:f>IF(AND(C74&gt;=30,C74&lt;=39),8813,0)</x:f>
        <x:v>0</x:v>
      </x:c>
      <x:c r="E74" s="53" t="n">
        <x:f>IF(AND(C74&gt;=60,C74&lt;=79),15863.4,0)</x:f>
        <x:v>15863.4</x:v>
      </x:c>
      <x:c r="F74" s="53" t="n">
        <x:f>IF(AND(C74&gt;=130,C74&lt;=159),27614.0667,0)</x:f>
        <x:v>0</x:v>
      </x:c>
      <x:c r="G74" s="53" t="n">
        <x:f>SUM(D74:F74)</x:f>
        <x:v>15863.4</x:v>
      </x:c>
      <x:c r="H74" s="53" t="n">
        <x:f>35000</x:f>
        <x:v>35000</x:v>
      </x:c>
      <x:c r="I74" s="53" t="n">
        <x:f>K73</x:f>
        <x:v>0</x:v>
      </x:c>
      <x:c r="J74" s="53" t="n">
        <x:f>MIN(G74+I74,H74)</x:f>
        <x:v>15863.4</x:v>
      </x:c>
      <x:c r="K74" s="53" t="n">
        <x:f>G74+I74-J74</x:f>
        <x:v>0</x:v>
      </x:c>
      <x:c r="L74" s="53" t="n">
        <x:f>SUM($J$7:J44)</x:f>
        <x:v>70504</x:v>
      </x:c>
      <x:c r="M74" s="72"/>
      <x:c r="N74" s="72"/>
    </x:row>
    <x:row r="75">
      <x:c r="C75" s="20" t="n">
        <x:v>68</x:v>
      </x:c>
      <x:c r="D75" s="53" t="n">
        <x:f>IF(AND(C75&gt;=30,C75&lt;=39),8813,0)</x:f>
        <x:v>0</x:v>
      </x:c>
      <x:c r="E75" s="53" t="n">
        <x:f>IF(AND(C75&gt;=60,C75&lt;=79),15863.4,0)</x:f>
        <x:v>15863.4</x:v>
      </x:c>
      <x:c r="F75" s="53" t="n">
        <x:f>IF(AND(C75&gt;=130,C75&lt;=159),27614.0667,0)</x:f>
        <x:v>0</x:v>
      </x:c>
      <x:c r="G75" s="53" t="n">
        <x:f>SUM(D75:F75)</x:f>
        <x:v>15863.4</x:v>
      </x:c>
      <x:c r="H75" s="53" t="n">
        <x:f>35000</x:f>
        <x:v>35000</x:v>
      </x:c>
      <x:c r="I75" s="53" t="n">
        <x:f>K74</x:f>
        <x:v>0</x:v>
      </x:c>
      <x:c r="J75" s="53" t="n">
        <x:f>MIN(G75+I75,H75)</x:f>
        <x:v>15863.4</x:v>
      </x:c>
      <x:c r="K75" s="53" t="n">
        <x:f>G75+I75-J75</x:f>
        <x:v>0</x:v>
      </x:c>
      <x:c r="L75" s="53" t="n">
        <x:f>SUM($J$7:J45)</x:f>
        <x:v>79317</x:v>
      </x:c>
      <x:c r="M75" s="72"/>
      <x:c r="N75" s="72"/>
    </x:row>
    <x:row r="76">
      <x:c r="C76" s="20" t="n">
        <x:v>69</x:v>
      </x:c>
      <x:c r="D76" s="53" t="n">
        <x:f>IF(AND(C76&gt;=30,C76&lt;=39),8813,0)</x:f>
        <x:v>0</x:v>
      </x:c>
      <x:c r="E76" s="53" t="n">
        <x:f>IF(AND(C76&gt;=60,C76&lt;=79),15863.4,0)</x:f>
        <x:v>15863.4</x:v>
      </x:c>
      <x:c r="F76" s="53" t="n">
        <x:f>IF(AND(C76&gt;=130,C76&lt;=159),27614.0667,0)</x:f>
        <x:v>0</x:v>
      </x:c>
      <x:c r="G76" s="53" t="n">
        <x:f>SUM(D76:F76)</x:f>
        <x:v>15863.4</x:v>
      </x:c>
      <x:c r="H76" s="53" t="n">
        <x:f>35000</x:f>
        <x:v>35000</x:v>
      </x:c>
      <x:c r="I76" s="53" t="n">
        <x:f>K75</x:f>
        <x:v>0</x:v>
      </x:c>
      <x:c r="J76" s="53" t="n">
        <x:f>MIN(G76+I76,H76)</x:f>
        <x:v>15863.4</x:v>
      </x:c>
      <x:c r="K76" s="53" t="n">
        <x:f>G76+I76-J76</x:f>
        <x:v>0</x:v>
      </x:c>
      <x:c r="L76" s="53" t="n">
        <x:f>SUM($J$7:J46)</x:f>
        <x:v>88130</x:v>
      </x:c>
      <x:c r="M76" s="72"/>
      <x:c r="N76" s="72"/>
    </x:row>
    <x:row r="77">
      <x:c r="C77" s="20" t="n">
        <x:v>70</x:v>
      </x:c>
      <x:c r="D77" s="53" t="n">
        <x:f>IF(AND(C77&gt;=30,C77&lt;=39),8813,0)</x:f>
        <x:v>0</x:v>
      </x:c>
      <x:c r="E77" s="53" t="n">
        <x:f>IF(AND(C77&gt;=60,C77&lt;=79),15863.4,0)</x:f>
        <x:v>15863.4</x:v>
      </x:c>
      <x:c r="F77" s="53" t="n">
        <x:f>IF(AND(C77&gt;=130,C77&lt;=159),27614.0667,0)</x:f>
        <x:v>0</x:v>
      </x:c>
      <x:c r="G77" s="53" t="n">
        <x:f>SUM(D77:F77)</x:f>
        <x:v>15863.4</x:v>
      </x:c>
      <x:c r="H77" s="53" t="n">
        <x:f>35000</x:f>
        <x:v>35000</x:v>
      </x:c>
      <x:c r="I77" s="53" t="n">
        <x:f>K76</x:f>
        <x:v>0</x:v>
      </x:c>
      <x:c r="J77" s="53" t="n">
        <x:f>MIN(G77+I77,H77)</x:f>
        <x:v>15863.4</x:v>
      </x:c>
      <x:c r="K77" s="53" t="n">
        <x:f>G77+I77-J77</x:f>
        <x:v>0</x:v>
      </x:c>
      <x:c r="L77" s="53" t="n">
        <x:f>SUM($J$7:J47)</x:f>
        <x:v>88130</x:v>
      </x:c>
      <x:c r="M77" s="72"/>
      <x:c r="N77" s="72"/>
    </x:row>
    <x:row r="78">
      <x:c r="C78" s="20" t="n">
        <x:v>71</x:v>
      </x:c>
      <x:c r="D78" s="53" t="n">
        <x:f>IF(AND(C78&gt;=30,C78&lt;=39),8813,0)</x:f>
        <x:v>0</x:v>
      </x:c>
      <x:c r="E78" s="53" t="n">
        <x:f>IF(AND(C78&gt;=60,C78&lt;=79),15863.4,0)</x:f>
        <x:v>15863.4</x:v>
      </x:c>
      <x:c r="F78" s="53" t="n">
        <x:f>IF(AND(C78&gt;=130,C78&lt;=159),27614.0667,0)</x:f>
        <x:v>0</x:v>
      </x:c>
      <x:c r="G78" s="53" t="n">
        <x:f>SUM(D78:F78)</x:f>
        <x:v>15863.4</x:v>
      </x:c>
      <x:c r="H78" s="53" t="n">
        <x:f>35000</x:f>
        <x:v>35000</x:v>
      </x:c>
      <x:c r="I78" s="53" t="n">
        <x:f>K77</x:f>
        <x:v>0</x:v>
      </x:c>
      <x:c r="J78" s="53" t="n">
        <x:f>MIN(G78+I78,H78)</x:f>
        <x:v>15863.4</x:v>
      </x:c>
      <x:c r="K78" s="53" t="n">
        <x:f>G78+I78-J78</x:f>
        <x:v>0</x:v>
      </x:c>
      <x:c r="L78" s="53" t="n">
        <x:f>SUM($J$7:J48)</x:f>
        <x:v>88130</x:v>
      </x:c>
      <x:c r="M78" s="72"/>
      <x:c r="N78" s="72"/>
    </x:row>
    <x:row r="79">
      <x:c r="C79" s="20" t="n">
        <x:v>72</x:v>
      </x:c>
      <x:c r="D79" s="53" t="n">
        <x:f>IF(AND(C79&gt;=30,C79&lt;=39),8813,0)</x:f>
        <x:v>0</x:v>
      </x:c>
      <x:c r="E79" s="53" t="n">
        <x:f>IF(AND(C79&gt;=60,C79&lt;=79),15863.4,0)</x:f>
        <x:v>15863.4</x:v>
      </x:c>
      <x:c r="F79" s="53" t="n">
        <x:f>IF(AND(C79&gt;=130,C79&lt;=159),27614.0667,0)</x:f>
        <x:v>0</x:v>
      </x:c>
      <x:c r="G79" s="53" t="n">
        <x:f>SUM(D79:F79)</x:f>
        <x:v>15863.4</x:v>
      </x:c>
      <x:c r="H79" s="53" t="n">
        <x:f>35000</x:f>
        <x:v>35000</x:v>
      </x:c>
      <x:c r="I79" s="53" t="n">
        <x:f>K78</x:f>
        <x:v>0</x:v>
      </x:c>
      <x:c r="J79" s="53" t="n">
        <x:f>MIN(G79+I79,H79)</x:f>
        <x:v>15863.4</x:v>
      </x:c>
      <x:c r="K79" s="53" t="n">
        <x:f>G79+I79-J79</x:f>
        <x:v>0</x:v>
      </x:c>
      <x:c r="L79" s="53" t="n">
        <x:f>SUM($J$7:J49)</x:f>
        <x:v>88130</x:v>
      </x:c>
      <x:c r="M79" s="72"/>
      <x:c r="N79" s="72"/>
    </x:row>
    <x:row r="80">
      <x:c r="C80" s="20" t="n">
        <x:v>73</x:v>
      </x:c>
      <x:c r="D80" s="53" t="n">
        <x:f>IF(AND(C80&gt;=30,C80&lt;=39),8813,0)</x:f>
        <x:v>0</x:v>
      </x:c>
      <x:c r="E80" s="53" t="n">
        <x:f>IF(AND(C80&gt;=60,C80&lt;=79),15863.4,0)</x:f>
        <x:v>15863.4</x:v>
      </x:c>
      <x:c r="F80" s="53" t="n">
        <x:f>IF(AND(C80&gt;=130,C80&lt;=159),27614.0667,0)</x:f>
        <x:v>0</x:v>
      </x:c>
      <x:c r="G80" s="53" t="n">
        <x:f>SUM(D80:F80)</x:f>
        <x:v>15863.4</x:v>
      </x:c>
      <x:c r="H80" s="53" t="n">
        <x:f>35000</x:f>
        <x:v>35000</x:v>
      </x:c>
      <x:c r="I80" s="53" t="n">
        <x:f>K79</x:f>
        <x:v>0</x:v>
      </x:c>
      <x:c r="J80" s="53" t="n">
        <x:f>MIN(G80+I80,H80)</x:f>
        <x:v>15863.4</x:v>
      </x:c>
      <x:c r="K80" s="53" t="n">
        <x:f>G80+I80-J80</x:f>
        <x:v>0</x:v>
      </x:c>
      <x:c r="L80" s="53" t="n">
        <x:f>SUM($J$7:J50)</x:f>
        <x:v>88130</x:v>
      </x:c>
      <x:c r="M80" s="72"/>
      <x:c r="N80" s="72"/>
    </x:row>
    <x:row r="81">
      <x:c r="C81" s="20" t="n">
        <x:v>74</x:v>
      </x:c>
      <x:c r="D81" s="53" t="n">
        <x:f>IF(AND(C81&gt;=30,C81&lt;=39),8813,0)</x:f>
        <x:v>0</x:v>
      </x:c>
      <x:c r="E81" s="53" t="n">
        <x:f>IF(AND(C81&gt;=60,C81&lt;=79),15863.4,0)</x:f>
        <x:v>15863.4</x:v>
      </x:c>
      <x:c r="F81" s="53" t="n">
        <x:f>IF(AND(C81&gt;=130,C81&lt;=159),27614.0667,0)</x:f>
        <x:v>0</x:v>
      </x:c>
      <x:c r="G81" s="53" t="n">
        <x:f>SUM(D81:F81)</x:f>
        <x:v>15863.4</x:v>
      </x:c>
      <x:c r="H81" s="53" t="n">
        <x:f>35000</x:f>
        <x:v>35000</x:v>
      </x:c>
      <x:c r="I81" s="53" t="n">
        <x:f>K80</x:f>
        <x:v>0</x:v>
      </x:c>
      <x:c r="J81" s="53" t="n">
        <x:f>MIN(G81+I81,H81)</x:f>
        <x:v>15863.4</x:v>
      </x:c>
      <x:c r="K81" s="53" t="n">
        <x:f>G81+I81-J81</x:f>
        <x:v>0</x:v>
      </x:c>
      <x:c r="L81" s="53" t="n">
        <x:f>SUM($J$7:J51)</x:f>
        <x:v>88130</x:v>
      </x:c>
      <x:c r="M81" s="72"/>
      <x:c r="N81" s="72"/>
    </x:row>
    <x:row r="82">
      <x:c r="C82" s="20" t="n">
        <x:v>75</x:v>
      </x:c>
      <x:c r="D82" s="53" t="n">
        <x:f>IF(AND(C82&gt;=30,C82&lt;=39),8813,0)</x:f>
        <x:v>0</x:v>
      </x:c>
      <x:c r="E82" s="53" t="n">
        <x:f>IF(AND(C82&gt;=60,C82&lt;=79),15863.4,0)</x:f>
        <x:v>15863.4</x:v>
      </x:c>
      <x:c r="F82" s="53" t="n">
        <x:f>IF(AND(C82&gt;=130,C82&lt;=159),27614.0667,0)</x:f>
        <x:v>0</x:v>
      </x:c>
      <x:c r="G82" s="53" t="n">
        <x:f>SUM(D82:F82)</x:f>
        <x:v>15863.4</x:v>
      </x:c>
      <x:c r="H82" s="53" t="n">
        <x:f>35000</x:f>
        <x:v>35000</x:v>
      </x:c>
      <x:c r="I82" s="53" t="n">
        <x:f>K81</x:f>
        <x:v>0</x:v>
      </x:c>
      <x:c r="J82" s="53" t="n">
        <x:f>MIN(G82+I82,H82)</x:f>
        <x:v>15863.4</x:v>
      </x:c>
      <x:c r="K82" s="53" t="n">
        <x:f>G82+I82-J82</x:f>
        <x:v>0</x:v>
      </x:c>
      <x:c r="L82" s="53" t="n">
        <x:f>SUM($J$7:J52)</x:f>
        <x:v>88130</x:v>
      </x:c>
      <x:c r="M82" s="72"/>
      <x:c r="N82" s="72"/>
    </x:row>
    <x:row r="83">
      <x:c r="C83" s="20" t="n">
        <x:v>76</x:v>
      </x:c>
      <x:c r="D83" s="53" t="n">
        <x:f>IF(AND(C83&gt;=30,C83&lt;=39),8813,0)</x:f>
        <x:v>0</x:v>
      </x:c>
      <x:c r="E83" s="53" t="n">
        <x:f>IF(AND(C83&gt;=60,C83&lt;=79),15863.4,0)</x:f>
        <x:v>15863.4</x:v>
      </x:c>
      <x:c r="F83" s="53" t="n">
        <x:f>IF(AND(C83&gt;=130,C83&lt;=159),27614.0667,0)</x:f>
        <x:v>0</x:v>
      </x:c>
      <x:c r="G83" s="53" t="n">
        <x:f>SUM(D83:F83)</x:f>
        <x:v>15863.4</x:v>
      </x:c>
      <x:c r="H83" s="53" t="n">
        <x:f>35000</x:f>
        <x:v>35000</x:v>
      </x:c>
      <x:c r="I83" s="53" t="n">
        <x:f>K82</x:f>
        <x:v>0</x:v>
      </x:c>
      <x:c r="J83" s="53" t="n">
        <x:f>MIN(G83+I83,H83)</x:f>
        <x:v>15863.4</x:v>
      </x:c>
      <x:c r="K83" s="53" t="n">
        <x:f>G83+I83-J83</x:f>
        <x:v>0</x:v>
      </x:c>
      <x:c r="L83" s="53" t="n">
        <x:f>SUM($J$7:J53)</x:f>
        <x:v>88130</x:v>
      </x:c>
      <x:c r="M83" s="72"/>
      <x:c r="N83" s="72"/>
    </x:row>
    <x:row r="84">
      <x:c r="C84" s="20" t="n">
        <x:v>77</x:v>
      </x:c>
      <x:c r="D84" s="53" t="n">
        <x:f>IF(AND(C84&gt;=30,C84&lt;=39),8813,0)</x:f>
        <x:v>0</x:v>
      </x:c>
      <x:c r="E84" s="53" t="n">
        <x:f>IF(AND(C84&gt;=60,C84&lt;=79),15863.4,0)</x:f>
        <x:v>15863.4</x:v>
      </x:c>
      <x:c r="F84" s="53" t="n">
        <x:f>IF(AND(C84&gt;=130,C84&lt;=159),27614.0667,0)</x:f>
        <x:v>0</x:v>
      </x:c>
      <x:c r="G84" s="53" t="n">
        <x:f>SUM(D84:F84)</x:f>
        <x:v>15863.4</x:v>
      </x:c>
      <x:c r="H84" s="53" t="n">
        <x:f>35000</x:f>
        <x:v>35000</x:v>
      </x:c>
      <x:c r="I84" s="53" t="n">
        <x:f>K83</x:f>
        <x:v>0</x:v>
      </x:c>
      <x:c r="J84" s="53" t="n">
        <x:f>MIN(G84+I84,H84)</x:f>
        <x:v>15863.4</x:v>
      </x:c>
      <x:c r="K84" s="53" t="n">
        <x:f>G84+I84-J84</x:f>
        <x:v>0</x:v>
      </x:c>
      <x:c r="L84" s="53" t="n">
        <x:f>SUM($J$7:J54)</x:f>
        <x:v>88130</x:v>
      </x:c>
      <x:c r="M84" s="72"/>
      <x:c r="N84" s="72"/>
    </x:row>
    <x:row r="85">
      <x:c r="C85" s="20" t="n">
        <x:v>78</x:v>
      </x:c>
      <x:c r="D85" s="53" t="n">
        <x:f>IF(AND(C85&gt;=30,C85&lt;=39),8813,0)</x:f>
        <x:v>0</x:v>
      </x:c>
      <x:c r="E85" s="53" t="n">
        <x:f>IF(AND(C85&gt;=60,C85&lt;=79),15863.4,0)</x:f>
        <x:v>15863.4</x:v>
      </x:c>
      <x:c r="F85" s="53" t="n">
        <x:f>IF(AND(C85&gt;=130,C85&lt;=159),27614.0667,0)</x:f>
        <x:v>0</x:v>
      </x:c>
      <x:c r="G85" s="53" t="n">
        <x:f>SUM(D85:F85)</x:f>
        <x:v>15863.4</x:v>
      </x:c>
      <x:c r="H85" s="53" t="n">
        <x:f>35000</x:f>
        <x:v>35000</x:v>
      </x:c>
      <x:c r="I85" s="53" t="n">
        <x:f>K84</x:f>
        <x:v>0</x:v>
      </x:c>
      <x:c r="J85" s="53" t="n">
        <x:f>MIN(G85+I85,H85)</x:f>
        <x:v>15863.4</x:v>
      </x:c>
      <x:c r="K85" s="53" t="n">
        <x:f>G85+I85-J85</x:f>
        <x:v>0</x:v>
      </x:c>
      <x:c r="L85" s="53" t="n">
        <x:f>SUM($J$7:J55)</x:f>
        <x:v>88130</x:v>
      </x:c>
      <x:c r="M85" s="72"/>
      <x:c r="N85" s="72"/>
    </x:row>
    <x:row r="86">
      <x:c r="C86" s="20" t="n">
        <x:v>79</x:v>
      </x:c>
      <x:c r="D86" s="53" t="n">
        <x:f>IF(AND(C86&gt;=30,C86&lt;=39),8813,0)</x:f>
        <x:v>0</x:v>
      </x:c>
      <x:c r="E86" s="53" t="n">
        <x:f>IF(AND(C86&gt;=60,C86&lt;=79),15863.4,0)</x:f>
        <x:v>15863.4</x:v>
      </x:c>
      <x:c r="F86" s="53" t="n">
        <x:f>IF(AND(C86&gt;=130,C86&lt;=159),27614.0667,0)</x:f>
        <x:v>0</x:v>
      </x:c>
      <x:c r="G86" s="53" t="n">
        <x:f>SUM(D86:F86)</x:f>
        <x:v>15863.4</x:v>
      </x:c>
      <x:c r="H86" s="53" t="n">
        <x:f>35000</x:f>
        <x:v>35000</x:v>
      </x:c>
      <x:c r="I86" s="53" t="n">
        <x:f>K85</x:f>
        <x:v>0</x:v>
      </x:c>
      <x:c r="J86" s="53" t="n">
        <x:f>MIN(G86+I86,H86)</x:f>
        <x:v>15863.4</x:v>
      </x:c>
      <x:c r="K86" s="53" t="n">
        <x:f>G86+I86-J86</x:f>
        <x:v>0</x:v>
      </x:c>
      <x:c r="L86" s="53" t="n">
        <x:f>SUM($J$7:J56)</x:f>
        <x:v>88130</x:v>
      </x:c>
      <x:c r="M86" s="72"/>
      <x:c r="N86" s="72"/>
    </x:row>
    <x:row r="87">
      <x:c r="C87" s="20" t="n">
        <x:v>80</x:v>
      </x:c>
      <x:c r="D87" s="53" t="n">
        <x:f>IF(AND(C87&gt;=30,C87&lt;=39),8813,0)</x:f>
        <x:v>0</x:v>
      </x:c>
      <x:c r="E87" s="53" t="n">
        <x:f>IF(AND(C87&gt;=60,C87&lt;=79),15863.4,0)</x:f>
        <x:v>0</x:v>
      </x:c>
      <x:c r="F87" s="53" t="n">
        <x:f>IF(AND(C87&gt;=130,C87&lt;=159),27614.0667,0)</x:f>
        <x:v>0</x:v>
      </x:c>
      <x:c r="G87" s="53" t="n">
        <x:f>SUM(D87:F87)</x:f>
        <x:v>0</x:v>
      </x:c>
      <x:c r="H87" s="53" t="n">
        <x:f>35000</x:f>
        <x:v>35000</x:v>
      </x:c>
      <x:c r="I87" s="53" t="n">
        <x:f>K86</x:f>
        <x:v>0</x:v>
      </x:c>
      <x:c r="J87" s="53" t="n">
        <x:f>MIN(G87+I87,H87)</x:f>
        <x:v>0</x:v>
      </x:c>
      <x:c r="K87" s="53" t="n">
        <x:f>G87+I87-J87</x:f>
        <x:v>0</x:v>
      </x:c>
      <x:c r="L87" s="53" t="n">
        <x:f>SUM($J$7:J57)</x:f>
        <x:v>88130</x:v>
      </x:c>
      <x:c r="M87" s="72"/>
      <x:c r="N87" s="72"/>
    </x:row>
    <x:row r="88">
      <x:c r="C88" s="20" t="n">
        <x:v>81</x:v>
      </x:c>
      <x:c r="D88" s="53" t="n">
        <x:f>IF(AND(C88&gt;=30,C88&lt;=39),8813,0)</x:f>
        <x:v>0</x:v>
      </x:c>
      <x:c r="E88" s="53" t="n">
        <x:f>IF(AND(C88&gt;=60,C88&lt;=79),15863.4,0)</x:f>
        <x:v>0</x:v>
      </x:c>
      <x:c r="F88" s="53" t="n">
        <x:f>IF(AND(C88&gt;=130,C88&lt;=159),27614.0667,0)</x:f>
        <x:v>0</x:v>
      </x:c>
      <x:c r="G88" s="53" t="n">
        <x:f>SUM(D88:F88)</x:f>
        <x:v>0</x:v>
      </x:c>
      <x:c r="H88" s="53" t="n">
        <x:f>35000</x:f>
        <x:v>35000</x:v>
      </x:c>
      <x:c r="I88" s="53" t="n">
        <x:f>K87</x:f>
        <x:v>0</x:v>
      </x:c>
      <x:c r="J88" s="53" t="n">
        <x:f>MIN(G88+I88,H88)</x:f>
        <x:v>0</x:v>
      </x:c>
      <x:c r="K88" s="53" t="n">
        <x:f>G88+I88-J88</x:f>
        <x:v>0</x:v>
      </x:c>
      <x:c r="L88" s="53" t="n">
        <x:f>SUM($J$7:J58)</x:f>
        <x:v>88130</x:v>
      </x:c>
      <x:c r="M88" s="72"/>
      <x:c r="N88" s="72"/>
    </x:row>
    <x:row r="89">
      <x:c r="C89" s="20" t="n">
        <x:v>82</x:v>
      </x:c>
      <x:c r="D89" s="53" t="n">
        <x:f>IF(AND(C89&gt;=30,C89&lt;=39),8813,0)</x:f>
        <x:v>0</x:v>
      </x:c>
      <x:c r="E89" s="53" t="n">
        <x:f>IF(AND(C89&gt;=60,C89&lt;=79),15863.4,0)</x:f>
        <x:v>0</x:v>
      </x:c>
      <x:c r="F89" s="53" t="n">
        <x:f>IF(AND(C89&gt;=130,C89&lt;=159),27614.0667,0)</x:f>
        <x:v>0</x:v>
      </x:c>
      <x:c r="G89" s="53" t="n">
        <x:f>SUM(D89:F89)</x:f>
        <x:v>0</x:v>
      </x:c>
      <x:c r="H89" s="53" t="n">
        <x:f>35000</x:f>
        <x:v>35000</x:v>
      </x:c>
      <x:c r="I89" s="53" t="n">
        <x:f>K88</x:f>
        <x:v>0</x:v>
      </x:c>
      <x:c r="J89" s="53" t="n">
        <x:f>MIN(G89+I89,H89)</x:f>
        <x:v>0</x:v>
      </x:c>
      <x:c r="K89" s="53" t="n">
        <x:f>G89+I89-J89</x:f>
        <x:v>0</x:v>
      </x:c>
      <x:c r="L89" s="53" t="n">
        <x:f>SUM($J$7:J59)</x:f>
        <x:v>88130</x:v>
      </x:c>
      <x:c r="M89" s="72"/>
      <x:c r="N89" s="72"/>
    </x:row>
    <x:row r="90">
      <x:c r="C90" s="20" t="n">
        <x:v>83</x:v>
      </x:c>
      <x:c r="D90" s="53" t="n">
        <x:f>IF(AND(C90&gt;=30,C90&lt;=39),8813,0)</x:f>
        <x:v>0</x:v>
      </x:c>
      <x:c r="E90" s="53" t="n">
        <x:f>IF(AND(C90&gt;=60,C90&lt;=79),15863.4,0)</x:f>
        <x:v>0</x:v>
      </x:c>
      <x:c r="F90" s="53" t="n">
        <x:f>IF(AND(C90&gt;=130,C90&lt;=159),27614.0667,0)</x:f>
        <x:v>0</x:v>
      </x:c>
      <x:c r="G90" s="53" t="n">
        <x:f>SUM(D90:F90)</x:f>
        <x:v>0</x:v>
      </x:c>
      <x:c r="H90" s="53" t="n">
        <x:f>35000</x:f>
        <x:v>35000</x:v>
      </x:c>
      <x:c r="I90" s="53" t="n">
        <x:f>K89</x:f>
        <x:v>0</x:v>
      </x:c>
      <x:c r="J90" s="53" t="n">
        <x:f>MIN(G90+I90,H90)</x:f>
        <x:v>0</x:v>
      </x:c>
      <x:c r="K90" s="53" t="n">
        <x:f>G90+I90-J90</x:f>
        <x:v>0</x:v>
      </x:c>
      <x:c r="L90" s="53" t="n">
        <x:f>SUM($J$7:J60)</x:f>
        <x:v>88130</x:v>
      </x:c>
      <x:c r="M90" s="72"/>
      <x:c r="N90" s="72"/>
    </x:row>
    <x:row r="91">
      <x:c r="C91" s="20" t="n">
        <x:v>84</x:v>
      </x:c>
      <x:c r="D91" s="53" t="n">
        <x:f>IF(AND(C91&gt;=30,C91&lt;=39),8813,0)</x:f>
        <x:v>0</x:v>
      </x:c>
      <x:c r="E91" s="53" t="n">
        <x:f>IF(AND(C91&gt;=60,C91&lt;=79),15863.4,0)</x:f>
        <x:v>0</x:v>
      </x:c>
      <x:c r="F91" s="53" t="n">
        <x:f>IF(AND(C91&gt;=130,C91&lt;=159),27614.0667,0)</x:f>
        <x:v>0</x:v>
      </x:c>
      <x:c r="G91" s="53" t="n">
        <x:f>SUM(D91:F91)</x:f>
        <x:v>0</x:v>
      </x:c>
      <x:c r="H91" s="53" t="n">
        <x:f>35000</x:f>
        <x:v>35000</x:v>
      </x:c>
      <x:c r="I91" s="53" t="n">
        <x:f>K90</x:f>
        <x:v>0</x:v>
      </x:c>
      <x:c r="J91" s="53" t="n">
        <x:f>MIN(G91+I91,H91)</x:f>
        <x:v>0</x:v>
      </x:c>
      <x:c r="K91" s="53" t="n">
        <x:f>G91+I91-J91</x:f>
        <x:v>0</x:v>
      </x:c>
      <x:c r="L91" s="53" t="n">
        <x:f>SUM($J$7:J61)</x:f>
        <x:v>88130</x:v>
      </x:c>
      <x:c r="M91" s="72"/>
      <x:c r="N91" s="72"/>
    </x:row>
    <x:row r="92">
      <x:c r="C92" s="20" t="n">
        <x:v>85</x:v>
      </x:c>
      <x:c r="D92" s="53" t="n">
        <x:f>IF(AND(C92&gt;=30,C92&lt;=39),8813,0)</x:f>
        <x:v>0</x:v>
      </x:c>
      <x:c r="E92" s="53" t="n">
        <x:f>IF(AND(C92&gt;=60,C92&lt;=79),15863.4,0)</x:f>
        <x:v>0</x:v>
      </x:c>
      <x:c r="F92" s="53" t="n">
        <x:f>IF(AND(C92&gt;=130,C92&lt;=159),27614.0667,0)</x:f>
        <x:v>0</x:v>
      </x:c>
      <x:c r="G92" s="53" t="n">
        <x:f>SUM(D92:F92)</x:f>
        <x:v>0</x:v>
      </x:c>
      <x:c r="H92" s="53" t="n">
        <x:f>35000</x:f>
        <x:v>35000</x:v>
      </x:c>
      <x:c r="I92" s="53" t="n">
        <x:f>K91</x:f>
        <x:v>0</x:v>
      </x:c>
      <x:c r="J92" s="53" t="n">
        <x:f>MIN(G92+I92,H92)</x:f>
        <x:v>0</x:v>
      </x:c>
      <x:c r="K92" s="53" t="n">
        <x:f>G92+I92-J92</x:f>
        <x:v>0</x:v>
      </x:c>
      <x:c r="L92" s="53" t="n">
        <x:f>SUM($J$7:J62)</x:f>
        <x:v>88130</x:v>
      </x:c>
      <x:c r="M92" s="72"/>
      <x:c r="N92" s="72"/>
    </x:row>
    <x:row r="93">
      <x:c r="C93" s="20" t="n">
        <x:v>86</x:v>
      </x:c>
      <x:c r="D93" s="53" t="n">
        <x:f>IF(AND(C93&gt;=30,C93&lt;=39),8813,0)</x:f>
        <x:v>0</x:v>
      </x:c>
      <x:c r="E93" s="53" t="n">
        <x:f>IF(AND(C93&gt;=60,C93&lt;=79),15863.4,0)</x:f>
        <x:v>0</x:v>
      </x:c>
      <x:c r="F93" s="53" t="n">
        <x:f>IF(AND(C93&gt;=130,C93&lt;=159),27614.0667,0)</x:f>
        <x:v>0</x:v>
      </x:c>
      <x:c r="G93" s="53" t="n">
        <x:f>SUM(D93:F93)</x:f>
        <x:v>0</x:v>
      </x:c>
      <x:c r="H93" s="53" t="n">
        <x:f>35000</x:f>
        <x:v>35000</x:v>
      </x:c>
      <x:c r="I93" s="53" t="n">
        <x:f>K92</x:f>
        <x:v>0</x:v>
      </x:c>
      <x:c r="J93" s="53" t="n">
        <x:f>MIN(G93+I93,H93)</x:f>
        <x:v>0</x:v>
      </x:c>
      <x:c r="K93" s="53" t="n">
        <x:f>G93+I93-J93</x:f>
        <x:v>0</x:v>
      </x:c>
      <x:c r="L93" s="53" t="n">
        <x:f>SUM($J$7:J63)</x:f>
        <x:v>88130</x:v>
      </x:c>
      <x:c r="M93" s="72"/>
      <x:c r="N93" s="72"/>
    </x:row>
    <x:row r="94">
      <x:c r="C94" s="20" t="n">
        <x:v>87</x:v>
      </x:c>
      <x:c r="D94" s="53" t="n">
        <x:f>IF(AND(C94&gt;=30,C94&lt;=39),8813,0)</x:f>
        <x:v>0</x:v>
      </x:c>
      <x:c r="E94" s="53" t="n">
        <x:f>IF(AND(C94&gt;=60,C94&lt;=79),15863.4,0)</x:f>
        <x:v>0</x:v>
      </x:c>
      <x:c r="F94" s="53" t="n">
        <x:f>IF(AND(C94&gt;=130,C94&lt;=159),27614.0667,0)</x:f>
        <x:v>0</x:v>
      </x:c>
      <x:c r="G94" s="53" t="n">
        <x:f>SUM(D94:F94)</x:f>
        <x:v>0</x:v>
      </x:c>
      <x:c r="H94" s="53" t="n">
        <x:f>35000</x:f>
        <x:v>35000</x:v>
      </x:c>
      <x:c r="I94" s="53" t="n">
        <x:f>K93</x:f>
        <x:v>0</x:v>
      </x:c>
      <x:c r="J94" s="53" t="n">
        <x:f>MIN(G94+I94,H94)</x:f>
        <x:v>0</x:v>
      </x:c>
      <x:c r="K94" s="53" t="n">
        <x:f>G94+I94-J94</x:f>
        <x:v>0</x:v>
      </x:c>
      <x:c r="L94" s="53" t="n">
        <x:f>SUM($J$7:J64)</x:f>
        <x:v>88130</x:v>
      </x:c>
      <x:c r="M94" s="72"/>
      <x:c r="N94" s="72"/>
    </x:row>
    <x:row r="95">
      <x:c r="C95" s="20" t="n">
        <x:v>88</x:v>
      </x:c>
      <x:c r="D95" s="53" t="n">
        <x:f>IF(AND(C95&gt;=30,C95&lt;=39),8813,0)</x:f>
        <x:v>0</x:v>
      </x:c>
      <x:c r="E95" s="53" t="n">
        <x:f>IF(AND(C95&gt;=60,C95&lt;=79),15863.4,0)</x:f>
        <x:v>0</x:v>
      </x:c>
      <x:c r="F95" s="53" t="n">
        <x:f>IF(AND(C95&gt;=130,C95&lt;=159),27614.0667,0)</x:f>
        <x:v>0</x:v>
      </x:c>
      <x:c r="G95" s="53" t="n">
        <x:f>SUM(D95:F95)</x:f>
        <x:v>0</x:v>
      </x:c>
      <x:c r="H95" s="53" t="n">
        <x:f>35000</x:f>
        <x:v>35000</x:v>
      </x:c>
      <x:c r="I95" s="53" t="n">
        <x:f>K94</x:f>
        <x:v>0</x:v>
      </x:c>
      <x:c r="J95" s="53" t="n">
        <x:f>MIN(G95+I95,H95)</x:f>
        <x:v>0</x:v>
      </x:c>
      <x:c r="K95" s="53" t="n">
        <x:f>G95+I95-J95</x:f>
        <x:v>0</x:v>
      </x:c>
      <x:c r="L95" s="53" t="n">
        <x:f>SUM($J$7:J65)</x:f>
        <x:v>88130</x:v>
      </x:c>
      <x:c r="M95" s="72"/>
      <x:c r="N95" s="72"/>
    </x:row>
    <x:row r="96">
      <x:c r="C96" s="20" t="n">
        <x:v>89</x:v>
      </x:c>
      <x:c r="D96" s="53" t="n">
        <x:f>IF(AND(C96&gt;=30,C96&lt;=39),8813,0)</x:f>
        <x:v>0</x:v>
      </x:c>
      <x:c r="E96" s="53" t="n">
        <x:f>IF(AND(C96&gt;=60,C96&lt;=79),15863.4,0)</x:f>
        <x:v>0</x:v>
      </x:c>
      <x:c r="F96" s="53" t="n">
        <x:f>IF(AND(C96&gt;=130,C96&lt;=159),27614.0667,0)</x:f>
        <x:v>0</x:v>
      </x:c>
      <x:c r="G96" s="53" t="n">
        <x:f>SUM(D96:F96)</x:f>
        <x:v>0</x:v>
      </x:c>
      <x:c r="H96" s="53" t="n">
        <x:f>35000</x:f>
        <x:v>35000</x:v>
      </x:c>
      <x:c r="I96" s="53" t="n">
        <x:f>K95</x:f>
        <x:v>0</x:v>
      </x:c>
      <x:c r="J96" s="53" t="n">
        <x:f>MIN(G96+I96,H96)</x:f>
        <x:v>0</x:v>
      </x:c>
      <x:c r="K96" s="53" t="n">
        <x:f>G96+I96-J96</x:f>
        <x:v>0</x:v>
      </x:c>
      <x:c r="L96" s="53" t="n">
        <x:f>SUM($J$7:J66)</x:f>
        <x:v>88130</x:v>
      </x:c>
      <x:c r="M96" s="72"/>
      <x:c r="N96" s="72"/>
    </x:row>
    <x:row r="97">
      <x:c r="C97" s="20" t="n">
        <x:v>90</x:v>
      </x:c>
      <x:c r="D97" s="53" t="n">
        <x:f>IF(AND(C97&gt;=30,C97&lt;=39),8813,0)</x:f>
        <x:v>0</x:v>
      </x:c>
      <x:c r="E97" s="53" t="n">
        <x:f>IF(AND(C97&gt;=60,C97&lt;=79),15863.4,0)</x:f>
        <x:v>0</x:v>
      </x:c>
      <x:c r="F97" s="53" t="n">
        <x:f>IF(AND(C97&gt;=130,C97&lt;=159),27614.0667,0)</x:f>
        <x:v>0</x:v>
      </x:c>
      <x:c r="G97" s="53" t="n">
        <x:f>SUM(D97:F97)</x:f>
        <x:v>0</x:v>
      </x:c>
      <x:c r="H97" s="53" t="n">
        <x:f>35000</x:f>
        <x:v>35000</x:v>
      </x:c>
      <x:c r="I97" s="53" t="n">
        <x:f>K96</x:f>
        <x:v>0</x:v>
      </x:c>
      <x:c r="J97" s="53" t="n">
        <x:f>MIN(G97+I97,H97)</x:f>
        <x:v>0</x:v>
      </x:c>
      <x:c r="K97" s="53" t="n">
        <x:f>G97+I97-J97</x:f>
        <x:v>0</x:v>
      </x:c>
      <x:c r="L97" s="53" t="n">
        <x:f>SUM($J$7:J67)</x:f>
        <x:v>103993.4</x:v>
      </x:c>
      <x:c r="M97" s="72"/>
      <x:c r="N97" s="72"/>
    </x:row>
    <x:row r="98">
      <x:c r="C98" s="20" t="n">
        <x:v>91</x:v>
      </x:c>
      <x:c r="D98" s="53" t="n">
        <x:f>IF(AND(C98&gt;=30,C98&lt;=39),8813,0)</x:f>
        <x:v>0</x:v>
      </x:c>
      <x:c r="E98" s="53" t="n">
        <x:f>IF(AND(C98&gt;=60,C98&lt;=79),15863.4,0)</x:f>
        <x:v>0</x:v>
      </x:c>
      <x:c r="F98" s="53" t="n">
        <x:f>IF(AND(C98&gt;=130,C98&lt;=159),27614.0667,0)</x:f>
        <x:v>0</x:v>
      </x:c>
      <x:c r="G98" s="53" t="n">
        <x:f>SUM(D98:F98)</x:f>
        <x:v>0</x:v>
      </x:c>
      <x:c r="H98" s="53" t="n">
        <x:f>35000</x:f>
        <x:v>35000</x:v>
      </x:c>
      <x:c r="I98" s="53" t="n">
        <x:f>K97</x:f>
        <x:v>0</x:v>
      </x:c>
      <x:c r="J98" s="53" t="n">
        <x:f>MIN(G98+I98,H98)</x:f>
        <x:v>0</x:v>
      </x:c>
      <x:c r="K98" s="53" t="n">
        <x:f>G98+I98-J98</x:f>
        <x:v>0</x:v>
      </x:c>
      <x:c r="L98" s="53" t="n">
        <x:f>SUM($J$7:J68)</x:f>
        <x:v>119856.79999999999</x:v>
      </x:c>
      <x:c r="M98" s="72"/>
      <x:c r="N98" s="72"/>
    </x:row>
    <x:row r="99">
      <x:c r="C99" s="20" t="n">
        <x:v>92</x:v>
      </x:c>
      <x:c r="D99" s="53" t="n">
        <x:f>IF(AND(C99&gt;=30,C99&lt;=39),8813,0)</x:f>
        <x:v>0</x:v>
      </x:c>
      <x:c r="E99" s="53" t="n">
        <x:f>IF(AND(C99&gt;=60,C99&lt;=79),15863.4,0)</x:f>
        <x:v>0</x:v>
      </x:c>
      <x:c r="F99" s="53" t="n">
        <x:f>IF(AND(C99&gt;=130,C99&lt;=159),27614.0667,0)</x:f>
        <x:v>0</x:v>
      </x:c>
      <x:c r="G99" s="53" t="n">
        <x:f>SUM(D99:F99)</x:f>
        <x:v>0</x:v>
      </x:c>
      <x:c r="H99" s="53" t="n">
        <x:f>35000</x:f>
        <x:v>35000</x:v>
      </x:c>
      <x:c r="I99" s="53" t="n">
        <x:f>K98</x:f>
        <x:v>0</x:v>
      </x:c>
      <x:c r="J99" s="53" t="n">
        <x:f>MIN(G99+I99,H99)</x:f>
        <x:v>0</x:v>
      </x:c>
      <x:c r="K99" s="53" t="n">
        <x:f>G99+I99-J99</x:f>
        <x:v>0</x:v>
      </x:c>
      <x:c r="L99" s="53" t="n">
        <x:f>SUM($J$7:J69)</x:f>
        <x:v>135720.19999999998</x:v>
      </x:c>
      <x:c r="M99" s="72"/>
      <x:c r="N99" s="72"/>
    </x:row>
    <x:row r="100">
      <x:c r="C100" s="20" t="n">
        <x:v>93</x:v>
      </x:c>
      <x:c r="D100" s="53" t="n">
        <x:f>IF(AND(C100&gt;=30,C100&lt;=39),8813,0)</x:f>
        <x:v>0</x:v>
      </x:c>
      <x:c r="E100" s="53" t="n">
        <x:f>IF(AND(C100&gt;=60,C100&lt;=79),15863.4,0)</x:f>
        <x:v>0</x:v>
      </x:c>
      <x:c r="F100" s="53" t="n">
        <x:f>IF(AND(C100&gt;=130,C100&lt;=159),27614.0667,0)</x:f>
        <x:v>0</x:v>
      </x:c>
      <x:c r="G100" s="53" t="n">
        <x:f>SUM(D100:F100)</x:f>
        <x:v>0</x:v>
      </x:c>
      <x:c r="H100" s="53" t="n">
        <x:f>35000</x:f>
        <x:v>35000</x:v>
      </x:c>
      <x:c r="I100" s="53" t="n">
        <x:f>K99</x:f>
        <x:v>0</x:v>
      </x:c>
      <x:c r="J100" s="53" t="n">
        <x:f>MIN(G100+I100,H100)</x:f>
        <x:v>0</x:v>
      </x:c>
      <x:c r="K100" s="53" t="n">
        <x:f>G100+I100-J100</x:f>
        <x:v>0</x:v>
      </x:c>
      <x:c r="L100" s="53" t="n">
        <x:f>SUM($J$7:J70)</x:f>
        <x:v>151583.59999999998</x:v>
      </x:c>
      <x:c r="M100" s="72"/>
      <x:c r="N100" s="72"/>
    </x:row>
    <x:row r="101">
      <x:c r="C101" s="20" t="n">
        <x:v>94</x:v>
      </x:c>
      <x:c r="D101" s="53" t="n">
        <x:f>IF(AND(C101&gt;=30,C101&lt;=39),8813,0)</x:f>
        <x:v>0</x:v>
      </x:c>
      <x:c r="E101" s="53" t="n">
        <x:f>IF(AND(C101&gt;=60,C101&lt;=79),15863.4,0)</x:f>
        <x:v>0</x:v>
      </x:c>
      <x:c r="F101" s="53" t="n">
        <x:f>IF(AND(C101&gt;=130,C101&lt;=159),27614.0667,0)</x:f>
        <x:v>0</x:v>
      </x:c>
      <x:c r="G101" s="53" t="n">
        <x:f>SUM(D101:F101)</x:f>
        <x:v>0</x:v>
      </x:c>
      <x:c r="H101" s="53" t="n">
        <x:f>35000</x:f>
        <x:v>35000</x:v>
      </x:c>
      <x:c r="I101" s="53" t="n">
        <x:f>K100</x:f>
        <x:v>0</x:v>
      </x:c>
      <x:c r="J101" s="53" t="n">
        <x:f>MIN(G101+I101,H101)</x:f>
        <x:v>0</x:v>
      </x:c>
      <x:c r="K101" s="53" t="n">
        <x:f>G101+I101-J101</x:f>
        <x:v>0</x:v>
      </x:c>
      <x:c r="L101" s="53" t="n">
        <x:f>SUM($J$7:J71)</x:f>
        <x:v>167446.99999999997</x:v>
      </x:c>
      <x:c r="M101" s="72"/>
      <x:c r="N101" s="72"/>
    </x:row>
    <x:row r="102">
      <x:c r="C102" s="20" t="n">
        <x:v>95</x:v>
      </x:c>
      <x:c r="D102" s="53" t="n">
        <x:f>IF(AND(C102&gt;=30,C102&lt;=39),8813,0)</x:f>
        <x:v>0</x:v>
      </x:c>
      <x:c r="E102" s="53" t="n">
        <x:f>IF(AND(C102&gt;=60,C102&lt;=79),15863.4,0)</x:f>
        <x:v>0</x:v>
      </x:c>
      <x:c r="F102" s="53" t="n">
        <x:f>IF(AND(C102&gt;=130,C102&lt;=159),27614.0667,0)</x:f>
        <x:v>0</x:v>
      </x:c>
      <x:c r="G102" s="53" t="n">
        <x:f>SUM(D102:F102)</x:f>
        <x:v>0</x:v>
      </x:c>
      <x:c r="H102" s="53" t="n">
        <x:f>35000</x:f>
        <x:v>35000</x:v>
      </x:c>
      <x:c r="I102" s="53" t="n">
        <x:f>K101</x:f>
        <x:v>0</x:v>
      </x:c>
      <x:c r="J102" s="53" t="n">
        <x:f>MIN(G102+I102,H102)</x:f>
        <x:v>0</x:v>
      </x:c>
      <x:c r="K102" s="53" t="n">
        <x:f>G102+I102-J102</x:f>
        <x:v>0</x:v>
      </x:c>
      <x:c r="L102" s="53" t="n">
        <x:f>SUM($J$7:J72)</x:f>
        <x:v>183310.39999999997</x:v>
      </x:c>
      <x:c r="M102" s="72"/>
      <x:c r="N102" s="72"/>
    </x:row>
    <x:row r="103">
      <x:c r="C103" s="20" t="n">
        <x:v>96</x:v>
      </x:c>
      <x:c r="D103" s="53" t="n">
        <x:f>IF(AND(C103&gt;=30,C103&lt;=39),8813,0)</x:f>
        <x:v>0</x:v>
      </x:c>
      <x:c r="E103" s="53" t="n">
        <x:f>IF(AND(C103&gt;=60,C103&lt;=79),15863.4,0)</x:f>
        <x:v>0</x:v>
      </x:c>
      <x:c r="F103" s="53" t="n">
        <x:f>IF(AND(C103&gt;=130,C103&lt;=159),27614.0667,0)</x:f>
        <x:v>0</x:v>
      </x:c>
      <x:c r="G103" s="53" t="n">
        <x:f>SUM(D103:F103)</x:f>
        <x:v>0</x:v>
      </x:c>
      <x:c r="H103" s="53" t="n">
        <x:f>35000</x:f>
        <x:v>35000</x:v>
      </x:c>
      <x:c r="I103" s="53" t="n">
        <x:f>K102</x:f>
        <x:v>0</x:v>
      </x:c>
      <x:c r="J103" s="53" t="n">
        <x:f>MIN(G103+I103,H103)</x:f>
        <x:v>0</x:v>
      </x:c>
      <x:c r="K103" s="53" t="n">
        <x:f>G103+I103-J103</x:f>
        <x:v>0</x:v>
      </x:c>
      <x:c r="L103" s="53" t="n">
        <x:f>SUM($J$7:J73)</x:f>
        <x:v>199173.79999999996</x:v>
      </x:c>
      <x:c r="M103" s="72"/>
      <x:c r="N103" s="72"/>
    </x:row>
    <x:row r="104">
      <x:c r="C104" s="20" t="n">
        <x:v>97</x:v>
      </x:c>
      <x:c r="D104" s="53" t="n">
        <x:f>IF(AND(C104&gt;=30,C104&lt;=39),8813,0)</x:f>
        <x:v>0</x:v>
      </x:c>
      <x:c r="E104" s="53" t="n">
        <x:f>IF(AND(C104&gt;=60,C104&lt;=79),15863.4,0)</x:f>
        <x:v>0</x:v>
      </x:c>
      <x:c r="F104" s="53" t="n">
        <x:f>IF(AND(C104&gt;=130,C104&lt;=159),27614.0667,0)</x:f>
        <x:v>0</x:v>
      </x:c>
      <x:c r="G104" s="53" t="n">
        <x:f>SUM(D104:F104)</x:f>
        <x:v>0</x:v>
      </x:c>
      <x:c r="H104" s="53" t="n">
        <x:f>35000</x:f>
        <x:v>35000</x:v>
      </x:c>
      <x:c r="I104" s="53" t="n">
        <x:f>K103</x:f>
        <x:v>0</x:v>
      </x:c>
      <x:c r="J104" s="53" t="n">
        <x:f>MIN(G104+I104,H104)</x:f>
        <x:v>0</x:v>
      </x:c>
      <x:c r="K104" s="53" t="n">
        <x:f>G104+I104-J104</x:f>
        <x:v>0</x:v>
      </x:c>
      <x:c r="L104" s="53" t="n">
        <x:f>SUM($J$7:J74)</x:f>
        <x:v>215037.19999999995</x:v>
      </x:c>
      <x:c r="M104" s="72"/>
      <x:c r="N104" s="72"/>
    </x:row>
    <x:row r="105">
      <x:c r="C105" s="20" t="n">
        <x:v>98</x:v>
      </x:c>
      <x:c r="D105" s="53" t="n">
        <x:f>IF(AND(C105&gt;=30,C105&lt;=39),8813,0)</x:f>
        <x:v>0</x:v>
      </x:c>
      <x:c r="E105" s="53" t="n">
        <x:f>IF(AND(C105&gt;=60,C105&lt;=79),15863.4,0)</x:f>
        <x:v>0</x:v>
      </x:c>
      <x:c r="F105" s="53" t="n">
        <x:f>IF(AND(C105&gt;=130,C105&lt;=159),27614.0667,0)</x:f>
        <x:v>0</x:v>
      </x:c>
      <x:c r="G105" s="53" t="n">
        <x:f>SUM(D105:F105)</x:f>
        <x:v>0</x:v>
      </x:c>
      <x:c r="H105" s="53" t="n">
        <x:f>35000</x:f>
        <x:v>35000</x:v>
      </x:c>
      <x:c r="I105" s="53" t="n">
        <x:f>K104</x:f>
        <x:v>0</x:v>
      </x:c>
      <x:c r="J105" s="53" t="n">
        <x:f>MIN(G105+I105,H105)</x:f>
        <x:v>0</x:v>
      </x:c>
      <x:c r="K105" s="53" t="n">
        <x:f>G105+I105-J105</x:f>
        <x:v>0</x:v>
      </x:c>
      <x:c r="L105" s="53" t="n">
        <x:f>SUM($J$7:J75)</x:f>
        <x:v>230900.59999999995</x:v>
      </x:c>
      <x:c r="M105" s="72"/>
      <x:c r="N105" s="72"/>
    </x:row>
    <x:row r="106">
      <x:c r="C106" s="20" t="n">
        <x:v>99</x:v>
      </x:c>
      <x:c r="D106" s="53" t="n">
        <x:f>IF(AND(C106&gt;=30,C106&lt;=39),8813,0)</x:f>
        <x:v>0</x:v>
      </x:c>
      <x:c r="E106" s="53" t="n">
        <x:f>IF(AND(C106&gt;=60,C106&lt;=79),15863.4,0)</x:f>
        <x:v>0</x:v>
      </x:c>
      <x:c r="F106" s="53" t="n">
        <x:f>IF(AND(C106&gt;=130,C106&lt;=159),27614.0667,0)</x:f>
        <x:v>0</x:v>
      </x:c>
      <x:c r="G106" s="53" t="n">
        <x:f>SUM(D106:F106)</x:f>
        <x:v>0</x:v>
      </x:c>
      <x:c r="H106" s="53" t="n">
        <x:f>35000</x:f>
        <x:v>35000</x:v>
      </x:c>
      <x:c r="I106" s="53" t="n">
        <x:f>K105</x:f>
        <x:v>0</x:v>
      </x:c>
      <x:c r="J106" s="53" t="n">
        <x:f>MIN(G106+I106,H106)</x:f>
        <x:v>0</x:v>
      </x:c>
      <x:c r="K106" s="53" t="n">
        <x:f>G106+I106-J106</x:f>
        <x:v>0</x:v>
      </x:c>
      <x:c r="L106" s="53" t="n">
        <x:f>SUM($J$7:J76)</x:f>
        <x:v>246763.99999999994</x:v>
      </x:c>
      <x:c r="M106" s="72"/>
      <x:c r="N106" s="72"/>
    </x:row>
    <x:row r="107">
      <x:c r="C107" s="20" t="n">
        <x:v>100</x:v>
      </x:c>
      <x:c r="D107" s="53" t="n">
        <x:f>IF(AND(C107&gt;=30,C107&lt;=39),8813,0)</x:f>
        <x:v>0</x:v>
      </x:c>
      <x:c r="E107" s="53" t="n">
        <x:f>IF(AND(C107&gt;=60,C107&lt;=79),15863.4,0)</x:f>
        <x:v>0</x:v>
      </x:c>
      <x:c r="F107" s="53" t="n">
        <x:f>IF(AND(C107&gt;=130,C107&lt;=159),27614.0667,0)</x:f>
        <x:v>0</x:v>
      </x:c>
      <x:c r="G107" s="53" t="n">
        <x:f>SUM(D107:F107)</x:f>
        <x:v>0</x:v>
      </x:c>
      <x:c r="H107" s="53" t="n">
        <x:f>35000</x:f>
        <x:v>35000</x:v>
      </x:c>
      <x:c r="I107" s="53" t="n">
        <x:f>K106</x:f>
        <x:v>0</x:v>
      </x:c>
      <x:c r="J107" s="53" t="n">
        <x:f>MIN(G107+I107,H107)</x:f>
        <x:v>0</x:v>
      </x:c>
      <x:c r="K107" s="53" t="n">
        <x:f>G107+I107-J107</x:f>
        <x:v>0</x:v>
      </x:c>
      <x:c r="L107" s="53" t="n">
        <x:f>SUM($J$7:J77)</x:f>
        <x:v>262627.39999999997</x:v>
      </x:c>
      <x:c r="M107" s="72"/>
      <x:c r="N107" s="72"/>
    </x:row>
    <x:row r="108">
      <x:c r="C108" s="20" t="n">
        <x:v>101</x:v>
      </x:c>
      <x:c r="D108" s="53" t="n">
        <x:f>IF(AND(C108&gt;=30,C108&lt;=39),8813,0)</x:f>
        <x:v>0</x:v>
      </x:c>
      <x:c r="E108" s="53" t="n">
        <x:f>IF(AND(C108&gt;=60,C108&lt;=79),15863.4,0)</x:f>
        <x:v>0</x:v>
      </x:c>
      <x:c r="F108" s="53" t="n">
        <x:f>IF(AND(C108&gt;=130,C108&lt;=159),27614.0667,0)</x:f>
        <x:v>0</x:v>
      </x:c>
      <x:c r="G108" s="53" t="n">
        <x:f>SUM(D108:F108)</x:f>
        <x:v>0</x:v>
      </x:c>
      <x:c r="H108" s="53" t="n">
        <x:f>35000</x:f>
        <x:v>35000</x:v>
      </x:c>
      <x:c r="I108" s="53" t="n">
        <x:f>K107</x:f>
        <x:v>0</x:v>
      </x:c>
      <x:c r="J108" s="53" t="n">
        <x:f>MIN(G108+I108,H108)</x:f>
        <x:v>0</x:v>
      </x:c>
      <x:c r="K108" s="53" t="n">
        <x:f>G108+I108-J108</x:f>
        <x:v>0</x:v>
      </x:c>
      <x:c r="L108" s="53" t="n">
        <x:f>SUM($J$7:J78)</x:f>
        <x:v>278490.8</x:v>
      </x:c>
      <x:c r="M108" s="72"/>
      <x:c r="N108" s="72"/>
    </x:row>
    <x:row r="109">
      <x:c r="C109" s="20" t="n">
        <x:v>102</x:v>
      </x:c>
      <x:c r="D109" s="53" t="n">
        <x:f>IF(AND(C109&gt;=30,C109&lt;=39),8813,0)</x:f>
        <x:v>0</x:v>
      </x:c>
      <x:c r="E109" s="53" t="n">
        <x:f>IF(AND(C109&gt;=60,C109&lt;=79),15863.4,0)</x:f>
        <x:v>0</x:v>
      </x:c>
      <x:c r="F109" s="53" t="n">
        <x:f>IF(AND(C109&gt;=130,C109&lt;=159),27614.0667,0)</x:f>
        <x:v>0</x:v>
      </x:c>
      <x:c r="G109" s="53" t="n">
        <x:f>SUM(D109:F109)</x:f>
        <x:v>0</x:v>
      </x:c>
      <x:c r="H109" s="53" t="n">
        <x:f>35000</x:f>
        <x:v>35000</x:v>
      </x:c>
      <x:c r="I109" s="53" t="n">
        <x:f>K108</x:f>
        <x:v>0</x:v>
      </x:c>
      <x:c r="J109" s="53" t="n">
        <x:f>MIN(G109+I109,H109)</x:f>
        <x:v>0</x:v>
      </x:c>
      <x:c r="K109" s="53" t="n">
        <x:f>G109+I109-J109</x:f>
        <x:v>0</x:v>
      </x:c>
      <x:c r="L109" s="53" t="n">
        <x:f>SUM($J$7:J79)</x:f>
        <x:v>294354.2</x:v>
      </x:c>
      <x:c r="M109" s="72"/>
      <x:c r="N109" s="72"/>
    </x:row>
    <x:row r="110">
      <x:c r="C110" s="20" t="n">
        <x:v>103</x:v>
      </x:c>
      <x:c r="D110" s="53" t="n">
        <x:f>IF(AND(C110&gt;=30,C110&lt;=39),8813,0)</x:f>
        <x:v>0</x:v>
      </x:c>
      <x:c r="E110" s="53" t="n">
        <x:f>IF(AND(C110&gt;=60,C110&lt;=79),15863.4,0)</x:f>
        <x:v>0</x:v>
      </x:c>
      <x:c r="F110" s="53" t="n">
        <x:f>IF(AND(C110&gt;=130,C110&lt;=159),27614.0667,0)</x:f>
        <x:v>0</x:v>
      </x:c>
      <x:c r="G110" s="53" t="n">
        <x:f>SUM(D110:F110)</x:f>
        <x:v>0</x:v>
      </x:c>
      <x:c r="H110" s="53" t="n">
        <x:f>35000</x:f>
        <x:v>35000</x:v>
      </x:c>
      <x:c r="I110" s="53" t="n">
        <x:f>K109</x:f>
        <x:v>0</x:v>
      </x:c>
      <x:c r="J110" s="53" t="n">
        <x:f>MIN(G110+I110,H110)</x:f>
        <x:v>0</x:v>
      </x:c>
      <x:c r="K110" s="53" t="n">
        <x:f>G110+I110-J110</x:f>
        <x:v>0</x:v>
      </x:c>
      <x:c r="L110" s="53" t="n">
        <x:f>SUM($J$7:J80)</x:f>
        <x:v>310217.60000000003</x:v>
      </x:c>
      <x:c r="M110" s="72"/>
      <x:c r="N110" s="72"/>
    </x:row>
    <x:row r="111">
      <x:c r="C111" s="20" t="n">
        <x:v>104</x:v>
      </x:c>
      <x:c r="D111" s="53" t="n">
        <x:f>IF(AND(C111&gt;=30,C111&lt;=39),8813,0)</x:f>
        <x:v>0</x:v>
      </x:c>
      <x:c r="E111" s="53" t="n">
        <x:f>IF(AND(C111&gt;=60,C111&lt;=79),15863.4,0)</x:f>
        <x:v>0</x:v>
      </x:c>
      <x:c r="F111" s="53" t="n">
        <x:f>IF(AND(C111&gt;=130,C111&lt;=159),27614.0667,0)</x:f>
        <x:v>0</x:v>
      </x:c>
      <x:c r="G111" s="53" t="n">
        <x:f>SUM(D111:F111)</x:f>
        <x:v>0</x:v>
      </x:c>
      <x:c r="H111" s="53" t="n">
        <x:f>35000</x:f>
        <x:v>35000</x:v>
      </x:c>
      <x:c r="I111" s="53" t="n">
        <x:f>K110</x:f>
        <x:v>0</x:v>
      </x:c>
      <x:c r="J111" s="53" t="n">
        <x:f>MIN(G111+I111,H111)</x:f>
        <x:v>0</x:v>
      </x:c>
      <x:c r="K111" s="53" t="n">
        <x:f>G111+I111-J111</x:f>
        <x:v>0</x:v>
      </x:c>
      <x:c r="L111" s="53" t="n">
        <x:f>SUM($J$7:J81)</x:f>
        <x:v>326081.00000000006</x:v>
      </x:c>
      <x:c r="M111" s="72"/>
      <x:c r="N111" s="72"/>
    </x:row>
    <x:row r="112">
      <x:c r="C112" s="20" t="n">
        <x:v>105</x:v>
      </x:c>
      <x:c r="D112" s="53" t="n">
        <x:f>IF(AND(C112&gt;=30,C112&lt;=39),8813,0)</x:f>
        <x:v>0</x:v>
      </x:c>
      <x:c r="E112" s="53" t="n">
        <x:f>IF(AND(C112&gt;=60,C112&lt;=79),15863.4,0)</x:f>
        <x:v>0</x:v>
      </x:c>
      <x:c r="F112" s="53" t="n">
        <x:f>IF(AND(C112&gt;=130,C112&lt;=159),27614.0667,0)</x:f>
        <x:v>0</x:v>
      </x:c>
      <x:c r="G112" s="53" t="n">
        <x:f>SUM(D112:F112)</x:f>
        <x:v>0</x:v>
      </x:c>
      <x:c r="H112" s="53" t="n">
        <x:f>35000</x:f>
        <x:v>35000</x:v>
      </x:c>
      <x:c r="I112" s="53" t="n">
        <x:f>K111</x:f>
        <x:v>0</x:v>
      </x:c>
      <x:c r="J112" s="53" t="n">
        <x:f>MIN(G112+I112,H112)</x:f>
        <x:v>0</x:v>
      </x:c>
      <x:c r="K112" s="53" t="n">
        <x:f>G112+I112-J112</x:f>
        <x:v>0</x:v>
      </x:c>
      <x:c r="L112" s="53" t="n">
        <x:f>SUM($J$7:J82)</x:f>
        <x:v>341944.4000000001</x:v>
      </x:c>
      <x:c r="M112" s="72"/>
      <x:c r="N112" s="72"/>
    </x:row>
    <x:row r="113">
      <x:c r="C113" s="20" t="n">
        <x:v>106</x:v>
      </x:c>
      <x:c r="D113" s="53" t="n">
        <x:f>IF(AND(C113&gt;=30,C113&lt;=39),8813,0)</x:f>
        <x:v>0</x:v>
      </x:c>
      <x:c r="E113" s="53" t="n">
        <x:f>IF(AND(C113&gt;=60,C113&lt;=79),15863.4,0)</x:f>
        <x:v>0</x:v>
      </x:c>
      <x:c r="F113" s="53" t="n">
        <x:f>IF(AND(C113&gt;=130,C113&lt;=159),27614.0667,0)</x:f>
        <x:v>0</x:v>
      </x:c>
      <x:c r="G113" s="53" t="n">
        <x:f>SUM(D113:F113)</x:f>
        <x:v>0</x:v>
      </x:c>
      <x:c r="H113" s="53" t="n">
        <x:f>35000</x:f>
        <x:v>35000</x:v>
      </x:c>
      <x:c r="I113" s="53" t="n">
        <x:f>K112</x:f>
        <x:v>0</x:v>
      </x:c>
      <x:c r="J113" s="53" t="n">
        <x:f>MIN(G113+I113,H113)</x:f>
        <x:v>0</x:v>
      </x:c>
      <x:c r="K113" s="53" t="n">
        <x:f>G113+I113-J113</x:f>
        <x:v>0</x:v>
      </x:c>
      <x:c r="L113" s="53" t="n">
        <x:f>SUM($J$7:J83)</x:f>
        <x:v>357807.8000000001</x:v>
      </x:c>
      <x:c r="M113" s="72"/>
      <x:c r="N113" s="72"/>
    </x:row>
    <x:row r="114">
      <x:c r="C114" s="20" t="n">
        <x:v>107</x:v>
      </x:c>
      <x:c r="D114" s="53" t="n">
        <x:f>IF(AND(C114&gt;=30,C114&lt;=39),8813,0)</x:f>
        <x:v>0</x:v>
      </x:c>
      <x:c r="E114" s="53" t="n">
        <x:f>IF(AND(C114&gt;=60,C114&lt;=79),15863.4,0)</x:f>
        <x:v>0</x:v>
      </x:c>
      <x:c r="F114" s="53" t="n">
        <x:f>IF(AND(C114&gt;=130,C114&lt;=159),27614.0667,0)</x:f>
        <x:v>0</x:v>
      </x:c>
      <x:c r="G114" s="53" t="n">
        <x:f>SUM(D114:F114)</x:f>
        <x:v>0</x:v>
      </x:c>
      <x:c r="H114" s="53" t="n">
        <x:f>35000</x:f>
        <x:v>35000</x:v>
      </x:c>
      <x:c r="I114" s="53" t="n">
        <x:f>K113</x:f>
        <x:v>0</x:v>
      </x:c>
      <x:c r="J114" s="53" t="n">
        <x:f>MIN(G114+I114,H114)</x:f>
        <x:v>0</x:v>
      </x:c>
      <x:c r="K114" s="53" t="n">
        <x:f>G114+I114-J114</x:f>
        <x:v>0</x:v>
      </x:c>
      <x:c r="L114" s="53" t="n">
        <x:f>SUM($J$7:J84)</x:f>
        <x:v>373671.2000000001</x:v>
      </x:c>
      <x:c r="M114" s="72"/>
      <x:c r="N114" s="72"/>
    </x:row>
    <x:row r="115">
      <x:c r="C115" s="20" t="n">
        <x:v>108</x:v>
      </x:c>
      <x:c r="D115" s="53" t="n">
        <x:f>IF(AND(C115&gt;=30,C115&lt;=39),8813,0)</x:f>
        <x:v>0</x:v>
      </x:c>
      <x:c r="E115" s="53" t="n">
        <x:f>IF(AND(C115&gt;=60,C115&lt;=79),15863.4,0)</x:f>
        <x:v>0</x:v>
      </x:c>
      <x:c r="F115" s="53" t="n">
        <x:f>IF(AND(C115&gt;=130,C115&lt;=159),27614.0667,0)</x:f>
        <x:v>0</x:v>
      </x:c>
      <x:c r="G115" s="53" t="n">
        <x:f>SUM(D115:F115)</x:f>
        <x:v>0</x:v>
      </x:c>
      <x:c r="H115" s="53" t="n">
        <x:f>35000</x:f>
        <x:v>35000</x:v>
      </x:c>
      <x:c r="I115" s="53" t="n">
        <x:f>K114</x:f>
        <x:v>0</x:v>
      </x:c>
      <x:c r="J115" s="53" t="n">
        <x:f>MIN(G115+I115,H115)</x:f>
        <x:v>0</x:v>
      </x:c>
      <x:c r="K115" s="53" t="n">
        <x:f>G115+I115-J115</x:f>
        <x:v>0</x:v>
      </x:c>
      <x:c r="L115" s="53" t="n">
        <x:f>SUM($J$7:J85)</x:f>
        <x:v>389534.60000000015</x:v>
      </x:c>
      <x:c r="M115" s="72"/>
      <x:c r="N115" s="72"/>
    </x:row>
    <x:row r="116">
      <x:c r="C116" s="20" t="n">
        <x:v>109</x:v>
      </x:c>
      <x:c r="D116" s="53" t="n">
        <x:f>IF(AND(C116&gt;=30,C116&lt;=39),8813,0)</x:f>
        <x:v>0</x:v>
      </x:c>
      <x:c r="E116" s="53" t="n">
        <x:f>IF(AND(C116&gt;=60,C116&lt;=79),15863.4,0)</x:f>
        <x:v>0</x:v>
      </x:c>
      <x:c r="F116" s="53" t="n">
        <x:f>IF(AND(C116&gt;=130,C116&lt;=159),27614.0667,0)</x:f>
        <x:v>0</x:v>
      </x:c>
      <x:c r="G116" s="53" t="n">
        <x:f>SUM(D116:F116)</x:f>
        <x:v>0</x:v>
      </x:c>
      <x:c r="H116" s="53" t="n">
        <x:f>35000</x:f>
        <x:v>35000</x:v>
      </x:c>
      <x:c r="I116" s="53" t="n">
        <x:f>K115</x:f>
        <x:v>0</x:v>
      </x:c>
      <x:c r="J116" s="53" t="n">
        <x:f>MIN(G116+I116,H116)</x:f>
        <x:v>0</x:v>
      </x:c>
      <x:c r="K116" s="53" t="n">
        <x:f>G116+I116-J116</x:f>
        <x:v>0</x:v>
      </x:c>
      <x:c r="L116" s="53" t="n">
        <x:f>SUM($J$7:J86)</x:f>
        <x:v>405398.0000000002</x:v>
      </x:c>
      <x:c r="M116" s="72"/>
      <x:c r="N116" s="72"/>
    </x:row>
    <x:row r="117">
      <x:c r="C117" s="20" t="n">
        <x:v>110</x:v>
      </x:c>
      <x:c r="D117" s="53" t="n">
        <x:f>IF(AND(C117&gt;=30,C117&lt;=39),8813,0)</x:f>
        <x:v>0</x:v>
      </x:c>
      <x:c r="E117" s="53" t="n">
        <x:f>IF(AND(C117&gt;=60,C117&lt;=79),15863.4,0)</x:f>
        <x:v>0</x:v>
      </x:c>
      <x:c r="F117" s="53" t="n">
        <x:f>IF(AND(C117&gt;=130,C117&lt;=159),27614.0667,0)</x:f>
        <x:v>0</x:v>
      </x:c>
      <x:c r="G117" s="53" t="n">
        <x:f>SUM(D117:F117)</x:f>
        <x:v>0</x:v>
      </x:c>
      <x:c r="H117" s="53" t="n">
        <x:f>35000</x:f>
        <x:v>35000</x:v>
      </x:c>
      <x:c r="I117" s="53" t="n">
        <x:f>K116</x:f>
        <x:v>0</x:v>
      </x:c>
      <x:c r="J117" s="53" t="n">
        <x:f>MIN(G117+I117,H117)</x:f>
        <x:v>0</x:v>
      </x:c>
      <x:c r="K117" s="53" t="n">
        <x:f>G117+I117-J117</x:f>
        <x:v>0</x:v>
      </x:c>
      <x:c r="L117" s="53" t="n">
        <x:f>SUM($J$7:J87)</x:f>
        <x:v>405398.0000000002</x:v>
      </x:c>
      <x:c r="M117" s="72"/>
      <x:c r="N117" s="72"/>
    </x:row>
    <x:row r="118">
      <x:c r="C118" s="20" t="n">
        <x:v>111</x:v>
      </x:c>
      <x:c r="D118" s="53" t="n">
        <x:f>IF(AND(C118&gt;=30,C118&lt;=39),8813,0)</x:f>
        <x:v>0</x:v>
      </x:c>
      <x:c r="E118" s="53" t="n">
        <x:f>IF(AND(C118&gt;=60,C118&lt;=79),15863.4,0)</x:f>
        <x:v>0</x:v>
      </x:c>
      <x:c r="F118" s="53" t="n">
        <x:f>IF(AND(C118&gt;=130,C118&lt;=159),27614.0667,0)</x:f>
        <x:v>0</x:v>
      </x:c>
      <x:c r="G118" s="53" t="n">
        <x:f>SUM(D118:F118)</x:f>
        <x:v>0</x:v>
      </x:c>
      <x:c r="H118" s="53" t="n">
        <x:f>35000</x:f>
        <x:v>35000</x:v>
      </x:c>
      <x:c r="I118" s="53" t="n">
        <x:f>K117</x:f>
        <x:v>0</x:v>
      </x:c>
      <x:c r="J118" s="53" t="n">
        <x:f>MIN(G118+I118,H118)</x:f>
        <x:v>0</x:v>
      </x:c>
      <x:c r="K118" s="53" t="n">
        <x:f>G118+I118-J118</x:f>
        <x:v>0</x:v>
      </x:c>
      <x:c r="L118" s="53" t="n">
        <x:f>SUM($J$7:J88)</x:f>
        <x:v>405398.0000000002</x:v>
      </x:c>
      <x:c r="M118" s="72"/>
      <x:c r="N118" s="72"/>
    </x:row>
    <x:row r="119">
      <x:c r="C119" s="20" t="n">
        <x:v>112</x:v>
      </x:c>
      <x:c r="D119" s="53" t="n">
        <x:f>IF(AND(C119&gt;=30,C119&lt;=39),8813,0)</x:f>
        <x:v>0</x:v>
      </x:c>
      <x:c r="E119" s="53" t="n">
        <x:f>IF(AND(C119&gt;=60,C119&lt;=79),15863.4,0)</x:f>
        <x:v>0</x:v>
      </x:c>
      <x:c r="F119" s="53" t="n">
        <x:f>IF(AND(C119&gt;=130,C119&lt;=159),27614.0667,0)</x:f>
        <x:v>0</x:v>
      </x:c>
      <x:c r="G119" s="53" t="n">
        <x:f>SUM(D119:F119)</x:f>
        <x:v>0</x:v>
      </x:c>
      <x:c r="H119" s="53" t="n">
        <x:f>35000</x:f>
        <x:v>35000</x:v>
      </x:c>
      <x:c r="I119" s="53" t="n">
        <x:f>K118</x:f>
        <x:v>0</x:v>
      </x:c>
      <x:c r="J119" s="53" t="n">
        <x:f>MIN(G119+I119,H119)</x:f>
        <x:v>0</x:v>
      </x:c>
      <x:c r="K119" s="53" t="n">
        <x:f>G119+I119-J119</x:f>
        <x:v>0</x:v>
      </x:c>
      <x:c r="L119" s="53" t="n">
        <x:f>SUM($J$7:J89)</x:f>
        <x:v>405398.0000000002</x:v>
      </x:c>
      <x:c r="M119" s="72"/>
      <x:c r="N119" s="72"/>
    </x:row>
    <x:row r="120">
      <x:c r="C120" s="20" t="n">
        <x:v>113</x:v>
      </x:c>
      <x:c r="D120" s="53" t="n">
        <x:f>IF(AND(C120&gt;=30,C120&lt;=39),8813,0)</x:f>
        <x:v>0</x:v>
      </x:c>
      <x:c r="E120" s="53" t="n">
        <x:f>IF(AND(C120&gt;=60,C120&lt;=79),15863.4,0)</x:f>
        <x:v>0</x:v>
      </x:c>
      <x:c r="F120" s="53" t="n">
        <x:f>IF(AND(C120&gt;=130,C120&lt;=159),27614.0667,0)</x:f>
        <x:v>0</x:v>
      </x:c>
      <x:c r="G120" s="53" t="n">
        <x:f>SUM(D120:F120)</x:f>
        <x:v>0</x:v>
      </x:c>
      <x:c r="H120" s="53" t="n">
        <x:f>35000</x:f>
        <x:v>35000</x:v>
      </x:c>
      <x:c r="I120" s="53" t="n">
        <x:f>K119</x:f>
        <x:v>0</x:v>
      </x:c>
      <x:c r="J120" s="53" t="n">
        <x:f>MIN(G120+I120,H120)</x:f>
        <x:v>0</x:v>
      </x:c>
      <x:c r="K120" s="53" t="n">
        <x:f>G120+I120-J120</x:f>
        <x:v>0</x:v>
      </x:c>
      <x:c r="L120" s="53" t="n">
        <x:f>SUM($J$7:J90)</x:f>
        <x:v>405398.0000000002</x:v>
      </x:c>
      <x:c r="M120" s="72"/>
      <x:c r="N120" s="72"/>
    </x:row>
    <x:row r="121">
      <x:c r="C121" s="20" t="n">
        <x:v>114</x:v>
      </x:c>
      <x:c r="D121" s="53" t="n">
        <x:f>IF(AND(C121&gt;=30,C121&lt;=39),8813,0)</x:f>
        <x:v>0</x:v>
      </x:c>
      <x:c r="E121" s="53" t="n">
        <x:f>IF(AND(C121&gt;=60,C121&lt;=79),15863.4,0)</x:f>
        <x:v>0</x:v>
      </x:c>
      <x:c r="F121" s="53" t="n">
        <x:f>IF(AND(C121&gt;=130,C121&lt;=159),27614.0667,0)</x:f>
        <x:v>0</x:v>
      </x:c>
      <x:c r="G121" s="53" t="n">
        <x:f>SUM(D121:F121)</x:f>
        <x:v>0</x:v>
      </x:c>
      <x:c r="H121" s="53" t="n">
        <x:f>35000</x:f>
        <x:v>35000</x:v>
      </x:c>
      <x:c r="I121" s="53" t="n">
        <x:f>K120</x:f>
        <x:v>0</x:v>
      </x:c>
      <x:c r="J121" s="53" t="n">
        <x:f>MIN(G121+I121,H121)</x:f>
        <x:v>0</x:v>
      </x:c>
      <x:c r="K121" s="53" t="n">
        <x:f>G121+I121-J121</x:f>
        <x:v>0</x:v>
      </x:c>
      <x:c r="L121" s="53" t="n">
        <x:f>SUM($J$7:J91)</x:f>
        <x:v>405398.0000000002</x:v>
      </x:c>
      <x:c r="M121" s="72"/>
      <x:c r="N121" s="72"/>
    </x:row>
    <x:row r="122">
      <x:c r="C122" s="20" t="n">
        <x:v>115</x:v>
      </x:c>
      <x:c r="D122" s="53" t="n">
        <x:f>IF(AND(C122&gt;=30,C122&lt;=39),8813,0)</x:f>
        <x:v>0</x:v>
      </x:c>
      <x:c r="E122" s="53" t="n">
        <x:f>IF(AND(C122&gt;=60,C122&lt;=79),15863.4,0)</x:f>
        <x:v>0</x:v>
      </x:c>
      <x:c r="F122" s="53" t="n">
        <x:f>IF(AND(C122&gt;=130,C122&lt;=159),27614.0667,0)</x:f>
        <x:v>0</x:v>
      </x:c>
      <x:c r="G122" s="53" t="n">
        <x:f>SUM(D122:F122)</x:f>
        <x:v>0</x:v>
      </x:c>
      <x:c r="H122" s="53" t="n">
        <x:f>35000</x:f>
        <x:v>35000</x:v>
      </x:c>
      <x:c r="I122" s="53" t="n">
        <x:f>K121</x:f>
        <x:v>0</x:v>
      </x:c>
      <x:c r="J122" s="53" t="n">
        <x:f>MIN(G122+I122,H122)</x:f>
        <x:v>0</x:v>
      </x:c>
      <x:c r="K122" s="53" t="n">
        <x:f>G122+I122-J122</x:f>
        <x:v>0</x:v>
      </x:c>
      <x:c r="L122" s="53" t="n">
        <x:f>SUM($J$7:J92)</x:f>
        <x:v>405398.0000000002</x:v>
      </x:c>
      <x:c r="M122" s="72"/>
      <x:c r="N122" s="72"/>
    </x:row>
    <x:row r="123">
      <x:c r="C123" s="20" t="n">
        <x:v>116</x:v>
      </x:c>
      <x:c r="D123" s="53" t="n">
        <x:f>IF(AND(C123&gt;=30,C123&lt;=39),8813,0)</x:f>
        <x:v>0</x:v>
      </x:c>
      <x:c r="E123" s="53" t="n">
        <x:f>IF(AND(C123&gt;=60,C123&lt;=79),15863.4,0)</x:f>
        <x:v>0</x:v>
      </x:c>
      <x:c r="F123" s="53" t="n">
        <x:f>IF(AND(C123&gt;=130,C123&lt;=159),27614.0667,0)</x:f>
        <x:v>0</x:v>
      </x:c>
      <x:c r="G123" s="53" t="n">
        <x:f>SUM(D123:F123)</x:f>
        <x:v>0</x:v>
      </x:c>
      <x:c r="H123" s="53" t="n">
        <x:f>35000</x:f>
        <x:v>35000</x:v>
      </x:c>
      <x:c r="I123" s="53" t="n">
        <x:f>K122</x:f>
        <x:v>0</x:v>
      </x:c>
      <x:c r="J123" s="53" t="n">
        <x:f>MIN(G123+I123,H123)</x:f>
        <x:v>0</x:v>
      </x:c>
      <x:c r="K123" s="53" t="n">
        <x:f>G123+I123-J123</x:f>
        <x:v>0</x:v>
      </x:c>
      <x:c r="L123" s="53" t="n">
        <x:f>SUM($J$7:J93)</x:f>
        <x:v>405398.0000000002</x:v>
      </x:c>
      <x:c r="M123" s="72"/>
      <x:c r="N123" s="72"/>
    </x:row>
    <x:row r="124">
      <x:c r="C124" s="20" t="n">
        <x:v>117</x:v>
      </x:c>
      <x:c r="D124" s="53" t="n">
        <x:f>IF(AND(C124&gt;=30,C124&lt;=39),8813,0)</x:f>
        <x:v>0</x:v>
      </x:c>
      <x:c r="E124" s="53" t="n">
        <x:f>IF(AND(C124&gt;=60,C124&lt;=79),15863.4,0)</x:f>
        <x:v>0</x:v>
      </x:c>
      <x:c r="F124" s="53" t="n">
        <x:f>IF(AND(C124&gt;=130,C124&lt;=159),27614.0667,0)</x:f>
        <x:v>0</x:v>
      </x:c>
      <x:c r="G124" s="53" t="n">
        <x:f>SUM(D124:F124)</x:f>
        <x:v>0</x:v>
      </x:c>
      <x:c r="H124" s="53" t="n">
        <x:f>35000</x:f>
        <x:v>35000</x:v>
      </x:c>
      <x:c r="I124" s="53" t="n">
        <x:f>K123</x:f>
        <x:v>0</x:v>
      </x:c>
      <x:c r="J124" s="53" t="n">
        <x:f>MIN(G124+I124,H124)</x:f>
        <x:v>0</x:v>
      </x:c>
      <x:c r="K124" s="53" t="n">
        <x:f>G124+I124-J124</x:f>
        <x:v>0</x:v>
      </x:c>
      <x:c r="L124" s="53" t="n">
        <x:f>SUM($J$7:J94)</x:f>
        <x:v>405398.0000000002</x:v>
      </x:c>
      <x:c r="M124" s="72"/>
      <x:c r="N124" s="72"/>
    </x:row>
    <x:row r="125">
      <x:c r="C125" s="20" t="n">
        <x:v>118</x:v>
      </x:c>
      <x:c r="D125" s="53" t="n">
        <x:f>IF(AND(C125&gt;=30,C125&lt;=39),8813,0)</x:f>
        <x:v>0</x:v>
      </x:c>
      <x:c r="E125" s="53" t="n">
        <x:f>IF(AND(C125&gt;=60,C125&lt;=79),15863.4,0)</x:f>
        <x:v>0</x:v>
      </x:c>
      <x:c r="F125" s="53" t="n">
        <x:f>IF(AND(C125&gt;=130,C125&lt;=159),27614.0667,0)</x:f>
        <x:v>0</x:v>
      </x:c>
      <x:c r="G125" s="53" t="n">
        <x:f>SUM(D125:F125)</x:f>
        <x:v>0</x:v>
      </x:c>
      <x:c r="H125" s="53" t="n">
        <x:f>35000</x:f>
        <x:v>35000</x:v>
      </x:c>
      <x:c r="I125" s="53" t="n">
        <x:f>K124</x:f>
        <x:v>0</x:v>
      </x:c>
      <x:c r="J125" s="53" t="n">
        <x:f>MIN(G125+I125,H125)</x:f>
        <x:v>0</x:v>
      </x:c>
      <x:c r="K125" s="53" t="n">
        <x:f>G125+I125-J125</x:f>
        <x:v>0</x:v>
      </x:c>
      <x:c r="L125" s="53" t="n">
        <x:f>SUM($J$7:J95)</x:f>
        <x:v>405398.0000000002</x:v>
      </x:c>
      <x:c r="M125" s="72"/>
      <x:c r="N125" s="72"/>
    </x:row>
    <x:row r="126">
      <x:c r="C126" s="20" t="n">
        <x:v>119</x:v>
      </x:c>
      <x:c r="D126" s="53" t="n">
        <x:f>IF(AND(C126&gt;=30,C126&lt;=39),8813,0)</x:f>
        <x:v>0</x:v>
      </x:c>
      <x:c r="E126" s="53" t="n">
        <x:f>IF(AND(C126&gt;=60,C126&lt;=79),15863.4,0)</x:f>
        <x:v>0</x:v>
      </x:c>
      <x:c r="F126" s="53" t="n">
        <x:f>IF(AND(C126&gt;=130,C126&lt;=159),27614.0667,0)</x:f>
        <x:v>0</x:v>
      </x:c>
      <x:c r="G126" s="53" t="n">
        <x:f>SUM(D126:F126)</x:f>
        <x:v>0</x:v>
      </x:c>
      <x:c r="H126" s="53" t="n">
        <x:f>35000</x:f>
        <x:v>35000</x:v>
      </x:c>
      <x:c r="I126" s="53" t="n">
        <x:f>K125</x:f>
        <x:v>0</x:v>
      </x:c>
      <x:c r="J126" s="53" t="n">
        <x:f>MIN(G126+I126,H126)</x:f>
        <x:v>0</x:v>
      </x:c>
      <x:c r="K126" s="53" t="n">
        <x:f>G126+I126-J126</x:f>
        <x:v>0</x:v>
      </x:c>
      <x:c r="L126" s="53" t="n">
        <x:f>SUM($J$7:J96)</x:f>
        <x:v>405398.0000000002</x:v>
      </x:c>
      <x:c r="M126" s="72"/>
      <x:c r="N126" s="72"/>
    </x:row>
    <x:row r="127">
      <x:c r="C127" s="20" t="n">
        <x:v>120</x:v>
      </x:c>
      <x:c r="D127" s="53" t="n">
        <x:f>IF(AND(C127&gt;=30,C127&lt;=39),8813,0)</x:f>
        <x:v>0</x:v>
      </x:c>
      <x:c r="E127" s="53" t="n">
        <x:f>IF(AND(C127&gt;=60,C127&lt;=79),15863.4,0)</x:f>
        <x:v>0</x:v>
      </x:c>
      <x:c r="F127" s="53" t="n">
        <x:f>IF(AND(C127&gt;=130,C127&lt;=159),27614.0667,0)</x:f>
        <x:v>0</x:v>
      </x:c>
      <x:c r="G127" s="53" t="n">
        <x:f>SUM(D127:F127)</x:f>
        <x:v>0</x:v>
      </x:c>
      <x:c r="H127" s="53" t="n">
        <x:f>35000</x:f>
        <x:v>35000</x:v>
      </x:c>
      <x:c r="I127" s="53" t="n">
        <x:f>K126</x:f>
        <x:v>0</x:v>
      </x:c>
      <x:c r="J127" s="53" t="n">
        <x:f>MIN(G127+I127,H127)</x:f>
        <x:v>0</x:v>
      </x:c>
      <x:c r="K127" s="53" t="n">
        <x:f>G127+I127-J127</x:f>
        <x:v>0</x:v>
      </x:c>
      <x:c r="L127" s="53" t="n">
        <x:f>SUM($J$7:J97)</x:f>
        <x:v>405398.0000000002</x:v>
      </x:c>
      <x:c r="M127" s="72"/>
      <x:c r="N127" s="72"/>
    </x:row>
    <x:row r="128">
      <x:c r="C128" s="20" t="n">
        <x:v>121</x:v>
      </x:c>
      <x:c r="D128" s="53" t="n">
        <x:f>IF(AND(C128&gt;=30,C128&lt;=39),8813,0)</x:f>
        <x:v>0</x:v>
      </x:c>
      <x:c r="E128" s="53" t="n">
        <x:f>IF(AND(C128&gt;=60,C128&lt;=79),15863.4,0)</x:f>
        <x:v>0</x:v>
      </x:c>
      <x:c r="F128" s="53" t="n">
        <x:f>IF(AND(C128&gt;=130,C128&lt;=159),27614.0667,0)</x:f>
        <x:v>0</x:v>
      </x:c>
      <x:c r="G128" s="53" t="n">
        <x:f>SUM(D128:F128)</x:f>
        <x:v>0</x:v>
      </x:c>
      <x:c r="H128" s="53" t="n">
        <x:f>35000</x:f>
        <x:v>35000</x:v>
      </x:c>
      <x:c r="I128" s="53" t="n">
        <x:f>K127</x:f>
        <x:v>0</x:v>
      </x:c>
      <x:c r="J128" s="53" t="n">
        <x:f>MIN(G128+I128,H128)</x:f>
        <x:v>0</x:v>
      </x:c>
      <x:c r="K128" s="53" t="n">
        <x:f>G128+I128-J128</x:f>
        <x:v>0</x:v>
      </x:c>
      <x:c r="L128" s="53" t="n">
        <x:f>SUM($J$7:J98)</x:f>
        <x:v>405398.0000000002</x:v>
      </x:c>
      <x:c r="M128" s="72"/>
      <x:c r="N128" s="72"/>
    </x:row>
    <x:row r="129">
      <x:c r="C129" s="20" t="n">
        <x:v>122</x:v>
      </x:c>
      <x:c r="D129" s="53" t="n">
        <x:f>IF(AND(C129&gt;=30,C129&lt;=39),8813,0)</x:f>
        <x:v>0</x:v>
      </x:c>
      <x:c r="E129" s="53" t="n">
        <x:f>IF(AND(C129&gt;=60,C129&lt;=79),15863.4,0)</x:f>
        <x:v>0</x:v>
      </x:c>
      <x:c r="F129" s="53" t="n">
        <x:f>IF(AND(C129&gt;=130,C129&lt;=159),27614.0667,0)</x:f>
        <x:v>0</x:v>
      </x:c>
      <x:c r="G129" s="53" t="n">
        <x:f>SUM(D129:F129)</x:f>
        <x:v>0</x:v>
      </x:c>
      <x:c r="H129" s="53" t="n">
        <x:f>35000</x:f>
        <x:v>35000</x:v>
      </x:c>
      <x:c r="I129" s="53" t="n">
        <x:f>K128</x:f>
        <x:v>0</x:v>
      </x:c>
      <x:c r="J129" s="53" t="n">
        <x:f>MIN(G129+I129,H129)</x:f>
        <x:v>0</x:v>
      </x:c>
      <x:c r="K129" s="53" t="n">
        <x:f>G129+I129-J129</x:f>
        <x:v>0</x:v>
      </x:c>
      <x:c r="L129" s="53" t="n">
        <x:f>SUM($J$7:J99)</x:f>
        <x:v>405398.0000000002</x:v>
      </x:c>
      <x:c r="M129" s="72"/>
      <x:c r="N129" s="72"/>
    </x:row>
    <x:row r="130">
      <x:c r="C130" s="20" t="n">
        <x:v>123</x:v>
      </x:c>
      <x:c r="D130" s="53" t="n">
        <x:f>IF(AND(C130&gt;=30,C130&lt;=39),8813,0)</x:f>
        <x:v>0</x:v>
      </x:c>
      <x:c r="E130" s="53" t="n">
        <x:f>IF(AND(C130&gt;=60,C130&lt;=79),15863.4,0)</x:f>
        <x:v>0</x:v>
      </x:c>
      <x:c r="F130" s="53" t="n">
        <x:f>IF(AND(C130&gt;=130,C130&lt;=159),27614.0667,0)</x:f>
        <x:v>0</x:v>
      </x:c>
      <x:c r="G130" s="53" t="n">
        <x:f>SUM(D130:F130)</x:f>
        <x:v>0</x:v>
      </x:c>
      <x:c r="H130" s="53" t="n">
        <x:f>35000</x:f>
        <x:v>35000</x:v>
      </x:c>
      <x:c r="I130" s="53" t="n">
        <x:f>K129</x:f>
        <x:v>0</x:v>
      </x:c>
      <x:c r="J130" s="53" t="n">
        <x:f>MIN(G130+I130,H130)</x:f>
        <x:v>0</x:v>
      </x:c>
      <x:c r="K130" s="53" t="n">
        <x:f>G130+I130-J130</x:f>
        <x:v>0</x:v>
      </x:c>
      <x:c r="L130" s="53" t="n">
        <x:f>SUM($J$7:J100)</x:f>
        <x:v>405398.0000000002</x:v>
      </x:c>
      <x:c r="M130" s="72"/>
      <x:c r="N130" s="72"/>
    </x:row>
    <x:row r="131">
      <x:c r="C131" s="20" t="n">
        <x:v>124</x:v>
      </x:c>
      <x:c r="D131" s="53" t="n">
        <x:f>IF(AND(C131&gt;=30,C131&lt;=39),8813,0)</x:f>
        <x:v>0</x:v>
      </x:c>
      <x:c r="E131" s="53" t="n">
        <x:f>IF(AND(C131&gt;=60,C131&lt;=79),15863.4,0)</x:f>
        <x:v>0</x:v>
      </x:c>
      <x:c r="F131" s="53" t="n">
        <x:f>IF(AND(C131&gt;=130,C131&lt;=159),27614.0667,0)</x:f>
        <x:v>0</x:v>
      </x:c>
      <x:c r="G131" s="53" t="n">
        <x:f>SUM(D131:F131)</x:f>
        <x:v>0</x:v>
      </x:c>
      <x:c r="H131" s="53" t="n">
        <x:f>35000</x:f>
        <x:v>35000</x:v>
      </x:c>
      <x:c r="I131" s="53" t="n">
        <x:f>K130</x:f>
        <x:v>0</x:v>
      </x:c>
      <x:c r="J131" s="53" t="n">
        <x:f>MIN(G131+I131,H131)</x:f>
        <x:v>0</x:v>
      </x:c>
      <x:c r="K131" s="53" t="n">
        <x:f>G131+I131-J131</x:f>
        <x:v>0</x:v>
      </x:c>
      <x:c r="L131" s="53" t="n">
        <x:f>SUM($J$7:J101)</x:f>
        <x:v>405398.0000000002</x:v>
      </x:c>
      <x:c r="M131" s="72"/>
      <x:c r="N131" s="72"/>
    </x:row>
    <x:row r="132">
      <x:c r="C132" s="20" t="n">
        <x:v>125</x:v>
      </x:c>
      <x:c r="D132" s="53" t="n">
        <x:f>IF(AND(C132&gt;=30,C132&lt;=39),8813,0)</x:f>
        <x:v>0</x:v>
      </x:c>
      <x:c r="E132" s="53" t="n">
        <x:f>IF(AND(C132&gt;=60,C132&lt;=79),15863.4,0)</x:f>
        <x:v>0</x:v>
      </x:c>
      <x:c r="F132" s="53" t="n">
        <x:f>IF(AND(C132&gt;=130,C132&lt;=159),27614.0667,0)</x:f>
        <x:v>0</x:v>
      </x:c>
      <x:c r="G132" s="53" t="n">
        <x:f>SUM(D132:F132)</x:f>
        <x:v>0</x:v>
      </x:c>
      <x:c r="H132" s="53" t="n">
        <x:f>35000</x:f>
        <x:v>35000</x:v>
      </x:c>
      <x:c r="I132" s="53" t="n">
        <x:f>K131</x:f>
        <x:v>0</x:v>
      </x:c>
      <x:c r="J132" s="53" t="n">
        <x:f>MIN(G132+I132,H132)</x:f>
        <x:v>0</x:v>
      </x:c>
      <x:c r="K132" s="53" t="n">
        <x:f>G132+I132-J132</x:f>
        <x:v>0</x:v>
      </x:c>
      <x:c r="L132" s="53" t="n">
        <x:f>SUM($J$7:J102)</x:f>
        <x:v>405398.0000000002</x:v>
      </x:c>
      <x:c r="M132" s="72"/>
      <x:c r="N132" s="72"/>
    </x:row>
    <x:row r="133">
      <x:c r="C133" s="20" t="n">
        <x:v>126</x:v>
      </x:c>
      <x:c r="D133" s="53" t="n">
        <x:f>IF(AND(C133&gt;=30,C133&lt;=39),8813,0)</x:f>
        <x:v>0</x:v>
      </x:c>
      <x:c r="E133" s="53" t="n">
        <x:f>IF(AND(C133&gt;=60,C133&lt;=79),15863.4,0)</x:f>
        <x:v>0</x:v>
      </x:c>
      <x:c r="F133" s="53" t="n">
        <x:f>IF(AND(C133&gt;=130,C133&lt;=159),27614.0667,0)</x:f>
        <x:v>0</x:v>
      </x:c>
      <x:c r="G133" s="53" t="n">
        <x:f>SUM(D133:F133)</x:f>
        <x:v>0</x:v>
      </x:c>
      <x:c r="H133" s="53" t="n">
        <x:f>35000</x:f>
        <x:v>35000</x:v>
      </x:c>
      <x:c r="I133" s="53" t="n">
        <x:f>K132</x:f>
        <x:v>0</x:v>
      </x:c>
      <x:c r="J133" s="53" t="n">
        <x:f>MIN(G133+I133,H133)</x:f>
        <x:v>0</x:v>
      </x:c>
      <x:c r="K133" s="53" t="n">
        <x:f>G133+I133-J133</x:f>
        <x:v>0</x:v>
      </x:c>
      <x:c r="L133" s="53" t="n">
        <x:f>SUM($J$7:J103)</x:f>
        <x:v>405398.0000000002</x:v>
      </x:c>
      <x:c r="M133" s="72"/>
      <x:c r="N133" s="72"/>
    </x:row>
    <x:row r="134">
      <x:c r="C134" s="20" t="n">
        <x:v>127</x:v>
      </x:c>
      <x:c r="D134" s="53" t="n">
        <x:f>IF(AND(C134&gt;=30,C134&lt;=39),8813,0)</x:f>
        <x:v>0</x:v>
      </x:c>
      <x:c r="E134" s="53" t="n">
        <x:f>IF(AND(C134&gt;=60,C134&lt;=79),15863.4,0)</x:f>
        <x:v>0</x:v>
      </x:c>
      <x:c r="F134" s="53" t="n">
        <x:f>IF(AND(C134&gt;=130,C134&lt;=159),27614.0667,0)</x:f>
        <x:v>0</x:v>
      </x:c>
      <x:c r="G134" s="53" t="n">
        <x:f>SUM(D134:F134)</x:f>
        <x:v>0</x:v>
      </x:c>
      <x:c r="H134" s="53" t="n">
        <x:f>35000</x:f>
        <x:v>35000</x:v>
      </x:c>
      <x:c r="I134" s="53" t="n">
        <x:f>K133</x:f>
        <x:v>0</x:v>
      </x:c>
      <x:c r="J134" s="53" t="n">
        <x:f>MIN(G134+I134,H134)</x:f>
        <x:v>0</x:v>
      </x:c>
      <x:c r="K134" s="53" t="n">
        <x:f>G134+I134-J134</x:f>
        <x:v>0</x:v>
      </x:c>
      <x:c r="L134" s="53" t="n">
        <x:f>SUM($J$7:J104)</x:f>
        <x:v>405398.0000000002</x:v>
      </x:c>
      <x:c r="M134" s="72"/>
      <x:c r="N134" s="72"/>
    </x:row>
    <x:row r="135">
      <x:c r="C135" s="20" t="n">
        <x:v>128</x:v>
      </x:c>
      <x:c r="D135" s="53" t="n">
        <x:f>IF(AND(C135&gt;=30,C135&lt;=39),8813,0)</x:f>
        <x:v>0</x:v>
      </x:c>
      <x:c r="E135" s="53" t="n">
        <x:f>IF(AND(C135&gt;=60,C135&lt;=79),15863.4,0)</x:f>
        <x:v>0</x:v>
      </x:c>
      <x:c r="F135" s="53" t="n">
        <x:f>IF(AND(C135&gt;=130,C135&lt;=159),27614.0667,0)</x:f>
        <x:v>0</x:v>
      </x:c>
      <x:c r="G135" s="53" t="n">
        <x:f>SUM(D135:F135)</x:f>
        <x:v>0</x:v>
      </x:c>
      <x:c r="H135" s="53" t="n">
        <x:f>35000</x:f>
        <x:v>35000</x:v>
      </x:c>
      <x:c r="I135" s="53" t="n">
        <x:f>K134</x:f>
        <x:v>0</x:v>
      </x:c>
      <x:c r="J135" s="53" t="n">
        <x:f>MIN(G135+I135,H135)</x:f>
        <x:v>0</x:v>
      </x:c>
      <x:c r="K135" s="53" t="n">
        <x:f>G135+I135-J135</x:f>
        <x:v>0</x:v>
      </x:c>
      <x:c r="L135" s="53" t="n">
        <x:f>SUM($J$7:J105)</x:f>
        <x:v>405398.0000000002</x:v>
      </x:c>
      <x:c r="M135" s="72"/>
      <x:c r="N135" s="72"/>
    </x:row>
    <x:row r="136">
      <x:c r="C136" s="20" t="n">
        <x:v>129</x:v>
      </x:c>
      <x:c r="D136" s="53" t="n">
        <x:f>IF(AND(C136&gt;=30,C136&lt;=39),8813,0)</x:f>
        <x:v>0</x:v>
      </x:c>
      <x:c r="E136" s="53" t="n">
        <x:f>IF(AND(C136&gt;=60,C136&lt;=79),15863.4,0)</x:f>
        <x:v>0</x:v>
      </x:c>
      <x:c r="F136" s="53" t="n">
        <x:f>IF(AND(C136&gt;=130,C136&lt;=159),27614.0667,0)</x:f>
        <x:v>0</x:v>
      </x:c>
      <x:c r="G136" s="53" t="n">
        <x:f>SUM(D136:F136)</x:f>
        <x:v>0</x:v>
      </x:c>
      <x:c r="H136" s="53" t="n">
        <x:f>35000</x:f>
        <x:v>35000</x:v>
      </x:c>
      <x:c r="I136" s="53" t="n">
        <x:f>K135</x:f>
        <x:v>0</x:v>
      </x:c>
      <x:c r="J136" s="53" t="n">
        <x:f>MIN(G136+I136,H136)</x:f>
        <x:v>0</x:v>
      </x:c>
      <x:c r="K136" s="53" t="n">
        <x:f>G136+I136-J136</x:f>
        <x:v>0</x:v>
      </x:c>
      <x:c r="L136" s="53" t="n">
        <x:f>SUM($J$7:J106)</x:f>
        <x:v>405398.0000000002</x:v>
      </x:c>
      <x:c r="M136" s="72"/>
      <x:c r="N136" s="72"/>
    </x:row>
    <x:row r="137">
      <x:c r="C137" s="20" t="n">
        <x:v>130</x:v>
      </x:c>
      <x:c r="D137" s="53" t="n">
        <x:f>IF(AND(C137&gt;=30,C137&lt;=39),8813,0)</x:f>
        <x:v>0</x:v>
      </x:c>
      <x:c r="E137" s="53" t="n">
        <x:f>IF(AND(C137&gt;=60,C137&lt;=79),15863.4,0)</x:f>
        <x:v>0</x:v>
      </x:c>
      <x:c r="F137" s="53" t="n">
        <x:f>IF(AND(C137&gt;=130,C137&lt;=159),27614.0667,0)</x:f>
        <x:v>27614.0667</x:v>
      </x:c>
      <x:c r="G137" s="53" t="n">
        <x:f>SUM(D137:F137)</x:f>
        <x:v>27614.0667</x:v>
      </x:c>
      <x:c r="H137" s="53" t="n">
        <x:f>35000</x:f>
        <x:v>35000</x:v>
      </x:c>
      <x:c r="I137" s="53" t="n">
        <x:f>K136</x:f>
        <x:v>0</x:v>
      </x:c>
      <x:c r="J137" s="53" t="n">
        <x:f>MIN(G137+I137,H137)</x:f>
        <x:v>27614.0667</x:v>
      </x:c>
      <x:c r="K137" s="53" t="n">
        <x:f>G137+I137-J137</x:f>
        <x:v>0</x:v>
      </x:c>
      <x:c r="L137" s="53" t="n">
        <x:f>SUM($J$7:J107)</x:f>
        <x:v>405398.0000000002</x:v>
      </x:c>
      <x:c r="M137" s="72"/>
      <x:c r="N137" s="72"/>
    </x:row>
    <x:row r="138">
      <x:c r="C138" s="20" t="n">
        <x:v>131</x:v>
      </x:c>
      <x:c r="D138" s="53" t="n">
        <x:f>IF(AND(C138&gt;=30,C138&lt;=39),8813,0)</x:f>
        <x:v>0</x:v>
      </x:c>
      <x:c r="E138" s="53" t="n">
        <x:f>IF(AND(C138&gt;=60,C138&lt;=79),15863.4,0)</x:f>
        <x:v>0</x:v>
      </x:c>
      <x:c r="F138" s="53" t="n">
        <x:f>IF(AND(C138&gt;=130,C138&lt;=159),27614.0667,0)</x:f>
        <x:v>27614.0667</x:v>
      </x:c>
      <x:c r="G138" s="53" t="n">
        <x:f>SUM(D138:F138)</x:f>
        <x:v>27614.0667</x:v>
      </x:c>
      <x:c r="H138" s="53" t="n">
        <x:f>35000</x:f>
        <x:v>35000</x:v>
      </x:c>
      <x:c r="I138" s="53" t="n">
        <x:f>K137</x:f>
        <x:v>0</x:v>
      </x:c>
      <x:c r="J138" s="53" t="n">
        <x:f>MIN(G138+I138,H138)</x:f>
        <x:v>27614.0667</x:v>
      </x:c>
      <x:c r="K138" s="53" t="n">
        <x:f>G138+I138-J138</x:f>
        <x:v>0</x:v>
      </x:c>
      <x:c r="L138" s="53" t="n">
        <x:f>SUM($J$7:J108)</x:f>
        <x:v>405398.0000000002</x:v>
      </x:c>
      <x:c r="M138" s="72"/>
      <x:c r="N138" s="72"/>
    </x:row>
    <x:row r="139">
      <x:c r="C139" s="20" t="n">
        <x:v>132</x:v>
      </x:c>
      <x:c r="D139" s="53" t="n">
        <x:f>IF(AND(C139&gt;=30,C139&lt;=39),8813,0)</x:f>
        <x:v>0</x:v>
      </x:c>
      <x:c r="E139" s="53" t="n">
        <x:f>IF(AND(C139&gt;=60,C139&lt;=79),15863.4,0)</x:f>
        <x:v>0</x:v>
      </x:c>
      <x:c r="F139" s="53" t="n">
        <x:f>IF(AND(C139&gt;=130,C139&lt;=159),27614.0667,0)</x:f>
        <x:v>27614.0667</x:v>
      </x:c>
      <x:c r="G139" s="53" t="n">
        <x:f>SUM(D139:F139)</x:f>
        <x:v>27614.0667</x:v>
      </x:c>
      <x:c r="H139" s="53" t="n">
        <x:f>35000</x:f>
        <x:v>35000</x:v>
      </x:c>
      <x:c r="I139" s="53" t="n">
        <x:f>K138</x:f>
        <x:v>0</x:v>
      </x:c>
      <x:c r="J139" s="53" t="n">
        <x:f>MIN(G139+I139,H139)</x:f>
        <x:v>27614.0667</x:v>
      </x:c>
      <x:c r="K139" s="53" t="n">
        <x:f>G139+I139-J139</x:f>
        <x:v>0</x:v>
      </x:c>
      <x:c r="L139" s="53" t="n">
        <x:f>SUM($J$7:J109)</x:f>
        <x:v>405398.0000000002</x:v>
      </x:c>
      <x:c r="M139" s="72"/>
      <x:c r="N139" s="72"/>
    </x:row>
    <x:row r="140">
      <x:c r="C140" s="20" t="n">
        <x:v>133</x:v>
      </x:c>
      <x:c r="D140" s="53" t="n">
        <x:f>IF(AND(C140&gt;=30,C140&lt;=39),8813,0)</x:f>
        <x:v>0</x:v>
      </x:c>
      <x:c r="E140" s="53" t="n">
        <x:f>IF(AND(C140&gt;=60,C140&lt;=79),15863.4,0)</x:f>
        <x:v>0</x:v>
      </x:c>
      <x:c r="F140" s="53" t="n">
        <x:f>IF(AND(C140&gt;=130,C140&lt;=159),27614.0667,0)</x:f>
        <x:v>27614.0667</x:v>
      </x:c>
      <x:c r="G140" s="53" t="n">
        <x:f>SUM(D140:F140)</x:f>
        <x:v>27614.0667</x:v>
      </x:c>
      <x:c r="H140" s="53" t="n">
        <x:f>35000</x:f>
        <x:v>35000</x:v>
      </x:c>
      <x:c r="I140" s="53" t="n">
        <x:f>K139</x:f>
        <x:v>0</x:v>
      </x:c>
      <x:c r="J140" s="53" t="n">
        <x:f>MIN(G140+I140,H140)</x:f>
        <x:v>27614.0667</x:v>
      </x:c>
      <x:c r="K140" s="53" t="n">
        <x:f>G140+I140-J140</x:f>
        <x:v>0</x:v>
      </x:c>
      <x:c r="L140" s="53" t="n">
        <x:f>SUM($J$7:J110)</x:f>
        <x:v>405398.0000000002</x:v>
      </x:c>
      <x:c r="M140" s="72"/>
      <x:c r="N140" s="72"/>
    </x:row>
    <x:row r="141">
      <x:c r="C141" s="20" t="n">
        <x:v>134</x:v>
      </x:c>
      <x:c r="D141" s="53" t="n">
        <x:f>IF(AND(C141&gt;=30,C141&lt;=39),8813,0)</x:f>
        <x:v>0</x:v>
      </x:c>
      <x:c r="E141" s="53" t="n">
        <x:f>IF(AND(C141&gt;=60,C141&lt;=79),15863.4,0)</x:f>
        <x:v>0</x:v>
      </x:c>
      <x:c r="F141" s="53" t="n">
        <x:f>IF(AND(C141&gt;=130,C141&lt;=159),27614.0667,0)</x:f>
        <x:v>27614.0667</x:v>
      </x:c>
      <x:c r="G141" s="53" t="n">
        <x:f>SUM(D141:F141)</x:f>
        <x:v>27614.0667</x:v>
      </x:c>
      <x:c r="H141" s="53" t="n">
        <x:f>35000</x:f>
        <x:v>35000</x:v>
      </x:c>
      <x:c r="I141" s="53" t="n">
        <x:f>K140</x:f>
        <x:v>0</x:v>
      </x:c>
      <x:c r="J141" s="53" t="n">
        <x:f>MIN(G141+I141,H141)</x:f>
        <x:v>27614.0667</x:v>
      </x:c>
      <x:c r="K141" s="53" t="n">
        <x:f>G141+I141-J141</x:f>
        <x:v>0</x:v>
      </x:c>
      <x:c r="L141" s="53" t="n">
        <x:f>SUM($J$7:J111)</x:f>
        <x:v>405398.0000000002</x:v>
      </x:c>
      <x:c r="M141" s="72"/>
      <x:c r="N141" s="72"/>
    </x:row>
    <x:row r="142">
      <x:c r="C142" s="20" t="n">
        <x:v>135</x:v>
      </x:c>
      <x:c r="D142" s="53" t="n">
        <x:f>IF(AND(C142&gt;=30,C142&lt;=39),8813,0)</x:f>
        <x:v>0</x:v>
      </x:c>
      <x:c r="E142" s="53" t="n">
        <x:f>IF(AND(C142&gt;=60,C142&lt;=79),15863.4,0)</x:f>
        <x:v>0</x:v>
      </x:c>
      <x:c r="F142" s="53" t="n">
        <x:f>IF(AND(C142&gt;=130,C142&lt;=159),27614.0667,0)</x:f>
        <x:v>27614.0667</x:v>
      </x:c>
      <x:c r="G142" s="53" t="n">
        <x:f>SUM(D142:F142)</x:f>
        <x:v>27614.0667</x:v>
      </x:c>
      <x:c r="H142" s="53" t="n">
        <x:f>35000</x:f>
        <x:v>35000</x:v>
      </x:c>
      <x:c r="I142" s="53" t="n">
        <x:f>K141</x:f>
        <x:v>0</x:v>
      </x:c>
      <x:c r="J142" s="53" t="n">
        <x:f>MIN(G142+I142,H142)</x:f>
        <x:v>27614.0667</x:v>
      </x:c>
      <x:c r="K142" s="53" t="n">
        <x:f>G142+I142-J142</x:f>
        <x:v>0</x:v>
      </x:c>
      <x:c r="L142" s="53" t="n">
        <x:f>SUM($J$7:J112)</x:f>
        <x:v>405398.0000000002</x:v>
      </x:c>
      <x:c r="M142" s="72"/>
      <x:c r="N142" s="72"/>
    </x:row>
    <x:row r="143">
      <x:c r="C143" s="20" t="n">
        <x:v>136</x:v>
      </x:c>
      <x:c r="D143" s="53" t="n">
        <x:f>IF(AND(C143&gt;=30,C143&lt;=39),8813,0)</x:f>
        <x:v>0</x:v>
      </x:c>
      <x:c r="E143" s="53" t="n">
        <x:f>IF(AND(C143&gt;=60,C143&lt;=79),15863.4,0)</x:f>
        <x:v>0</x:v>
      </x:c>
      <x:c r="F143" s="53" t="n">
        <x:f>IF(AND(C143&gt;=130,C143&lt;=159),27614.0667,0)</x:f>
        <x:v>27614.0667</x:v>
      </x:c>
      <x:c r="G143" s="53" t="n">
        <x:f>SUM(D143:F143)</x:f>
        <x:v>27614.0667</x:v>
      </x:c>
      <x:c r="H143" s="53" t="n">
        <x:f>35000</x:f>
        <x:v>35000</x:v>
      </x:c>
      <x:c r="I143" s="53" t="n">
        <x:f>K142</x:f>
        <x:v>0</x:v>
      </x:c>
      <x:c r="J143" s="53" t="n">
        <x:f>MIN(G143+I143,H143)</x:f>
        <x:v>27614.0667</x:v>
      </x:c>
      <x:c r="K143" s="53" t="n">
        <x:f>G143+I143-J143</x:f>
        <x:v>0</x:v>
      </x:c>
      <x:c r="L143" s="53" t="n">
        <x:f>SUM($J$7:J113)</x:f>
        <x:v>405398.0000000002</x:v>
      </x:c>
      <x:c r="M143" s="72"/>
      <x:c r="N143" s="72"/>
    </x:row>
    <x:row r="144">
      <x:c r="C144" s="20" t="n">
        <x:v>137</x:v>
      </x:c>
      <x:c r="D144" s="53" t="n">
        <x:f>IF(AND(C144&gt;=30,C144&lt;=39),8813,0)</x:f>
        <x:v>0</x:v>
      </x:c>
      <x:c r="E144" s="53" t="n">
        <x:f>IF(AND(C144&gt;=60,C144&lt;=79),15863.4,0)</x:f>
        <x:v>0</x:v>
      </x:c>
      <x:c r="F144" s="53" t="n">
        <x:f>IF(AND(C144&gt;=130,C144&lt;=159),27614.0667,0)</x:f>
        <x:v>27614.0667</x:v>
      </x:c>
      <x:c r="G144" s="53" t="n">
        <x:f>SUM(D144:F144)</x:f>
        <x:v>27614.0667</x:v>
      </x:c>
      <x:c r="H144" s="53" t="n">
        <x:f>35000</x:f>
        <x:v>35000</x:v>
      </x:c>
      <x:c r="I144" s="53" t="n">
        <x:f>K143</x:f>
        <x:v>0</x:v>
      </x:c>
      <x:c r="J144" s="53" t="n">
        <x:f>MIN(G144+I144,H144)</x:f>
        <x:v>27614.0667</x:v>
      </x:c>
      <x:c r="K144" s="53" t="n">
        <x:f>G144+I144-J144</x:f>
        <x:v>0</x:v>
      </x:c>
      <x:c r="L144" s="53" t="n">
        <x:f>SUM($J$7:J114)</x:f>
        <x:v>405398.0000000002</x:v>
      </x:c>
      <x:c r="M144" s="72"/>
      <x:c r="N144" s="72"/>
    </x:row>
    <x:row r="145">
      <x:c r="C145" s="20" t="n">
        <x:v>138</x:v>
      </x:c>
      <x:c r="D145" s="53" t="n">
        <x:f>IF(AND(C145&gt;=30,C145&lt;=39),8813,0)</x:f>
        <x:v>0</x:v>
      </x:c>
      <x:c r="E145" s="53" t="n">
        <x:f>IF(AND(C145&gt;=60,C145&lt;=79),15863.4,0)</x:f>
        <x:v>0</x:v>
      </x:c>
      <x:c r="F145" s="53" t="n">
        <x:f>IF(AND(C145&gt;=130,C145&lt;=159),27614.0667,0)</x:f>
        <x:v>27614.0667</x:v>
      </x:c>
      <x:c r="G145" s="53" t="n">
        <x:f>SUM(D145:F145)</x:f>
        <x:v>27614.0667</x:v>
      </x:c>
      <x:c r="H145" s="53" t="n">
        <x:f>35000</x:f>
        <x:v>35000</x:v>
      </x:c>
      <x:c r="I145" s="53" t="n">
        <x:f>K144</x:f>
        <x:v>0</x:v>
      </x:c>
      <x:c r="J145" s="53" t="n">
        <x:f>MIN(G145+I145,H145)</x:f>
        <x:v>27614.0667</x:v>
      </x:c>
      <x:c r="K145" s="53" t="n">
        <x:f>G145+I145-J145</x:f>
        <x:v>0</x:v>
      </x:c>
      <x:c r="L145" s="53" t="n">
        <x:f>SUM($J$7:J115)</x:f>
        <x:v>405398.0000000002</x:v>
      </x:c>
      <x:c r="M145" s="72"/>
      <x:c r="N145" s="72"/>
    </x:row>
    <x:row r="146">
      <x:c r="C146" s="20" t="n">
        <x:v>139</x:v>
      </x:c>
      <x:c r="D146" s="53" t="n">
        <x:f>IF(AND(C146&gt;=30,C146&lt;=39),8813,0)</x:f>
        <x:v>0</x:v>
      </x:c>
      <x:c r="E146" s="53" t="n">
        <x:f>IF(AND(C146&gt;=60,C146&lt;=79),15863.4,0)</x:f>
        <x:v>0</x:v>
      </x:c>
      <x:c r="F146" s="53" t="n">
        <x:f>IF(AND(C146&gt;=130,C146&lt;=159),27614.0667,0)</x:f>
        <x:v>27614.0667</x:v>
      </x:c>
      <x:c r="G146" s="53" t="n">
        <x:f>SUM(D146:F146)</x:f>
        <x:v>27614.0667</x:v>
      </x:c>
      <x:c r="H146" s="53" t="n">
        <x:f>35000</x:f>
        <x:v>35000</x:v>
      </x:c>
      <x:c r="I146" s="53" t="n">
        <x:f>K145</x:f>
        <x:v>0</x:v>
      </x:c>
      <x:c r="J146" s="53" t="n">
        <x:f>MIN(G146+I146,H146)</x:f>
        <x:v>27614.0667</x:v>
      </x:c>
      <x:c r="K146" s="53" t="n">
        <x:f>G146+I146-J146</x:f>
        <x:v>0</x:v>
      </x:c>
      <x:c r="L146" s="53" t="n">
        <x:f>SUM($J$7:J116)</x:f>
        <x:v>405398.0000000002</x:v>
      </x:c>
      <x:c r="M146" s="72"/>
      <x:c r="N146" s="72"/>
    </x:row>
    <x:row r="147">
      <x:c r="C147" s="20" t="n">
        <x:v>140</x:v>
      </x:c>
      <x:c r="D147" s="53" t="n">
        <x:f>IF(AND(C147&gt;=30,C147&lt;=39),8813,0)</x:f>
        <x:v>0</x:v>
      </x:c>
      <x:c r="E147" s="53" t="n">
        <x:f>IF(AND(C147&gt;=60,C147&lt;=79),15863.4,0)</x:f>
        <x:v>0</x:v>
      </x:c>
      <x:c r="F147" s="53" t="n">
        <x:f>IF(AND(C147&gt;=130,C147&lt;=159),27614.0667,0)</x:f>
        <x:v>27614.0667</x:v>
      </x:c>
      <x:c r="G147" s="53" t="n">
        <x:f>SUM(D147:F147)</x:f>
        <x:v>27614.0667</x:v>
      </x:c>
      <x:c r="H147" s="53" t="n">
        <x:f>35000</x:f>
        <x:v>35000</x:v>
      </x:c>
      <x:c r="I147" s="53" t="n">
        <x:f>K146</x:f>
        <x:v>0</x:v>
      </x:c>
      <x:c r="J147" s="53" t="n">
        <x:f>MIN(G147+I147,H147)</x:f>
        <x:v>27614.0667</x:v>
      </x:c>
      <x:c r="K147" s="53" t="n">
        <x:f>G147+I147-J147</x:f>
        <x:v>0</x:v>
      </x:c>
      <x:c r="L147" s="53" t="n">
        <x:f>SUM($J$7:J117)</x:f>
        <x:v>405398.0000000002</x:v>
      </x:c>
      <x:c r="M147" s="72"/>
      <x:c r="N147" s="72"/>
    </x:row>
    <x:row r="148">
      <x:c r="C148" s="20" t="n">
        <x:v>141</x:v>
      </x:c>
      <x:c r="D148" s="53" t="n">
        <x:f>IF(AND(C148&gt;=30,C148&lt;=39),8813,0)</x:f>
        <x:v>0</x:v>
      </x:c>
      <x:c r="E148" s="53" t="n">
        <x:f>IF(AND(C148&gt;=60,C148&lt;=79),15863.4,0)</x:f>
        <x:v>0</x:v>
      </x:c>
      <x:c r="F148" s="53" t="n">
        <x:f>IF(AND(C148&gt;=130,C148&lt;=159),27614.0667,0)</x:f>
        <x:v>27614.0667</x:v>
      </x:c>
      <x:c r="G148" s="53" t="n">
        <x:f>SUM(D148:F148)</x:f>
        <x:v>27614.0667</x:v>
      </x:c>
      <x:c r="H148" s="53" t="n">
        <x:f>35000</x:f>
        <x:v>35000</x:v>
      </x:c>
      <x:c r="I148" s="53" t="n">
        <x:f>K147</x:f>
        <x:v>0</x:v>
      </x:c>
      <x:c r="J148" s="53" t="n">
        <x:f>MIN(G148+I148,H148)</x:f>
        <x:v>27614.0667</x:v>
      </x:c>
      <x:c r="K148" s="53" t="n">
        <x:f>G148+I148-J148</x:f>
        <x:v>0</x:v>
      </x:c>
      <x:c r="L148" s="53" t="n">
        <x:f>SUM($J$7:J118)</x:f>
        <x:v>405398.0000000002</x:v>
      </x:c>
      <x:c r="M148" s="72"/>
      <x:c r="N148" s="72"/>
    </x:row>
    <x:row r="149">
      <x:c r="C149" s="20" t="n">
        <x:v>142</x:v>
      </x:c>
      <x:c r="D149" s="53" t="n">
        <x:f>IF(AND(C149&gt;=30,C149&lt;=39),8813,0)</x:f>
        <x:v>0</x:v>
      </x:c>
      <x:c r="E149" s="53" t="n">
        <x:f>IF(AND(C149&gt;=60,C149&lt;=79),15863.4,0)</x:f>
        <x:v>0</x:v>
      </x:c>
      <x:c r="F149" s="53" t="n">
        <x:f>IF(AND(C149&gt;=130,C149&lt;=159),27614.0667,0)</x:f>
        <x:v>27614.0667</x:v>
      </x:c>
      <x:c r="G149" s="53" t="n">
        <x:f>SUM(D149:F149)</x:f>
        <x:v>27614.0667</x:v>
      </x:c>
      <x:c r="H149" s="53" t="n">
        <x:f>35000</x:f>
        <x:v>35000</x:v>
      </x:c>
      <x:c r="I149" s="53" t="n">
        <x:f>K148</x:f>
        <x:v>0</x:v>
      </x:c>
      <x:c r="J149" s="53" t="n">
        <x:f>MIN(G149+I149,H149)</x:f>
        <x:v>27614.0667</x:v>
      </x:c>
      <x:c r="K149" s="53" t="n">
        <x:f>G149+I149-J149</x:f>
        <x:v>0</x:v>
      </x:c>
      <x:c r="L149" s="53" t="n">
        <x:f>SUM($J$7:J119)</x:f>
        <x:v>405398.0000000002</x:v>
      </x:c>
      <x:c r="M149" s="72"/>
      <x:c r="N149" s="72"/>
    </x:row>
    <x:row r="150">
      <x:c r="C150" s="20" t="n">
        <x:v>143</x:v>
      </x:c>
      <x:c r="D150" s="53" t="n">
        <x:f>IF(AND(C150&gt;=30,C150&lt;=39),8813,0)</x:f>
        <x:v>0</x:v>
      </x:c>
      <x:c r="E150" s="53" t="n">
        <x:f>IF(AND(C150&gt;=60,C150&lt;=79),15863.4,0)</x:f>
        <x:v>0</x:v>
      </x:c>
      <x:c r="F150" s="53" t="n">
        <x:f>IF(AND(C150&gt;=130,C150&lt;=159),27614.0667,0)</x:f>
        <x:v>27614.0667</x:v>
      </x:c>
      <x:c r="G150" s="53" t="n">
        <x:f>SUM(D150:F150)</x:f>
        <x:v>27614.0667</x:v>
      </x:c>
      <x:c r="H150" s="53" t="n">
        <x:f>35000</x:f>
        <x:v>35000</x:v>
      </x:c>
      <x:c r="I150" s="53" t="n">
        <x:f>K149</x:f>
        <x:v>0</x:v>
      </x:c>
      <x:c r="J150" s="53" t="n">
        <x:f>MIN(G150+I150,H150)</x:f>
        <x:v>27614.0667</x:v>
      </x:c>
      <x:c r="K150" s="53" t="n">
        <x:f>G150+I150-J150</x:f>
        <x:v>0</x:v>
      </x:c>
      <x:c r="L150" s="53" t="n">
        <x:f>SUM($J$7:J120)</x:f>
        <x:v>405398.0000000002</x:v>
      </x:c>
      <x:c r="M150" s="72"/>
      <x:c r="N150" s="72"/>
    </x:row>
    <x:row r="151">
      <x:c r="C151" s="20" t="n">
        <x:v>144</x:v>
      </x:c>
      <x:c r="D151" s="53" t="n">
        <x:f>IF(AND(C151&gt;=30,C151&lt;=39),8813,0)</x:f>
        <x:v>0</x:v>
      </x:c>
      <x:c r="E151" s="53" t="n">
        <x:f>IF(AND(C151&gt;=60,C151&lt;=79),15863.4,0)</x:f>
        <x:v>0</x:v>
      </x:c>
      <x:c r="F151" s="53" t="n">
        <x:f>IF(AND(C151&gt;=130,C151&lt;=159),27614.0667,0)</x:f>
        <x:v>27614.0667</x:v>
      </x:c>
      <x:c r="G151" s="53" t="n">
        <x:f>SUM(D151:F151)</x:f>
        <x:v>27614.0667</x:v>
      </x:c>
      <x:c r="H151" s="53" t="n">
        <x:f>35000</x:f>
        <x:v>35000</x:v>
      </x:c>
      <x:c r="I151" s="53" t="n">
        <x:f>K150</x:f>
        <x:v>0</x:v>
      </x:c>
      <x:c r="J151" s="53" t="n">
        <x:f>MIN(G151+I151,H151)</x:f>
        <x:v>27614.0667</x:v>
      </x:c>
      <x:c r="K151" s="53" t="n">
        <x:f>G151+I151-J151</x:f>
        <x:v>0</x:v>
      </x:c>
      <x:c r="L151" s="53" t="n">
        <x:f>SUM($J$7:J121)</x:f>
        <x:v>405398.0000000002</x:v>
      </x:c>
      <x:c r="M151" s="72"/>
      <x:c r="N151" s="72"/>
    </x:row>
    <x:row r="152">
      <x:c r="C152" s="20" t="n">
        <x:v>145</x:v>
      </x:c>
      <x:c r="D152" s="53" t="n">
        <x:f>IF(AND(C152&gt;=30,C152&lt;=39),8813,0)</x:f>
        <x:v>0</x:v>
      </x:c>
      <x:c r="E152" s="53" t="n">
        <x:f>IF(AND(C152&gt;=60,C152&lt;=79),15863.4,0)</x:f>
        <x:v>0</x:v>
      </x:c>
      <x:c r="F152" s="53" t="n">
        <x:f>IF(AND(C152&gt;=130,C152&lt;=159),27614.0667,0)</x:f>
        <x:v>27614.0667</x:v>
      </x:c>
      <x:c r="G152" s="53" t="n">
        <x:f>SUM(D152:F152)</x:f>
        <x:v>27614.0667</x:v>
      </x:c>
      <x:c r="H152" s="53" t="n">
        <x:f>35000</x:f>
        <x:v>35000</x:v>
      </x:c>
      <x:c r="I152" s="53" t="n">
        <x:f>K151</x:f>
        <x:v>0</x:v>
      </x:c>
      <x:c r="J152" s="53" t="n">
        <x:f>MIN(G152+I152,H152)</x:f>
        <x:v>27614.0667</x:v>
      </x:c>
      <x:c r="K152" s="53" t="n">
        <x:f>G152+I152-J152</x:f>
        <x:v>0</x:v>
      </x:c>
      <x:c r="L152" s="53" t="n">
        <x:f>SUM($J$7:J122)</x:f>
        <x:v>405398.0000000002</x:v>
      </x:c>
      <x:c r="M152" s="72"/>
      <x:c r="N152" s="72"/>
    </x:row>
    <x:row r="153">
      <x:c r="C153" s="20" t="n">
        <x:v>146</x:v>
      </x:c>
      <x:c r="D153" s="53" t="n">
        <x:f>IF(AND(C153&gt;=30,C153&lt;=39),8813,0)</x:f>
        <x:v>0</x:v>
      </x:c>
      <x:c r="E153" s="53" t="n">
        <x:f>IF(AND(C153&gt;=60,C153&lt;=79),15863.4,0)</x:f>
        <x:v>0</x:v>
      </x:c>
      <x:c r="F153" s="53" t="n">
        <x:f>IF(AND(C153&gt;=130,C153&lt;=159),27614.0667,0)</x:f>
        <x:v>27614.0667</x:v>
      </x:c>
      <x:c r="G153" s="53" t="n">
        <x:f>SUM(D153:F153)</x:f>
        <x:v>27614.0667</x:v>
      </x:c>
      <x:c r="H153" s="53" t="n">
        <x:f>35000</x:f>
        <x:v>35000</x:v>
      </x:c>
      <x:c r="I153" s="53" t="n">
        <x:f>K152</x:f>
        <x:v>0</x:v>
      </x:c>
      <x:c r="J153" s="53" t="n">
        <x:f>MIN(G153+I153,H153)</x:f>
        <x:v>27614.0667</x:v>
      </x:c>
      <x:c r="K153" s="53" t="n">
        <x:f>G153+I153-J153</x:f>
        <x:v>0</x:v>
      </x:c>
      <x:c r="L153" s="53" t="n">
        <x:f>SUM($J$7:J123)</x:f>
        <x:v>405398.0000000002</x:v>
      </x:c>
      <x:c r="M153" s="72"/>
      <x:c r="N153" s="72"/>
    </x:row>
    <x:row r="154">
      <x:c r="C154" s="20" t="n">
        <x:v>147</x:v>
      </x:c>
      <x:c r="D154" s="53" t="n">
        <x:f>IF(AND(C154&gt;=30,C154&lt;=39),8813,0)</x:f>
        <x:v>0</x:v>
      </x:c>
      <x:c r="E154" s="53" t="n">
        <x:f>IF(AND(C154&gt;=60,C154&lt;=79),15863.4,0)</x:f>
        <x:v>0</x:v>
      </x:c>
      <x:c r="F154" s="53" t="n">
        <x:f>IF(AND(C154&gt;=130,C154&lt;=159),27614.0667,0)</x:f>
        <x:v>27614.0667</x:v>
      </x:c>
      <x:c r="G154" s="53" t="n">
        <x:f>SUM(D154:F154)</x:f>
        <x:v>27614.0667</x:v>
      </x:c>
      <x:c r="H154" s="53" t="n">
        <x:f>35000</x:f>
        <x:v>35000</x:v>
      </x:c>
      <x:c r="I154" s="53" t="n">
        <x:f>K153</x:f>
        <x:v>0</x:v>
      </x:c>
      <x:c r="J154" s="53" t="n">
        <x:f>MIN(G154+I154,H154)</x:f>
        <x:v>27614.0667</x:v>
      </x:c>
      <x:c r="K154" s="53" t="n">
        <x:f>G154+I154-J154</x:f>
        <x:v>0</x:v>
      </x:c>
      <x:c r="L154" s="53" t="n">
        <x:f>SUM($J$7:J124)</x:f>
        <x:v>405398.0000000002</x:v>
      </x:c>
      <x:c r="M154" s="72"/>
      <x:c r="N154" s="72"/>
    </x:row>
    <x:row r="155">
      <x:c r="C155" s="20" t="n">
        <x:v>148</x:v>
      </x:c>
      <x:c r="D155" s="53" t="n">
        <x:f>IF(AND(C155&gt;=30,C155&lt;=39),8813,0)</x:f>
        <x:v>0</x:v>
      </x:c>
      <x:c r="E155" s="53" t="n">
        <x:f>IF(AND(C155&gt;=60,C155&lt;=79),15863.4,0)</x:f>
        <x:v>0</x:v>
      </x:c>
      <x:c r="F155" s="53" t="n">
        <x:f>IF(AND(C155&gt;=130,C155&lt;=159),27614.0667,0)</x:f>
        <x:v>27614.0667</x:v>
      </x:c>
      <x:c r="G155" s="53" t="n">
        <x:f>SUM(D155:F155)</x:f>
        <x:v>27614.0667</x:v>
      </x:c>
      <x:c r="H155" s="53" t="n">
        <x:f>35000</x:f>
        <x:v>35000</x:v>
      </x:c>
      <x:c r="I155" s="53" t="n">
        <x:f>K154</x:f>
        <x:v>0</x:v>
      </x:c>
      <x:c r="J155" s="53" t="n">
        <x:f>MIN(G155+I155,H155)</x:f>
        <x:v>27614.0667</x:v>
      </x:c>
      <x:c r="K155" s="53" t="n">
        <x:f>G155+I155-J155</x:f>
        <x:v>0</x:v>
      </x:c>
      <x:c r="L155" s="53" t="n">
        <x:f>SUM($J$7:J125)</x:f>
        <x:v>405398.0000000002</x:v>
      </x:c>
      <x:c r="M155" s="72"/>
      <x:c r="N155" s="72"/>
    </x:row>
    <x:row r="156">
      <x:c r="C156" s="20" t="n">
        <x:v>149</x:v>
      </x:c>
      <x:c r="D156" s="53" t="n">
        <x:f>IF(AND(C156&gt;=30,C156&lt;=39),8813,0)</x:f>
        <x:v>0</x:v>
      </x:c>
      <x:c r="E156" s="53" t="n">
        <x:f>IF(AND(C156&gt;=60,C156&lt;=79),15863.4,0)</x:f>
        <x:v>0</x:v>
      </x:c>
      <x:c r="F156" s="53" t="n">
        <x:f>IF(AND(C156&gt;=130,C156&lt;=159),27614.0667,0)</x:f>
        <x:v>27614.0667</x:v>
      </x:c>
      <x:c r="G156" s="53" t="n">
        <x:f>SUM(D156:F156)</x:f>
        <x:v>27614.0667</x:v>
      </x:c>
      <x:c r="H156" s="53" t="n">
        <x:f>35000</x:f>
        <x:v>35000</x:v>
      </x:c>
      <x:c r="I156" s="53" t="n">
        <x:f>K155</x:f>
        <x:v>0</x:v>
      </x:c>
      <x:c r="J156" s="53" t="n">
        <x:f>MIN(G156+I156,H156)</x:f>
        <x:v>27614.0667</x:v>
      </x:c>
      <x:c r="K156" s="53" t="n">
        <x:f>G156+I156-J156</x:f>
        <x:v>0</x:v>
      </x:c>
      <x:c r="L156" s="53" t="n">
        <x:f>SUM($J$7:J126)</x:f>
        <x:v>405398.0000000002</x:v>
      </x:c>
      <x:c r="M156" s="72"/>
      <x:c r="N156" s="72"/>
    </x:row>
    <x:row r="157">
      <x:c r="C157" s="20" t="n">
        <x:v>150</x:v>
      </x:c>
      <x:c r="D157" s="53" t="n">
        <x:f>IF(AND(C157&gt;=30,C157&lt;=39),8813,0)</x:f>
        <x:v>0</x:v>
      </x:c>
      <x:c r="E157" s="53" t="n">
        <x:f>IF(AND(C157&gt;=60,C157&lt;=79),15863.4,0)</x:f>
        <x:v>0</x:v>
      </x:c>
      <x:c r="F157" s="53" t="n">
        <x:f>IF(AND(C157&gt;=130,C157&lt;=159),27614.0667,0)</x:f>
        <x:v>27614.0667</x:v>
      </x:c>
      <x:c r="G157" s="53" t="n">
        <x:f>SUM(D157:F157)</x:f>
        <x:v>27614.0667</x:v>
      </x:c>
      <x:c r="H157" s="53" t="n">
        <x:f>35000</x:f>
        <x:v>35000</x:v>
      </x:c>
      <x:c r="I157" s="53" t="n">
        <x:f>K156</x:f>
        <x:v>0</x:v>
      </x:c>
      <x:c r="J157" s="53" t="n">
        <x:f>MIN(G157+I157,H157)</x:f>
        <x:v>27614.0667</x:v>
      </x:c>
      <x:c r="K157" s="53" t="n">
        <x:f>G157+I157-J157</x:f>
        <x:v>0</x:v>
      </x:c>
      <x:c r="L157" s="53" t="n">
        <x:f>SUM($J$7:J127)</x:f>
        <x:v>405398.0000000002</x:v>
      </x:c>
      <x:c r="M157" s="72"/>
      <x:c r="N157" s="72"/>
    </x:row>
    <x:row r="158">
      <x:c r="C158" s="20" t="n">
        <x:v>151</x:v>
      </x:c>
      <x:c r="D158" s="53" t="n">
        <x:f>IF(AND(C158&gt;=30,C158&lt;=39),8813,0)</x:f>
        <x:v>0</x:v>
      </x:c>
      <x:c r="E158" s="53" t="n">
        <x:f>IF(AND(C158&gt;=60,C158&lt;=79),15863.4,0)</x:f>
        <x:v>0</x:v>
      </x:c>
      <x:c r="F158" s="53" t="n">
        <x:f>IF(AND(C158&gt;=130,C158&lt;=159),27614.0667,0)</x:f>
        <x:v>27614.0667</x:v>
      </x:c>
      <x:c r="G158" s="53" t="n">
        <x:f>SUM(D158:F158)</x:f>
        <x:v>27614.0667</x:v>
      </x:c>
      <x:c r="H158" s="53" t="n">
        <x:f>35000</x:f>
        <x:v>35000</x:v>
      </x:c>
      <x:c r="I158" s="53" t="n">
        <x:f>K157</x:f>
        <x:v>0</x:v>
      </x:c>
      <x:c r="J158" s="53" t="n">
        <x:f>MIN(G158+I158,H158)</x:f>
        <x:v>27614.0667</x:v>
      </x:c>
      <x:c r="K158" s="53" t="n">
        <x:f>G158+I158-J158</x:f>
        <x:v>0</x:v>
      </x:c>
      <x:c r="L158" s="53" t="n">
        <x:f>SUM($J$7:J128)</x:f>
        <x:v>405398.0000000002</x:v>
      </x:c>
      <x:c r="M158" s="72"/>
      <x:c r="N158" s="72"/>
    </x:row>
    <x:row r="159">
      <x:c r="C159" s="20" t="n">
        <x:v>152</x:v>
      </x:c>
      <x:c r="D159" s="53" t="n">
        <x:f>IF(AND(C159&gt;=30,C159&lt;=39),8813,0)</x:f>
        <x:v>0</x:v>
      </x:c>
      <x:c r="E159" s="53" t="n">
        <x:f>IF(AND(C159&gt;=60,C159&lt;=79),15863.4,0)</x:f>
        <x:v>0</x:v>
      </x:c>
      <x:c r="F159" s="53" t="n">
        <x:f>IF(AND(C159&gt;=130,C159&lt;=159),27614.0667,0)</x:f>
        <x:v>27614.0667</x:v>
      </x:c>
      <x:c r="G159" s="53" t="n">
        <x:f>SUM(D159:F159)</x:f>
        <x:v>27614.0667</x:v>
      </x:c>
      <x:c r="H159" s="53" t="n">
        <x:f>35000</x:f>
        <x:v>35000</x:v>
      </x:c>
      <x:c r="I159" s="53" t="n">
        <x:f>K158</x:f>
        <x:v>0</x:v>
      </x:c>
      <x:c r="J159" s="53" t="n">
        <x:f>MIN(G159+I159,H159)</x:f>
        <x:v>27614.0667</x:v>
      </x:c>
      <x:c r="K159" s="53" t="n">
        <x:f>G159+I159-J159</x:f>
        <x:v>0</x:v>
      </x:c>
      <x:c r="L159" s="53" t="n">
        <x:f>SUM($J$7:J129)</x:f>
        <x:v>405398.0000000002</x:v>
      </x:c>
      <x:c r="M159" s="72"/>
      <x:c r="N159" s="72"/>
    </x:row>
    <x:row r="160">
      <x:c r="C160" s="20" t="n">
        <x:v>153</x:v>
      </x:c>
      <x:c r="D160" s="53" t="n">
        <x:f>IF(AND(C160&gt;=30,C160&lt;=39),8813,0)</x:f>
        <x:v>0</x:v>
      </x:c>
      <x:c r="E160" s="53" t="n">
        <x:f>IF(AND(C160&gt;=60,C160&lt;=79),15863.4,0)</x:f>
        <x:v>0</x:v>
      </x:c>
      <x:c r="F160" s="53" t="n">
        <x:f>IF(AND(C160&gt;=130,C160&lt;=159),27614.0667,0)</x:f>
        <x:v>27614.0667</x:v>
      </x:c>
      <x:c r="G160" s="53" t="n">
        <x:f>SUM(D160:F160)</x:f>
        <x:v>27614.0667</x:v>
      </x:c>
      <x:c r="H160" s="53" t="n">
        <x:f>35000</x:f>
        <x:v>35000</x:v>
      </x:c>
      <x:c r="I160" s="53" t="n">
        <x:f>K159</x:f>
        <x:v>0</x:v>
      </x:c>
      <x:c r="J160" s="53" t="n">
        <x:f>MIN(G160+I160,H160)</x:f>
        <x:v>27614.0667</x:v>
      </x:c>
      <x:c r="K160" s="53" t="n">
        <x:f>G160+I160-J160</x:f>
        <x:v>0</x:v>
      </x:c>
      <x:c r="L160" s="53" t="n">
        <x:f>SUM($J$7:J130)</x:f>
        <x:v>405398.0000000002</x:v>
      </x:c>
      <x:c r="M160" s="72"/>
      <x:c r="N160" s="72"/>
    </x:row>
    <x:row r="161">
      <x:c r="C161" s="20" t="n">
        <x:v>154</x:v>
      </x:c>
      <x:c r="D161" s="53" t="n">
        <x:f>IF(AND(C161&gt;=30,C161&lt;=39),8813,0)</x:f>
        <x:v>0</x:v>
      </x:c>
      <x:c r="E161" s="53" t="n">
        <x:f>IF(AND(C161&gt;=60,C161&lt;=79),15863.4,0)</x:f>
        <x:v>0</x:v>
      </x:c>
      <x:c r="F161" s="53" t="n">
        <x:f>IF(AND(C161&gt;=130,C161&lt;=159),27614.0667,0)</x:f>
        <x:v>27614.0667</x:v>
      </x:c>
      <x:c r="G161" s="53" t="n">
        <x:f>SUM(D161:F161)</x:f>
        <x:v>27614.0667</x:v>
      </x:c>
      <x:c r="H161" s="53" t="n">
        <x:f>35000</x:f>
        <x:v>35000</x:v>
      </x:c>
      <x:c r="I161" s="53" t="n">
        <x:f>K160</x:f>
        <x:v>0</x:v>
      </x:c>
      <x:c r="J161" s="53" t="n">
        <x:f>MIN(G161+I161,H161)</x:f>
        <x:v>27614.0667</x:v>
      </x:c>
      <x:c r="K161" s="53" t="n">
        <x:f>G161+I161-J161</x:f>
        <x:v>0</x:v>
      </x:c>
      <x:c r="L161" s="53" t="n">
        <x:f>SUM($J$7:J131)</x:f>
        <x:v>405398.0000000002</x:v>
      </x:c>
      <x:c r="M161" s="72"/>
      <x:c r="N161" s="72"/>
    </x:row>
    <x:row r="162">
      <x:c r="C162" s="20" t="n">
        <x:v>155</x:v>
      </x:c>
      <x:c r="D162" s="53" t="n">
        <x:f>IF(AND(C162&gt;=30,C162&lt;=39),8813,0)</x:f>
        <x:v>0</x:v>
      </x:c>
      <x:c r="E162" s="53" t="n">
        <x:f>IF(AND(C162&gt;=60,C162&lt;=79),15863.4,0)</x:f>
        <x:v>0</x:v>
      </x:c>
      <x:c r="F162" s="53" t="n">
        <x:f>IF(AND(C162&gt;=130,C162&lt;=159),27614.0667,0)</x:f>
        <x:v>27614.0667</x:v>
      </x:c>
      <x:c r="G162" s="53" t="n">
        <x:f>SUM(D162:F162)</x:f>
        <x:v>27614.0667</x:v>
      </x:c>
      <x:c r="H162" s="53" t="n">
        <x:f>35000</x:f>
        <x:v>35000</x:v>
      </x:c>
      <x:c r="I162" s="53" t="n">
        <x:f>K161</x:f>
        <x:v>0</x:v>
      </x:c>
      <x:c r="J162" s="53" t="n">
        <x:f>MIN(G162+I162,H162)</x:f>
        <x:v>27614.0667</x:v>
      </x:c>
      <x:c r="K162" s="53" t="n">
        <x:f>G162+I162-J162</x:f>
        <x:v>0</x:v>
      </x:c>
      <x:c r="L162" s="53" t="n">
        <x:f>SUM($J$7:J132)</x:f>
        <x:v>405398.0000000002</x:v>
      </x:c>
      <x:c r="M162" s="72"/>
      <x:c r="N162" s="72"/>
    </x:row>
    <x:row r="163">
      <x:c r="C163" s="20" t="n">
        <x:v>156</x:v>
      </x:c>
      <x:c r="D163" s="53" t="n">
        <x:f>IF(AND(C163&gt;=30,C163&lt;=39),8813,0)</x:f>
        <x:v>0</x:v>
      </x:c>
      <x:c r="E163" s="53" t="n">
        <x:f>IF(AND(C163&gt;=60,C163&lt;=79),15863.4,0)</x:f>
        <x:v>0</x:v>
      </x:c>
      <x:c r="F163" s="53" t="n">
        <x:f>IF(AND(C163&gt;=130,C163&lt;=159),27614.0667,0)</x:f>
        <x:v>27614.0667</x:v>
      </x:c>
      <x:c r="G163" s="53" t="n">
        <x:f>SUM(D163:F163)</x:f>
        <x:v>27614.0667</x:v>
      </x:c>
      <x:c r="H163" s="53" t="n">
        <x:f>35000</x:f>
        <x:v>35000</x:v>
      </x:c>
      <x:c r="I163" s="53" t="n">
        <x:f>K162</x:f>
        <x:v>0</x:v>
      </x:c>
      <x:c r="J163" s="53" t="n">
        <x:f>MIN(G163+I163,H163)</x:f>
        <x:v>27614.0667</x:v>
      </x:c>
      <x:c r="K163" s="53" t="n">
        <x:f>G163+I163-J163</x:f>
        <x:v>0</x:v>
      </x:c>
      <x:c r="L163" s="53" t="n">
        <x:f>SUM($J$7:J133)</x:f>
        <x:v>405398.0000000002</x:v>
      </x:c>
      <x:c r="M163" s="72"/>
      <x:c r="N163" s="72"/>
    </x:row>
    <x:row r="164">
      <x:c r="C164" s="20" t="n">
        <x:v>157</x:v>
      </x:c>
      <x:c r="D164" s="53" t="n">
        <x:f>IF(AND(C164&gt;=30,C164&lt;=39),8813,0)</x:f>
        <x:v>0</x:v>
      </x:c>
      <x:c r="E164" s="53" t="n">
        <x:f>IF(AND(C164&gt;=60,C164&lt;=79),15863.4,0)</x:f>
        <x:v>0</x:v>
      </x:c>
      <x:c r="F164" s="53" t="n">
        <x:f>IF(AND(C164&gt;=130,C164&lt;=159),27614.0667,0)</x:f>
        <x:v>27614.0667</x:v>
      </x:c>
      <x:c r="G164" s="53" t="n">
        <x:f>SUM(D164:F164)</x:f>
        <x:v>27614.0667</x:v>
      </x:c>
      <x:c r="H164" s="53" t="n">
        <x:f>35000</x:f>
        <x:v>35000</x:v>
      </x:c>
      <x:c r="I164" s="53" t="n">
        <x:f>K163</x:f>
        <x:v>0</x:v>
      </x:c>
      <x:c r="J164" s="53" t="n">
        <x:f>MIN(G164+I164,H164)</x:f>
        <x:v>27614.0667</x:v>
      </x:c>
      <x:c r="K164" s="53" t="n">
        <x:f>G164+I164-J164</x:f>
        <x:v>0</x:v>
      </x:c>
      <x:c r="L164" s="53" t="n">
        <x:f>SUM($J$7:J134)</x:f>
        <x:v>405398.0000000002</x:v>
      </x:c>
      <x:c r="M164" s="72"/>
      <x:c r="N164" s="72"/>
    </x:row>
    <x:row r="165">
      <x:c r="C165" s="20" t="n">
        <x:v>158</x:v>
      </x:c>
      <x:c r="D165" s="53" t="n">
        <x:f>IF(AND(C165&gt;=30,C165&lt;=39),8813,0)</x:f>
        <x:v>0</x:v>
      </x:c>
      <x:c r="E165" s="53" t="n">
        <x:f>IF(AND(C165&gt;=60,C165&lt;=79),15863.4,0)</x:f>
        <x:v>0</x:v>
      </x:c>
      <x:c r="F165" s="53" t="n">
        <x:f>IF(AND(C165&gt;=130,C165&lt;=159),27614.0667,0)</x:f>
        <x:v>27614.0667</x:v>
      </x:c>
      <x:c r="G165" s="53" t="n">
        <x:f>SUM(D165:F165)</x:f>
        <x:v>27614.0667</x:v>
      </x:c>
      <x:c r="H165" s="53" t="n">
        <x:f>35000</x:f>
        <x:v>35000</x:v>
      </x:c>
      <x:c r="I165" s="53" t="n">
        <x:f>K164</x:f>
        <x:v>0</x:v>
      </x:c>
      <x:c r="J165" s="53" t="n">
        <x:f>MIN(G165+I165,H165)</x:f>
        <x:v>27614.0667</x:v>
      </x:c>
      <x:c r="K165" s="53" t="n">
        <x:f>G165+I165-J165</x:f>
        <x:v>0</x:v>
      </x:c>
      <x:c r="L165" s="53" t="n">
        <x:f>SUM($J$7:J135)</x:f>
        <x:v>405398.0000000002</x:v>
      </x:c>
      <x:c r="M165" s="72"/>
      <x:c r="N165" s="72"/>
    </x:row>
    <x:row r="166">
      <x:c r="C166" s="20" t="n">
        <x:v>159</x:v>
      </x:c>
      <x:c r="D166" s="53" t="n">
        <x:f>IF(AND(C166&gt;=30,C166&lt;=39),8813,0)</x:f>
        <x:v>0</x:v>
      </x:c>
      <x:c r="E166" s="53" t="n">
        <x:f>IF(AND(C166&gt;=60,C166&lt;=79),15863.4,0)</x:f>
        <x:v>0</x:v>
      </x:c>
      <x:c r="F166" s="53" t="n">
        <x:f>IF(AND(C166&gt;=130,C166&lt;=159),27614.0667,0)</x:f>
        <x:v>27614.0667</x:v>
      </x:c>
      <x:c r="G166" s="53" t="n">
        <x:f>SUM(D166:F166)</x:f>
        <x:v>27614.0667</x:v>
      </x:c>
      <x:c r="H166" s="53" t="n">
        <x:f>35000</x:f>
        <x:v>35000</x:v>
      </x:c>
      <x:c r="I166" s="53" t="n">
        <x:f>K165</x:f>
        <x:v>0</x:v>
      </x:c>
      <x:c r="J166" s="53" t="n">
        <x:f>MIN(G166+I166,H166)</x:f>
        <x:v>27614.0667</x:v>
      </x:c>
      <x:c r="K166" s="53" t="n">
        <x:f>G166+I166-J166</x:f>
        <x:v>0</x:v>
      </x:c>
      <x:c r="L166" s="53" t="n">
        <x:f>SUM($J$7:J136)</x:f>
        <x:v>405398.0000000002</x:v>
      </x:c>
      <x:c r="M166" s="72"/>
      <x:c r="N166" s="72"/>
    </x:row>
    <x:row r="167">
      <x:c r="C167" s="20" t="n">
        <x:v>160</x:v>
      </x:c>
      <x:c r="D167" s="53" t="n">
        <x:f>IF(AND(C167&gt;=30,C167&lt;=39),8813,0)</x:f>
        <x:v>0</x:v>
      </x:c>
      <x:c r="E167" s="53" t="n">
        <x:f>IF(AND(C167&gt;=60,C167&lt;=79),15863.4,0)</x:f>
        <x:v>0</x:v>
      </x:c>
      <x:c r="F167" s="53" t="n">
        <x:f>IF(AND(C167&gt;=130,C167&lt;=159),27614.0667,0)</x:f>
        <x:v>0</x:v>
      </x:c>
      <x:c r="G167" s="53" t="n">
        <x:f>SUM(D167:F167)</x:f>
        <x:v>0</x:v>
      </x:c>
      <x:c r="H167" s="53" t="n">
        <x:f>35000</x:f>
        <x:v>35000</x:v>
      </x:c>
      <x:c r="I167" s="53" t="n">
        <x:f>K166</x:f>
        <x:v>0</x:v>
      </x:c>
      <x:c r="J167" s="53" t="n">
        <x:f>MIN(G167+I167,H167)</x:f>
        <x:v>0</x:v>
      </x:c>
      <x:c r="K167" s="53" t="n">
        <x:f>G167+I167-J167</x:f>
        <x:v>0</x:v>
      </x:c>
      <x:c r="L167" s="53" t="n">
        <x:f>SUM($J$7:J137)</x:f>
        <x:v>433012.0667000002</x:v>
      </x:c>
      <x:c r="M167" s="72"/>
      <x:c r="N167" s="72"/>
    </x:row>
    <x:row r="168">
      <x:c r="C168" s="20" t="n">
        <x:v>161</x:v>
      </x:c>
      <x:c r="D168" s="53" t="n">
        <x:f>IF(AND(C168&gt;=30,C168&lt;=39),8813,0)</x:f>
        <x:v>0</x:v>
      </x:c>
      <x:c r="E168" s="53" t="n">
        <x:f>IF(AND(C168&gt;=60,C168&lt;=79),15863.4,0)</x:f>
        <x:v>0</x:v>
      </x:c>
      <x:c r="F168" s="53" t="n">
        <x:f>IF(AND(C168&gt;=130,C168&lt;=159),27614.0667,0)</x:f>
        <x:v>0</x:v>
      </x:c>
      <x:c r="G168" s="53" t="n">
        <x:f>SUM(D168:F168)</x:f>
        <x:v>0</x:v>
      </x:c>
      <x:c r="H168" s="53" t="n">
        <x:f>35000</x:f>
        <x:v>35000</x:v>
      </x:c>
      <x:c r="I168" s="53" t="n">
        <x:f>K167</x:f>
        <x:v>0</x:v>
      </x:c>
      <x:c r="J168" s="53" t="n">
        <x:f>MIN(G168+I168,H168)</x:f>
        <x:v>0</x:v>
      </x:c>
      <x:c r="K168" s="53" t="n">
        <x:f>G168+I168-J168</x:f>
        <x:v>0</x:v>
      </x:c>
      <x:c r="L168" s="53" t="n">
        <x:f>SUM($J$7:J138)</x:f>
        <x:v>460626.1334000002</x:v>
      </x:c>
      <x:c r="M168" s="72"/>
      <x:c r="N168" s="72"/>
    </x:row>
    <x:row r="169">
      <x:c r="C169" s="20" t="n">
        <x:v>162</x:v>
      </x:c>
      <x:c r="D169" s="53" t="n">
        <x:f>IF(AND(C169&gt;=30,C169&lt;=39),8813,0)</x:f>
        <x:v>0</x:v>
      </x:c>
      <x:c r="E169" s="53" t="n">
        <x:f>IF(AND(C169&gt;=60,C169&lt;=79),15863.4,0)</x:f>
        <x:v>0</x:v>
      </x:c>
      <x:c r="F169" s="53" t="n">
        <x:f>IF(AND(C169&gt;=130,C169&lt;=159),27614.0667,0)</x:f>
        <x:v>0</x:v>
      </x:c>
      <x:c r="G169" s="53" t="n">
        <x:f>SUM(D169:F169)</x:f>
        <x:v>0</x:v>
      </x:c>
      <x:c r="H169" s="53" t="n">
        <x:f>35000</x:f>
        <x:v>35000</x:v>
      </x:c>
      <x:c r="I169" s="53" t="n">
        <x:f>K168</x:f>
        <x:v>0</x:v>
      </x:c>
      <x:c r="J169" s="53" t="n">
        <x:f>MIN(G169+I169,H169)</x:f>
        <x:v>0</x:v>
      </x:c>
      <x:c r="K169" s="53" t="n">
        <x:f>G169+I169-J169</x:f>
        <x:v>0</x:v>
      </x:c>
      <x:c r="L169" s="53" t="n">
        <x:f>SUM($J$7:J139)</x:f>
        <x:v>488240.20010000025</x:v>
      </x:c>
      <x:c r="M169" s="72"/>
      <x:c r="N169" s="72"/>
    </x:row>
    <x:row r="170">
      <x:c r="C170" s="20" t="n">
        <x:v>163</x:v>
      </x:c>
      <x:c r="D170" s="53" t="n">
        <x:f>IF(AND(C170&gt;=30,C170&lt;=39),8813,0)</x:f>
        <x:v>0</x:v>
      </x:c>
      <x:c r="E170" s="53" t="n">
        <x:f>IF(AND(C170&gt;=60,C170&lt;=79),15863.4,0)</x:f>
        <x:v>0</x:v>
      </x:c>
      <x:c r="F170" s="53" t="n">
        <x:f>IF(AND(C170&gt;=130,C170&lt;=159),27614.0667,0)</x:f>
        <x:v>0</x:v>
      </x:c>
      <x:c r="G170" s="53" t="n">
        <x:f>SUM(D170:F170)</x:f>
        <x:v>0</x:v>
      </x:c>
      <x:c r="H170" s="53" t="n">
        <x:f>35000</x:f>
        <x:v>35000</x:v>
      </x:c>
      <x:c r="I170" s="53" t="n">
        <x:f>K169</x:f>
        <x:v>0</x:v>
      </x:c>
      <x:c r="J170" s="53" t="n">
        <x:f>MIN(G170+I170,H170)</x:f>
        <x:v>0</x:v>
      </x:c>
      <x:c r="K170" s="53" t="n">
        <x:f>G170+I170-J170</x:f>
        <x:v>0</x:v>
      </x:c>
      <x:c r="L170" s="53" t="n">
        <x:f>SUM($J$7:J140)</x:f>
        <x:v>515854.2668000003</x:v>
      </x:c>
      <x:c r="M170" s="72"/>
      <x:c r="N170" s="72"/>
    </x:row>
    <x:row r="171">
      <x:c r="C171" s="20" t="n">
        <x:v>164</x:v>
      </x:c>
      <x:c r="D171" s="53" t="n">
        <x:f>IF(AND(C171&gt;=30,C171&lt;=39),8813,0)</x:f>
        <x:v>0</x:v>
      </x:c>
      <x:c r="E171" s="53" t="n">
        <x:f>IF(AND(C171&gt;=60,C171&lt;=79),15863.4,0)</x:f>
        <x:v>0</x:v>
      </x:c>
      <x:c r="F171" s="53" t="n">
        <x:f>IF(AND(C171&gt;=130,C171&lt;=159),27614.0667,0)</x:f>
        <x:v>0</x:v>
      </x:c>
      <x:c r="G171" s="53" t="n">
        <x:f>SUM(D171:F171)</x:f>
        <x:v>0</x:v>
      </x:c>
      <x:c r="H171" s="53" t="n">
        <x:f>35000</x:f>
        <x:v>35000</x:v>
      </x:c>
      <x:c r="I171" s="53" t="n">
        <x:f>K170</x:f>
        <x:v>0</x:v>
      </x:c>
      <x:c r="J171" s="53" t="n">
        <x:f>MIN(G171+I171,H171)</x:f>
        <x:v>0</x:v>
      </x:c>
      <x:c r="K171" s="53" t="n">
        <x:f>G171+I171-J171</x:f>
        <x:v>0</x:v>
      </x:c>
      <x:c r="L171" s="53" t="n">
        <x:f>SUM($J$7:J141)</x:f>
        <x:v>543468.3335000003</x:v>
      </x:c>
      <x:c r="M171" s="72"/>
      <x:c r="N171" s="72"/>
    </x:row>
    <x:row r="172">
      <x:c r="C172" s="20" t="n">
        <x:v>165</x:v>
      </x:c>
      <x:c r="D172" s="53" t="n">
        <x:f>IF(AND(C172&gt;=30,C172&lt;=39),8813,0)</x:f>
        <x:v>0</x:v>
      </x:c>
      <x:c r="E172" s="53" t="n">
        <x:f>IF(AND(C172&gt;=60,C172&lt;=79),15863.4,0)</x:f>
        <x:v>0</x:v>
      </x:c>
      <x:c r="F172" s="53" t="n">
        <x:f>IF(AND(C172&gt;=130,C172&lt;=159),27614.0667,0)</x:f>
        <x:v>0</x:v>
      </x:c>
      <x:c r="G172" s="53" t="n">
        <x:f>SUM(D172:F172)</x:f>
        <x:v>0</x:v>
      </x:c>
      <x:c r="H172" s="53" t="n">
        <x:f>35000</x:f>
        <x:v>35000</x:v>
      </x:c>
      <x:c r="I172" s="53" t="n">
        <x:f>K171</x:f>
        <x:v>0</x:v>
      </x:c>
      <x:c r="J172" s="53" t="n">
        <x:f>MIN(G172+I172,H172)</x:f>
        <x:v>0</x:v>
      </x:c>
      <x:c r="K172" s="53" t="n">
        <x:f>G172+I172-J172</x:f>
        <x:v>0</x:v>
      </x:c>
      <x:c r="L172" s="53" t="n">
        <x:f>SUM($J$7:J142)</x:f>
        <x:v>571082.4002000003</x:v>
      </x:c>
      <x:c r="M172" s="72"/>
      <x:c r="N172" s="72"/>
    </x:row>
    <x:row r="173">
      <x:c r="C173" s="20" t="n">
        <x:v>166</x:v>
      </x:c>
      <x:c r="D173" s="53" t="n">
        <x:f>IF(AND(C173&gt;=30,C173&lt;=39),8813,0)</x:f>
        <x:v>0</x:v>
      </x:c>
      <x:c r="E173" s="53" t="n">
        <x:f>IF(AND(C173&gt;=60,C173&lt;=79),15863.4,0)</x:f>
        <x:v>0</x:v>
      </x:c>
      <x:c r="F173" s="53" t="n">
        <x:f>IF(AND(C173&gt;=130,C173&lt;=159),27614.0667,0)</x:f>
        <x:v>0</x:v>
      </x:c>
      <x:c r="G173" s="53" t="n">
        <x:f>SUM(D173:F173)</x:f>
        <x:v>0</x:v>
      </x:c>
      <x:c r="H173" s="53" t="n">
        <x:f>35000</x:f>
        <x:v>35000</x:v>
      </x:c>
      <x:c r="I173" s="53" t="n">
        <x:f>K172</x:f>
        <x:v>0</x:v>
      </x:c>
      <x:c r="J173" s="53" t="n">
        <x:f>MIN(G173+I173,H173)</x:f>
        <x:v>0</x:v>
      </x:c>
      <x:c r="K173" s="53" t="n">
        <x:f>G173+I173-J173</x:f>
        <x:v>0</x:v>
      </x:c>
      <x:c r="L173" s="53" t="n">
        <x:f>SUM($J$7:J143)</x:f>
        <x:v>598696.4669000002</x:v>
      </x:c>
      <x:c r="M173" s="72"/>
      <x:c r="N173" s="72"/>
    </x:row>
    <x:row r="174">
      <x:c r="C174" s="20" t="n">
        <x:v>167</x:v>
      </x:c>
      <x:c r="D174" s="53" t="n">
        <x:f>IF(AND(C174&gt;=30,C174&lt;=39),8813,0)</x:f>
        <x:v>0</x:v>
      </x:c>
      <x:c r="E174" s="53" t="n">
        <x:f>IF(AND(C174&gt;=60,C174&lt;=79),15863.4,0)</x:f>
        <x:v>0</x:v>
      </x:c>
      <x:c r="F174" s="53" t="n">
        <x:f>IF(AND(C174&gt;=130,C174&lt;=159),27614.0667,0)</x:f>
        <x:v>0</x:v>
      </x:c>
      <x:c r="G174" s="53" t="n">
        <x:f>SUM(D174:F174)</x:f>
        <x:v>0</x:v>
      </x:c>
      <x:c r="H174" s="53" t="n">
        <x:f>35000</x:f>
        <x:v>35000</x:v>
      </x:c>
      <x:c r="I174" s="53" t="n">
        <x:f>K173</x:f>
        <x:v>0</x:v>
      </x:c>
      <x:c r="J174" s="53" t="n">
        <x:f>MIN(G174+I174,H174)</x:f>
        <x:v>0</x:v>
      </x:c>
      <x:c r="K174" s="53" t="n">
        <x:f>G174+I174-J174</x:f>
        <x:v>0</x:v>
      </x:c>
      <x:c r="L174" s="53" t="n">
        <x:f>SUM($J$7:J144)</x:f>
        <x:v>626310.5336000002</x:v>
      </x:c>
      <x:c r="M174" s="72"/>
      <x:c r="N174" s="72"/>
    </x:row>
    <x:row r="175">
      <x:c r="C175" s="20" t="n">
        <x:v>168</x:v>
      </x:c>
      <x:c r="D175" s="53" t="n">
        <x:f>IF(AND(C175&gt;=30,C175&lt;=39),8813,0)</x:f>
        <x:v>0</x:v>
      </x:c>
      <x:c r="E175" s="53" t="n">
        <x:f>IF(AND(C175&gt;=60,C175&lt;=79),15863.4,0)</x:f>
        <x:v>0</x:v>
      </x:c>
      <x:c r="F175" s="53" t="n">
        <x:f>IF(AND(C175&gt;=130,C175&lt;=159),27614.0667,0)</x:f>
        <x:v>0</x:v>
      </x:c>
      <x:c r="G175" s="53" t="n">
        <x:f>SUM(D175:F175)</x:f>
        <x:v>0</x:v>
      </x:c>
      <x:c r="H175" s="53" t="n">
        <x:f>35000</x:f>
        <x:v>35000</x:v>
      </x:c>
      <x:c r="I175" s="53" t="n">
        <x:f>K174</x:f>
        <x:v>0</x:v>
      </x:c>
      <x:c r="J175" s="53" t="n">
        <x:f>MIN(G175+I175,H175)</x:f>
        <x:v>0</x:v>
      </x:c>
      <x:c r="K175" s="53" t="n">
        <x:f>G175+I175-J175</x:f>
        <x:v>0</x:v>
      </x:c>
      <x:c r="L175" s="53" t="n">
        <x:f>SUM($J$7:J145)</x:f>
        <x:v>653924.6003000002</x:v>
      </x:c>
      <x:c r="M175" s="72"/>
      <x:c r="N175" s="72"/>
    </x:row>
    <x:row r="176">
      <x:c r="C176" s="20" t="n">
        <x:v>169</x:v>
      </x:c>
      <x:c r="D176" s="53" t="n">
        <x:f>IF(AND(C176&gt;=30,C176&lt;=39),8813,0)</x:f>
        <x:v>0</x:v>
      </x:c>
      <x:c r="E176" s="53" t="n">
        <x:f>IF(AND(C176&gt;=60,C176&lt;=79),15863.4,0)</x:f>
        <x:v>0</x:v>
      </x:c>
      <x:c r="F176" s="53" t="n">
        <x:f>IF(AND(C176&gt;=130,C176&lt;=159),27614.0667,0)</x:f>
        <x:v>0</x:v>
      </x:c>
      <x:c r="G176" s="53" t="n">
        <x:f>SUM(D176:F176)</x:f>
        <x:v>0</x:v>
      </x:c>
      <x:c r="H176" s="53" t="n">
        <x:f>35000</x:f>
        <x:v>35000</x:v>
      </x:c>
      <x:c r="I176" s="53" t="n">
        <x:f>K175</x:f>
        <x:v>0</x:v>
      </x:c>
      <x:c r="J176" s="53" t="n">
        <x:f>MIN(G176+I176,H176)</x:f>
        <x:v>0</x:v>
      </x:c>
      <x:c r="K176" s="53" t="n">
        <x:f>G176+I176-J176</x:f>
        <x:v>0</x:v>
      </x:c>
      <x:c r="L176" s="53" t="n">
        <x:f>SUM($J$7:J146)</x:f>
        <x:v>681538.6670000001</x:v>
      </x:c>
      <x:c r="M176" s="72"/>
      <x:c r="N176" s="72"/>
    </x:row>
    <x:row r="177">
      <x:c r="C177" s="20" t="n">
        <x:v>170</x:v>
      </x:c>
      <x:c r="D177" s="53" t="n">
        <x:f>IF(AND(C177&gt;=30,C177&lt;=39),8813,0)</x:f>
        <x:v>0</x:v>
      </x:c>
      <x:c r="E177" s="53" t="n">
        <x:f>IF(AND(C177&gt;=60,C177&lt;=79),15863.4,0)</x:f>
        <x:v>0</x:v>
      </x:c>
      <x:c r="F177" s="53" t="n">
        <x:f>IF(AND(C177&gt;=130,C177&lt;=159),27614.0667,0)</x:f>
        <x:v>0</x:v>
      </x:c>
      <x:c r="G177" s="53" t="n">
        <x:f>SUM(D177:F177)</x:f>
        <x:v>0</x:v>
      </x:c>
      <x:c r="H177" s="53" t="n">
        <x:f>35000</x:f>
        <x:v>35000</x:v>
      </x:c>
      <x:c r="I177" s="53" t="n">
        <x:f>K176</x:f>
        <x:v>0</x:v>
      </x:c>
      <x:c r="J177" s="53" t="n">
        <x:f>MIN(G177+I177,H177)</x:f>
        <x:v>0</x:v>
      </x:c>
      <x:c r="K177" s="53" t="n">
        <x:f>G177+I177-J177</x:f>
        <x:v>0</x:v>
      </x:c>
      <x:c r="L177" s="53" t="n">
        <x:f>SUM($J$7:J147)</x:f>
        <x:v>709152.7337000001</x:v>
      </x:c>
      <x:c r="M177" s="72"/>
      <x:c r="N177" s="72"/>
    </x:row>
    <x:row r="178">
      <x:c r="C178" s="20" t="n">
        <x:v>171</x:v>
      </x:c>
      <x:c r="D178" s="53" t="n">
        <x:f>IF(AND(C178&gt;=30,C178&lt;=39),8813,0)</x:f>
        <x:v>0</x:v>
      </x:c>
      <x:c r="E178" s="53" t="n">
        <x:f>IF(AND(C178&gt;=60,C178&lt;=79),15863.4,0)</x:f>
        <x:v>0</x:v>
      </x:c>
      <x:c r="F178" s="53" t="n">
        <x:f>IF(AND(C178&gt;=130,C178&lt;=159),27614.0667,0)</x:f>
        <x:v>0</x:v>
      </x:c>
      <x:c r="G178" s="53" t="n">
        <x:f>SUM(D178:F178)</x:f>
        <x:v>0</x:v>
      </x:c>
      <x:c r="H178" s="53" t="n">
        <x:f>35000</x:f>
        <x:v>35000</x:v>
      </x:c>
      <x:c r="I178" s="53" t="n">
        <x:f>K177</x:f>
        <x:v>0</x:v>
      </x:c>
      <x:c r="J178" s="53" t="n">
        <x:f>MIN(G178+I178,H178)</x:f>
        <x:v>0</x:v>
      </x:c>
      <x:c r="K178" s="53" t="n">
        <x:f>G178+I178-J178</x:f>
        <x:v>0</x:v>
      </x:c>
      <x:c r="L178" s="53" t="n">
        <x:f>SUM($J$7:J148)</x:f>
        <x:v>736766.8004000001</x:v>
      </x:c>
      <x:c r="M178" s="72"/>
      <x:c r="N178" s="72"/>
    </x:row>
    <x:row r="179">
      <x:c r="C179" s="20" t="n">
        <x:v>172</x:v>
      </x:c>
      <x:c r="D179" s="53" t="n">
        <x:f>IF(AND(C179&gt;=30,C179&lt;=39),8813,0)</x:f>
        <x:v>0</x:v>
      </x:c>
      <x:c r="E179" s="53" t="n">
        <x:f>IF(AND(C179&gt;=60,C179&lt;=79),15863.4,0)</x:f>
        <x:v>0</x:v>
      </x:c>
      <x:c r="F179" s="53" t="n">
        <x:f>IF(AND(C179&gt;=130,C179&lt;=159),27614.0667,0)</x:f>
        <x:v>0</x:v>
      </x:c>
      <x:c r="G179" s="53" t="n">
        <x:f>SUM(D179:F179)</x:f>
        <x:v>0</x:v>
      </x:c>
      <x:c r="H179" s="53" t="n">
        <x:f>35000</x:f>
        <x:v>35000</x:v>
      </x:c>
      <x:c r="I179" s="53" t="n">
        <x:f>K178</x:f>
        <x:v>0</x:v>
      </x:c>
      <x:c r="J179" s="53" t="n">
        <x:f>MIN(G179+I179,H179)</x:f>
        <x:v>0</x:v>
      </x:c>
      <x:c r="K179" s="53" t="n">
        <x:f>G179+I179-J179</x:f>
        <x:v>0</x:v>
      </x:c>
      <x:c r="L179" s="53" t="n">
        <x:f>SUM($J$7:J149)</x:f>
        <x:v>764380.8671</x:v>
      </x:c>
      <x:c r="M179" s="72"/>
      <x:c r="N179" s="72"/>
    </x:row>
    <x:row r="180">
      <x:c r="C180" s="20" t="n">
        <x:v>173</x:v>
      </x:c>
      <x:c r="D180" s="53" t="n">
        <x:f>IF(AND(C180&gt;=30,C180&lt;=39),8813,0)</x:f>
        <x:v>0</x:v>
      </x:c>
      <x:c r="E180" s="53" t="n">
        <x:f>IF(AND(C180&gt;=60,C180&lt;=79),15863.4,0)</x:f>
        <x:v>0</x:v>
      </x:c>
      <x:c r="F180" s="53" t="n">
        <x:f>IF(AND(C180&gt;=130,C180&lt;=159),27614.0667,0)</x:f>
        <x:v>0</x:v>
      </x:c>
      <x:c r="G180" s="53" t="n">
        <x:f>SUM(D180:F180)</x:f>
        <x:v>0</x:v>
      </x:c>
      <x:c r="H180" s="53" t="n">
        <x:f>35000</x:f>
        <x:v>35000</x:v>
      </x:c>
      <x:c r="I180" s="53" t="n">
        <x:f>K179</x:f>
        <x:v>0</x:v>
      </x:c>
      <x:c r="J180" s="53" t="n">
        <x:f>MIN(G180+I180,H180)</x:f>
        <x:v>0</x:v>
      </x:c>
      <x:c r="K180" s="53" t="n">
        <x:f>G180+I180-J180</x:f>
        <x:v>0</x:v>
      </x:c>
      <x:c r="L180" s="53" t="n">
        <x:f>SUM($J$7:J150)</x:f>
        <x:v>791994.9338</x:v>
      </x:c>
      <x:c r="M180" s="72"/>
      <x:c r="N180" s="72"/>
    </x:row>
    <x:row r="181">
      <x:c r="C181" s="20" t="n">
        <x:v>174</x:v>
      </x:c>
      <x:c r="D181" s="53" t="n">
        <x:f>IF(AND(C181&gt;=30,C181&lt;=39),8813,0)</x:f>
        <x:v>0</x:v>
      </x:c>
      <x:c r="E181" s="53" t="n">
        <x:f>IF(AND(C181&gt;=60,C181&lt;=79),15863.4,0)</x:f>
        <x:v>0</x:v>
      </x:c>
      <x:c r="F181" s="53" t="n">
        <x:f>IF(AND(C181&gt;=130,C181&lt;=159),27614.0667,0)</x:f>
        <x:v>0</x:v>
      </x:c>
      <x:c r="G181" s="53" t="n">
        <x:f>SUM(D181:F181)</x:f>
        <x:v>0</x:v>
      </x:c>
      <x:c r="H181" s="53" t="n">
        <x:f>35000</x:f>
        <x:v>35000</x:v>
      </x:c>
      <x:c r="I181" s="53" t="n">
        <x:f>K180</x:f>
        <x:v>0</x:v>
      </x:c>
      <x:c r="J181" s="53" t="n">
        <x:f>MIN(G181+I181,H181)</x:f>
        <x:v>0</x:v>
      </x:c>
      <x:c r="K181" s="53" t="n">
        <x:f>G181+I181-J181</x:f>
        <x:v>0</x:v>
      </x:c>
      <x:c r="L181" s="53" t="n">
        <x:f>SUM($J$7:J151)</x:f>
        <x:v>819609.0005</x:v>
      </x:c>
      <x:c r="M181" s="72"/>
      <x:c r="N181" s="72"/>
    </x:row>
    <x:row r="182">
      <x:c r="C182" s="20" t="n">
        <x:v>175</x:v>
      </x:c>
      <x:c r="D182" s="53" t="n">
        <x:f>IF(AND(C182&gt;=30,C182&lt;=39),8813,0)</x:f>
        <x:v>0</x:v>
      </x:c>
      <x:c r="E182" s="53" t="n">
        <x:f>IF(AND(C182&gt;=60,C182&lt;=79),15863.4,0)</x:f>
        <x:v>0</x:v>
      </x:c>
      <x:c r="F182" s="53" t="n">
        <x:f>IF(AND(C182&gt;=130,C182&lt;=159),27614.0667,0)</x:f>
        <x:v>0</x:v>
      </x:c>
      <x:c r="G182" s="53" t="n">
        <x:f>SUM(D182:F182)</x:f>
        <x:v>0</x:v>
      </x:c>
      <x:c r="H182" s="53" t="n">
        <x:f>35000</x:f>
        <x:v>35000</x:v>
      </x:c>
      <x:c r="I182" s="53" t="n">
        <x:f>K181</x:f>
        <x:v>0</x:v>
      </x:c>
      <x:c r="J182" s="53" t="n">
        <x:f>MIN(G182+I182,H182)</x:f>
        <x:v>0</x:v>
      </x:c>
      <x:c r="K182" s="53" t="n">
        <x:f>G182+I182-J182</x:f>
        <x:v>0</x:v>
      </x:c>
      <x:c r="L182" s="53" t="n">
        <x:f>SUM($J$7:J152)</x:f>
        <x:v>847223.0671999999</x:v>
      </x:c>
      <x:c r="M182" s="72"/>
      <x:c r="N182" s="72"/>
    </x:row>
    <x:row r="183">
      <x:c r="C183" s="20" t="n">
        <x:v>176</x:v>
      </x:c>
      <x:c r="D183" s="53" t="n">
        <x:f>IF(AND(C183&gt;=30,C183&lt;=39),8813,0)</x:f>
        <x:v>0</x:v>
      </x:c>
      <x:c r="E183" s="53" t="n">
        <x:f>IF(AND(C183&gt;=60,C183&lt;=79),15863.4,0)</x:f>
        <x:v>0</x:v>
      </x:c>
      <x:c r="F183" s="53" t="n">
        <x:f>IF(AND(C183&gt;=130,C183&lt;=159),27614.0667,0)</x:f>
        <x:v>0</x:v>
      </x:c>
      <x:c r="G183" s="53" t="n">
        <x:f>SUM(D183:F183)</x:f>
        <x:v>0</x:v>
      </x:c>
      <x:c r="H183" s="53" t="n">
        <x:f>35000</x:f>
        <x:v>35000</x:v>
      </x:c>
      <x:c r="I183" s="53" t="n">
        <x:f>K182</x:f>
        <x:v>0</x:v>
      </x:c>
      <x:c r="J183" s="53" t="n">
        <x:f>MIN(G183+I183,H183)</x:f>
        <x:v>0</x:v>
      </x:c>
      <x:c r="K183" s="53" t="n">
        <x:f>G183+I183-J183</x:f>
        <x:v>0</x:v>
      </x:c>
      <x:c r="L183" s="53" t="n">
        <x:f>SUM($J$7:J153)</x:f>
        <x:v>874837.1338999999</x:v>
      </x:c>
      <x:c r="M183" s="72"/>
      <x:c r="N183" s="72"/>
    </x:row>
    <x:row r="184">
      <x:c r="C184" s="20" t="n">
        <x:v>177</x:v>
      </x:c>
      <x:c r="D184" s="53" t="n">
        <x:f>IF(AND(C184&gt;=30,C184&lt;=39),8813,0)</x:f>
        <x:v>0</x:v>
      </x:c>
      <x:c r="E184" s="53" t="n">
        <x:f>IF(AND(C184&gt;=60,C184&lt;=79),15863.4,0)</x:f>
        <x:v>0</x:v>
      </x:c>
      <x:c r="F184" s="53" t="n">
        <x:f>IF(AND(C184&gt;=130,C184&lt;=159),27614.0667,0)</x:f>
        <x:v>0</x:v>
      </x:c>
      <x:c r="G184" s="53" t="n">
        <x:f>SUM(D184:F184)</x:f>
        <x:v>0</x:v>
      </x:c>
      <x:c r="H184" s="53" t="n">
        <x:f>35000</x:f>
        <x:v>35000</x:v>
      </x:c>
      <x:c r="I184" s="53" t="n">
        <x:f>K183</x:f>
        <x:v>0</x:v>
      </x:c>
      <x:c r="J184" s="53" t="n">
        <x:f>MIN(G184+I184,H184)</x:f>
        <x:v>0</x:v>
      </x:c>
      <x:c r="K184" s="53" t="n">
        <x:f>G184+I184-J184</x:f>
        <x:v>0</x:v>
      </x:c>
      <x:c r="L184" s="53" t="n">
        <x:f>SUM($J$7:J154)</x:f>
        <x:v>902451.2005999999</x:v>
      </x:c>
      <x:c r="M184" s="72"/>
      <x:c r="N184" s="72"/>
    </x:row>
    <x:row r="185">
      <x:c r="C185" s="20" t="n">
        <x:v>178</x:v>
      </x:c>
      <x:c r="D185" s="53" t="n">
        <x:f>IF(AND(C185&gt;=30,C185&lt;=39),8813,0)</x:f>
        <x:v>0</x:v>
      </x:c>
      <x:c r="E185" s="53" t="n">
        <x:f>IF(AND(C185&gt;=60,C185&lt;=79),15863.4,0)</x:f>
        <x:v>0</x:v>
      </x:c>
      <x:c r="F185" s="53" t="n">
        <x:f>IF(AND(C185&gt;=130,C185&lt;=159),27614.0667,0)</x:f>
        <x:v>0</x:v>
      </x:c>
      <x:c r="G185" s="53" t="n">
        <x:f>SUM(D185:F185)</x:f>
        <x:v>0</x:v>
      </x:c>
      <x:c r="H185" s="53" t="n">
        <x:f>35000</x:f>
        <x:v>35000</x:v>
      </x:c>
      <x:c r="I185" s="53" t="n">
        <x:f>K184</x:f>
        <x:v>0</x:v>
      </x:c>
      <x:c r="J185" s="53" t="n">
        <x:f>MIN(G185+I185,H185)</x:f>
        <x:v>0</x:v>
      </x:c>
      <x:c r="K185" s="53" t="n">
        <x:f>G185+I185-J185</x:f>
        <x:v>0</x:v>
      </x:c>
      <x:c r="L185" s="53" t="n">
        <x:f>SUM($J$7:J155)</x:f>
        <x:v>930065.2672999998</x:v>
      </x:c>
      <x:c r="M185" s="72"/>
      <x:c r="N185" s="72"/>
    </x:row>
    <x:row r="186">
      <x:c r="C186" s="20" t="n">
        <x:v>179</x:v>
      </x:c>
      <x:c r="D186" s="53" t="n">
        <x:f>IF(AND(C186&gt;=30,C186&lt;=39),8813,0)</x:f>
        <x:v>0</x:v>
      </x:c>
      <x:c r="E186" s="53" t="n">
        <x:f>IF(AND(C186&gt;=60,C186&lt;=79),15863.4,0)</x:f>
        <x:v>0</x:v>
      </x:c>
      <x:c r="F186" s="53" t="n">
        <x:f>IF(AND(C186&gt;=130,C186&lt;=159),27614.0667,0)</x:f>
        <x:v>0</x:v>
      </x:c>
      <x:c r="G186" s="53" t="n">
        <x:f>SUM(D186:F186)</x:f>
        <x:v>0</x:v>
      </x:c>
      <x:c r="H186" s="53" t="n">
        <x:f>35000</x:f>
        <x:v>35000</x:v>
      </x:c>
      <x:c r="I186" s="53" t="n">
        <x:f>K185</x:f>
        <x:v>0</x:v>
      </x:c>
      <x:c r="J186" s="53" t="n">
        <x:f>MIN(G186+I186,H186)</x:f>
        <x:v>0</x:v>
      </x:c>
      <x:c r="K186" s="53" t="n">
        <x:f>G186+I186-J186</x:f>
        <x:v>0</x:v>
      </x:c>
      <x:c r="L186" s="53" t="n">
        <x:f>SUM($J$7:J156)</x:f>
        <x:v>957679.3339999998</x:v>
      </x:c>
      <x:c r="M186" s="72"/>
      <x:c r="N186" s="72"/>
    </x:row>
    <x:row r="187">
      <x:c r="C187" s="20" t="n">
        <x:v>180</x:v>
      </x:c>
      <x:c r="D187" s="53" t="n">
        <x:f>IF(AND(C187&gt;=30,C187&lt;=39),8813,0)</x:f>
        <x:v>0</x:v>
      </x:c>
      <x:c r="E187" s="53" t="n">
        <x:f>IF(AND(C187&gt;=60,C187&lt;=79),15863.4,0)</x:f>
        <x:v>0</x:v>
      </x:c>
      <x:c r="F187" s="53" t="n">
        <x:f>IF(AND(C187&gt;=130,C187&lt;=159),27614.0667,0)</x:f>
        <x:v>0</x:v>
      </x:c>
      <x:c r="G187" s="53" t="n">
        <x:f>SUM(D187:F187)</x:f>
        <x:v>0</x:v>
      </x:c>
      <x:c r="H187" s="53" t="n">
        <x:f>35000</x:f>
        <x:v>35000</x:v>
      </x:c>
      <x:c r="I187" s="53" t="n">
        <x:f>K186</x:f>
        <x:v>0</x:v>
      </x:c>
      <x:c r="J187" s="53" t="n">
        <x:f>MIN(G187+I187,H187)</x:f>
        <x:v>0</x:v>
      </x:c>
      <x:c r="K187" s="53" t="n">
        <x:f>G187+I187-J187</x:f>
        <x:v>0</x:v>
      </x:c>
      <x:c r="L187" s="53" t="n">
        <x:f>SUM($J$7:J157)</x:f>
        <x:v>985293.4006999998</x:v>
      </x:c>
      <x:c r="M187" s="72"/>
      <x:c r="N187" s="72"/>
    </x:row>
  </x:sheetData>
  <x:mergeCells>
    <x:mergeCell ref="C2:N2"/>
    <x:mergeCell ref="C3:N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0" hidden="0" customWidth="1"/>
    <x:col min="5" max="5" width="30" hidden="0" customWidth="1"/>
    <x:col min="6" max="6" width="36" hidden="0" customWidth="1"/>
    <x:col min="7" max="7" width="44" hidden="0" customWidth="1"/>
    <x:col min="8" max="8" width="28" hidden="0" customWidth="1"/>
    <x:col min="9" max="9" width="38" hidden="0" customWidth="1"/>
    <x:col min="10" max="10" width="24" hidden="0" customWidth="1"/>
    <x:col min="11" max="11" width="22" hidden="0" customWidth="1"/>
    <x:col min="12" max="12" width="12" hidden="0" customWidth="1"/>
    <x:col min="13" max="13" width="16" hidden="0" customWidth="1"/>
    <x:col min="14" max="14" width="45" hidden="0" customWidth="1"/>
  </x:cols>
  <x:sheetData>
    <x:row r="2" ht="24" customHeight="1">
      <x:c r="C2" s="69" t="str">
        <x:v>Technology Requirements Revealed by the Campaign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ht="30" customHeight="1">
      <x:c r="C3" s="71" t="str">
        <x:v>The campaign sets measurable thresholds. It does not credit future technology until representative full-mission evidence exists.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</x:row>
    <x:row r="6">
      <x:c r="C6" s="16" t="str">
        <x:v>Req ID</x:v>
      </x:c>
      <x:c r="D6" s="17" t="str">
        <x:v>Capability</x:v>
      </x:c>
      <x:c r="E6" s="17" t="str">
        <x:v>Current benchmark</x:v>
      </x:c>
      <x:c r="F6" s="17" t="str">
        <x:v>Campaign threshold</x:v>
      </x:c>
      <x:c r="G6" s="17" t="str">
        <x:v>Why current practice is insufficient</x:v>
      </x:c>
      <x:c r="H6" s="17" t="str">
        <x:v>Model variable changed</x:v>
      </x:c>
      <x:c r="I6" s="17" t="str">
        <x:v>Representative trial</x:v>
      </x:c>
      <x:c r="J6" s="17" t="str">
        <x:v>Decision authority</x:v>
      </x:c>
      <x:c r="K6" s="17" t="str">
        <x:v>Earliest credit</x:v>
      </x:c>
      <x:c r="L6" s="17" t="str">
        <x:v>Gate</x:v>
      </x:c>
      <x:c r="M6" s="17" t="str">
        <x:v>Rendering status</x:v>
      </x:c>
      <x:c r="N6" s="18" t="str">
        <x:v>Notes</x:v>
      </x:c>
      <x:c r="O6" s="72"/>
      <x:c r="P6" s="72"/>
    </x:row>
    <x:row r="7">
      <x:c r="C7" s="26" t="str">
        <x:v>TR-01</x:v>
      </x:c>
      <x:c r="D7" s="26" t="str">
        <x:v>Distributed strategic-to-austere cargo aircraft</x:v>
      </x:c>
      <x:c r="E7" s="26" t="str">
        <x:v>C-17: 77.5 t max; C-130J: ~19 t max</x:v>
      </x:c>
      <x:c r="F7" s="26" t="str">
        <x:v>40–80 t payload into 600–1,200 m repaired runway; 3-hour ground cycle</x:v>
      </x:c>
      <x:c r="G7" s="26" t="str">
        <x:v>Existing fleet concentrates demand on long runways and fuel/handling systems</x:v>
      </x:c>
      <x:c r="H7" s="26" t="str">
        <x:v>P1/P2 capacity and open day</x:v>
      </x:c>
      <x:c r="I7" s="26" t="str">
        <x:v>100 sorties from damaged strip with 85% completion</x:v>
      </x:c>
      <x:c r="J7" s="26" t="str">
        <x:v>Airworthiness authority</x:v>
      </x:c>
      <x:c r="K7" s="26" t="str">
        <x:v>TRL 7 representative trial</x:v>
      </x:c>
      <x:c r="L7" s="26" t="str">
        <x:v>OPEN</x:v>
      </x:c>
      <x:c r="M7" s="26" t="str">
        <x:v>BLOCKED</x:v>
      </x:c>
      <x:c r="N7" s="26" t="str">
        <x:v>Requirements are a family, not one universal aircraft</x:v>
      </x:c>
      <x:c r="O7" s="72"/>
      <x:c r="P7" s="72"/>
    </x:row>
    <x:row r="8">
      <x:c r="C8" s="26" t="str">
        <x:v>TR-02</x:v>
      </x:c>
      <x:c r="D8" s="26" t="str">
        <x:v>Aftershock-tolerant runway regeneration</x:v>
      </x:c>
      <x:c r="E8" s="26" t="str">
        <x:v>conventional repair and inspection</x:v>
      </x:c>
      <x:c r="F8" s="26" t="str">
        <x:v>restore 1,200 m x 30 m operating strip in 12 h; re-certify in 30 min after trigger</x:v>
      </x:c>
      <x:c r="G8" s="26" t="str">
        <x:v>Aftershocks repeatedly invalidate one-time repair</x:v>
      </x:c>
      <x:c r="H8" s="26" t="str">
        <x:v>air path reopening and node factor</x:v>
      </x:c>
      <x:c r="I8" s="26" t="str">
        <x:v>full-scale cracked/liquefied pavement campaign</x:v>
      </x:c>
      <x:c r="J8" s="26" t="str">
        <x:v>Infrastructure release authority</x:v>
      </x:c>
      <x:c r="K8" s="26" t="str">
        <x:v>destructive range</x:v>
      </x:c>
      <x:c r="L8" s="26" t="str">
        <x:v>OPEN</x:v>
      </x:c>
      <x:c r="M8" s="26" t="str">
        <x:v>BLOCKED</x:v>
      </x:c>
      <x:c r="N8" s="26" t="str">
        <x:v>Includes drainage, lighting, FOD and load classification</x:v>
      </x:c>
      <x:c r="O8" s="72"/>
      <x:c r="P8" s="72"/>
    </x:row>
    <x:row r="9">
      <x:c r="C9" s="26" t="str">
        <x:v>TR-03</x:v>
      </x:c>
      <x:c r="D9" s="26" t="str">
        <x:v>No-pier littoral throughput</x:v>
      </x:c>
      <x:c r="E9" s="26" t="str">
        <x:v>JLOTS and experimental LMCS</x:v>
      </x:c>
      <x:c r="F9" s="26" t="str">
        <x:v>8,000–16,000 handling-equivalent t/day per group in protected water</x:v>
      </x:c>
      <x:c r="G9" s="26" t="str">
        <x:v>Existing systems lack civil traffic, debris and public-access integration at this scale</x:v>
      </x:c>
      <x:c r="H9" s="26" t="str">
        <x:v>P4/P5 throughput</x:v>
      </x:c>
      <x:c r="I9" s="26" t="str">
        <x:v>30-day beach/ferry-terminal operation in winter sea state</x:v>
      </x:c>
      <x:c r="J9" s="26" t="str">
        <x:v>Maritime technical authority</x:v>
      </x:c>
      <x:c r="K9" s="26" t="str">
        <x:v>TRL 7 mission thread</x:v>
      </x:c>
      <x:c r="L9" s="26" t="str">
        <x:v>OPEN</x:v>
      </x:c>
      <x:c r="M9" s="26" t="str">
        <x:v>BLOCKED</x:v>
      </x:c>
      <x:c r="N9" s="26" t="str">
        <x:v>40-ton fire-truck LMCS trial is a lower bound</x:v>
      </x:c>
      <x:c r="O9" s="72"/>
      <x:c r="P9" s="72"/>
    </x:row>
    <x:row r="10">
      <x:c r="C10" s="26" t="str">
        <x:v>TR-04</x:v>
      </x:c>
      <x:c r="D10" s="26" t="str">
        <x:v>Robotic port hydrography and obstruction removal</x:v>
      </x:c>
      <x:c r="E10" s="26" t="str">
        <x:v>survey, salvage and dredging teams</x:v>
      </x:c>
      <x:c r="F10" s="26" t="str">
        <x:v>survey and open one shallow path in 24 h; remove 10,000 t obstruction in 7 d</x:v>
      </x:c>
      <x:c r="G10" s="26" t="str">
        <x:v>Port cranes and debris can block channels for months</x:v>
      </x:c>
      <x:c r="H10" s="26" t="str">
        <x:v>P6 open day and node factor</x:v>
      </x:c>
      <x:c r="I10" s="26" t="str">
        <x:v>unknown-bottom, debris and contaminant range</x:v>
      </x:c>
      <x:c r="J10" s="26" t="str">
        <x:v>Navigation / environmental authority</x:v>
      </x:c>
      <x:c r="K10" s="26" t="str">
        <x:v>representative port trial</x:v>
      </x:c>
      <x:c r="L10" s="26" t="str">
        <x:v>OPEN</x:v>
      </x:c>
      <x:c r="M10" s="26" t="str">
        <x:v>BLOCKED</x:v>
      </x:c>
      <x:c r="N10" s="26" t="str">
        <x:v>Must expose uncertainty rather than automate release</x:v>
      </x:c>
      <x:c r="O10" s="72"/>
      <x:c r="P10" s="72"/>
    </x:row>
    <x:row r="11">
      <x:c r="C11" s="26" t="str">
        <x:v>TR-05</x:v>
      </x:c>
      <x:c r="D11" s="26" t="str">
        <x:v>Long-span civil emergency bridge train</x:v>
      </x:c>
      <x:c r="E11" s="26" t="str">
        <x:v>IRB / modular bridge precedents</x:v>
      </x:c>
      <x:c r="F11" s="26" t="str">
        <x:v>80 m dry or wet gap; 80 t gross vehicle; 1,500 vehicles/day; 72 h from first load</x:v>
      </x:c>
      <x:c r="G11" s="26" t="str">
        <x:v>Military bridges do not cover every abutment, traffic and accessibility condition</x:v>
      </x:c>
      <x:c r="H11" s="26" t="str">
        <x:v>P8/P9 open day and capacity</x:v>
      </x:c>
      <x:c r="I11" s="26" t="str">
        <x:v>aftershock, scour and mixed public-traffic trial</x:v>
      </x:c>
      <x:c r="J11" s="26" t="str">
        <x:v>Structural release authority</x:v>
      </x:c>
      <x:c r="K11" s="26" t="str">
        <x:v>full-scale destructive trial</x:v>
      </x:c>
      <x:c r="L11" s="26" t="str">
        <x:v>OPEN</x:v>
      </x:c>
      <x:c r="M11" s="26" t="str">
        <x:v>BLOCKED</x:v>
      </x:c>
      <x:c r="N11" s="26" t="str">
        <x:v>Pre-engineered foundations and local bypasses compete</x:v>
      </x:c>
      <x:c r="O11" s="72"/>
      <x:c r="P11" s="72"/>
    </x:row>
    <x:row r="12">
      <x:c r="C12" s="26" t="str">
        <x:v>TR-06</x:v>
      </x:c>
      <x:c r="D12" s="26" t="str">
        <x:v>Autonomous route-certification swarm</x:v>
      </x:c>
      <x:c r="E12" s="26" t="str">
        <x:v>manual reconnaissance</x:v>
      </x:c>
      <x:c r="F12" s="26" t="str">
        <x:v>500 route-km/day per group with human release and offline evidence</x:v>
      </x:c>
      <x:c r="G12" s="26" t="str">
        <x:v>Inspection scale and communications loss delay safe reopening</x:v>
      </x:c>
      <x:c r="H12" s="26" t="str">
        <x:v>hazard-control effect and route opening</x:v>
      </x:c>
      <x:c r="I12" s="26" t="str">
        <x:v>seeded-damage double-blind inspection trial</x:v>
      </x:c>
      <x:c r="J12" s="26" t="str">
        <x:v>Structural release authority</x:v>
      </x:c>
      <x:c r="K12" s="26" t="str">
        <x:v>validated decision-support only</x:v>
      </x:c>
      <x:c r="L12" s="26" t="str">
        <x:v>OPEN</x:v>
      </x:c>
      <x:c r="M12" s="26" t="str">
        <x:v>BLOCKED</x:v>
      </x:c>
      <x:c r="N12" s="26" t="str">
        <x:v>Automation cannot self-authorize public traffic</x:v>
      </x:c>
      <x:c r="O12" s="72"/>
      <x:c r="P12" s="72"/>
    </x:row>
    <x:row r="13">
      <x:c r="C13" s="26" t="str">
        <x:v>TR-07</x:v>
      </x:c>
      <x:c r="D13" s="26" t="str">
        <x:v>Zero-host-utility responder base</x:v>
      </x:c>
      <x:c r="E13" s="26" t="str">
        <x:v>temporary camps with host fuel and services</x:v>
      </x:c>
      <x:c r="F13" s="26" t="str">
        <x:v>5,000 people/module for 90 d with closed-loop water, sanitation, power and health</x:v>
      </x:c>
      <x:c r="G13" s="26" t="str">
        <x:v>Responders otherwise compete with survivors for scarce systems</x:v>
      </x:c>
      <x:c r="H13" s="26" t="str">
        <x:v>base capacity and stress factor</x:v>
      </x:c>
      <x:c r="I13" s="26" t="str">
        <x:v>90-day winter full-occupancy exercise</x:v>
      </x:c>
      <x:c r="J13" s="26" t="str">
        <x:v>Public health / electrical authorities</x:v>
      </x:c>
      <x:c r="K13" s="26" t="str">
        <x:v>operational prototype</x:v>
      </x:c>
      <x:c r="L13" s="26" t="str">
        <x:v>OPEN</x:v>
      </x:c>
      <x:c r="M13" s="26" t="str">
        <x:v>BLOCKED</x:v>
      </x:c>
      <x:c r="N13" s="26" t="str">
        <x:v>Includes worker rest, accessibility and safeguarding</x:v>
      </x:c>
      <x:c r="O13" s="72"/>
      <x:c r="P13" s="72"/>
    </x:row>
    <x:row r="14">
      <x:c r="C14" s="26" t="str">
        <x:v>TR-08</x:v>
      </x:c>
      <x:c r="D14" s="26" t="str">
        <x:v>Damage-tolerant movement ledger</x:v>
      </x:c>
      <x:c r="E14" s="26" t="str">
        <x:v>networked logistics software</x:v>
      </x:c>
      <x:c r="F14" s="26" t="str">
        <x:v>offline-first custody, priority, hazard and substitution state for 500,000 loads</x:v>
      </x:c>
      <x:c r="G14" s="26" t="str">
        <x:v>Connectivity loss causes phantom inventory and misallocation</x:v>
      </x:c>
      <x:c r="H14" s="26" t="str">
        <x:v>mode fit, queue and civil command</x:v>
      </x:c>
      <x:c r="I14" s="26" t="str">
        <x:v>72-hour disconnected multi-node exercise</x:v>
      </x:c>
      <x:c r="J14" s="26" t="str">
        <x:v>Data / civil rights authority</x:v>
      </x:c>
      <x:c r="K14" s="26" t="str">
        <x:v>operational software trial</x:v>
      </x:c>
      <x:c r="L14" s="26" t="str">
        <x:v>OPEN</x:v>
      </x:c>
      <x:c r="M14" s="26" t="str">
        <x:v>BLOCKED</x:v>
      </x:c>
      <x:c r="N14" s="26" t="str">
        <x:v>Manual-safe operation remains required</x:v>
      </x:c>
      <x:c r="O14" s="72"/>
      <x:c r="P14" s="72"/>
    </x:row>
    <x:row r="15">
      <x:c r="C15" s="26" t="str">
        <x:v>TR-09</x:v>
      </x:c>
      <x:c r="D15" s="26" t="str">
        <x:v>Hazardous reverse-flow system</x:v>
      </x:c>
      <x:c r="E15" s="26" t="str">
        <x:v>ad hoc waste backhaul</x:v>
      </x:c>
      <x:c r="F15" s="26" t="str">
        <x:v>1,800 t/day segregated, tracked and accepted by day 14</x:v>
      </x:c>
      <x:c r="G15" s="26" t="str">
        <x:v>Inbound planning commonly omits waste and damaged energy systems</x:v>
      </x:c>
      <x:c r="H15" s="26" t="str">
        <x:v>reverse capacity and backlog</x:v>
      </x:c>
      <x:c r="I15" s="26" t="str">
        <x:v>mixed hazardous-material full chain</x:v>
      </x:c>
      <x:c r="J15" s="26" t="str">
        <x:v>Environmental authority</x:v>
      </x:c>
      <x:c r="K15" s="26" t="str">
        <x:v>licensed end-to-end trial</x:v>
      </x:c>
      <x:c r="L15" s="26" t="str">
        <x:v>OPEN</x:v>
      </x:c>
      <x:c r="M15" s="26" t="str">
        <x:v>BLOCKED</x:v>
      </x:c>
      <x:c r="N15" s="26" t="str">
        <x:v>Destination acceptance is part of closure</x:v>
      </x:c>
      <x:c r="O15" s="72"/>
      <x:c r="P15" s="72"/>
    </x:row>
    <x:row r="16">
      <x:c r="C16" s="26" t="str">
        <x:v>TR-10</x:v>
      </x:c>
      <x:c r="D16" s="26" t="str">
        <x:v>Shallow-draft inland distribution flotilla</x:v>
      </x:c>
      <x:c r="E16" s="26" t="str">
        <x:v>commercial barge / workboat mix</x:v>
      </x:c>
      <x:c r="F16" s="26" t="str">
        <x:v>20,000 handling-equivalent t/day across temporary terminals</x:v>
      </x:c>
      <x:c r="G16" s="26" t="str">
        <x:v>Deep draft and fixed terminals share channel and crane failures</x:v>
      </x:c>
      <x:c r="H16" s="26" t="str">
        <x:v>P7 throughput</x:v>
      </x:c>
      <x:c r="I16" s="26" t="str">
        <x:v>debris, sediment and failed-terminal river trial</x:v>
      </x:c>
      <x:c r="J16" s="26" t="str">
        <x:v>Maritime / environmental authority</x:v>
      </x:c>
      <x:c r="K16" s="26" t="str">
        <x:v>TRL 7 mission thread</x:v>
      </x:c>
      <x:c r="L16" s="26" t="str">
        <x:v>OPEN</x:v>
      </x:c>
      <x:c r="M16" s="26" t="str">
        <x:v>BLOCKED</x:v>
      </x:c>
      <x:c r="N16" s="26" t="str">
        <x:v>Must coexist with flood and navigation safety</x:v>
      </x:c>
      <x:c r="O16" s="72"/>
      <x:c r="P16" s="72"/>
    </x:row>
    <x:row r="17">
      <x:c r="C17" s="26" t="str">
        <x:v>TR-11</x:v>
      </x:c>
      <x:c r="D17" s="26" t="str">
        <x:v>Rapid public utility corridor</x:v>
      </x:c>
      <x:c r="E17" s="26" t="str">
        <x:v>conventional line, pipe and substation construction</x:v>
      </x:c>
      <x:c r="F17" s="26" t="str">
        <x:v>100 km/day mixed temporary feeder/pipe corridor after route release</x:v>
      </x:c>
      <x:c r="G17" s="26" t="str">
        <x:v>Restored generation or treatment has no effect without distribution</x:v>
      </x:c>
      <x:c r="H17" s="26" t="str">
        <x:v>power, water and access service capacity</x:v>
      </x:c>
      <x:c r="I17" s="26" t="str">
        <x:v>live load, pressure, crossing and mis-key trial</x:v>
      </x:c>
      <x:c r="J17" s="26" t="str">
        <x:v>Utility technical authorities</x:v>
      </x:c>
      <x:c r="K17" s="26" t="str">
        <x:v>representative district trial</x:v>
      </x:c>
      <x:c r="L17" s="26" t="str">
        <x:v>OPEN</x:v>
      </x:c>
      <x:c r="M17" s="26" t="str">
        <x:v>BLOCKED</x:v>
      </x:c>
      <x:c r="N17" s="26" t="str">
        <x:v>Common route modules cannot erase electrical/hydraulic differences</x:v>
      </x:c>
      <x:c r="O17" s="72"/>
      <x:c r="P17" s="72"/>
    </x:row>
    <x:row r="18">
      <x:c r="C18" s="26" t="str">
        <x:v>TR-12</x:v>
      </x:c>
      <x:c r="D18" s="26" t="str">
        <x:v>Reconstitution digital twin and depot cell</x:v>
      </x:c>
      <x:c r="E18" s="26" t="str">
        <x:v>maintenance records and depots</x:v>
      </x:c>
      <x:c r="F18" s="26" t="str">
        <x:v>R1/R2 return, decontaminate, inspect and release by day 120</x:v>
      </x:c>
      <x:c r="G18" s="26" t="str">
        <x:v>A force unavailable after one campaign cannot meet concurrency</x:v>
      </x:c>
      <x:c r="H18" s="26" t="str">
        <x:v>depot capacity and ready-again lag</x:v>
      </x:c>
      <x:c r="I18" s="26" t="str">
        <x:v>contaminated 90-day campaign reset</x:v>
      </x:c>
      <x:c r="J18" s="26" t="str">
        <x:v>Independent readiness authority</x:v>
      </x:c>
      <x:c r="K18" s="26" t="str">
        <x:v>full force-generation trial</x:v>
      </x:c>
      <x:c r="L18" s="26" t="str">
        <x:v>OPEN</x:v>
      </x:c>
      <x:c r="M18" s="26" t="str">
        <x:v>BLOCKED</x:v>
      </x:c>
      <x:c r="N18" s="26" t="str">
        <x:v>Tracks people, software, spares and family recovery too</x:v>
      </x:c>
      <x:c r="O18" s="72"/>
      <x:c r="P18" s="72"/>
    </x:row>
  </x:sheetData>
  <x:mergeCells>
    <x:mergeCell ref="C2:P2"/>
    <x:mergeCell ref="C3:P3"/>
  </x:mergeCells>
  <x:conditionalFormatting sqref="L7:M18">
    <x:cfRule type="containsText" dxfId="55" priority="1" operator="containsText" text="PASS"/>
    <x:cfRule type="containsText" dxfId="56" priority="2" operator="containsText" text="CLOSE"/>
    <x:cfRule type="containsText" dxfId="57" priority="3" operator="containsText" text="FAIL"/>
    <x:cfRule type="containsText" dxfId="58" priority="4" operator="containsText" text="LATE"/>
    <x:cfRule type="containsText" dxfId="59" priority="5" operator="containsText" text="OPEN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8" hidden="0" customWidth="1"/>
    <x:col min="5" max="5" width="16" hidden="0" customWidth="1"/>
    <x:col min="6" max="6" width="11" hidden="0" customWidth="1"/>
    <x:col min="7" max="7" width="15" hidden="0" customWidth="1"/>
    <x:col min="8" max="8" width="16" hidden="0" customWidth="1"/>
    <x:col min="9" max="9" width="20" hidden="0" customWidth="1"/>
    <x:col min="10" max="10" width="24" hidden="0" customWidth="1"/>
  </x:cols>
  <x:sheetData>
    <x:row r="2" ht="24" customHeight="1">
      <x:c r="C2" s="69" t="str">
        <x:v>Cascadia Regional Posture Capital</x:v>
      </x:c>
      <x:c r="D2" s="70"/>
      <x:c r="E2" s="70"/>
      <x:c r="F2" s="70"/>
      <x:c r="G2" s="70"/>
      <x:c r="H2" s="70"/>
      <x:c r="I2" s="70"/>
      <x:c r="J2" s="70"/>
      <x:c r="K2" s="70"/>
      <x:c r="L2" s="70"/>
    </x:row>
    <x:row r="3" ht="30" customHeight="1">
      <x:c r="C3" s="71" t="str">
        <x:v>Attributable capital in real 2026 USD billions. This is a regional slice of Pass 24, not an addition to the Department-wide total.</x:v>
      </x:c>
      <x:c r="D3" s="71"/>
      <x:c r="E3" s="71"/>
      <x:c r="F3" s="71"/>
      <x:c r="G3" s="71"/>
      <x:c r="H3" s="71"/>
      <x:c r="I3" s="71"/>
      <x:c r="J3" s="71"/>
      <x:c r="K3" s="71"/>
      <x:c r="L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</x:row>
    <x:row r="6">
      <x:c r="C6" s="16" t="str">
        <x:v>Line</x:v>
      </x:c>
      <x:c r="D6" s="17" t="str">
        <x:v>Program</x:v>
      </x:c>
      <x:c r="E6" s="17" t="str">
        <x:v>Category</x:v>
      </x:c>
      <x:c r="F6" s="17" t="str">
        <x:v>Units</x:v>
      </x:c>
      <x:c r="G6" s="17" t="str">
        <x:v>Unit cost $B</x:v>
      </x:c>
      <x:c r="H6" s="17" t="str">
        <x:v>Extended $B</x:v>
      </x:c>
      <x:c r="I6" s="17" t="str">
        <x:v>Evidence class</x:v>
      </x:c>
      <x:c r="J6" s="18" t="str">
        <x:v>Accounting treatment</x:v>
      </x:c>
      <x:c r="K6" s="72"/>
      <x:c r="L6" s="72"/>
    </x:row>
    <x:row r="7">
      <x:c r="C7" s="20" t="n">
        <x:v>1</x:v>
      </x:c>
      <x:c r="D7" s="20" t="str">
        <x:v>Prepared Resilience Entry Complexes</x:v>
      </x:c>
      <x:c r="E7" s="20" t="str">
        <x:v>Network</x:v>
      </x:c>
      <x:c r="F7" s="32" t="n">
        <x:v>8</x:v>
      </x:c>
      <x:c r="G7" s="58" t="n">
        <x:v>6</x:v>
      </x:c>
      <x:c r="H7" s="59" t="n">
        <x:f>F7*G7</x:f>
        <x:v>48</x:v>
      </x:c>
      <x:c r="I7" s="20" t="str">
        <x:v>cost hypothesis</x:v>
      </x:c>
      <x:c r="J7" s="20" t="str">
        <x:v>nested in Pass 24</x:v>
      </x:c>
      <x:c r="K7" s="72"/>
      <x:c r="L7" s="72"/>
    </x:row>
    <x:row r="8">
      <x:c r="C8" s="20" t="n">
        <x:v>2</x:v>
      </x:c>
      <x:c r="D8" s="20" t="str">
        <x:v>Distributed upland cache and auxiliary sites</x:v>
      </x:c>
      <x:c r="E8" s="20" t="str">
        <x:v>Network</x:v>
      </x:c>
      <x:c r="F8" s="32" t="n">
        <x:v>24</x:v>
      </x:c>
      <x:c r="G8" s="58" t="n">
        <x:v>1.2</x:v>
      </x:c>
      <x:c r="H8" s="59" t="n">
        <x:f>F8*G8</x:f>
        <x:v>28.799999999999997</x:v>
      </x:c>
      <x:c r="I8" s="20" t="str">
        <x:v>cost hypothesis</x:v>
      </x:c>
      <x:c r="J8" s="20" t="str">
        <x:v>nested in Pass 24</x:v>
      </x:c>
      <x:c r="K8" s="72"/>
      <x:c r="L8" s="72"/>
    </x:row>
    <x:row r="9">
      <x:c r="C9" s="20" t="n">
        <x:v>3</x:v>
      </x:c>
      <x:c r="D9" s="20" t="str">
        <x:v>Interior strategic air complexes</x:v>
      </x:c>
      <x:c r="E9" s="20" t="str">
        <x:v>Network</x:v>
      </x:c>
      <x:c r="F9" s="32" t="n">
        <x:v>4</x:v>
      </x:c>
      <x:c r="G9" s="58" t="n">
        <x:v>5.5</x:v>
      </x:c>
      <x:c r="H9" s="59" t="n">
        <x:f>F9*G9</x:f>
        <x:v>22</x:v>
      </x:c>
      <x:c r="I9" s="20" t="str">
        <x:v>cost hypothesis</x:v>
      </x:c>
      <x:c r="J9" s="20" t="str">
        <x:v>nested in Pass 24</x:v>
      </x:c>
      <x:c r="K9" s="72"/>
      <x:c r="L9" s="72"/>
    </x:row>
    <x:row r="10">
      <x:c r="C10" s="20" t="n">
        <x:v>4</x:v>
      </x:c>
      <x:c r="D10" s="20" t="str">
        <x:v>No-pier littoral groups</x:v>
      </x:c>
      <x:c r="E10" s="20" t="str">
        <x:v>Fleet</x:v>
      </x:c>
      <x:c r="F10" s="32" t="n">
        <x:v>8</x:v>
      </x:c>
      <x:c r="G10" s="58" t="n">
        <x:v>2.4</x:v>
      </x:c>
      <x:c r="H10" s="59" t="n">
        <x:f>F10*G10</x:f>
        <x:v>19.2</x:v>
      </x:c>
      <x:c r="I10" s="20" t="str">
        <x:v>cost hypothesis</x:v>
      </x:c>
      <x:c r="J10" s="20" t="str">
        <x:v>nested in Pass 24</x:v>
      </x:c>
      <x:c r="K10" s="72"/>
      <x:c r="L10" s="72"/>
    </x:row>
    <x:row r="11">
      <x:c r="C11" s="20" t="n">
        <x:v>5</x:v>
      </x:c>
      <x:c r="D11" s="20" t="str">
        <x:v>Shallow-draft flotillas</x:v>
      </x:c>
      <x:c r="E11" s="20" t="str">
        <x:v>Fleet</x:v>
      </x:c>
      <x:c r="F11" s="32" t="n">
        <x:v>6</x:v>
      </x:c>
      <x:c r="G11" s="58" t="n">
        <x:v>2</x:v>
      </x:c>
      <x:c r="H11" s="59" t="n">
        <x:f>F11*G11</x:f>
        <x:v>12</x:v>
      </x:c>
      <x:c r="I11" s="20" t="str">
        <x:v>cost hypothesis</x:v>
      </x:c>
      <x:c r="J11" s="20" t="str">
        <x:v>nested in Pass 24</x:v>
      </x:c>
      <x:c r="K11" s="72"/>
      <x:c r="L11" s="72"/>
    </x:row>
    <x:row r="12">
      <x:c r="C12" s="20" t="n">
        <x:v>6</x:v>
      </x:c>
      <x:c r="D12" s="20" t="str">
        <x:v>Port clearance and dredge groups</x:v>
      </x:c>
      <x:c r="E12" s="20" t="str">
        <x:v>Fleet</x:v>
      </x:c>
      <x:c r="F12" s="32" t="n">
        <x:v>8</x:v>
      </x:c>
      <x:c r="G12" s="58" t="n">
        <x:v>2.5</x:v>
      </x:c>
      <x:c r="H12" s="59" t="n">
        <x:f>F12*G12</x:f>
        <x:v>20</x:v>
      </x:c>
      <x:c r="I12" s="20" t="str">
        <x:v>cost hypothesis</x:v>
      </x:c>
      <x:c r="J12" s="20" t="str">
        <x:v>nested in Pass 24</x:v>
      </x:c>
      <x:c r="K12" s="72"/>
      <x:c r="L12" s="72"/>
    </x:row>
    <x:row r="13">
      <x:c r="C13" s="20" t="n">
        <x:v>7</x:v>
      </x:c>
      <x:c r="D13" s="20" t="str">
        <x:v>Land route-opening groups</x:v>
      </x:c>
      <x:c r="E13" s="20" t="str">
        <x:v>Fleet</x:v>
      </x:c>
      <x:c r="F13" s="32" t="n">
        <x:v>12</x:v>
      </x:c>
      <x:c r="G13" s="58" t="n">
        <x:v>2.1</x:v>
      </x:c>
      <x:c r="H13" s="59" t="n">
        <x:f>F13*G13</x:f>
        <x:v>25.200000000000003</x:v>
      </x:c>
      <x:c r="I13" s="20" t="str">
        <x:v>cost hypothesis</x:v>
      </x:c>
      <x:c r="J13" s="20" t="str">
        <x:v>nested in Pass 24</x:v>
      </x:c>
      <x:c r="K13" s="72"/>
      <x:c r="L13" s="72"/>
    </x:row>
    <x:row r="14">
      <x:c r="C14" s="20" t="n">
        <x:v>8</x:v>
      </x:c>
      <x:c r="D14" s="20" t="str">
        <x:v>Modular heavy bridge systems</x:v>
      </x:c>
      <x:c r="E14" s="20" t="str">
        <x:v>Fleet</x:v>
      </x:c>
      <x:c r="F14" s="32" t="n">
        <x:v>24</x:v>
      </x:c>
      <x:c r="G14" s="58" t="n">
        <x:v>0.6</x:v>
      </x:c>
      <x:c r="H14" s="59" t="n">
        <x:f>F14*G14</x:f>
        <x:v>14.399999999999999</x:v>
      </x:c>
      <x:c r="I14" s="20" t="str">
        <x:v>cost hypothesis</x:v>
      </x:c>
      <x:c r="J14" s="20" t="str">
        <x:v>nested in Pass 24</x:v>
      </x:c>
      <x:c r="K14" s="72"/>
      <x:c r="L14" s="72"/>
    </x:row>
    <x:row r="15">
      <x:c r="C15" s="20" t="n">
        <x:v>9</x:v>
      </x:c>
      <x:c r="D15" s="20" t="str">
        <x:v>Offshore responder bases</x:v>
      </x:c>
      <x:c r="E15" s="20" t="str">
        <x:v>Fleet</x:v>
      </x:c>
      <x:c r="F15" s="32" t="n">
        <x:v>6</x:v>
      </x:c>
      <x:c r="G15" s="58" t="n">
        <x:v>3.5</x:v>
      </x:c>
      <x:c r="H15" s="59" t="n">
        <x:f>F15*G15</x:f>
        <x:v>21</x:v>
      </x:c>
      <x:c r="I15" s="20" t="str">
        <x:v>cost hypothesis</x:v>
      </x:c>
      <x:c r="J15" s="20" t="str">
        <x:v>nested in Pass 24</x:v>
      </x:c>
      <x:c r="K15" s="72"/>
      <x:c r="L15" s="72"/>
    </x:row>
    <x:row r="16">
      <x:c r="C16" s="20" t="n">
        <x:v>10</x:v>
      </x:c>
      <x:c r="D16" s="20" t="str">
        <x:v>Distributed cargo aircraft</x:v>
      </x:c>
      <x:c r="E16" s="20" t="str">
        <x:v>Fleet</x:v>
      </x:c>
      <x:c r="F16" s="32" t="n">
        <x:v>24</x:v>
      </x:c>
      <x:c r="G16" s="58" t="n">
        <x:v>0.9</x:v>
      </x:c>
      <x:c r="H16" s="59" t="n">
        <x:f>F16*G16</x:f>
        <x:v>21.6</x:v>
      </x:c>
      <x:c r="I16" s="20" t="str">
        <x:v>cost hypothesis</x:v>
      </x:c>
      <x:c r="J16" s="20" t="str">
        <x:v>nested in Pass 24</x:v>
      </x:c>
      <x:c r="K16" s="72"/>
      <x:c r="L16" s="72"/>
    </x:row>
    <x:row r="17">
      <x:c r="C17" s="20" t="n">
        <x:v>11</x:v>
      </x:c>
      <x:c r="D17" s="20" t="str">
        <x:v>Vertical-lift logistics craft</x:v>
      </x:c>
      <x:c r="E17" s="20" t="str">
        <x:v>Fleet</x:v>
      </x:c>
      <x:c r="F17" s="32" t="n">
        <x:v>48</x:v>
      </x:c>
      <x:c r="G17" s="58" t="n">
        <x:v>0.25</x:v>
      </x:c>
      <x:c r="H17" s="59" t="n">
        <x:f>F17*G17</x:f>
        <x:v>12</x:v>
      </x:c>
      <x:c r="I17" s="20" t="str">
        <x:v>cost hypothesis</x:v>
      </x:c>
      <x:c r="J17" s="20" t="str">
        <x:v>nested in Pass 24</x:v>
      </x:c>
      <x:c r="K17" s="72"/>
      <x:c r="L17" s="72"/>
    </x:row>
    <x:row r="18">
      <x:c r="C18" s="20" t="n">
        <x:v>12</x:v>
      </x:c>
      <x:c r="D18" s="20" t="str">
        <x:v>Autonomous runway repair trains</x:v>
      </x:c>
      <x:c r="E18" s="20" t="str">
        <x:v>Fleet</x:v>
      </x:c>
      <x:c r="F18" s="32" t="n">
        <x:v>10</x:v>
      </x:c>
      <x:c r="G18" s="58" t="n">
        <x:v>1</x:v>
      </x:c>
      <x:c r="H18" s="59" t="n">
        <x:f>F18*G18</x:f>
        <x:v>10</x:v>
      </x:c>
      <x:c r="I18" s="20" t="str">
        <x:v>cost hypothesis</x:v>
      </x:c>
      <x:c r="J18" s="20" t="str">
        <x:v>nested in Pass 24</x:v>
      </x:c>
      <x:c r="K18" s="72"/>
      <x:c r="L18" s="72"/>
    </x:row>
    <x:row r="19">
      <x:c r="C19" s="20" t="n">
        <x:v>13</x:v>
      </x:c>
      <x:c r="D19" s="20" t="str">
        <x:v>Zero-host-utility base packages</x:v>
      </x:c>
      <x:c r="E19" s="20" t="str">
        <x:v>Network</x:v>
      </x:c>
      <x:c r="F19" s="32" t="n">
        <x:v>8</x:v>
      </x:c>
      <x:c r="G19" s="58" t="n">
        <x:v>1.5</x:v>
      </x:c>
      <x:c r="H19" s="59" t="n">
        <x:f>F19*G19</x:f>
        <x:v>12</x:v>
      </x:c>
      <x:c r="I19" s="20" t="str">
        <x:v>cost hypothesis</x:v>
      </x:c>
      <x:c r="J19" s="20" t="str">
        <x:v>nested in Pass 24</x:v>
      </x:c>
      <x:c r="K19" s="72"/>
      <x:c r="L19" s="72"/>
    </x:row>
    <x:row r="20">
      <x:c r="C20" s="20" t="n">
        <x:v>14</x:v>
      </x:c>
      <x:c r="D20" s="20" t="str">
        <x:v>Deployment data and communications</x:v>
      </x:c>
      <x:c r="E20" s="20" t="str">
        <x:v>Common</x:v>
      </x:c>
      <x:c r="F20" s="32" t="n">
        <x:v>1</x:v>
      </x:c>
      <x:c r="G20" s="58" t="n">
        <x:v>6</x:v>
      </x:c>
      <x:c r="H20" s="59" t="n">
        <x:f>F20*G20</x:f>
        <x:v>6</x:v>
      </x:c>
      <x:c r="I20" s="20" t="str">
        <x:v>cost hypothesis</x:v>
      </x:c>
      <x:c r="J20" s="20" t="str">
        <x:v>nested in Pass 24</x:v>
      </x:c>
      <x:c r="K20" s="72"/>
      <x:c r="L20" s="72"/>
    </x:row>
    <x:row r="21">
      <x:c r="C21" s="20" t="n">
        <x:v>15</x:v>
      </x:c>
      <x:c r="D21" s="20" t="str">
        <x:v>Research, proving and independent test</x:v>
      </x:c>
      <x:c r="E21" s="20" t="str">
        <x:v>Research</x:v>
      </x:c>
      <x:c r="F21" s="32" t="n">
        <x:v>1</x:v>
      </x:c>
      <x:c r="G21" s="58" t="n">
        <x:v>24</x:v>
      </x:c>
      <x:c r="H21" s="59" t="n">
        <x:f>F21*G21</x:f>
        <x:v>24</x:v>
      </x:c>
      <x:c r="I21" s="20" t="str">
        <x:v>cost hypothesis</x:v>
      </x:c>
      <x:c r="J21" s="20" t="str">
        <x:v>nested in Pass 24</x:v>
      </x:c>
      <x:c r="K21" s="72"/>
      <x:c r="L21" s="72"/>
    </x:row>
    <x:row r="22">
      <x:c r="C22" s="20" t="n">
        <x:v>16</x:v>
      </x:c>
      <x:c r="D22" s="20" t="str">
        <x:v>Depots, initial spares and stock depth</x:v>
      </x:c>
      <x:c r="E22" s="20" t="str">
        <x:v>Industrial</x:v>
      </x:c>
      <x:c r="F22" s="32" t="n">
        <x:v>1</x:v>
      </x:c>
      <x:c r="G22" s="58" t="n">
        <x:v>15</x:v>
      </x:c>
      <x:c r="H22" s="59" t="n">
        <x:f>F22*G22</x:f>
        <x:v>15</x:v>
      </x:c>
      <x:c r="I22" s="20" t="str">
        <x:v>cost hypothesis</x:v>
      </x:c>
      <x:c r="J22" s="20" t="str">
        <x:v>nested in Pass 24</x:v>
      </x:c>
      <x:c r="K22" s="72"/>
      <x:c r="L22" s="72"/>
    </x:row>
    <x:row r="23"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</x:row>
    <x:row r="24">
      <x:c r="C24" s="72" t="str">
        <x:v>Subtotal</x:v>
      </x:c>
      <x:c r="D24" s="72"/>
      <x:c r="E24" s="72"/>
      <x:c r="F24" s="72"/>
      <x:c r="G24" s="72"/>
      <x:c r="H24" s="81" t="n">
        <x:f>SUM(H7:H22)</x:f>
        <x:v>311.2</x:v>
      </x:c>
      <x:c r="I24" s="72"/>
      <x:c r="J24" s="72"/>
      <x:c r="K24" s="72"/>
      <x:c r="L24" s="72"/>
    </x:row>
    <x:row r="25">
      <x:c r="C25" s="72" t="str">
        <x:v>Explicit program reserve</x:v>
      </x:c>
      <x:c r="D25" s="72"/>
      <x:c r="E25" s="72"/>
      <x:c r="F25" s="72"/>
      <x:c r="G25" s="72"/>
      <x:c r="H25" s="81" t="n">
        <x:f>H24*'Controls'!$D$22</x:f>
        <x:v>62.24</x:v>
      </x:c>
      <x:c r="I25" s="72"/>
      <x:c r="J25" s="72"/>
      <x:c r="K25" s="72"/>
      <x:c r="L25" s="72"/>
    </x:row>
    <x:row r="26">
      <x:c r="C26" s="82" t="str">
        <x:v>Attributable envelope</x:v>
      </x:c>
      <x:c r="D26" s="82"/>
      <x:c r="E26" s="82"/>
      <x:c r="F26" s="82"/>
      <x:c r="G26" s="82"/>
      <x:c r="H26" s="83" t="n">
        <x:f>SUM(H24:H25)</x:f>
        <x:v>373.44</x:v>
      </x:c>
      <x:c r="I26" s="72"/>
      <x:c r="J26" s="72"/>
      <x:c r="K26" s="72"/>
      <x:c r="L26" s="72"/>
    </x:row>
  </x:sheetData>
  <x:mergeCells>
    <x:mergeCell ref="C2:L2"/>
    <x:mergeCell ref="C3:L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34" hidden="0" customWidth="1"/>
  </x:cols>
  <x:sheetData>
    <x:row r="2" ht="24" customHeight="1">
      <x:c r="C2" s="69" t="str">
        <x:v>Twenty-Five-Year Capital Profile</x:v>
      </x:c>
      <x:c r="D2" s="70"/>
      <x:c r="E2" s="70"/>
      <x:c r="F2" s="70"/>
      <x:c r="G2" s="70"/>
      <x:c r="H2" s="70"/>
      <x:c r="I2" s="70"/>
      <x:c r="J2" s="70"/>
      <x:c r="K2" s="70"/>
    </x:row>
    <x:row r="3" ht="30" customHeight="1">
      <x:c r="C3" s="71" t="str">
        <x:v>The annual profile distributes the attributable envelope. The shape is a planning assumption and must reconcile exactly to the capital build.</x:v>
      </x:c>
      <x:c r="D3" s="71"/>
      <x:c r="E3" s="71"/>
      <x:c r="F3" s="71"/>
      <x:c r="G3" s="71"/>
      <x:c r="H3" s="71"/>
      <x:c r="I3" s="71"/>
      <x:c r="J3" s="71"/>
      <x:c r="K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</x:row>
    <x:row r="6">
      <x:c r="C6" s="16" t="str">
        <x:v>Program year</x:v>
      </x:c>
      <x:c r="D6" s="17" t="str">
        <x:v>Calendar year</x:v>
      </x:c>
      <x:c r="E6" s="17" t="str">
        <x:v>Profile weight</x:v>
      </x:c>
      <x:c r="F6" s="17" t="str">
        <x:v>Annual capital $B</x:v>
      </x:c>
      <x:c r="G6" s="17" t="str">
        <x:v>Cumulative $B</x:v>
      </x:c>
      <x:c r="H6" s="18" t="str">
        <x:v>Phase</x:v>
      </x:c>
      <x:c r="I6" s="72"/>
      <x:c r="J6" s="72"/>
      <x:c r="K6" s="72"/>
    </x:row>
    <x:row r="7">
      <x:c r="C7" s="20" t="n">
        <x:v>1</x:v>
      </x:c>
      <x:c r="D7" s="20" t="n">
        <x:v>2027</x:v>
      </x:c>
      <x:c r="E7" s="34" t="n">
        <x:v>0.01020408163265306</x:v>
      </x:c>
      <x:c r="F7" s="64" t="n">
        <x:f>E7*'Capital Build'!$H$26</x:f>
        <x:v>3.8106122448979587</x:v>
      </x:c>
      <x:c r="G7" s="64" t="n">
        <x:f>F7</x:f>
        <x:v>3.8106122448979587</x:v>
      </x:c>
      <x:c r="H7" s="20" t="str">
        <x:f>"Design and prototypes"</x:f>
        <x:v>Design and prototypes</x:v>
      </x:c>
      <x:c r="I7" s="72"/>
      <x:c r="J7" s="72"/>
      <x:c r="K7" s="72"/>
    </x:row>
    <x:row r="8">
      <x:c r="C8" s="20" t="n">
        <x:v>2</x:v>
      </x:c>
      <x:c r="D8" s="20" t="n">
        <x:v>2028</x:v>
      </x:c>
      <x:c r="E8" s="34" t="n">
        <x:v>0.02040816326530612</x:v>
      </x:c>
      <x:c r="F8" s="64" t="n">
        <x:f>E8*'Capital Build'!$H$26</x:f>
        <x:v>7.621224489795917</x:v>
      </x:c>
      <x:c r="G8" s="64" t="n">
        <x:f>G7+F8</x:f>
        <x:v>11.431836734693876</x:v>
      </x:c>
      <x:c r="H8" s="20" t="str">
        <x:f>"Design and prototypes"</x:f>
        <x:v>Design and prototypes</x:v>
      </x:c>
      <x:c r="I8" s="72"/>
      <x:c r="J8" s="72"/>
      <x:c r="K8" s="72"/>
    </x:row>
    <x:row r="9">
      <x:c r="C9" s="20" t="n">
        <x:v>3</x:v>
      </x:c>
      <x:c r="D9" s="20" t="n">
        <x:v>2029</x:v>
      </x:c>
      <x:c r="E9" s="34" t="n">
        <x:v>0.030612244897959183</x:v>
      </x:c>
      <x:c r="F9" s="64" t="n">
        <x:f>E9*'Capital Build'!$H$26</x:f>
        <x:v>11.431836734693878</x:v>
      </x:c>
      <x:c r="G9" s="64" t="n">
        <x:f>G8+F9</x:f>
        <x:v>22.863673469387756</x:v>
      </x:c>
      <x:c r="H9" s="20" t="str">
        <x:f>"Design and prototypes"</x:f>
        <x:v>Design and prototypes</x:v>
      </x:c>
      <x:c r="I9" s="72"/>
      <x:c r="J9" s="72"/>
      <x:c r="K9" s="72"/>
    </x:row>
    <x:row r="10">
      <x:c r="C10" s="20" t="n">
        <x:v>4</x:v>
      </x:c>
      <x:c r="D10" s="20" t="n">
        <x:v>2030</x:v>
      </x:c>
      <x:c r="E10" s="34" t="n">
        <x:v>0.04081632653061224</x:v>
      </x:c>
      <x:c r="F10" s="64" t="n">
        <x:f>E10*'Capital Build'!$H$26</x:f>
        <x:v>15.242448979591835</x:v>
      </x:c>
      <x:c r="G10" s="64" t="n">
        <x:f>G9+F10</x:f>
        <x:v>38.10612244897959</x:v>
      </x:c>
      <x:c r="H10" s="20" t="str">
        <x:f>"Design and prototypes"</x:f>
        <x:v>Design and prototypes</x:v>
      </x:c>
      <x:c r="I10" s="72"/>
      <x:c r="J10" s="72"/>
      <x:c r="K10" s="72"/>
    </x:row>
    <x:row r="11">
      <x:c r="C11" s="20" t="n">
        <x:v>5</x:v>
      </x:c>
      <x:c r="D11" s="20" t="n">
        <x:v>2031</x:v>
      </x:c>
      <x:c r="E11" s="34" t="n">
        <x:v>0.05102040816326531</x:v>
      </x:c>
      <x:c r="F11" s="64" t="n">
        <x:f>E11*'Capital Build'!$H$26</x:f>
        <x:v>19.053061224489795</x:v>
      </x:c>
      <x:c r="G11" s="64" t="n">
        <x:f>G10+F11</x:f>
        <x:v>57.159183673469386</x:v>
      </x:c>
      <x:c r="H11" s="20" t="str">
        <x:f>"Design and prototypes"</x:f>
        <x:v>Design and prototypes</x:v>
      </x:c>
      <x:c r="I11" s="72"/>
      <x:c r="J11" s="72"/>
      <x:c r="K11" s="72"/>
    </x:row>
    <x:row r="12">
      <x:c r="C12" s="20" t="n">
        <x:v>6</x:v>
      </x:c>
      <x:c r="D12" s="20" t="n">
        <x:v>2032</x:v>
      </x:c>
      <x:c r="E12" s="34" t="n">
        <x:v>0.061224489795918366</x:v>
      </x:c>
      <x:c r="F12" s="64" t="n">
        <x:f>E12*'Capital Build'!$H$26</x:f>
        <x:v>22.863673469387756</x:v>
      </x:c>
      <x:c r="G12" s="64" t="n">
        <x:f>G11+F12</x:f>
        <x:v>80.02285714285713</x:v>
      </x:c>
      <x:c r="H12" s="20" t="str">
        <x:f>"Network and production ramp"</x:f>
        <x:v>Network and production ramp</x:v>
      </x:c>
      <x:c r="I12" s="72"/>
      <x:c r="J12" s="72"/>
      <x:c r="K12" s="72"/>
    </x:row>
    <x:row r="13">
      <x:c r="C13" s="20" t="n">
        <x:v>7</x:v>
      </x:c>
      <x:c r="D13" s="20" t="n">
        <x:v>2033</x:v>
      </x:c>
      <x:c r="E13" s="34" t="n">
        <x:v>0.07142857142857142</x:v>
      </x:c>
      <x:c r="F13" s="64" t="n">
        <x:f>E13*'Capital Build'!$H$26</x:f>
        <x:v>26.674285714285713</x:v>
      </x:c>
      <x:c r="G13" s="64" t="n">
        <x:f>G12+F13</x:f>
        <x:v>106.69714285714285</x:v>
      </x:c>
      <x:c r="H13" s="20" t="str">
        <x:f>"Network and production ramp"</x:f>
        <x:v>Network and production ramp</x:v>
      </x:c>
      <x:c r="I13" s="72"/>
      <x:c r="J13" s="72"/>
      <x:c r="K13" s="72"/>
    </x:row>
    <x:row r="14">
      <x:c r="C14" s="20" t="n">
        <x:v>8</x:v>
      </x:c>
      <x:c r="D14" s="20" t="n">
        <x:v>2034</x:v>
      </x:c>
      <x:c r="E14" s="34" t="n">
        <x:v>0.08163265306122448</x:v>
      </x:c>
      <x:c r="F14" s="64" t="n">
        <x:f>E14*'Capital Build'!$H$26</x:f>
        <x:v>30.48489795918367</x:v>
      </x:c>
      <x:c r="G14" s="64" t="n">
        <x:f>G13+F14</x:f>
        <x:v>137.18204081632652</x:v>
      </x:c>
      <x:c r="H14" s="20" t="str">
        <x:f>"Network and production ramp"</x:f>
        <x:v>Network and production ramp</x:v>
      </x:c>
      <x:c r="I14" s="72"/>
      <x:c r="J14" s="72"/>
      <x:c r="K14" s="72"/>
    </x:row>
    <x:row r="15">
      <x:c r="C15" s="20" t="n">
        <x:v>9</x:v>
      </x:c>
      <x:c r="D15" s="20" t="n">
        <x:v>2035</x:v>
      </x:c>
      <x:c r="E15" s="34" t="n">
        <x:v>0.08163265306122448</x:v>
      </x:c>
      <x:c r="F15" s="64" t="n">
        <x:f>E15*'Capital Build'!$H$26</x:f>
        <x:v>30.48489795918367</x:v>
      </x:c>
      <x:c r="G15" s="64" t="n">
        <x:f>G14+F15</x:f>
        <x:v>167.66693877551018</x:v>
      </x:c>
      <x:c r="H15" s="20" t="str">
        <x:f>"Network and production ramp"</x:f>
        <x:v>Network and production ramp</x:v>
      </x:c>
      <x:c r="I15" s="72"/>
      <x:c r="J15" s="72"/>
      <x:c r="K15" s="72"/>
    </x:row>
    <x:row r="16">
      <x:c r="C16" s="20" t="n">
        <x:v>10</x:v>
      </x:c>
      <x:c r="D16" s="20" t="n">
        <x:v>2036</x:v>
      </x:c>
      <x:c r="E16" s="34" t="n">
        <x:v>0.07142857142857142</x:v>
      </x:c>
      <x:c r="F16" s="64" t="n">
        <x:f>E16*'Capital Build'!$H$26</x:f>
        <x:v>26.674285714285713</x:v>
      </x:c>
      <x:c r="G16" s="64" t="n">
        <x:f>G15+F16</x:f>
        <x:v>194.34122448979588</x:v>
      </x:c>
      <x:c r="H16" s="20" t="str">
        <x:f>"Network and production ramp"</x:f>
        <x:v>Network and production ramp</x:v>
      </x:c>
      <x:c r="I16" s="72"/>
      <x:c r="J16" s="72"/>
      <x:c r="K16" s="72"/>
    </x:row>
    <x:row r="17">
      <x:c r="C17" s="20" t="n">
        <x:v>11</x:v>
      </x:c>
      <x:c r="D17" s="20" t="n">
        <x:v>2037</x:v>
      </x:c>
      <x:c r="E17" s="34" t="n">
        <x:v>0.061224489795918366</x:v>
      </x:c>
      <x:c r="F17" s="64" t="n">
        <x:f>E17*'Capital Build'!$H$26</x:f>
        <x:v>22.863673469387756</x:v>
      </x:c>
      <x:c r="G17" s="64" t="n">
        <x:f>G16+F17</x:f>
        <x:v>217.20489795918363</x:v>
      </x:c>
      <x:c r="H17" s="20" t="str">
        <x:f>"National fielding"</x:f>
        <x:v>National fielding</x:v>
      </x:c>
      <x:c r="I17" s="72"/>
      <x:c r="J17" s="72"/>
      <x:c r="K17" s="72"/>
    </x:row>
    <x:row r="18">
      <x:c r="C18" s="20" t="n">
        <x:v>12</x:v>
      </x:c>
      <x:c r="D18" s="20" t="n">
        <x:v>2038</x:v>
      </x:c>
      <x:c r="E18" s="34" t="n">
        <x:v>0.061224489795918366</x:v>
      </x:c>
      <x:c r="F18" s="64" t="n">
        <x:f>E18*'Capital Build'!$H$26</x:f>
        <x:v>22.863673469387756</x:v>
      </x:c>
      <x:c r="G18" s="64" t="n">
        <x:f>G17+F18</x:f>
        <x:v>240.06857142857137</x:v>
      </x:c>
      <x:c r="H18" s="20" t="str">
        <x:f>"National fielding"</x:f>
        <x:v>National fielding</x:v>
      </x:c>
      <x:c r="I18" s="72"/>
      <x:c r="J18" s="72"/>
      <x:c r="K18" s="72"/>
    </x:row>
    <x:row r="19">
      <x:c r="C19" s="20" t="n">
        <x:v>13</x:v>
      </x:c>
      <x:c r="D19" s="20" t="n">
        <x:v>2039</x:v>
      </x:c>
      <x:c r="E19" s="34" t="n">
        <x:v>0.05102040816326531</x:v>
      </x:c>
      <x:c r="F19" s="64" t="n">
        <x:f>E19*'Capital Build'!$H$26</x:f>
        <x:v>19.053061224489795</x:v>
      </x:c>
      <x:c r="G19" s="64" t="n">
        <x:f>G18+F19</x:f>
        <x:v>259.12163265306117</x:v>
      </x:c>
      <x:c r="H19" s="20" t="str">
        <x:f>"National fielding"</x:f>
        <x:v>National fielding</x:v>
      </x:c>
      <x:c r="I19" s="72"/>
      <x:c r="J19" s="72"/>
      <x:c r="K19" s="72"/>
    </x:row>
    <x:row r="20">
      <x:c r="C20" s="20" t="n">
        <x:v>14</x:v>
      </x:c>
      <x:c r="D20" s="20" t="n">
        <x:v>2040</x:v>
      </x:c>
      <x:c r="E20" s="34" t="n">
        <x:v>0.05102040816326531</x:v>
      </x:c>
      <x:c r="F20" s="64" t="n">
        <x:f>E20*'Capital Build'!$H$26</x:f>
        <x:v>19.053061224489795</x:v>
      </x:c>
      <x:c r="G20" s="64" t="n">
        <x:f>G19+F20</x:f>
        <x:v>278.17469387755096</x:v>
      </x:c>
      <x:c r="H20" s="20" t="str">
        <x:f>"National fielding"</x:f>
        <x:v>National fielding</x:v>
      </x:c>
      <x:c r="I20" s="72"/>
      <x:c r="J20" s="72"/>
      <x:c r="K20" s="72"/>
    </x:row>
    <x:row r="21">
      <x:c r="C21" s="20" t="n">
        <x:v>15</x:v>
      </x:c>
      <x:c r="D21" s="20" t="n">
        <x:v>2041</x:v>
      </x:c>
      <x:c r="E21" s="34" t="n">
        <x:v>0.04081632653061224</x:v>
      </x:c>
      <x:c r="F21" s="64" t="n">
        <x:f>E21*'Capital Build'!$H$26</x:f>
        <x:v>15.242448979591835</x:v>
      </x:c>
      <x:c r="G21" s="64" t="n">
        <x:f>G20+F21</x:f>
        <x:v>293.4171428571428</x:v>
      </x:c>
      <x:c r="H21" s="20" t="str">
        <x:f>"National fielding"</x:f>
        <x:v>National fielding</x:v>
      </x:c>
      <x:c r="I21" s="72"/>
      <x:c r="J21" s="72"/>
      <x:c r="K21" s="72"/>
    </x:row>
    <x:row r="22">
      <x:c r="C22" s="20" t="n">
        <x:v>16</x:v>
      </x:c>
      <x:c r="D22" s="20" t="n">
        <x:v>2042</x:v>
      </x:c>
      <x:c r="E22" s="34" t="n">
        <x:v>0.04081632653061224</x:v>
      </x:c>
      <x:c r="F22" s="64" t="n">
        <x:f>E22*'Capital Build'!$H$26</x:f>
        <x:v>15.242448979591835</x:v>
      </x:c>
      <x:c r="G22" s="64" t="n">
        <x:f>G21+F22</x:f>
        <x:v>308.6595918367346</x:v>
      </x:c>
      <x:c r="H22" s="20" t="str">
        <x:f>"Depth and recapitalization"</x:f>
        <x:v>Depth and recapitalization</x:v>
      </x:c>
      <x:c r="I22" s="72"/>
      <x:c r="J22" s="72"/>
      <x:c r="K22" s="72"/>
    </x:row>
    <x:row r="23">
      <x:c r="C23" s="20" t="n">
        <x:v>17</x:v>
      </x:c>
      <x:c r="D23" s="20" t="n">
        <x:v>2043</x:v>
      </x:c>
      <x:c r="E23" s="34" t="n">
        <x:v>0.030612244897959183</x:v>
      </x:c>
      <x:c r="F23" s="64" t="n">
        <x:f>E23*'Capital Build'!$H$26</x:f>
        <x:v>11.431836734693878</x:v>
      </x:c>
      <x:c r="G23" s="64" t="n">
        <x:f>G22+F23</x:f>
        <x:v>320.0914285714285</x:v>
      </x:c>
      <x:c r="H23" s="20" t="str">
        <x:f>"Depth and recapitalization"</x:f>
        <x:v>Depth and recapitalization</x:v>
      </x:c>
      <x:c r="I23" s="72"/>
      <x:c r="J23" s="72"/>
      <x:c r="K23" s="72"/>
    </x:row>
    <x:row r="24">
      <x:c r="C24" s="20" t="n">
        <x:v>18</x:v>
      </x:c>
      <x:c r="D24" s="20" t="n">
        <x:v>2044</x:v>
      </x:c>
      <x:c r="E24" s="34" t="n">
        <x:v>0.030612244897959183</x:v>
      </x:c>
      <x:c r="F24" s="64" t="n">
        <x:f>E24*'Capital Build'!$H$26</x:f>
        <x:v>11.431836734693878</x:v>
      </x:c>
      <x:c r="G24" s="64" t="n">
        <x:f>G23+F24</x:f>
        <x:v>331.52326530612237</x:v>
      </x:c>
      <x:c r="H24" s="20" t="str">
        <x:f>"Depth and recapitalization"</x:f>
        <x:v>Depth and recapitalization</x:v>
      </x:c>
      <x:c r="I24" s="72"/>
      <x:c r="J24" s="72"/>
      <x:c r="K24" s="72"/>
    </x:row>
    <x:row r="25">
      <x:c r="C25" s="20" t="n">
        <x:v>19</x:v>
      </x:c>
      <x:c r="D25" s="20" t="n">
        <x:v>2045</x:v>
      </x:c>
      <x:c r="E25" s="34" t="n">
        <x:v>0.02040816326530612</x:v>
      </x:c>
      <x:c r="F25" s="64" t="n">
        <x:f>E25*'Capital Build'!$H$26</x:f>
        <x:v>7.621224489795917</x:v>
      </x:c>
      <x:c r="G25" s="64" t="n">
        <x:f>G24+F25</x:f>
        <x:v>339.1444897959183</x:v>
      </x:c>
      <x:c r="H25" s="20" t="str">
        <x:f>"Depth and recapitalization"</x:f>
        <x:v>Depth and recapitalization</x:v>
      </x:c>
      <x:c r="I25" s="72"/>
      <x:c r="J25" s="72"/>
      <x:c r="K25" s="72"/>
    </x:row>
    <x:row r="26">
      <x:c r="C26" s="20" t="n">
        <x:v>20</x:v>
      </x:c>
      <x:c r="D26" s="20" t="n">
        <x:v>2046</x:v>
      </x:c>
      <x:c r="E26" s="34" t="n">
        <x:v>0.02040816326530612</x:v>
      </x:c>
      <x:c r="F26" s="64" t="n">
        <x:f>E26*'Capital Build'!$H$26</x:f>
        <x:v>7.621224489795917</x:v>
      </x:c>
      <x:c r="G26" s="64" t="n">
        <x:f>G25+F26</x:f>
        <x:v>346.7657142857142</x:v>
      </x:c>
      <x:c r="H26" s="20" t="str">
        <x:f>"Depth and recapitalization"</x:f>
        <x:v>Depth and recapitalization</x:v>
      </x:c>
      <x:c r="I26" s="72"/>
      <x:c r="J26" s="72"/>
      <x:c r="K26" s="72"/>
    </x:row>
    <x:row r="27">
      <x:c r="C27" s="20" t="n">
        <x:v>21</x:v>
      </x:c>
      <x:c r="D27" s="20" t="n">
        <x:v>2047</x:v>
      </x:c>
      <x:c r="E27" s="34" t="n">
        <x:v>0.02040816326530612</x:v>
      </x:c>
      <x:c r="F27" s="64" t="n">
        <x:f>E27*'Capital Build'!$H$26</x:f>
        <x:v>7.621224489795917</x:v>
      </x:c>
      <x:c r="G27" s="64" t="n">
        <x:f>G26+F27</x:f>
        <x:v>354.3869387755101</x:v>
      </x:c>
      <x:c r="H27" s="20" t="str">
        <x:f>"Completion and transition"</x:f>
        <x:v>Completion and transition</x:v>
      </x:c>
      <x:c r="I27" s="72"/>
      <x:c r="J27" s="72"/>
      <x:c r="K27" s="72"/>
    </x:row>
    <x:row r="28">
      <x:c r="C28" s="20" t="n">
        <x:v>22</x:v>
      </x:c>
      <x:c r="D28" s="20" t="n">
        <x:v>2048</x:v>
      </x:c>
      <x:c r="E28" s="34" t="n">
        <x:v>0.015306122448979591</x:v>
      </x:c>
      <x:c r="F28" s="64" t="n">
        <x:f>E28*'Capital Build'!$H$26</x:f>
        <x:v>5.715918367346939</x:v>
      </x:c>
      <x:c r="G28" s="64" t="n">
        <x:f>G27+F28</x:f>
        <x:v>360.10285714285703</x:v>
      </x:c>
      <x:c r="H28" s="20" t="str">
        <x:f>"Completion and transition"</x:f>
        <x:v>Completion and transition</x:v>
      </x:c>
      <x:c r="I28" s="72"/>
      <x:c r="J28" s="72"/>
      <x:c r="K28" s="72"/>
    </x:row>
    <x:row r="29">
      <x:c r="C29" s="20" t="n">
        <x:v>23</x:v>
      </x:c>
      <x:c r="D29" s="20" t="n">
        <x:v>2049</x:v>
      </x:c>
      <x:c r="E29" s="34" t="n">
        <x:v>0.015306122448979591</x:v>
      </x:c>
      <x:c r="F29" s="64" t="n">
        <x:f>E29*'Capital Build'!$H$26</x:f>
        <x:v>5.715918367346939</x:v>
      </x:c>
      <x:c r="G29" s="64" t="n">
        <x:f>G28+F29</x:f>
        <x:v>365.818775510204</x:v>
      </x:c>
      <x:c r="H29" s="20" t="str">
        <x:f>"Completion and transition"</x:f>
        <x:v>Completion and transition</x:v>
      </x:c>
      <x:c r="I29" s="72"/>
      <x:c r="J29" s="72"/>
      <x:c r="K29" s="72"/>
    </x:row>
    <x:row r="30">
      <x:c r="C30" s="20" t="n">
        <x:v>24</x:v>
      </x:c>
      <x:c r="D30" s="20" t="n">
        <x:v>2050</x:v>
      </x:c>
      <x:c r="E30" s="34" t="n">
        <x:v>0.01020408163265306</x:v>
      </x:c>
      <x:c r="F30" s="64" t="n">
        <x:f>E30*'Capital Build'!$H$26</x:f>
        <x:v>3.8106122448979587</x:v>
      </x:c>
      <x:c r="G30" s="64" t="n">
        <x:f>G29+F30</x:f>
        <x:v>369.62938775510196</x:v>
      </x:c>
      <x:c r="H30" s="20" t="str">
        <x:f>"Completion and transition"</x:f>
        <x:v>Completion and transition</x:v>
      </x:c>
      <x:c r="I30" s="72"/>
      <x:c r="J30" s="72"/>
      <x:c r="K30" s="72"/>
    </x:row>
    <x:row r="31">
      <x:c r="C31" s="20" t="n">
        <x:v>25</x:v>
      </x:c>
      <x:c r="D31" s="20" t="n">
        <x:v>2051</x:v>
      </x:c>
      <x:c r="E31" s="34" t="n">
        <x:v>0.01020408163265306</x:v>
      </x:c>
      <x:c r="F31" s="64" t="n">
        <x:f>E31*'Capital Build'!$H$26</x:f>
        <x:v>3.8106122448979587</x:v>
      </x:c>
      <x:c r="G31" s="64" t="n">
        <x:f>G30+F31</x:f>
        <x:v>373.43999999999994</x:v>
      </x:c>
      <x:c r="H31" s="20" t="str">
        <x:f>"Completion and transition"</x:f>
        <x:v>Completion and transition</x:v>
      </x:c>
      <x:c r="I31" s="72"/>
      <x:c r="J31" s="72"/>
      <x:c r="K31" s="72"/>
    </x:row>
  </x:sheetData>
  <x:mergeCells>
    <x:mergeCell ref="C2:K2"/>
    <x:mergeCell ref="C3:K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6" hidden="0" customWidth="1"/>
    <x:col min="5" max="5" width="16" hidden="0" customWidth="1"/>
    <x:col min="6" max="6" width="42" hidden="0" customWidth="1"/>
    <x:col min="7" max="7" width="20" hidden="0" customWidth="1"/>
    <x:col min="8" max="8" width="24" hidden="0" customWidth="1"/>
  </x:cols>
  <x:sheetData>
    <x:row r="2" ht="24" customHeight="1">
      <x:c r="C2" s="69" t="str">
        <x:v>Mature Annual Operating Cost</x:v>
      </x:c>
      <x:c r="D2" s="70"/>
      <x:c r="E2" s="70"/>
      <x:c r="F2" s="70"/>
      <x:c r="G2" s="70"/>
      <x:c r="H2" s="70"/>
      <x:c r="I2" s="70"/>
      <x:c r="J2" s="70"/>
      <x:c r="K2" s="70"/>
    </x:row>
    <x:row r="3" ht="30" customHeight="1">
      <x:c r="C3" s="71" t="str">
        <x:v>Regional posture cost in real 2026 USD billions per year. It is nested inside the Pass 24 mature operating envelope.</x:v>
      </x:c>
      <x:c r="D3" s="71"/>
      <x:c r="E3" s="71"/>
      <x:c r="F3" s="71"/>
      <x:c r="G3" s="71"/>
      <x:c r="H3" s="71"/>
      <x:c r="I3" s="71"/>
      <x:c r="J3" s="71"/>
      <x:c r="K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</x:row>
    <x:row r="6">
      <x:c r="C6" s="16" t="str">
        <x:v>Line</x:v>
      </x:c>
      <x:c r="D6" s="17" t="str">
        <x:v>Cost element</x:v>
      </x:c>
      <x:c r="E6" s="17" t="str">
        <x:v>Annual $B</x:v>
      </x:c>
      <x:c r="F6" s="17" t="str">
        <x:v>Driver</x:v>
      </x:c>
      <x:c r="G6" s="17" t="str">
        <x:v>Evidence class</x:v>
      </x:c>
      <x:c r="H6" s="18" t="str">
        <x:v>Accounting treatment</x:v>
      </x:c>
      <x:c r="I6" s="72"/>
      <x:c r="J6" s="72"/>
      <x:c r="K6" s="72"/>
    </x:row>
    <x:row r="7">
      <x:c r="C7" s="20" t="n">
        <x:v>1</x:v>
      </x:c>
      <x:c r="D7" s="20" t="str">
        <x:v>Regional posture workforce</x:v>
      </x:c>
      <x:c r="E7" s="58" t="n">
        <x:v>9.9</x:v>
      </x:c>
      <x:c r="F7" s="20" t="str">
        <x:v>45,000 loaded billet-equivalents</x:v>
      </x:c>
      <x:c r="G7" s="20" t="str">
        <x:v>cost hypothesis</x:v>
      </x:c>
      <x:c r="H7" s="20" t="str">
        <x:v>nested in Pass 24</x:v>
      </x:c>
      <x:c r="I7" s="72"/>
      <x:c r="J7" s="72"/>
      <x:c r="K7" s="72"/>
    </x:row>
    <x:row r="8">
      <x:c r="C8" s="20" t="n">
        <x:v>2</x:v>
      </x:c>
      <x:c r="D8" s="20" t="str">
        <x:v>Fleet operations and maintenance</x:v>
      </x:c>
      <x:c r="E8" s="58" t="n">
        <x:v>8</x:v>
      </x:c>
      <x:c r="F8" s="20" t="str">
        <x:v>air, maritime, land and bridge fleets</x:v>
      </x:c>
      <x:c r="G8" s="20" t="str">
        <x:v>cost hypothesis</x:v>
      </x:c>
      <x:c r="H8" s="20" t="str">
        <x:v>nested in Pass 24</x:v>
      </x:c>
      <x:c r="I8" s="72"/>
      <x:c r="J8" s="72"/>
      <x:c r="K8" s="72"/>
    </x:row>
    <x:row r="9">
      <x:c r="C9" s="20" t="n">
        <x:v>3</x:v>
      </x:c>
      <x:c r="D9" s="20" t="str">
        <x:v>Prepared-site operations</x:v>
      </x:c>
      <x:c r="E9" s="58" t="n">
        <x:v>4</x:v>
      </x:c>
      <x:c r="F9" s="20" t="str">
        <x:v>entry, cache, base and depot sites</x:v>
      </x:c>
      <x:c r="G9" s="20" t="str">
        <x:v>cost hypothesis</x:v>
      </x:c>
      <x:c r="H9" s="20" t="str">
        <x:v>nested in Pass 24</x:v>
      </x:c>
      <x:c r="I9" s="72"/>
      <x:c r="J9" s="72"/>
      <x:c r="K9" s="72"/>
    </x:row>
    <x:row r="10">
      <x:c r="C10" s="20" t="n">
        <x:v>4</x:v>
      </x:c>
      <x:c r="D10" s="20" t="str">
        <x:v>Stock rotation and consumables</x:v>
      </x:c>
      <x:c r="E10" s="58" t="n">
        <x:v>3</x:v>
      </x:c>
      <x:c r="F10" s="20" t="str">
        <x:v>formation and survival reserves</x:v>
      </x:c>
      <x:c r="G10" s="20" t="str">
        <x:v>cost hypothesis</x:v>
      </x:c>
      <x:c r="H10" s="20" t="str">
        <x:v>nested in Pass 24</x:v>
      </x:c>
      <x:c r="I10" s="72"/>
      <x:c r="J10" s="72"/>
      <x:c r="K10" s="72"/>
    </x:row>
    <x:row r="11">
      <x:c r="C11" s="20" t="n">
        <x:v>5</x:v>
      </x:c>
      <x:c r="D11" s="20" t="str">
        <x:v>Full-mission exercises</x:v>
      </x:c>
      <x:c r="E11" s="58" t="n">
        <x:v>2.5</x:v>
      </x:c>
      <x:c r="F11" s="20" t="str">
        <x:v>annual regional campaign plus distributed trials</x:v>
      </x:c>
      <x:c r="G11" s="20" t="str">
        <x:v>cost hypothesis</x:v>
      </x:c>
      <x:c r="H11" s="20" t="str">
        <x:v>nested in Pass 24</x:v>
      </x:c>
      <x:c r="I11" s="72"/>
      <x:c r="J11" s="72"/>
      <x:c r="K11" s="72"/>
    </x:row>
    <x:row r="12">
      <x:c r="C12" s="20" t="n">
        <x:v>6</x:v>
      </x:c>
      <x:c r="D12" s="20" t="str">
        <x:v>Continuous research and test</x:v>
      </x:c>
      <x:c r="E12" s="58" t="n">
        <x:v>1.5</x:v>
      </x:c>
      <x:c r="F12" s="20" t="str">
        <x:v>technology and standards portfolio</x:v>
      </x:c>
      <x:c r="G12" s="20" t="str">
        <x:v>cost hypothesis</x:v>
      </x:c>
      <x:c r="H12" s="20" t="str">
        <x:v>nested in Pass 24</x:v>
      </x:c>
      <x:c r="I12" s="72"/>
      <x:c r="J12" s="72"/>
      <x:c r="K12" s="72"/>
    </x:row>
    <x:row r="13">
      <x:c r="C13" s="20" t="n">
        <x:v>7</x:v>
      </x:c>
      <x:c r="D13" s="20" t="str">
        <x:v>Access and public-use agreements</x:v>
      </x:c>
      <x:c r="E13" s="58" t="n">
        <x:v>0.8</x:v>
      </x:c>
      <x:c r="F13" s="20" t="str">
        <x:v>ports, airports, rail, land and utilities</x:v>
      </x:c>
      <x:c r="G13" s="20" t="str">
        <x:v>cost hypothesis</x:v>
      </x:c>
      <x:c r="H13" s="20" t="str">
        <x:v>nested in Pass 24</x:v>
      </x:c>
      <x:c r="I13" s="72"/>
      <x:c r="J13" s="72"/>
      <x:c r="K13" s="72"/>
    </x:row>
    <x:row r="14">
      <x:c r="C14" s="20" t="n">
        <x:v>8</x:v>
      </x:c>
      <x:c r="D14" s="20" t="str">
        <x:v>Operational deployment allowance</x:v>
      </x:c>
      <x:c r="E14" s="58" t="n">
        <x:v>2</x:v>
      </x:c>
      <x:c r="F14" s="20" t="str">
        <x:v>average annual response activity</x:v>
      </x:c>
      <x:c r="G14" s="20" t="str">
        <x:v>cost hypothesis</x:v>
      </x:c>
      <x:c r="H14" s="20" t="str">
        <x:v>nested in Pass 24</x:v>
      </x:c>
      <x:c r="I14" s="72"/>
      <x:c r="J14" s="72"/>
      <x:c r="K14" s="72"/>
    </x:row>
    <x:row r="15">
      <x:c r="C15" s="20" t="n">
        <x:v>9</x:v>
      </x:c>
      <x:c r="D15" s="20" t="str">
        <x:v>Depot, spares and reconstitution</x:v>
      </x:c>
      <x:c r="E15" s="58" t="n">
        <x:v>2.5</x:v>
      </x:c>
      <x:c r="F15" s="20" t="str">
        <x:v>repair, replacement and material availability</x:v>
      </x:c>
      <x:c r="G15" s="20" t="str">
        <x:v>cost hypothesis</x:v>
      </x:c>
      <x:c r="H15" s="20" t="str">
        <x:v>nested in Pass 24</x:v>
      </x:c>
      <x:c r="I15" s="72"/>
      <x:c r="J15" s="72"/>
      <x:c r="K15" s="72"/>
    </x:row>
    <x:row r="16">
      <x:c r="C16" s="72"/>
      <x:c r="D16" s="72"/>
      <x:c r="E16" s="72"/>
      <x:c r="F16" s="72"/>
      <x:c r="G16" s="72"/>
      <x:c r="H16" s="72"/>
      <x:c r="I16" s="72"/>
      <x:c r="J16" s="72"/>
      <x:c r="K16" s="72"/>
    </x:row>
    <x:row r="17">
      <x:c r="C17" s="82" t="str">
        <x:v>Total mature annual operations</x:v>
      </x:c>
      <x:c r="D17" s="82"/>
      <x:c r="E17" s="83" t="n">
        <x:f>SUM(E7:E15)</x:f>
        <x:v>34.2</x:v>
      </x:c>
      <x:c r="F17" s="72"/>
      <x:c r="G17" s="72"/>
      <x:c r="H17" s="72"/>
      <x:c r="I17" s="72"/>
      <x:c r="J17" s="72"/>
      <x:c r="K17" s="72"/>
    </x:row>
  </x:sheetData>
  <x:mergeCells>
    <x:mergeCell ref="C2:K2"/>
    <x:mergeCell ref="C3:K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28" hidden="0" customWidth="1"/>
    <x:col min="5" max="5" width="24" hidden="0" customWidth="1"/>
    <x:col min="6" max="6" width="27" hidden="0" customWidth="1"/>
    <x:col min="7" max="7" width="42" hidden="0" customWidth="1"/>
    <x:col min="8" max="8" width="34" hidden="0" customWidth="1"/>
    <x:col min="9" max="9" width="38" hidden="0" customWidth="1"/>
    <x:col min="10" max="10" width="25" hidden="0" customWidth="1"/>
    <x:col min="11" max="11" width="12" hidden="0" customWidth="1"/>
  </x:cols>
  <x:sheetData>
    <x:row r="2" ht="24" customHeight="1">
      <x:c r="C2" s="69" t="str">
        <x:v>Authority and Release Gates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Movement activity does not create civil-service credit until the applicable host and independent technical authorities release the operation.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Gate ID</x:v>
      </x:c>
      <x:c r="D6" s="17" t="str">
        <x:v>Decision</x:v>
      </x:c>
      <x:c r="E6" s="17" t="str">
        <x:v>Operational owner</x:v>
      </x:c>
      <x:c r="F6" s="17" t="str">
        <x:v>Independent authority</x:v>
      </x:c>
      <x:c r="G6" s="17" t="str">
        <x:v>Required evidence</x:v>
      </x:c>
      <x:c r="H6" s="17" t="str">
        <x:v>Stop trigger</x:v>
      </x:c>
      <x:c r="I6" s="17" t="str">
        <x:v>Handoff condition</x:v>
      </x:c>
      <x:c r="J6" s="17" t="str">
        <x:v>Model treatment</x:v>
      </x:c>
      <x:c r="K6" s="18" t="str">
        <x:v>State</x:v>
      </x:c>
      <x:c r="L6" s="72"/>
      <x:c r="M6" s="72"/>
    </x:row>
    <x:row r="7">
      <x:c r="C7" s="26" t="str">
        <x:v>A-01</x:v>
      </x:c>
      <x:c r="D7" s="26" t="str">
        <x:v>Public priorities and allocation</x:v>
      </x:c>
      <x:c r="E7" s="26" t="str">
        <x:v>campaign commander</x:v>
      </x:c>
      <x:c r="F7" s="26" t="str">
        <x:v>civil authority</x:v>
      </x:c>
      <x:c r="G7" s="26" t="str">
        <x:v>published priority and appeals process</x:v>
      </x:c>
      <x:c r="H7" s="26" t="str">
        <x:v>rights or access conflict</x:v>
      </x:c>
      <x:c r="I7" s="26" t="str">
        <x:v>civil body accepts operating cadence</x:v>
      </x:c>
      <x:c r="J7" s="26" t="str">
        <x:v>non-quantified hard gate</x:v>
      </x:c>
      <x:c r="K7" s="26" t="str">
        <x:v>OPEN</x:v>
      </x:c>
      <x:c r="L7" s="72"/>
      <x:c r="M7" s="72"/>
    </x:row>
    <x:row r="8">
      <x:c r="C8" s="26" t="str">
        <x:v>A-02</x:v>
      </x:c>
      <x:c r="D8" s="26" t="str">
        <x:v>Airfield release</x:v>
      </x:c>
      <x:c r="E8" s="26" t="str">
        <x:v>air entry commander</x:v>
      </x:c>
      <x:c r="F8" s="26" t="str">
        <x:v>airworthiness / infrastructure authority</x:v>
      </x:c>
      <x:c r="G8" s="26" t="str">
        <x:v>survey, load, lighting, FOD and approach evidence</x:v>
      </x:c>
      <x:c r="H8" s="26" t="str">
        <x:v>aftershock or pavement movement</x:v>
      </x:c>
      <x:c r="I8" s="26" t="str">
        <x:v>local operator accepts certified condition</x:v>
      </x:c>
      <x:c r="J8" s="26" t="str">
        <x:v>path open day assumption</x:v>
      </x:c>
      <x:c r="K8" s="26" t="str">
        <x:v>OPEN</x:v>
      </x:c>
      <x:c r="L8" s="72"/>
      <x:c r="M8" s="72"/>
    </x:row>
    <x:row r="9">
      <x:c r="C9" s="26" t="str">
        <x:v>A-03</x:v>
      </x:c>
      <x:c r="D9" s="26" t="str">
        <x:v>Port and waterway release</x:v>
      </x:c>
      <x:c r="E9" s="26" t="str">
        <x:v>port opening commander</x:v>
      </x:c>
      <x:c r="F9" s="26" t="str">
        <x:v>navigation / environmental authority</x:v>
      </x:c>
      <x:c r="G9" s="26" t="str">
        <x:v>hydrography, obstruction, berth and contaminant evidence</x:v>
      </x:c>
      <x:c r="H9" s="26" t="str">
        <x:v>new debris, spill or bottom change</x:v>
      </x:c>
      <x:c r="I9" s="26" t="str">
        <x:v>harbor authority accepts operating window</x:v>
      </x:c>
      <x:c r="J9" s="26" t="str">
        <x:v>path open day assumption</x:v>
      </x:c>
      <x:c r="K9" s="26" t="str">
        <x:v>OPEN</x:v>
      </x:c>
      <x:c r="L9" s="72"/>
      <x:c r="M9" s="72"/>
    </x:row>
    <x:row r="10">
      <x:c r="C10" s="26" t="str">
        <x:v>A-04</x:v>
      </x:c>
      <x:c r="D10" s="26" t="str">
        <x:v>Bridge and route release</x:v>
      </x:c>
      <x:c r="E10" s="26" t="str">
        <x:v>route opening commander</x:v>
      </x:c>
      <x:c r="F10" s="26" t="str">
        <x:v>structural authority</x:v>
      </x:c>
      <x:c r="G10" s="26" t="str">
        <x:v>inspection, geotech, load and traffic-control evidence</x:v>
      </x:c>
      <x:c r="H10" s="26" t="str">
        <x:v>aftershock, scour or movement</x:v>
      </x:c>
      <x:c r="I10" s="26" t="str">
        <x:v>road owner accepts load class</x:v>
      </x:c>
      <x:c r="J10" s="26" t="str">
        <x:v>path factor assumption</x:v>
      </x:c>
      <x:c r="K10" s="26" t="str">
        <x:v>OPEN</x:v>
      </x:c>
      <x:c r="L10" s="72"/>
      <x:c r="M10" s="72"/>
    </x:row>
    <x:row r="11">
      <x:c r="C11" s="26" t="str">
        <x:v>A-05</x:v>
      </x:c>
      <x:c r="D11" s="26" t="str">
        <x:v>Potable water release</x:v>
      </x:c>
      <x:c r="E11" s="26" t="str">
        <x:v>utility formation</x:v>
      </x:c>
      <x:c r="F11" s="26" t="str">
        <x:v>public-health authority</x:v>
      </x:c>
      <x:c r="G11" s="26" t="str">
        <x:v>process validation, sampling and residual protection</x:v>
      </x:c>
      <x:c r="H11" s="26" t="str">
        <x:v>quality or pressure excursion</x:v>
      </x:c>
      <x:c r="I11" s="26" t="str">
        <x:v>utility or public-health owner accepts system</x:v>
      </x:c>
      <x:c r="J11" s="26" t="str">
        <x:v>service-effect assumption</x:v>
      </x:c>
      <x:c r="K11" s="26" t="str">
        <x:v>OPEN</x:v>
      </x:c>
      <x:c r="L11" s="72"/>
      <x:c r="M11" s="72"/>
    </x:row>
    <x:row r="12">
      <x:c r="C12" s="26" t="str">
        <x:v>A-06</x:v>
      </x:c>
      <x:c r="D12" s="26" t="str">
        <x:v>Electrical energization</x:v>
      </x:c>
      <x:c r="E12" s="26" t="str">
        <x:v>power formation</x:v>
      </x:c>
      <x:c r="F12" s="26" t="str">
        <x:v>electrical safety authority</x:v>
      </x:c>
      <x:c r="G12" s="26" t="str">
        <x:v>protection, grounding, fault and load evidence</x:v>
      </x:c>
      <x:c r="H12" s="26" t="str">
        <x:v>unsafe island or mismatch</x:v>
      </x:c>
      <x:c r="I12" s="26" t="str">
        <x:v>utility accepts switching boundary</x:v>
      </x:c>
      <x:c r="J12" s="26" t="str">
        <x:v>service-effect assumption</x:v>
      </x:c>
      <x:c r="K12" s="26" t="str">
        <x:v>OPEN</x:v>
      </x:c>
      <x:c r="L12" s="72"/>
      <x:c r="M12" s="72"/>
    </x:row>
    <x:row r="13">
      <x:c r="C13" s="26" t="str">
        <x:v>A-07</x:v>
      </x:c>
      <x:c r="D13" s="26" t="str">
        <x:v>Clinical opening</x:v>
      </x:c>
      <x:c r="E13" s="26" t="str">
        <x:v>health formation</x:v>
      </x:c>
      <x:c r="F13" s="26" t="str">
        <x:v>clinical authority</x:v>
      </x:c>
      <x:c r="G13" s="26" t="str">
        <x:v>staffing, oxygen, water, waste, pharmacy and referral</x:v>
      </x:c>
      <x:c r="H13" s="26" t="str">
        <x:v>care-system shortfall</x:v>
      </x:c>
      <x:c r="I13" s="26" t="str">
        <x:v>health system accepts regulated capacity</x:v>
      </x:c>
      <x:c r="J13" s="26" t="str">
        <x:v>service-effect assumption</x:v>
      </x:c>
      <x:c r="K13" s="26" t="str">
        <x:v>OPEN</x:v>
      </x:c>
      <x:c r="L13" s="72"/>
      <x:c r="M13" s="72"/>
    </x:row>
    <x:row r="14">
      <x:c r="C14" s="26" t="str">
        <x:v>A-08</x:v>
      </x:c>
      <x:c r="D14" s="26" t="str">
        <x:v>Hazardous reverse flow</x:v>
      </x:c>
      <x:c r="E14" s="26" t="str">
        <x:v>distribution command</x:v>
      </x:c>
      <x:c r="F14" s="26" t="str">
        <x:v>environmental authority</x:v>
      </x:c>
      <x:c r="G14" s="26" t="str">
        <x:v>characterization, packaging, route and receiving facility</x:v>
      </x:c>
      <x:c r="H14" s="26" t="str">
        <x:v>unknown material or refused destination</x:v>
      </x:c>
      <x:c r="I14" s="26" t="str">
        <x:v>licensed owner accepts custody</x:v>
      </x:c>
      <x:c r="J14" s="26" t="str">
        <x:v>reverse capacity assumption</x:v>
      </x:c>
      <x:c r="K14" s="26" t="str">
        <x:v>OPEN</x:v>
      </x:c>
      <x:c r="L14" s="72"/>
      <x:c r="M14" s="72"/>
    </x:row>
    <x:row r="15">
      <x:c r="C15" s="26" t="str">
        <x:v>A-09</x:v>
      </x:c>
      <x:c r="D15" s="26" t="str">
        <x:v>Reconstitution release</x:v>
      </x:c>
      <x:c r="E15" s="26" t="str">
        <x:v>generating service</x:v>
      </x:c>
      <x:c r="F15" s="26" t="str">
        <x:v>independent readiness authority</x:v>
      </x:c>
      <x:c r="G15" s="26" t="str">
        <x:v>inspection, decontamination, repair, software and crew state</x:v>
      </x:c>
      <x:c r="H15" s="26" t="str">
        <x:v>unresolved defect or family recovery</x:v>
      </x:c>
      <x:c r="I15" s="26" t="str">
        <x:v>formation returns to available pool</x:v>
      </x:c>
      <x:c r="J15" s="26" t="str">
        <x:v>30-day lag assumption</x:v>
      </x:c>
      <x:c r="K15" s="26" t="str">
        <x:v>OPEN</x:v>
      </x:c>
      <x:c r="L15" s="72"/>
      <x:c r="M15" s="72"/>
    </x:row>
  </x:sheetData>
  <x:mergeCells>
    <x:mergeCell ref="C2:M2"/>
    <x:mergeCell ref="C3:M3"/>
  </x:mergeCells>
  <x:conditionalFormatting sqref="K7:K15">
    <x:cfRule type="containsText" dxfId="60" priority="1" operator="containsText" text="PASS"/>
    <x:cfRule type="containsText" dxfId="61" priority="2" operator="containsText" text="CLOSE"/>
    <x:cfRule type="containsText" dxfId="62" priority="3" operator="containsText" text="FAIL"/>
    <x:cfRule type="containsText" dxfId="63" priority="4" operator="containsText" text="LATE"/>
    <x:cfRule type="containsText" dxfId="64" priority="5" operator="containsText" text="OPEN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0" hidden="0" customWidth="1"/>
    <x:col min="5" max="5" width="38" hidden="0" customWidth="1"/>
    <x:col min="6" max="6" width="32" hidden="0" customWidth="1"/>
    <x:col min="7" max="7" width="34" hidden="0" customWidth="1"/>
    <x:col min="8" max="8" width="34" hidden="0" customWidth="1"/>
    <x:col min="9" max="9" width="28" hidden="0" customWidth="1"/>
    <x:col min="10" max="10" width="26" hidden="0" customWidth="1"/>
    <x:col min="11" max="11" width="12" hidden="0" customWidth="1"/>
  </x:cols>
  <x:sheetData>
    <x:row r="2" ht="24" customHeight="1">
      <x:c r="C2" s="69" t="str">
        <x:v>Campaign Failure Modes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The design fails when nominally different assets share a hidden hazard, utility, labor, data or authority dependency.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Failure ID</x:v>
      </x:c>
      <x:c r="D6" s="17" t="str">
        <x:v>Failure mode</x:v>
      </x:c>
      <x:c r="E6" s="17" t="str">
        <x:v>Mechanism</x:v>
      </x:c>
      <x:c r="F6" s="17" t="str">
        <x:v>Early signal</x:v>
      </x:c>
      <x:c r="G6" s="17" t="str">
        <x:v>Consequence</x:v>
      </x:c>
      <x:c r="H6" s="17" t="str">
        <x:v>Design response</x:v>
      </x:c>
      <x:c r="I6" s="17" t="str">
        <x:v>Residual risk</x:v>
      </x:c>
      <x:c r="J6" s="17" t="str">
        <x:v>Workbook location</x:v>
      </x:c>
      <x:c r="K6" s="18" t="str">
        <x:v>State</x:v>
      </x:c>
      <x:c r="L6" s="72"/>
      <x:c r="M6" s="72"/>
    </x:row>
    <x:row r="7">
      <x:c r="C7" s="26" t="str">
        <x:v>F-01</x:v>
      </x:c>
      <x:c r="D7" s="26" t="str">
        <x:v>Two ports share one channel</x:v>
      </x:c>
      <x:c r="E7" s="26" t="str">
        <x:v>debris, dredging and navigation closure</x:v>
      </x:c>
      <x:c r="F7" s="26" t="str">
        <x:v>survey shows common obstruction</x:v>
      </x:c>
      <x:c r="G7" s="26" t="str">
        <x:v>maritime redundancy is fictitious</x:v>
      </x:c>
      <x:c r="H7" s="26" t="str">
        <x:v>no-pier and shallow-draft groups</x:v>
      </x:c>
      <x:c r="I7" s="26" t="str">
        <x:v>winter sea state</x:v>
      </x:c>
      <x:c r="J7" s="26" t="str">
        <x:v>Paths; Path Independence</x:v>
      </x:c>
      <x:c r="K7" s="26" t="str">
        <x:v>OPEN</x:v>
      </x:c>
      <x:c r="L7" s="72"/>
      <x:c r="M7" s="72"/>
    </x:row>
    <x:row r="8">
      <x:c r="C8" s="26" t="str">
        <x:v>F-02</x:v>
      </x:c>
      <x:c r="D8" s="26" t="str">
        <x:v>Airfields share fuel and road access</x:v>
      </x:c>
      <x:c r="E8" s="26" t="str">
        <x:v>regional fuel terminal and bridge loss</x:v>
      </x:c>
      <x:c r="F8" s="26" t="str">
        <x:v>aircraft land but cannot turn</x:v>
      </x:c>
      <x:c r="G8" s="26" t="str">
        <x:v>air capacity becomes parked inventory</x:v>
      </x:c>
      <x:c r="H8" s="26" t="str">
        <x:v>interior fuel and distributed landing lattice</x:v>
      </x:c>
      <x:c r="I8" s="26" t="str">
        <x:v>aircraft maintenance concentration</x:v>
      </x:c>
      <x:c r="J8" s="26" t="str">
        <x:v>Origin Hubs; Paths</x:v>
      </x:c>
      <x:c r="K8" s="26" t="str">
        <x:v>OPEN</x:v>
      </x:c>
      <x:c r="L8" s="72"/>
      <x:c r="M8" s="72"/>
    </x:row>
    <x:row r="9">
      <x:c r="C9" s="26" t="str">
        <x:v>F-03</x:v>
      </x:c>
      <x:c r="D9" s="26" t="str">
        <x:v>Aftershock re-closes released route</x:v>
      </x:c>
      <x:c r="E9" s="26" t="str">
        <x:v>latent structural or ground failure</x:v>
      </x:c>
      <x:c r="F9" s="26" t="str">
        <x:v>instrument threshold or new damage</x:v>
      </x:c>
      <x:c r="G9" s="26" t="str">
        <x:v>convoy and public traffic exposure</x:v>
      </x:c>
      <x:c r="H9" s="26" t="str">
        <x:v>continuous sensing and stop/release loop</x:v>
      </x:c>
      <x:c r="I9" s="26" t="str">
        <x:v>false negative inspection</x:v>
      </x:c>
      <x:c r="J9" s="26" t="str">
        <x:v>Path Daily; Authority Gates</x:v>
      </x:c>
      <x:c r="K9" s="26" t="str">
        <x:v>OPEN</x:v>
      </x:c>
      <x:c r="L9" s="72"/>
      <x:c r="M9" s="72"/>
    </x:row>
    <x:row r="10">
      <x:c r="C10" s="26" t="str">
        <x:v>F-04</x:v>
      </x:c>
      <x:c r="D10" s="26" t="str">
        <x:v>Responder base consumes survivor utilities</x:v>
      </x:c>
      <x:c r="E10" s="26" t="str">
        <x:v>base depends on local water, power or lodging</x:v>
      </x:c>
      <x:c r="F10" s="26" t="str">
        <x:v>host demand rises as force arrives</x:v>
      </x:c>
      <x:c r="G10" s="26" t="str">
        <x:v>response increases service deficit</x:v>
      </x:c>
      <x:c r="H10" s="26" t="str">
        <x:v>zero-host-utility safe-zone bases</x:v>
      </x:c>
      <x:c r="I10" s="26" t="str">
        <x:v>supply corridor loss</x:v>
      </x:c>
      <x:c r="J10" s="26" t="str">
        <x:v>Responder Bases</x:v>
      </x:c>
      <x:c r="K10" s="26" t="str">
        <x:v>OPEN</x:v>
      </x:c>
      <x:c r="L10" s="72"/>
      <x:c r="M10" s="72"/>
    </x:row>
    <x:row r="11">
      <x:c r="C11" s="26" t="str">
        <x:v>F-05</x:v>
      </x:c>
      <x:c r="D11" s="26" t="str">
        <x:v>Bulk water is imported</x:v>
      </x:c>
      <x:c r="E11" s="26" t="str">
        <x:v>mass overwhelms every transport mode</x:v>
      </x:c>
      <x:c r="F11" s="26" t="str">
        <x:v>water tonnage dominates manifest</x:v>
      </x:c>
      <x:c r="G11" s="26" t="str">
        <x:v>food, fuel and medical loads delayed</x:v>
      </x:c>
      <x:c r="H11" s="26" t="str">
        <x:v>local source-neutral production and pipe</x:v>
      </x:c>
      <x:c r="I11" s="26" t="str">
        <x:v>source contamination</x:v>
      </x:c>
      <x:c r="J11" s="26" t="str">
        <x:v>Sustainment Demand</x:v>
      </x:c>
      <x:c r="K11" s="26" t="str">
        <x:v>OPEN</x:v>
      </x:c>
      <x:c r="L11" s="72"/>
      <x:c r="M11" s="72"/>
    </x:row>
    <x:row r="12">
      <x:c r="C12" s="26" t="str">
        <x:v>F-06</x:v>
      </x:c>
      <x:c r="D12" s="26" t="str">
        <x:v>Rail counted before terminal release</x:v>
      </x:c>
      <x:c r="E12" s="26" t="str">
        <x:v>track survives but yard, signal or bridge does not</x:v>
      </x:c>
      <x:c r="F12" s="26" t="str">
        <x:v>train cannot transload</x:v>
      </x:c>
      <x:c r="G12" s="26" t="str">
        <x:v>large nominal capacity has zero effect</x:v>
      </x:c>
      <x:c r="H12" s="26" t="str">
        <x:v>rail system certification and mobile terminal</x:v>
      </x:c>
      <x:c r="I12" s="26" t="str">
        <x:v>private data gap</x:v>
      </x:c>
      <x:c r="J12" s="26" t="str">
        <x:v>Paths; Entry Nodes</x:v>
      </x:c>
      <x:c r="K12" s="26" t="str">
        <x:v>OPEN</x:v>
      </x:c>
      <x:c r="L12" s="72"/>
      <x:c r="M12" s="72"/>
    </x:row>
    <x:row r="13">
      <x:c r="C13" s="26" t="str">
        <x:v>F-07</x:v>
      </x:c>
      <x:c r="D13" s="26" t="str">
        <x:v>Cargo clears but service does not</x:v>
      </x:c>
      <x:c r="E13" s="26" t="str">
        <x:v>missing companion module or authority</x:v>
      </x:c>
      <x:c r="F13" s="26" t="str">
        <x:v>arrived equipment remains idle</x:v>
      </x:c>
      <x:c r="G13" s="26" t="str">
        <x:v>false readiness claim</x:v>
      </x:c>
      <x:c r="H13" s="26" t="str">
        <x:v>mission-configured service loads</x:v>
      </x:c>
      <x:c r="I13" s="26" t="str">
        <x:v>cross-module dependency error</x:v>
      </x:c>
      <x:c r="J13" s="26" t="str">
        <x:v>Service Closure</x:v>
      </x:c>
      <x:c r="K13" s="26" t="str">
        <x:v>OPEN</x:v>
      </x:c>
      <x:c r="L13" s="72"/>
      <x:c r="M13" s="72"/>
    </x:row>
    <x:row r="14">
      <x:c r="C14" s="26" t="str">
        <x:v>F-08</x:v>
      </x:c>
      <x:c r="D14" s="26" t="str">
        <x:v>Inbound flow blocks hazardous return</x:v>
      </x:c>
      <x:c r="E14" s="26" t="str">
        <x:v>all deck and route capacity assigned inbound</x:v>
      </x:c>
      <x:c r="F14" s="26" t="str">
        <x:v>waste accumulates at bases and clinics</x:v>
      </x:c>
      <x:c r="G14" s="26" t="str">
        <x:v>public-health and environmental harm</x:v>
      </x:c>
      <x:c r="H14" s="26" t="str">
        <x:v>protected reverse share and licensed destinations</x:v>
      </x:c>
      <x:c r="I14" s="26" t="str">
        <x:v>destination refusal</x:v>
      </x:c>
      <x:c r="J14" s="26" t="str">
        <x:v>Reverse Flow</x:v>
      </x:c>
      <x:c r="K14" s="26" t="str">
        <x:v>OPEN</x:v>
      </x:c>
      <x:c r="L14" s="72"/>
      <x:c r="M14" s="72"/>
    </x:row>
    <x:row r="15">
      <x:c r="C15" s="26" t="str">
        <x:v>F-09</x:v>
      </x:c>
      <x:c r="D15" s="26" t="str">
        <x:v>Relief seats are improvised</x:v>
      </x:c>
      <x:c r="E15" s="26" t="str">
        <x:v>cargo planners omit people flows</x:v>
      </x:c>
      <x:c r="F15" s="26" t="str">
        <x:v>responder fatigue and unsafe operations</x:v>
      </x:c>
      <x:c r="G15" s="26" t="str">
        <x:v>force loses output despite intact equipment</x:v>
      </x:c>
      <x:c r="H15" s="26" t="str">
        <x:v>protected staff and patient seats</x:v>
      </x:c>
      <x:c r="I15" s="26" t="str">
        <x:v>family and mental-health attrition</x:v>
      </x:c>
      <x:c r="J15" s="26" t="str">
        <x:v>Staff Flow</x:v>
      </x:c>
      <x:c r="K15" s="26" t="str">
        <x:v>OPEN</x:v>
      </x:c>
      <x:c r="L15" s="72"/>
      <x:c r="M15" s="72"/>
    </x:row>
    <x:row r="16">
      <x:c r="C16" s="26" t="str">
        <x:v>F-10</x:v>
      </x:c>
      <x:c r="D16" s="26" t="str">
        <x:v>Offline data loses custody state</x:v>
      </x:c>
      <x:c r="E16" s="26" t="str">
        <x:v>network partitions create duplicate or phantom loads</x:v>
      </x:c>
      <x:c r="F16" s="26" t="str">
        <x:v>repeated requests and unlocated hazards</x:v>
      </x:c>
      <x:c r="G16" s="26" t="str">
        <x:v>queue and priorities become unsafe</x:v>
      </x:c>
      <x:c r="H16" s="26" t="str">
        <x:v>offline-first signed movement ledger</x:v>
      </x:c>
      <x:c r="I16" s="26" t="str">
        <x:v>corrupt update</x:v>
      </x:c>
      <x:c r="J16" s="26" t="str">
        <x:v>Innovation Requirements</x:v>
      </x:c>
      <x:c r="K16" s="26" t="str">
        <x:v>OPEN</x:v>
      </x:c>
      <x:c r="L16" s="72"/>
      <x:c r="M16" s="72"/>
    </x:row>
    <x:row r="17">
      <x:c r="C17" s="26" t="str">
        <x:v>F-11</x:v>
      </x:c>
      <x:c r="D17" s="26" t="str">
        <x:v>One coast segment absorbs the fleet</x:v>
      </x:c>
      <x:c r="E17" s="26" t="str">
        <x:v>large city priority consumes all scarce paths</x:v>
      </x:c>
      <x:c r="F17" s="26" t="str">
        <x:v>small isolated communities remain unserved</x:v>
      </x:c>
      <x:c r="G17" s="26" t="str">
        <x:v>regional average masks severe deficit</x:v>
      </x:c>
      <x:c r="H17" s="26" t="str">
        <x:v>non-compensatory zone closure</x:v>
      </x:c>
      <x:c r="I17" s="26" t="str">
        <x:v>political override</x:v>
      </x:c>
      <x:c r="J17" s="26" t="str">
        <x:v>Zones; Path Independence</x:v>
      </x:c>
      <x:c r="K17" s="26" t="str">
        <x:v>OPEN</x:v>
      </x:c>
      <x:c r="L17" s="72"/>
      <x:c r="M17" s="72"/>
    </x:row>
    <x:row r="18">
      <x:c r="C18" s="26" t="str">
        <x:v>F-12</x:v>
      </x:c>
      <x:c r="D18" s="26" t="str">
        <x:v>Return-to-readiness is deferred</x:v>
      </x:c>
      <x:c r="E18" s="26" t="str">
        <x:v>depot and decontamination start after demobilization</x:v>
      </x:c>
      <x:c r="F18" s="26" t="str">
        <x:v>backlog grows after public operation</x:v>
      </x:c>
      <x:c r="G18" s="26" t="str">
        <x:v>concurrency promise collapses</x:v>
      </x:c>
      <x:c r="H18" s="26" t="str">
        <x:v>reconstitution capacity is part of campaign</x:v>
      </x:c>
      <x:c r="I18" s="26" t="str">
        <x:v>second national event</x:v>
      </x:c>
      <x:c r="J18" s="26" t="str">
        <x:v>Reconstitution</x:v>
      </x:c>
      <x:c r="K18" s="26" t="str">
        <x:v>OPEN</x:v>
      </x:c>
      <x:c r="L18" s="72"/>
      <x:c r="M18" s="72"/>
    </x:row>
  </x:sheetData>
  <x:mergeCells>
    <x:mergeCell ref="C2:M2"/>
    <x:mergeCell ref="C3:M3"/>
  </x:mergeCells>
  <x:conditionalFormatting sqref="K7:K18">
    <x:cfRule type="containsText" dxfId="65" priority="1" operator="containsText" text="PASS"/>
    <x:cfRule type="containsText" dxfId="66" priority="2" operator="containsText" text="CLOSE"/>
    <x:cfRule type="containsText" dxfId="67" priority="3" operator="containsText" text="FAIL"/>
    <x:cfRule type="containsText" dxfId="68" priority="4" operator="containsText" text="LATE"/>
    <x:cfRule type="containsText" dxfId="69" priority="5" operator="containsText" text="OPEN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2" hidden="0" customWidth="1"/>
    <x:col min="5" max="5" width="48" hidden="0" customWidth="1"/>
    <x:col min="6" max="6" width="24" hidden="0" customWidth="1"/>
    <x:col min="7" max="7" width="25" hidden="0" customWidth="1"/>
    <x:col min="8" max="8" width="24" hidden="0" customWidth="1"/>
    <x:col min="9" max="9" width="34" hidden="0" customWidth="1"/>
    <x:col min="10" max="10" width="34" hidden="0" customWidth="1"/>
    <x:col min="11" max="11" width="12" hidden="0" customWidth="1"/>
  </x:cols>
  <x:sheetData>
    <x:row r="2" ht="24" customHeight="1">
      <x:c r="C2" s="69" t="str">
        <x:v>Evidence Gates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customHeight="1">
      <x:c r="C3" s="71" t="str">
        <x:v>All gates remain open. Passing spreadsheet arithmetic does not validate throughput, survivability, cost, staffing or operational safety.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>
      <x:c r="C6" s="16" t="str">
        <x:v>Gate ID</x:v>
      </x:c>
      <x:c r="D6" s="17" t="str">
        <x:v>Claim requiring proof</x:v>
      </x:c>
      <x:c r="E6" s="17" t="str">
        <x:v>Evidence needed</x:v>
      </x:c>
      <x:c r="F6" s="17" t="str">
        <x:v>Test scale</x:v>
      </x:c>
      <x:c r="G6" s="17" t="str">
        <x:v>Decision owner</x:v>
      </x:c>
      <x:c r="H6" s="17" t="str">
        <x:v>Blocks</x:v>
      </x:c>
      <x:c r="I6" s="17" t="str">
        <x:v>Current evidence</x:v>
      </x:c>
      <x:c r="J6" s="17" t="str">
        <x:v>Next evidence event</x:v>
      </x:c>
      <x:c r="K6" s="18" t="str">
        <x:v>State</x:v>
      </x:c>
      <x:c r="L6" s="72"/>
      <x:c r="M6" s="72"/>
    </x:row>
    <x:row r="7">
      <x:c r="C7" s="26" t="str">
        <x:v>E-01</x:v>
      </x:c>
      <x:c r="D7" s="26" t="str">
        <x:v>Hazard and service-island demand</x:v>
      </x:c>
      <x:c r="E7" s="26" t="str">
        <x:v>updated population, building, lifeline and social-vulnerability model</x:v>
      </x:c>
      <x:c r="F7" s="26" t="str">
        <x:v>regional ensemble</x:v>
      </x:c>
      <x:c r="G7" s="26" t="str">
        <x:v>mission science authority</x:v>
      </x:c>
      <x:c r="H7" s="26" t="str">
        <x:v>campaign demand</x:v>
      </x:c>
      <x:c r="I7" s="26" t="str">
        <x:v>legacy planning studies</x:v>
      </x:c>
      <x:c r="J7" s="26" t="str">
        <x:v>new public Cascadia consequence baseline</x:v>
      </x:c>
      <x:c r="K7" s="26" t="str">
        <x:v>OPEN</x:v>
      </x:c>
      <x:c r="L7" s="72"/>
      <x:c r="M7" s="72"/>
    </x:row>
    <x:row r="8">
      <x:c r="C8" s="26" t="str">
        <x:v>E-02</x:v>
      </x:c>
      <x:c r="D8" s="26" t="str">
        <x:v>Independent path covariance</x:v>
      </x:c>
      <x:c r="E8" s="26" t="str">
        <x:v>asset-level hazard, fuel, labor, data and authority graph</x:v>
      </x:c>
      <x:c r="F8" s="26" t="str">
        <x:v>regional network</x:v>
      </x:c>
      <x:c r="G8" s="26" t="str">
        <x:v>mobility technical authority</x:v>
      </x:c>
      <x:c r="H8" s="26" t="str">
        <x:v>path count</x:v>
      </x:c>
      <x:c r="I8" s="26" t="str">
        <x:v>screening logic</x:v>
      </x:c>
      <x:c r="J8" s="26" t="str">
        <x:v>joint GIS and ownership audit</x:v>
      </x:c>
      <x:c r="K8" s="26" t="str">
        <x:v>OPEN</x:v>
      </x:c>
      <x:c r="L8" s="72"/>
      <x:c r="M8" s="72"/>
    </x:row>
    <x:row r="9">
      <x:c r="C9" s="26" t="str">
        <x:v>E-03</x:v>
      </x:c>
      <x:c r="D9" s="26" t="str">
        <x:v>Air path throughput</x:v>
      </x:c>
      <x:c r="E9" s="26" t="str">
        <x:v>aircraft, runway, fuel, handling, crew and maintenance trials</x:v>
      </x:c>
      <x:c r="F9" s="26" t="str">
        <x:v>representative campaign</x:v>
      </x:c>
      <x:c r="G9" s="26" t="str">
        <x:v>airworthiness authority</x:v>
      </x:c>
      <x:c r="H9" s="26" t="str">
        <x:v>P1/P2</x:v>
      </x:c>
      <x:c r="I9" s="26" t="str">
        <x:v>current aircraft benchmarks</x:v>
      </x:c>
      <x:c r="J9" s="26" t="str">
        <x:v>100-sortie damaged-airfield trial</x:v>
      </x:c>
      <x:c r="K9" s="26" t="str">
        <x:v>OPEN</x:v>
      </x:c>
      <x:c r="L9" s="72"/>
      <x:c r="M9" s="72"/>
    </x:row>
    <x:row r="10">
      <x:c r="C10" s="26" t="str">
        <x:v>E-04</x:v>
      </x:c>
      <x:c r="D10" s="26" t="str">
        <x:v>Runway regeneration time</x:v>
      </x:c>
      <x:c r="E10" s="26" t="str">
        <x:v>full-scale damaged and liquefied pavement trials with aftershocks</x:v>
      </x:c>
      <x:c r="F10" s="26" t="str">
        <x:v>destructive full scale</x:v>
      </x:c>
      <x:c r="G10" s="26" t="str">
        <x:v>infrastructure release authority</x:v>
      </x:c>
      <x:c r="H10" s="26" t="str">
        <x:v>air open day</x:v>
      </x:c>
      <x:c r="I10" s="26" t="str">
        <x:v>concept requirement</x:v>
      </x:c>
      <x:c r="J10" s="26" t="str">
        <x:v>instrumented range campaign</x:v>
      </x:c>
      <x:c r="K10" s="26" t="str">
        <x:v>OPEN</x:v>
      </x:c>
      <x:c r="L10" s="72"/>
      <x:c r="M10" s="72"/>
    </x:row>
    <x:row r="11">
      <x:c r="C11" s="26" t="str">
        <x:v>E-05</x:v>
      </x:c>
      <x:c r="D11" s="26" t="str">
        <x:v>No-pier throughput</x:v>
      </x:c>
      <x:c r="E11" s="26" t="str">
        <x:v>winter sea-state, debris, mixed cargo and public traffic trial</x:v>
      </x:c>
      <x:c r="F11" s="26" t="str">
        <x:v>30-day full mission</x:v>
      </x:c>
      <x:c r="G11" s="26" t="str">
        <x:v>maritime authority</x:v>
      </x:c>
      <x:c r="H11" s="26" t="str">
        <x:v>P4/P5</x:v>
      </x:c>
      <x:c r="I11" s="26" t="str">
        <x:v>JLOTS / LMCS lower bounds</x:v>
      </x:c>
      <x:c r="J11" s="26" t="str">
        <x:v>dual-coast littoral trial</x:v>
      </x:c>
      <x:c r="K11" s="26" t="str">
        <x:v>OPEN</x:v>
      </x:c>
      <x:c r="L11" s="72"/>
      <x:c r="M11" s="72"/>
    </x:row>
    <x:row r="12">
      <x:c r="C12" s="26" t="str">
        <x:v>E-06</x:v>
      </x:c>
      <x:c r="D12" s="26" t="str">
        <x:v>Port reopening</x:v>
      </x:c>
      <x:c r="E12" s="26" t="str">
        <x:v>hydrography, debris, dredging, handling and environmental release</x:v>
      </x:c>
      <x:c r="F12" s="26" t="str">
        <x:v>representative port</x:v>
      </x:c>
      <x:c r="G12" s="26" t="str">
        <x:v>navigation authority</x:v>
      </x:c>
      <x:c r="H12" s="26" t="str">
        <x:v>P6</x:v>
      </x:c>
      <x:c r="I12" s="26" t="str">
        <x:v>RRAP exposure evidence</x:v>
      </x:c>
      <x:c r="J12" s="26" t="str">
        <x:v>unknown-bottom port trial</x:v>
      </x:c>
      <x:c r="K12" s="26" t="str">
        <x:v>OPEN</x:v>
      </x:c>
      <x:c r="L12" s="72"/>
      <x:c r="M12" s="72"/>
    </x:row>
    <x:row r="13">
      <x:c r="C13" s="26" t="str">
        <x:v>E-07</x:v>
      </x:c>
      <x:c r="D13" s="26" t="str">
        <x:v>Inland-water throughput</x:v>
      </x:c>
      <x:c r="E13" s="26" t="str">
        <x:v>shallow draft, failed terminals, bridge debris and river current</x:v>
      </x:c>
      <x:c r="F13" s="26" t="str">
        <x:v>30-day full mission</x:v>
      </x:c>
      <x:c r="G13" s="26" t="str">
        <x:v>maritime authority</x:v>
      </x:c>
      <x:c r="H13" s="26" t="str">
        <x:v>P7</x:v>
      </x:c>
      <x:c r="I13" s="26" t="str">
        <x:v>RRAP / ORP corridor rationale</x:v>
      </x:c>
      <x:c r="J13" s="26" t="str">
        <x:v>Columbia–Willamette trial</x:v>
      </x:c>
      <x:c r="K13" s="26" t="str">
        <x:v>OPEN</x:v>
      </x:c>
      <x:c r="L13" s="72"/>
      <x:c r="M13" s="72"/>
    </x:row>
    <x:row r="14">
      <x:c r="C14" s="26" t="str">
        <x:v>E-08</x:v>
      </x:c>
      <x:c r="D14" s="26" t="str">
        <x:v>Road and bridge opening</x:v>
      </x:c>
      <x:c r="E14" s="26" t="str">
        <x:v>route inventory, geotech, temporary spans, inspection and mixed traffic</x:v>
      </x:c>
      <x:c r="F14" s="26" t="str">
        <x:v>corridor scale</x:v>
      </x:c>
      <x:c r="G14" s="26" t="str">
        <x:v>structural authority</x:v>
      </x:c>
      <x:c r="H14" s="26" t="str">
        <x:v>P8/P9</x:v>
      </x:c>
      <x:c r="I14" s="26" t="str">
        <x:v>RRAP / ORP vulnerability</x:v>
      </x:c>
      <x:c r="J14" s="26" t="str">
        <x:v>two-corridor aftershock trial</x:v>
      </x:c>
      <x:c r="K14" s="26" t="str">
        <x:v>OPEN</x:v>
      </x:c>
      <x:c r="L14" s="72"/>
      <x:c r="M14" s="72"/>
    </x:row>
    <x:row r="15">
      <x:c r="C15" s="26" t="str">
        <x:v>E-09</x:v>
      </x:c>
      <x:c r="D15" s="26" t="str">
        <x:v>Rail restoration</x:v>
      </x:c>
      <x:c r="E15" s="26" t="str">
        <x:v>private asset, yard, bridge, signal, terminal and labor evidence</x:v>
      </x:c>
      <x:c r="F15" s="26" t="str">
        <x:v>corridor scale</x:v>
      </x:c>
      <x:c r="G15" s="26" t="str">
        <x:v>rail safety authority</x:v>
      </x:c>
      <x:c r="H15" s="26" t="str">
        <x:v>P10</x:v>
      </x:c>
      <x:c r="I15" s="26" t="str">
        <x:v>RRAP exposure screen</x:v>
      </x:c>
      <x:c r="J15" s="26" t="str">
        <x:v>carrier-partner full route trial</x:v>
      </x:c>
      <x:c r="K15" s="26" t="str">
        <x:v>OPEN</x:v>
      </x:c>
      <x:c r="L15" s="72"/>
      <x:c r="M15" s="72"/>
    </x:row>
    <x:row r="16">
      <x:c r="C16" s="26" t="str">
        <x:v>E-10</x:v>
      </x:c>
      <x:c r="D16" s="26" t="str">
        <x:v>Responder-base independence</x:v>
      </x:c>
      <x:c r="E16" s="26" t="str">
        <x:v>90-day occupied utility, health, safety and workforce test</x:v>
      </x:c>
      <x:c r="F16" s="26" t="str">
        <x:v>full base</x:v>
      </x:c>
      <x:c r="G16" s="26" t="str">
        <x:v>public-health and labor authorities</x:v>
      </x:c>
      <x:c r="H16" s="26" t="str">
        <x:v>base factor</x:v>
      </x:c>
      <x:c r="I16" s="26" t="str">
        <x:v>design assumption</x:v>
      </x:c>
      <x:c r="J16" s="26" t="str">
        <x:v>winter full-occupancy exercise</x:v>
      </x:c>
      <x:c r="K16" s="26" t="str">
        <x:v>OPEN</x:v>
      </x:c>
      <x:c r="L16" s="72"/>
      <x:c r="M16" s="72"/>
    </x:row>
    <x:row r="17">
      <x:c r="C17" s="26" t="str">
        <x:v>E-11</x:v>
      </x:c>
      <x:c r="D17" s="26" t="str">
        <x:v>Water service effect</x:v>
      </x:c>
      <x:c r="E17" s="26" t="str">
        <x:v>source, treatment, pipe, storage, quality and public access trial</x:v>
      </x:c>
      <x:c r="F17" s="26" t="str">
        <x:v>district scale</x:v>
      </x:c>
      <x:c r="G17" s="26" t="str">
        <x:v>public-health authority</x:v>
      </x:c>
      <x:c r="H17" s="26" t="str">
        <x:v>S04</x:v>
      </x:c>
      <x:c r="I17" s="26" t="str">
        <x:v>service library + concepts</x:v>
      </x:c>
      <x:c r="J17" s="26" t="str">
        <x:v>source-neutral district mission</x:v>
      </x:c>
      <x:c r="K17" s="26" t="str">
        <x:v>OPEN</x:v>
      </x:c>
      <x:c r="L17" s="72"/>
      <x:c r="M17" s="72"/>
    </x:row>
    <x:row r="18">
      <x:c r="C18" s="26" t="str">
        <x:v>E-12</x:v>
      </x:c>
      <x:c r="D18" s="26" t="str">
        <x:v>Power service effect</x:v>
      </x:c>
      <x:c r="E18" s="26" t="str">
        <x:v>generation, protection, feeder, load and transfer trial</x:v>
      </x:c>
      <x:c r="F18" s="26" t="str">
        <x:v>district scale</x:v>
      </x:c>
      <x:c r="G18" s="26" t="str">
        <x:v>electrical authority</x:v>
      </x:c>
      <x:c r="H18" s="26" t="str">
        <x:v>S08</x:v>
      </x:c>
      <x:c r="I18" s="26" t="str">
        <x:v>power engineering model</x:v>
      </x:c>
      <x:c r="J18" s="26" t="str">
        <x:v>live critical-load island trial</x:v>
      </x:c>
      <x:c r="K18" s="26" t="str">
        <x:v>OPEN</x:v>
      </x:c>
      <x:c r="L18" s="72"/>
      <x:c r="M18" s="72"/>
    </x:row>
    <x:row r="19">
      <x:c r="C19" s="26" t="str">
        <x:v>E-13</x:v>
      </x:c>
      <x:c r="D19" s="26" t="str">
        <x:v>Health service effect</x:v>
      </x:c>
      <x:c r="E19" s="26" t="str">
        <x:v>staffed complete patient pathways and evacuation regulation</x:v>
      </x:c>
      <x:c r="F19" s="26" t="str">
        <x:v>regional clinical exercise</x:v>
      </x:c>
      <x:c r="G19" s="26" t="str">
        <x:v>clinical authority</x:v>
      </x:c>
      <x:c r="H19" s="26" t="str">
        <x:v>S10 / Staff Flow</x:v>
      </x:c>
      <x:c r="I19" s="26" t="str">
        <x:v>planning anchors</x:v>
      </x:c>
      <x:c r="J19" s="26" t="str">
        <x:v>30-day multi-hospital exercise</x:v>
      </x:c>
      <x:c r="K19" s="26" t="str">
        <x:v>OPEN</x:v>
      </x:c>
      <x:c r="L19" s="72"/>
      <x:c r="M19" s="72"/>
    </x:row>
    <x:row r="20">
      <x:c r="C20" s="26" t="str">
        <x:v>E-14</x:v>
      </x:c>
      <x:c r="D20" s="26" t="str">
        <x:v>Shelter and sanitation effect</x:v>
      </x:c>
      <x:c r="E20" s="26" t="str">
        <x:v>accessibility, safety, water, waste, staffing and migration</x:v>
      </x:c>
      <x:c r="F20" s="26" t="str">
        <x:v>regional mass-care exercise</x:v>
      </x:c>
      <x:c r="G20" s="26" t="str">
        <x:v>civil / public-health authority</x:v>
      </x:c>
      <x:c r="H20" s="26" t="str">
        <x:v>S06/S07</x:v>
      </x:c>
      <x:c r="I20" s="26" t="str">
        <x:v>planning anchors</x:v>
      </x:c>
      <x:c r="J20" s="26" t="str">
        <x:v>occupied multi-zone exercise</x:v>
      </x:c>
      <x:c r="K20" s="26" t="str">
        <x:v>OPEN</x:v>
      </x:c>
      <x:c r="L20" s="72"/>
      <x:c r="M20" s="72"/>
    </x:row>
    <x:row r="21">
      <x:c r="C21" s="26" t="str">
        <x:v>E-15</x:v>
      </x:c>
      <x:c r="D21" s="26" t="str">
        <x:v>Sustainment demand and capacity</x:v>
      </x:c>
      <x:c r="E21" s="26" t="str">
        <x:v>item consumption, local production, route allocation and queue data</x:v>
      </x:c>
      <x:c r="F21" s="26" t="str">
        <x:v>90-day full campaign</x:v>
      </x:c>
      <x:c r="G21" s="26" t="str">
        <x:v>sustainment command</x:v>
      </x:c>
      <x:c r="H21" s="26" t="str">
        <x:v>supply closure</x:v>
      </x:c>
      <x:c r="I21" s="26" t="str">
        <x:v>Pass 24 anchor + assumptions</x:v>
      </x:c>
      <x:c r="J21" s="26" t="str">
        <x:v>live stock rotation and campaign trial</x:v>
      </x:c>
      <x:c r="K21" s="26" t="str">
        <x:v>OPEN</x:v>
      </x:c>
      <x:c r="L21" s="72"/>
      <x:c r="M21" s="72"/>
    </x:row>
    <x:row r="22">
      <x:c r="C22" s="26" t="str">
        <x:v>E-16</x:v>
      </x:c>
      <x:c r="D22" s="26" t="str">
        <x:v>Hazardous reverse flow</x:v>
      </x:c>
      <x:c r="E22" s="26" t="str">
        <x:v>material characterization, packaging, routing and licensed acceptance</x:v>
      </x:c>
      <x:c r="F22" s="26" t="str">
        <x:v>full chain</x:v>
      </x:c>
      <x:c r="G22" s="26" t="str">
        <x:v>environmental authority</x:v>
      </x:c>
      <x:c r="H22" s="26" t="str">
        <x:v>reverse closure</x:v>
      </x:c>
      <x:c r="I22" s="26" t="str">
        <x:v>design assumption</x:v>
      </x:c>
      <x:c r="J22" s="26" t="str">
        <x:v>mixed-waste end-to-end trial</x:v>
      </x:c>
      <x:c r="K22" s="26" t="str">
        <x:v>OPEN</x:v>
      </x:c>
      <x:c r="L22" s="72"/>
      <x:c r="M22" s="72"/>
    </x:row>
    <x:row r="23">
      <x:c r="C23" s="26" t="str">
        <x:v>E-17</x:v>
      </x:c>
      <x:c r="D23" s="26" t="str">
        <x:v>Relief and patient seats</x:v>
      </x:c>
      <x:c r="E23" s="26" t="str">
        <x:v>personnel demand, medical acuity, crew duty and route availability</x:v>
      </x:c>
      <x:c r="F23" s="26" t="str">
        <x:v>regional exercise</x:v>
      </x:c>
      <x:c r="G23" s="26" t="str">
        <x:v>health / workforce authorities</x:v>
      </x:c>
      <x:c r="H23" s="26" t="str">
        <x:v>Staff Flow</x:v>
      </x:c>
      <x:c r="I23" s="26" t="str">
        <x:v>legacy planning anchor</x:v>
      </x:c>
      <x:c r="J23" s="26" t="str">
        <x:v>30-day patient and relief trial</x:v>
      </x:c>
      <x:c r="K23" s="26" t="str">
        <x:v>OPEN</x:v>
      </x:c>
      <x:c r="L23" s="72"/>
      <x:c r="M23" s="72"/>
    </x:row>
    <x:row r="24">
      <x:c r="C24" s="26" t="str">
        <x:v>E-18</x:v>
      </x:c>
      <x:c r="D24" s="26" t="str">
        <x:v>Reconstitution lag and depot capacity</x:v>
      </x:c>
      <x:c r="E24" s="26" t="str">
        <x:v>inspection, contamination, repair, spares, software and crew recovery</x:v>
      </x:c>
      <x:c r="F24" s="26" t="str">
        <x:v>force-generation cycle</x:v>
      </x:c>
      <x:c r="G24" s="26" t="str">
        <x:v>readiness authority</x:v>
      </x:c>
      <x:c r="H24" s="26" t="str">
        <x:v>return to pool</x:v>
      </x:c>
      <x:c r="I24" s="26" t="str">
        <x:v>design assumption</x:v>
      </x:c>
      <x:c r="J24" s="26" t="str">
        <x:v>complete deployment-reset trial</x:v>
      </x:c>
      <x:c r="K24" s="26" t="str">
        <x:v>OPEN</x:v>
      </x:c>
      <x:c r="L24" s="72"/>
      <x:c r="M24" s="72"/>
    </x:row>
    <x:row r="25">
      <x:c r="C25" s="26" t="str">
        <x:v>E-19</x:v>
      </x:c>
      <x:c r="D25" s="26" t="str">
        <x:v>Capital and operating cost</x:v>
      </x:c>
      <x:c r="E25" s="26" t="str">
        <x:v>independent WBS, schedule, learning, labor and risk estimate</x:v>
      </x:c>
      <x:c r="F25" s="26" t="str">
        <x:v>program portfolio</x:v>
      </x:c>
      <x:c r="G25" s="26" t="str">
        <x:v>independent cost authority</x:v>
      </x:c>
      <x:c r="H25" s="26" t="str">
        <x:v>funding frame</x:v>
      </x:c>
      <x:c r="I25" s="26" t="str">
        <x:v>parametric hypothesis</x:v>
      </x:c>
      <x:c r="J25" s="26" t="str">
        <x:v>independent cost estimate</x:v>
      </x:c>
      <x:c r="K25" s="26" t="str">
        <x:v>OPEN</x:v>
      </x:c>
      <x:c r="L25" s="72"/>
      <x:c r="M25" s="72"/>
    </x:row>
    <x:row r="26">
      <x:c r="C26" s="26" t="str">
        <x:v>E-20</x:v>
      </x:c>
      <x:c r="D26" s="26" t="str">
        <x:v>Rendering geometry</x:v>
      </x:c>
      <x:c r="E26" s="26" t="str">
        <x:v>validated mass, dimensions, stability, structure, interfaces and crew concept</x:v>
      </x:c>
      <x:c r="F26" s="26" t="str">
        <x:v>class prototype</x:v>
      </x:c>
      <x:c r="G26" s="26" t="str">
        <x:v>technical authorities</x:v>
      </x:c>
      <x:c r="H26" s="26" t="str">
        <x:v>all renderings</x:v>
      </x:c>
      <x:c r="I26" s="26" t="str">
        <x:v>requirements only</x:v>
      </x:c>
      <x:c r="J26" s="26" t="str">
        <x:v>configuration baseline</x:v>
      </x:c>
      <x:c r="K26" s="26" t="str">
        <x:v>OPEN</x:v>
      </x:c>
      <x:c r="L26" s="72"/>
      <x:c r="M26" s="72"/>
    </x:row>
  </x:sheetData>
  <x:mergeCells>
    <x:mergeCell ref="C2:M2"/>
    <x:mergeCell ref="C3:M3"/>
  </x:mergeCells>
  <x:conditionalFormatting sqref="K7:K26">
    <x:cfRule type="containsText" dxfId="70" priority="1" operator="containsText" text="PASS"/>
    <x:cfRule type="containsText" dxfId="71" priority="2" operator="containsText" text="CLOSE"/>
    <x:cfRule type="containsText" dxfId="72" priority="3" operator="containsText" text="FAIL"/>
    <x:cfRule type="containsText" dxfId="73" priority="4" operator="containsText" text="LATE"/>
    <x:cfRule type="containsText" dxfId="74" priority="5" operator="containsText" text="OPEN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5" hidden="0" customWidth="1"/>
    <x:col min="4" max="4" width="42" hidden="0" customWidth="1"/>
    <x:col min="5" max="5" width="28" hidden="0" customWidth="1"/>
    <x:col min="6" max="6" width="18" hidden="0" customWidth="1"/>
    <x:col min="7" max="7" width="72" hidden="0" customWidth="1"/>
    <x:col min="8" max="8" width="42" hidden="0" customWidth="1"/>
    <x:col min="9" max="9" width="20" hidden="0" customWidth="1"/>
    <x:col min="10" max="10" width="42" hidden="0" customWidth="1"/>
  </x:cols>
  <x:sheetData>
    <x:row r="2" ht="24" customHeight="1">
      <x:c r="C2" s="69" t="str">
        <x:v>Sources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Official sources bound hazard, recovery, movement and current-system benchmarks. They do not validate the workbook's future-force coefficients.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Key</x:v>
      </x:c>
      <x:c r="D6" s="17" t="str">
        <x:v>Title</x:v>
      </x:c>
      <x:c r="E6" s="17" t="str">
        <x:v>Publisher</x:v>
      </x:c>
      <x:c r="F6" s="17" t="str">
        <x:v>Date</x:v>
      </x:c>
      <x:c r="G6" s="17" t="str">
        <x:v>URL</x:v>
      </x:c>
      <x:c r="H6" s="17" t="str">
        <x:v>Use</x:v>
      </x:c>
      <x:c r="I6" s="17" t="str">
        <x:v>Evidence class</x:v>
      </x:c>
      <x:c r="J6" s="18" t="str">
        <x:v>Limits</x:v>
      </x:c>
      <x:c r="K6" s="72"/>
      <x:c r="L6" s="72"/>
      <x:c r="M6" s="72"/>
      <x:c r="N6" s="72"/>
    </x:row>
    <x:row r="7">
      <x:c r="C7" s="26" t="str">
        <x:v>USGS-CSZM9</x:v>
      </x:c>
      <x:c r="D7" s="26" t="str">
        <x:v>M9 Cascadia Earthquake Scenarios</x:v>
      </x:c>
      <x:c r="E7" s="26" t="str">
        <x:v>U.S. Geological Survey</x:v>
      </x:c>
      <x:c r="F7" s="26" t="str">
        <x:v>2021 / current catalog</x:v>
      </x:c>
      <x:c r="G7" s="26" t="str">
        <x:v>https://earthquake.usgs.gov/scenarios/catalog/cszm9/</x:v>
      </x:c>
      <x:c r="H7" s="26" t="str">
        <x:v>median and ensemble shaking basis</x:v>
      </x:c>
      <x:c r="I7" s="26" t="str">
        <x:v>primary official</x:v>
      </x:c>
      <x:c r="J7" s="26" t="str">
        <x:v>does not supply operational consequence or route schedules</x:v>
      </x:c>
      <x:c r="K7" s="72"/>
      <x:c r="L7" s="72"/>
      <x:c r="M7" s="72"/>
      <x:c r="N7" s="72"/>
    </x:row>
    <x:row r="8">
      <x:c r="C8" s="26" t="str">
        <x:v>USGS-PNW25</x:v>
      </x:c>
      <x:c r="D8" s="26" t="str">
        <x:v>Earthquake Probabilities and Hazards in the U.S. Pacific Northwest</x:v>
      </x:c>
      <x:c r="E8" s="26" t="str">
        <x:v>U.S. Geological Survey</x:v>
      </x:c>
      <x:c r="F8" s="26" t="str">
        <x:v>2025</x:v>
      </x:c>
      <x:c r="G8" s="26" t="str">
        <x:v>https://pubs.usgs.gov/publication/fs20253050/full</x:v>
      </x:c>
      <x:c r="H8" s="26" t="str">
        <x:v>current hazard probability and 1700 event context</x:v>
      </x:c>
      <x:c r="I8" s="26" t="str">
        <x:v>primary official</x:v>
      </x:c>
      <x:c r="J8" s="26" t="str">
        <x:v>probability is not operational demand</x:v>
      </x:c>
      <x:c r="K8" s="72"/>
      <x:c r="L8" s="72"/>
      <x:c r="M8" s="72"/>
      <x:c r="N8" s="72"/>
    </x:row>
    <x:row r="9">
      <x:c r="C9" s="26" t="str">
        <x:v>WA-CR22</x:v>
      </x:c>
      <x:c r="D9" s="26" t="str">
        <x:v>Cascadia Rising 2022 After-Action Report and Improvement Plan</x:v>
      </x:c>
      <x:c r="E9" s="26" t="str">
        <x:v>Washington Emergency Management Division</x:v>
      </x:c>
      <x:c r="F9" s="26" t="str">
        <x:v>2023-07-18</x:v>
      </x:c>
      <x:c r="G9" s="26" t="str">
        <x:v>https://mil.wa.gov/asset/64dce2b7dec3b/FINAL%20-%20Revised%20CR22%20AAR-IP%20%20071823%20Signed.pdf</x:v>
      </x:c>
      <x:c r="H9" s="26" t="str">
        <x:v>transportation, communications, fuel and mass-care planning gaps</x:v>
      </x:c>
      <x:c r="I9" s="26" t="str">
        <x:v>primary official exercise</x:v>
      </x:c>
      <x:c r="J9" s="26" t="str">
        <x:v>discussion exercise did not validate outcomes</x:v>
      </x:c>
      <x:c r="K9" s="72"/>
      <x:c r="L9" s="72"/>
      <x:c r="M9" s="72"/>
      <x:c r="N9" s="72"/>
    </x:row>
    <x:row r="10">
      <x:c r="C10" s="26" t="str">
        <x:v>WA-RRAP19</x:v>
      </x:c>
      <x:c r="D10" s="26" t="str">
        <x:v>Washington State Transportation Systems RRAP</x:v>
      </x:c>
      <x:c r="E10" s="26" t="str">
        <x:v>DHS / Washington Emergency Management Division</x:v>
      </x:c>
      <x:c r="F10" s="26" t="str">
        <x:v>2019</x:v>
      </x:c>
      <x:c r="G10" s="26" t="str">
        <x:v>https://mil.wa.gov/asset/5d8ba2a03a1b7</x:v>
      </x:c>
      <x:c r="H10" s="26" t="str">
        <x:v>road, port, rail, tsunami, liquefaction and network evidence</x:v>
      </x:c>
      <x:c r="I10" s="26" t="str">
        <x:v>primary official assessment</x:v>
      </x:c>
      <x:c r="J10" s="26" t="str">
        <x:v>asset-level uncertainty and aftershocks excluded</x:v>
      </x:c>
      <x:c r="K10" s="72"/>
      <x:c r="L10" s="72"/>
      <x:c r="M10" s="72"/>
      <x:c r="N10" s="72"/>
    </x:row>
    <x:row r="11">
      <x:c r="C11" s="26" t="str">
        <x:v>ORP-2013</x:v>
      </x:c>
      <x:c r="D11" s="26" t="str">
        <x:v>The Oregon Resilience Plan</x:v>
      </x:c>
      <x:c r="E11" s="26" t="str">
        <x:v>Oregon Seismic Safety Policy Advisory Commission</x:v>
      </x:c>
      <x:c r="F11" s="26" t="str">
        <x:v>2013</x:v>
      </x:c>
      <x:c r="G11" s="26" t="str">
        <x:v>https://www.oregon.gov/lcd/NH/Documents/Apx_9.2.3_OR_Res_Plan_Final_OPT.pdf</x:v>
      </x:c>
      <x:c r="H11" s="26" t="str">
        <x:v>restoration time, airports, ports, bridges, fuel, utilities</x:v>
      </x:c>
      <x:c r="I11" s="26" t="str">
        <x:v>primary official plan</x:v>
      </x:c>
      <x:c r="J11" s="26" t="str">
        <x:v>older baseline; not a current asset census</x:v>
      </x:c>
      <x:c r="K11" s="72"/>
      <x:c r="L11" s="72"/>
      <x:c r="M11" s="72"/>
      <x:c r="N11" s="72"/>
    </x:row>
    <x:row r="12">
      <x:c r="C12" s="26" t="str">
        <x:v>DOGAMI-O1306</x:v>
      </x:c>
      <x:c r="D12" s="26" t="str">
        <x:v>Ground motion, deformation, tsunami and damage-potential maps</x:v>
      </x:c>
      <x:c r="E12" s="26" t="str">
        <x:v>Oregon DOGAMI</x:v>
      </x:c>
      <x:c r="F12" s="26" t="str">
        <x:v>2013</x:v>
      </x:c>
      <x:c r="G12" s="26" t="str">
        <x:v>https://pubs.oregon.gov/dogami/ofr/p-O-13-06.htm</x:v>
      </x:c>
      <x:c r="H12" s="26" t="str">
        <x:v>scenario mapping and regional impact zones</x:v>
      </x:c>
      <x:c r="I12" s="26" t="str">
        <x:v>primary official technical report</x:v>
      </x:c>
      <x:c r="J12" s="26" t="str">
        <x:v>not a logistics performance source</x:v>
      </x:c>
      <x:c r="K12" s="72"/>
      <x:c r="L12" s="72"/>
      <x:c r="M12" s="72"/>
      <x:c r="N12" s="72"/>
    </x:row>
    <x:row r="13">
      <x:c r="C13" s="26" t="str">
        <x:v>HITRAC-CSZ11</x:v>
      </x:c>
      <x:c r="D13" s="26" t="str">
        <x:v>Analytical Baseline Study for the Cascadia Earthquake and Tsunami, draft</x:v>
      </x:c>
      <x:c r="E13" s="26" t="str">
        <x:v>DHS HITRAC / NISAC</x:v>
      </x:c>
      <x:c r="F13" s="26" t="str">
        <x:v>2011</x:v>
      </x:c>
      <x:c r="G13" s="26" t="str">
        <x:v>https://www.co.wahkiakum.wa.us/DocumentCenter/View/185/Draft-Analytical-Baseline-Study-for-the-Cascadia-Earthquake-and-Tsunami---September-12-2011-PDF</x:v>
      </x:c>
      <x:c r="H13" s="26" t="str">
        <x:v>legacy population, injury, shelter and patient-movement anchors</x:v>
      </x:c>
      <x:c r="I13" s="26" t="str">
        <x:v>official analytical draft mirror</x:v>
      </x:c>
      <x:c r="J13" s="26" t="str">
        <x:v>old, draft and not current population validation</x:v>
      </x:c>
      <x:c r="K13" s="72"/>
      <x:c r="L13" s="72"/>
      <x:c r="M13" s="72"/>
      <x:c r="N13" s="72"/>
    </x:row>
    <x:row r="14">
      <x:c r="C14" s="26" t="str">
        <x:v>JP4-01</x:v>
      </x:c>
      <x:c r="D14" s="26" t="str">
        <x:v>Joint Publication 4-01, The Defense Transportation System</x:v>
      </x:c>
      <x:c r="E14" s="26" t="str">
        <x:v>Joint Chiefs of Staff</x:v>
      </x:c>
      <x:c r="F14" s="26" t="str">
        <x:v>2017</x:v>
      </x:c>
      <x:c r="G14" s="26" t="str">
        <x:v>https://www.jcs.mil/Portals/36/Documents/Doctrine/pubs/jp4_01_20170718.pdf</x:v>
      </x:c>
      <x:c r="H14" s="26" t="str">
        <x:v>force closure, movement control and distribution analogy</x:v>
      </x:c>
      <x:c r="I14" s="26" t="str">
        <x:v>primary official doctrine</x:v>
      </x:c>
      <x:c r="J14" s="26" t="str">
        <x:v>military purpose differs from civil service</x:v>
      </x:c>
      <x:c r="K14" s="72"/>
      <x:c r="L14" s="72"/>
      <x:c r="M14" s="72"/>
      <x:c r="N14" s="72"/>
    </x:row>
    <x:row r="15">
      <x:c r="C15" s="26" t="str">
        <x:v>AF-C17</x:v>
      </x:c>
      <x:c r="D15" s="26" t="str">
        <x:v>C-17 Globemaster III payload benchmark</x:v>
      </x:c>
      <x:c r="E15" s="26" t="str">
        <x:v>U.S. Air Force</x:v>
      </x:c>
      <x:c r="F15" s="26" t="str">
        <x:v>accessed 2026</x:v>
      </x:c>
      <x:c r="G15" s="26" t="str">
        <x:v>https://www.af.mil/News/Features/Article/142847/c-17-globemaster-iii-amcs-workhorse-meeting-airlift-needs-across-the-globe/</x:v>
      </x:c>
      <x:c r="H15" s="26" t="str">
        <x:v>77.5-tonne class benchmark</x:v>
      </x:c>
      <x:c r="I15" s="26" t="str">
        <x:v>primary official</x:v>
      </x:c>
      <x:c r="J15" s="26" t="str">
        <x:v>maximum payload is not campaign throughput</x:v>
      </x:c>
      <x:c r="K15" s="72"/>
      <x:c r="L15" s="72"/>
      <x:c r="M15" s="72"/>
      <x:c r="N15" s="72"/>
    </x:row>
    <x:row r="16">
      <x:c r="C16" s="26" t="str">
        <x:v>AF-C130</x:v>
      </x:c>
      <x:c r="D16" s="26" t="str">
        <x:v>C-130 Hercules fact sheet</x:v>
      </x:c>
      <x:c r="E16" s="26" t="str">
        <x:v>U.S. Air Force</x:v>
      </x:c>
      <x:c r="F16" s="26" t="str">
        <x:v>current page</x:v>
      </x:c>
      <x:c r="G16" s="26" t="str">
        <x:v>https://www.af.mil/About-Us/Fact-Sheets/Display/Article/1555054/c-130-hercules/</x:v>
      </x:c>
      <x:c r="H16" s="26" t="str">
        <x:v>19-tonne class and pallet benchmark</x:v>
      </x:c>
      <x:c r="I16" s="26" t="str">
        <x:v>primary official</x:v>
      </x:c>
      <x:c r="J16" s="26" t="str">
        <x:v>current aircraft is a lower-bound comparator</x:v>
      </x:c>
      <x:c r="K16" s="72"/>
      <x:c r="L16" s="72"/>
      <x:c r="M16" s="72"/>
      <x:c r="N16" s="72"/>
    </x:row>
    <x:row r="17">
      <x:c r="C17" s="26" t="str">
        <x:v>ERDC-LMCS</x:v>
      </x:c>
      <x:c r="D17" s="26" t="str">
        <x:v>Lightweight Modular Causeway System</x:v>
      </x:c>
      <x:c r="E17" s="26" t="str">
        <x:v>U.S. Army ERDC</x:v>
      </x:c>
      <x:c r="F17" s="26" t="str">
        <x:v>updated 2022</x:v>
      </x:c>
      <x:c r="G17" s="26" t="str">
        <x:v>https://www.erdc.usace.army.mil/Media/Fact-Sheets/Fact-Sheet-Article-View/Article/476717/lightweight-modular-causeway-system/</x:v>
      </x:c>
      <x:c r="H17" s="26" t="str">
        <x:v>40-ton vehicle and rapid causeway lower bound</x:v>
      </x:c>
      <x:c r="I17" s="26" t="str">
        <x:v>primary official technical demonstration</x:v>
      </x:c>
      <x:c r="J17" s="26" t="str">
        <x:v>120-foot trial does not validate campaign throughput</x:v>
      </x:c>
      <x:c r="K17" s="72"/>
      <x:c r="L17" s="72"/>
      <x:c r="M17" s="72"/>
      <x:c r="N17" s="72"/>
    </x:row>
    <x:row r="18">
      <x:c r="C18" s="26" t="str">
        <x:v>ARMY-IRB</x:v>
      </x:c>
      <x:c r="D18" s="26" t="str">
        <x:v>Improved Ribbon Bridge</x:v>
      </x:c>
      <x:c r="E18" s="26" t="str">
        <x:v>U.S. Army</x:v>
      </x:c>
      <x:c r="F18" s="26" t="str">
        <x:v>2005</x:v>
      </x:c>
      <x:c r="G18" s="26" t="str">
        <x:v>https://asc.army.mil/docs/wsh2/2005-wsh.pdf</x:v>
      </x:c>
      <x:c r="H18" s="26" t="str">
        <x:v>load and erection benchmark</x:v>
      </x:c>
      <x:c r="I18" s="26" t="str">
        <x:v>primary official</x:v>
      </x:c>
      <x:c r="J18" s="26" t="str">
        <x:v>military wet-gap use is not complete civil route restoration</x:v>
      </x:c>
      <x:c r="K18" s="72"/>
      <x:c r="L18" s="72"/>
      <x:c r="M18" s="72"/>
      <x:c r="N18" s="72"/>
    </x:row>
    <x:row r="19">
      <x:c r="C19" s="26" t="str">
        <x:v>NAVY-LOTS</x:v>
      </x:c>
      <x:c r="D19" s="26" t="str">
        <x:v>Program Management Office 314, Logistics Over the Shore</x:v>
      </x:c>
      <x:c r="E19" s="26" t="str">
        <x:v>U.S. Navy</x:v>
      </x:c>
      <x:c r="F19" s="26" t="str">
        <x:v>2025</x:v>
      </x:c>
      <x:c r="G19" s="26" t="str">
        <x:v>https://www.navfac.navy.mil/PEO-Infrastructure-and-Expeditionary/PMO-314-LOTS/</x:v>
      </x:c>
      <x:c r="H19" s="26" t="str">
        <x:v>current LOTS system family and industrial precedent</x:v>
      </x:c>
      <x:c r="I19" s="26" t="str">
        <x:v>primary official</x:v>
      </x:c>
      <x:c r="J19" s="26" t="str">
        <x:v>does not state validated Cascadia throughput</x:v>
      </x:c>
      <x:c r="K19" s="72"/>
      <x:c r="L19" s="72"/>
      <x:c r="M19" s="72"/>
      <x:c r="N19" s="72"/>
    </x:row>
    <x:row r="20">
      <x:c r="C20" s="26" t="str">
        <x:v>FHWA-SPMT</x:v>
      </x:c>
      <x:c r="D20" s="26" t="str">
        <x:v>Self-Propelled Modular Transporters for Accelerated Bridge Construction</x:v>
      </x:c>
      <x:c r="E20" s="26" t="str">
        <x:v>Federal Highway Administration</x:v>
      </x:c>
      <x:c r="F20" s="26" t="str">
        <x:v>2007</x:v>
      </x:c>
      <x:c r="G20" s="26" t="str">
        <x:v>https://www.fhwa.dot.gov/publications/focus/07dec/02.cfm</x:v>
      </x:c>
      <x:c r="H20" s="26" t="str">
        <x:v>rapid prefabricated bridge replacement precedent</x:v>
      </x:c>
      <x:c r="I20" s="26" t="str">
        <x:v>primary official</x:v>
      </x:c>
      <x:c r="J20" s="26" t="str">
        <x:v>requires prepared site and structure</x:v>
      </x:c>
      <x:c r="K20" s="72"/>
      <x:c r="L20" s="72"/>
      <x:c r="M20" s="72"/>
      <x:c r="N20" s="72"/>
    </x:row>
    <x:row r="21">
      <x:c r="C21" s="26" t="str">
        <x:v>USACE-POWER</x:v>
      </x:c>
      <x:c r="D21" s="26" t="str">
        <x:v>National Emergency Preparedness Program: Emergency Power</x:v>
      </x:c>
      <x:c r="E21" s="26" t="str">
        <x:v>U.S. Army Corps of Engineers</x:v>
      </x:c>
      <x:c r="F21" s="26" t="str">
        <x:v>current page</x:v>
      </x:c>
      <x:c r="G21" s="26" t="str">
        <x:v>https://www.usace.army.mil/Missions/Emergency-Operations/National-Response-Framework/Emergency-Power/</x:v>
      </x:c>
      <x:c r="H21" s="26" t="str">
        <x:v>complete assessment, install, operate, fuel, maintain and recover mission chain</x:v>
      </x:c>
      <x:c r="I21" s="26" t="str">
        <x:v>primary official</x:v>
      </x:c>
      <x:c r="J21" s="26" t="str">
        <x:v>current mission scale is not the proposed force scale</x:v>
      </x:c>
      <x:c r="K21" s="72"/>
      <x:c r="L21" s="72"/>
      <x:c r="M21" s="72"/>
      <x:c r="N21" s="72"/>
    </x:row>
  </x:sheetData>
  <x:mergeCells>
    <x:mergeCell ref="C2:N2"/>
    <x:mergeCell ref="C3:N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2" hidden="0" customWidth="1"/>
    <x:col min="5" max="5" width="20" hidden="0" customWidth="1"/>
    <x:col min="6" max="6" width="20" hidden="0" customWidth="1"/>
    <x:col min="7" max="7" width="36" hidden="0" customWidth="1"/>
    <x:col min="8" max="8" width="12" hidden="0" customWidth="1"/>
  </x:cols>
  <x:sheetData>
    <x:row r="2" ht="24" customHeight="1">
      <x:c r="C2" s="69" t="str">
        <x:v>Model Checks</x:v>
      </x:c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0" customHeight="1">
      <x:c r="C3" s="71" t="str">
        <x:v>Checks reconcile mass, queues, service closure, finance and required open research states. OPEN is intentional; FAIL indicates a model defect or unmet design requirement.</x:v>
      </x:c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>
      <x:c r="C6" s="16" t="str">
        <x:v>Check ID</x:v>
      </x:c>
      <x:c r="D6" s="17" t="str">
        <x:v>Check</x:v>
      </x:c>
      <x:c r="E6" s="17" t="str">
        <x:v>Actual</x:v>
      </x:c>
      <x:c r="F6" s="17" t="str">
        <x:v>Expected</x:v>
      </x:c>
      <x:c r="G6" s="17" t="str">
        <x:v>Tolerance / rule</x:v>
      </x:c>
      <x:c r="H6" s="18" t="str">
        <x:v>Status</x:v>
      </x:c>
      <x:c r="I6" s="72"/>
      <x:c r="J6" s="72"/>
      <x:c r="K6" s="72"/>
      <x:c r="L6" s="72"/>
      <x:c r="M6" s="72"/>
      <x:c r="N6" s="72"/>
    </x:row>
    <x:row r="7">
      <x:c r="C7" s="20" t="str">
        <x:v>C-01</x:v>
      </x:c>
      <x:c r="D7" s="20" t="str">
        <x:v>Formation mass reconciles</x:v>
      </x:c>
      <x:c r="E7" s="45" t="n">
        <x:f>SUM('Cargo Records'!$O$7:$O$70)</x:f>
        <x:v>1762600</x:v>
      </x:c>
      <x:c r="F7" s="45" t="n">
        <x:f>'Controls'!$D$10</x:f>
        <x:v>1762600</x:v>
      </x:c>
      <x:c r="G7" s="20" t="str">
        <x:v>absolute difference &lt; 0.1 t</x:v>
      </x:c>
      <x:c r="H7" s="45" t="str">
        <x:f>IF(ABS(E7-F7)&lt;0.1,"PASS","FAIL")</x:f>
        <x:v>PASS</x:v>
      </x:c>
      <x:c r="I7" s="72"/>
      <x:c r="J7" s="72"/>
      <x:c r="K7" s="72"/>
      <x:c r="L7" s="72"/>
      <x:c r="M7" s="72"/>
      <x:c r="N7" s="72"/>
    </x:row>
    <x:row r="8">
      <x:c r="C8" s="20" t="str">
        <x:v>C-02</x:v>
      </x:c>
      <x:c r="D8" s="20" t="str">
        <x:v>R1 mass reconciles</x:v>
      </x:c>
      <x:c r="E8" s="45" t="n">
        <x:f>'Wave Closure'!F7</x:f>
        <x:v>88130</x:v>
      </x:c>
      <x:c r="F8" s="45" t="n">
        <x:v>88130</x:v>
      </x:c>
      <x:c r="G8" s="20" t="str">
        <x:v>absolute difference &lt; 0.1 t</x:v>
      </x:c>
      <x:c r="H8" s="45" t="str">
        <x:f>IF(ABS(E8-F8)&lt;0.1,"PASS","FAIL")</x:f>
        <x:v>PASS</x:v>
      </x:c>
      <x:c r="I8" s="72"/>
      <x:c r="J8" s="72"/>
      <x:c r="K8" s="72"/>
      <x:c r="L8" s="72"/>
      <x:c r="M8" s="72"/>
      <x:c r="N8" s="72"/>
    </x:row>
    <x:row r="9">
      <x:c r="C9" s="20" t="str">
        <x:v>C-03</x:v>
      </x:c>
      <x:c r="D9" s="20" t="str">
        <x:v>R2 mass reconciles</x:v>
      </x:c>
      <x:c r="E9" s="45" t="n">
        <x:f>'Wave Closure'!F8</x:f>
        <x:v>317268</x:v>
      </x:c>
      <x:c r="F9" s="45" t="n">
        <x:v>317268</x:v>
      </x:c>
      <x:c r="G9" s="20" t="str">
        <x:v>absolute difference &lt; 0.1 t</x:v>
      </x:c>
      <x:c r="H9" s="45" t="str">
        <x:f>IF(ABS(E9-F9)&lt;0.1,"PASS","FAIL")</x:f>
        <x:v>PASS</x:v>
      </x:c>
      <x:c r="I9" s="72"/>
      <x:c r="J9" s="72"/>
      <x:c r="K9" s="72"/>
      <x:c r="L9" s="72"/>
      <x:c r="M9" s="72"/>
      <x:c r="N9" s="72"/>
    </x:row>
    <x:row r="10">
      <x:c r="C10" s="20" t="str">
        <x:v>C-04</x:v>
      </x:c>
      <x:c r="D10" s="20" t="str">
        <x:v>R3 mass reconciles</x:v>
      </x:c>
      <x:c r="E10" s="45" t="n">
        <x:f>'Wave Closure'!F9</x:f>
        <x:v>828422</x:v>
      </x:c>
      <x:c r="F10" s="45" t="n">
        <x:v>828422</x:v>
      </x:c>
      <x:c r="G10" s="20" t="str">
        <x:v>absolute difference &lt; 0.1 t</x:v>
      </x:c>
      <x:c r="H10" s="45" t="str">
        <x:f>IF(ABS(E10-F10)&lt;0.1,"PASS","FAIL")</x:f>
        <x:v>PASS</x:v>
      </x:c>
      <x:c r="I10" s="72"/>
      <x:c r="J10" s="72"/>
      <x:c r="K10" s="72"/>
      <x:c r="L10" s="72"/>
      <x:c r="M10" s="72"/>
      <x:c r="N10" s="72"/>
    </x:row>
    <x:row r="11">
      <x:c r="C11" s="20" t="str">
        <x:v>C-05</x:v>
      </x:c>
      <x:c r="D11" s="20" t="str">
        <x:v>R4 mass reconciles</x:v>
      </x:c>
      <x:c r="E11" s="45" t="n">
        <x:f>'Wave Closure'!F10</x:f>
        <x:v>528780</x:v>
      </x:c>
      <x:c r="F11" s="45" t="n">
        <x:v>528780</x:v>
      </x:c>
      <x:c r="G11" s="20" t="str">
        <x:v>absolute difference &lt; 0.1 t</x:v>
      </x:c>
      <x:c r="H11" s="45" t="str">
        <x:f>IF(ABS(E11-F11)&lt;0.1,"PASS","FAIL")</x:f>
        <x:v>PASS</x:v>
      </x:c>
      <x:c r="I11" s="72"/>
      <x:c r="J11" s="72"/>
      <x:c r="K11" s="72"/>
      <x:c r="L11" s="72"/>
      <x:c r="M11" s="72"/>
      <x:c r="N11" s="72"/>
    </x:row>
    <x:row r="12">
      <x:c r="C12" s="20" t="str">
        <x:v>C-06</x:v>
      </x:c>
      <x:c r="D12" s="20" t="str">
        <x:v>All cargo meets arrival deadlines</x:v>
      </x:c>
      <x:c r="E12" s="45" t="n">
        <x:f>COUNTIF('Cargo Clearance'!$O$7:$O$70,"CLOSE")</x:f>
        <x:v>64</x:v>
      </x:c>
      <x:c r="F12" s="45" t="n">
        <x:v>64</x:v>
      </x:c>
      <x:c r="G12" s="20" t="str">
        <x:v>exact</x:v>
      </x:c>
      <x:c r="H12" s="45" t="str">
        <x:f>IF(E12=F12,"PASS","FAIL")</x:f>
        <x:v>PASS</x:v>
      </x:c>
      <x:c r="I12" s="72"/>
      <x:c r="J12" s="72"/>
      <x:c r="K12" s="72"/>
      <x:c r="L12" s="72"/>
      <x:c r="M12" s="72"/>
      <x:c r="N12" s="72"/>
    </x:row>
    <x:row r="13">
      <x:c r="C13" s="20" t="str">
        <x:v>C-07</x:v>
      </x:c>
      <x:c r="D13" s="20" t="str">
        <x:v>All cargo modes fit</x:v>
      </x:c>
      <x:c r="E13" s="45" t="n">
        <x:f>COUNTIF('Cargo Clearance'!$P$7:$P$70,"PASS")</x:f>
        <x:v>64</x:v>
      </x:c>
      <x:c r="F13" s="45" t="n">
        <x:v>64</x:v>
      </x:c>
      <x:c r="G13" s="20" t="str">
        <x:v>exact</x:v>
      </x:c>
      <x:c r="H13" s="45" t="str">
        <x:f>IF(E13=F13,"PASS","FAIL")</x:f>
        <x:v>PASS</x:v>
      </x:c>
      <x:c r="I13" s="72"/>
      <x:c r="J13" s="72"/>
      <x:c r="K13" s="72"/>
      <x:c r="L13" s="72"/>
      <x:c r="M13" s="72"/>
      <x:c r="N13" s="72"/>
    </x:row>
    <x:row r="14">
      <x:c r="C14" s="20" t="str">
        <x:v>C-08</x:v>
      </x:c>
      <x:c r="D14" s="20" t="str">
        <x:v>All path deployment queues clear by day 90</x:v>
      </x:c>
      <x:c r="E14" s="45" t="n">
        <x:f>SUMIFS('Deployment Queue'!$I$7:$I$1098,'Deployment Queue'!$D$7:$D$1098,90)</x:f>
        <x:v>0</x:v>
      </x:c>
      <x:c r="F14" s="45" t="n">
        <x:v>0</x:v>
      </x:c>
      <x:c r="G14" s="20" t="str">
        <x:v>&lt; 0.1 handling t</x:v>
      </x:c>
      <x:c r="H14" s="45" t="str">
        <x:f>IF(E14&lt;0.1,"PASS","FAIL")</x:f>
        <x:v>PASS</x:v>
      </x:c>
      <x:c r="I14" s="72"/>
      <x:c r="J14" s="72"/>
      <x:c r="K14" s="72"/>
      <x:c r="L14" s="72"/>
      <x:c r="M14" s="72"/>
      <x:c r="N14" s="72"/>
    </x:row>
    <x:row r="15">
      <x:c r="C15" s="20" t="str">
        <x:v>C-09</x:v>
      </x:c>
      <x:c r="D15" s="20" t="str">
        <x:v>All wave closures close</x:v>
      </x:c>
      <x:c r="E15" s="45" t="n">
        <x:f>COUNTIF('Wave Closure'!$L$7:$L$10,"CLOSE")</x:f>
        <x:v>4</x:v>
      </x:c>
      <x:c r="F15" s="45" t="n">
        <x:v>4</x:v>
      </x:c>
      <x:c r="G15" s="20" t="str">
        <x:v>exact</x:v>
      </x:c>
      <x:c r="H15" s="45" t="str">
        <x:f>IF(E15=F15,"PASS","FAIL")</x:f>
        <x:v>PASS</x:v>
      </x:c>
      <x:c r="I15" s="72"/>
      <x:c r="J15" s="72"/>
      <x:c r="K15" s="72"/>
      <x:c r="L15" s="72"/>
      <x:c r="M15" s="72"/>
      <x:c r="N15" s="72"/>
    </x:row>
    <x:row r="16">
      <x:c r="C16" s="20" t="str">
        <x:v>C-10</x:v>
      </x:c>
      <x:c r="D16" s="20" t="str">
        <x:v>All service rows close</x:v>
      </x:c>
      <x:c r="E16" s="45" t="n">
        <x:f>COUNTIF('Service Closure'!$M$7:$M$50,"CLOSE")</x:f>
        <x:v>44</x:v>
      </x:c>
      <x:c r="F16" s="45" t="n">
        <x:v>44</x:v>
      </x:c>
      <x:c r="G16" s="20" t="str">
        <x:v>exact</x:v>
      </x:c>
      <x:c r="H16" s="45" t="str">
        <x:f>IF(E16=F16,"PASS","FAIL")</x:f>
        <x:v>PASS</x:v>
      </x:c>
      <x:c r="I16" s="72"/>
      <x:c r="J16" s="72"/>
      <x:c r="K16" s="72"/>
      <x:c r="L16" s="72"/>
      <x:c r="M16" s="72"/>
      <x:c r="N16" s="72"/>
    </x:row>
    <x:row r="17">
      <x:c r="C17" s="20" t="str">
        <x:v>C-11</x:v>
      </x:c>
      <x:c r="D17" s="20" t="str">
        <x:v>All zones have required independent paths</x:v>
      </x:c>
      <x:c r="E17" s="45" t="n">
        <x:f>COUNTIF('Path Independence'!$S$7:$S$15,"PASS")</x:f>
        <x:v>9</x:v>
      </x:c>
      <x:c r="F17" s="45" t="n">
        <x:v>9</x:v>
      </x:c>
      <x:c r="G17" s="20" t="str">
        <x:v>exact</x:v>
      </x:c>
      <x:c r="H17" s="45" t="str">
        <x:f>IF(E17=F17,"PASS","FAIL")</x:f>
        <x:v>PASS</x:v>
      </x:c>
      <x:c r="I17" s="72"/>
      <x:c r="J17" s="72"/>
      <x:c r="K17" s="72"/>
      <x:c r="L17" s="72"/>
      <x:c r="M17" s="72"/>
      <x:c r="N17" s="72"/>
    </x:row>
    <x:row r="18">
      <x:c r="C18" s="20" t="str">
        <x:v>C-12</x:v>
      </x:c>
      <x:c r="D18" s="20" t="str">
        <x:v>Responder bases close all milestones</x:v>
      </x:c>
      <x:c r="E18" s="45" t="n">
        <x:f>COUNTIF('Responder Bases'!$G$22:$G$25,"PASS")</x:f>
        <x:v>4</x:v>
      </x:c>
      <x:c r="F18" s="45" t="n">
        <x:v>4</x:v>
      </x:c>
      <x:c r="G18" s="20" t="str">
        <x:v>exact</x:v>
      </x:c>
      <x:c r="H18" s="45" t="str">
        <x:f>IF(E18=F18,"PASS","FAIL")</x:f>
        <x:v>PASS</x:v>
      </x:c>
      <x:c r="I18" s="72"/>
      <x:c r="J18" s="72"/>
      <x:c r="K18" s="72"/>
      <x:c r="L18" s="72"/>
      <x:c r="M18" s="72"/>
      <x:c r="N18" s="72"/>
    </x:row>
    <x:row r="19">
      <x:c r="C19" s="20" t="str">
        <x:v>C-13</x:v>
      </x:c>
      <x:c r="D19" s="20" t="str">
        <x:v>Sustainment backlog at day 90</x:v>
      </x:c>
      <x:c r="E19" s="45" t="n">
        <x:f>'Sustainment Capacity'!J97</x:f>
        <x:v>0</x:v>
      </x:c>
      <x:c r="F19" s="45" t="n">
        <x:v>0</x:v>
      </x:c>
      <x:c r="G19" s="20" t="str">
        <x:v>&lt; 0.1 t</x:v>
      </x:c>
      <x:c r="H19" s="45" t="str">
        <x:f>IF(E19&lt;0.1,"PASS","FAIL")</x:f>
        <x:v>PASS</x:v>
      </x:c>
      <x:c r="I19" s="72"/>
      <x:c r="J19" s="72"/>
      <x:c r="K19" s="72"/>
      <x:c r="L19" s="72"/>
      <x:c r="M19" s="72"/>
      <x:c r="N19" s="72"/>
    </x:row>
    <x:row r="20">
      <x:c r="C20" s="20" t="str">
        <x:v>C-14</x:v>
      </x:c>
      <x:c r="D20" s="20" t="str">
        <x:v>Peak sustainment aligns to Pass 24 anchor</x:v>
      </x:c>
      <x:c r="E20" s="45" t="n">
        <x:f>MAX('Sustainment Demand'!$M$7:$M$97)</x:f>
        <x:v>22520.4</x:v>
      </x:c>
      <x:c r="F20" s="45" t="n">
        <x:f>'Controls'!$D$12</x:f>
        <x:v>22520</x:v>
      </x:c>
      <x:c r="G20" s="20" t="str">
        <x:v>within 1 t/day</x:v>
      </x:c>
      <x:c r="H20" s="45" t="str">
        <x:f>IF(ABS(E20-F20)&lt;=1,"PASS","FAIL")</x:f>
        <x:v>PASS</x:v>
      </x:c>
      <x:c r="I20" s="72"/>
      <x:c r="J20" s="72"/>
      <x:c r="K20" s="72"/>
      <x:c r="L20" s="72"/>
      <x:c r="M20" s="72"/>
      <x:c r="N20" s="72"/>
    </x:row>
    <x:row r="21">
      <x:c r="C21" s="20" t="str">
        <x:v>C-15</x:v>
      </x:c>
      <x:c r="D21" s="20" t="str">
        <x:v>Reverse-flow backlog at day 90</x:v>
      </x:c>
      <x:c r="E21" s="45" t="n">
        <x:f>'Reverse Flow'!K97</x:f>
        <x:v>0</x:v>
      </x:c>
      <x:c r="F21" s="45" t="n">
        <x:v>0</x:v>
      </x:c>
      <x:c r="G21" s="20" t="str">
        <x:v>&lt; 0.1 t</x:v>
      </x:c>
      <x:c r="H21" s="45" t="str">
        <x:f>IF(E21&lt;0.1,"PASS","FAIL")</x:f>
        <x:v>PASS</x:v>
      </x:c>
      <x:c r="I21" s="72"/>
      <x:c r="J21" s="72"/>
      <x:c r="K21" s="72"/>
      <x:c r="L21" s="72"/>
      <x:c r="M21" s="72"/>
      <x:c r="N21" s="72"/>
    </x:row>
    <x:row r="22">
      <x:c r="C22" s="20" t="str">
        <x:v>C-16</x:v>
      </x:c>
      <x:c r="D22" s="20" t="str">
        <x:v>Patient movement completes by day 30</x:v>
      </x:c>
      <x:c r="E22" s="45" t="n">
        <x:f>'Staff Flow'!H37</x:f>
        <x:v>0</x:v>
      </x:c>
      <x:c r="F22" s="45" t="n">
        <x:v>0</x:v>
      </x:c>
      <x:c r="G22" s="20" t="str">
        <x:v>&lt; 1 person</x:v>
      </x:c>
      <x:c r="H22" s="45" t="str">
        <x:f>IF(E22&lt;1,"PASS","FAIL")</x:f>
        <x:v>PASS</x:v>
      </x:c>
      <x:c r="I22" s="72"/>
      <x:c r="J22" s="72"/>
      <x:c r="K22" s="72"/>
      <x:c r="L22" s="72"/>
      <x:c r="M22" s="72"/>
      <x:c r="N22" s="72"/>
    </x:row>
    <x:row r="23">
      <x:c r="C23" s="20" t="str">
        <x:v>C-17</x:v>
      </x:c>
      <x:c r="D23" s="20" t="str">
        <x:v>Relief queue clear at day 90</x:v>
      </x:c>
      <x:c r="E23" s="45" t="n">
        <x:f>'Staff Flow'!M97</x:f>
        <x:v>0</x:v>
      </x:c>
      <x:c r="F23" s="45" t="n">
        <x:v>0</x:v>
      </x:c>
      <x:c r="G23" s="20" t="str">
        <x:v>&lt; 1 person</x:v>
      </x:c>
      <x:c r="H23" s="45" t="str">
        <x:f>IF(E23&lt;1,"PASS","FAIL")</x:f>
        <x:v>PASS</x:v>
      </x:c>
      <x:c r="I23" s="72"/>
      <x:c r="J23" s="72"/>
      <x:c r="K23" s="72"/>
      <x:c r="L23" s="72"/>
      <x:c r="M23" s="72"/>
      <x:c r="N23" s="72"/>
    </x:row>
    <x:row r="24">
      <x:c r="C24" s="20" t="str">
        <x:v>C-18</x:v>
      </x:c>
      <x:c r="D24" s="20" t="str">
        <x:v>R1 and R2 reconstituted by day 120</x:v>
      </x:c>
      <x:c r="E24" s="45" t="n">
        <x:f>'Reconstitution'!L127</x:f>
        <x:v>405398.0000000002</x:v>
      </x:c>
      <x:c r="F24" s="45" t="n">
        <x:v>405398</x:v>
      </x:c>
      <x:c r="G24" s="20" t="str">
        <x:v>at least R1 + R2 mass</x:v>
      </x:c>
      <x:c r="H24" s="45" t="str">
        <x:f>IF(E24&gt;=F24,"PASS","FAIL")</x:f>
        <x:v>PASS</x:v>
      </x:c>
      <x:c r="I24" s="72"/>
      <x:c r="J24" s="72"/>
      <x:c r="K24" s="72"/>
      <x:c r="L24" s="72"/>
      <x:c r="M24" s="72"/>
      <x:c r="N24" s="72"/>
    </x:row>
    <x:row r="25">
      <x:c r="C25" s="20" t="str">
        <x:v>C-19</x:v>
      </x:c>
      <x:c r="D25" s="20" t="str">
        <x:v>Capital profile weights sum</x:v>
      </x:c>
      <x:c r="E25" s="45" t="n">
        <x:f>SUM('Annual Funding'!$E$7:$E$31)</x:f>
        <x:v>1</x:v>
      </x:c>
      <x:c r="F25" s="45" t="n">
        <x:v>1</x:v>
      </x:c>
      <x:c r="G25" s="20" t="str">
        <x:v>absolute difference &lt; 0.0001</x:v>
      </x:c>
      <x:c r="H25" s="45" t="str">
        <x:f>IF(ABS(E25-F25)&lt;0.0001,"PASS","FAIL")</x:f>
        <x:v>PASS</x:v>
      </x:c>
      <x:c r="I25" s="72"/>
      <x:c r="J25" s="72"/>
      <x:c r="K25" s="72"/>
      <x:c r="L25" s="72"/>
      <x:c r="M25" s="72"/>
      <x:c r="N25" s="72"/>
    </x:row>
    <x:row r="26">
      <x:c r="C26" s="20" t="str">
        <x:v>C-20</x:v>
      </x:c>
      <x:c r="D26" s="20" t="str">
        <x:v>Annual funding reconciles to capital</x:v>
      </x:c>
      <x:c r="E26" s="45" t="n">
        <x:f>SUM('Annual Funding'!$F$7:$F$31)</x:f>
        <x:v>373.43999999999994</x:v>
      </x:c>
      <x:c r="F26" s="45" t="n">
        <x:f>'Capital Build'!$H$26</x:f>
        <x:v>373.44</x:v>
      </x:c>
      <x:c r="G26" s="20" t="str">
        <x:v>absolute difference &lt; $0.01B</x:v>
      </x:c>
      <x:c r="H26" s="45" t="str">
        <x:f>IF(ABS(E26-F26)&lt;0.01,"PASS","FAIL")</x:f>
        <x:v>PASS</x:v>
      </x:c>
      <x:c r="I26" s="72"/>
      <x:c r="J26" s="72"/>
      <x:c r="K26" s="72"/>
      <x:c r="L26" s="72"/>
      <x:c r="M26" s="72"/>
      <x:c r="N26" s="72"/>
    </x:row>
    <x:row r="27">
      <x:c r="C27" s="20" t="str">
        <x:v>C-21</x:v>
      </x:c>
      <x:c r="D27" s="20" t="str">
        <x:v>Source URLs complete</x:v>
      </x:c>
      <x:c r="E27" s="45" t="n">
        <x:f>COUNTA('Sources'!$G$7:$G$21)</x:f>
        <x:v>15</x:v>
      </x:c>
      <x:c r="F27" s="45" t="n">
        <x:v>15</x:v>
      </x:c>
      <x:c r="G27" s="20" t="str">
        <x:v>exact</x:v>
      </x:c>
      <x:c r="H27" s="45" t="str">
        <x:f>IF(E27=F27,"PASS","FAIL")</x:f>
        <x:v>PASS</x:v>
      </x:c>
      <x:c r="I27" s="72"/>
      <x:c r="J27" s="72"/>
      <x:c r="K27" s="72"/>
      <x:c r="L27" s="72"/>
      <x:c r="M27" s="72"/>
      <x:c r="N27" s="72"/>
    </x:row>
    <x:row r="28">
      <x:c r="C28" s="20" t="str">
        <x:v>C-22</x:v>
      </x:c>
      <x:c r="D28" s="20" t="str">
        <x:v>End-to-end campaign milestones close</x:v>
      </x:c>
      <x:c r="E28" s="45" t="n">
        <x:f>COUNTIF('Campaign Closure'!$M$7:$M$10,"CLOSE")</x:f>
        <x:v>4</x:v>
      </x:c>
      <x:c r="F28" s="45" t="n">
        <x:v>4</x:v>
      </x:c>
      <x:c r="G28" s="20" t="str">
        <x:v>exact</x:v>
      </x:c>
      <x:c r="H28" s="45" t="str">
        <x:f>IF(E28=F28,"PASS","FAIL")</x:f>
        <x:v>PASS</x:v>
      </x:c>
      <x:c r="I28" s="72"/>
      <x:c r="J28" s="72"/>
      <x:c r="K28" s="72"/>
      <x:c r="L28" s="72"/>
      <x:c r="M28" s="72"/>
      <x:c r="N28" s="72"/>
    </x:row>
    <x:row r="29">
      <x:c r="C29" s="20" t="str">
        <x:v>C-23</x:v>
      </x:c>
      <x:c r="D29" s="20" t="str">
        <x:v>Evidence gates remain open</x:v>
      </x:c>
      <x:c r="E29" s="45" t="n">
        <x:f>COUNTIF('Evidence Gates'!$K$7:$K$26,"OPEN")</x:f>
        <x:v>20</x:v>
      </x:c>
      <x:c r="F29" s="45" t="n">
        <x:v>20</x:v>
      </x:c>
      <x:c r="G29" s="20" t="str">
        <x:v>research state must remain open</x:v>
      </x:c>
      <x:c r="H29" s="45" t="str">
        <x:f>IF(E29=F29,"OPEN","FAIL")</x:f>
        <x:v>OPEN</x:v>
      </x:c>
      <x:c r="I29" s="72"/>
      <x:c r="J29" s="72"/>
      <x:c r="K29" s="72"/>
      <x:c r="L29" s="72"/>
      <x:c r="M29" s="72"/>
      <x:c r="N29" s="72"/>
    </x:row>
    <x:row r="30">
      <x:c r="C30" s="20" t="str">
        <x:v>C-24</x:v>
      </x:c>
      <x:c r="D30" s="20" t="str">
        <x:v>Rendering remains blocked</x:v>
      </x:c>
      <x:c r="E30" s="45" t="str">
        <x:f>'Controls'!$D$24</x:f>
        <x:v>OPEN</x:v>
      </x:c>
      <x:c r="F30" s="45" t="str">
        <x:v>OPEN</x:v>
      </x:c>
      <x:c r="G30" s="20" t="str">
        <x:v>must remain OPEN until configuration baseline</x:v>
      </x:c>
      <x:c r="H30" s="45" t="str">
        <x:f>IF(E30=F30,"OPEN","FAIL")</x:f>
        <x:v>OPEN</x:v>
      </x:c>
      <x:c r="I30" s="72"/>
      <x:c r="J30" s="72"/>
      <x:c r="K30" s="72"/>
      <x:c r="L30" s="72"/>
      <x:c r="M30" s="72"/>
      <x:c r="N30" s="72"/>
    </x:row>
  </x:sheetData>
  <x:mergeCells>
    <x:mergeCell ref="C2:N2"/>
    <x:mergeCell ref="C3:N3"/>
  </x:mergeCells>
  <x:conditionalFormatting sqref="H7:H30">
    <x:cfRule type="containsText" dxfId="80" priority="1" operator="containsText" text="PASS"/>
    <x:cfRule type="containsText" dxfId="81" priority="2" operator="containsText" text="CLOSE"/>
    <x:cfRule type="containsText" dxfId="82" priority="3" operator="containsText" text="FAIL"/>
    <x:cfRule type="containsText" dxfId="83" priority="4" operator="containsText" text="LATE"/>
    <x:cfRule type="containsText" dxfId="84" priority="5" operator="containsText" text="OPEN"/>
  </x:conditionalFormatting>
  <x:pageMargins left="0.7" right="0.7" top="0.75" bottom="0.75" header="0.3" footer="0.3"/>
</x:worksheet>
</file>